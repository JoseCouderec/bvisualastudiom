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oudere\Desktop\Informes_Mensuales_CD\Reportes de Ejecución\"/>
    </mc:Choice>
  </mc:AlternateContent>
  <xr:revisionPtr revIDLastSave="0" documentId="8_{E9EA0074-021C-4A7B-B8DB-5B57BFC14E6C}" xr6:coauthVersionLast="47" xr6:coauthVersionMax="47" xr10:uidLastSave="{00000000-0000-0000-0000-000000000000}"/>
  <bookViews>
    <workbookView xWindow="-110" yWindow="-110" windowWidth="19420" windowHeight="11500" xr2:uid="{37D9DD63-0570-4CCE-9BF8-43E3476A1E9C}"/>
  </bookViews>
  <sheets>
    <sheet name="Mayo" sheetId="2" r:id="rId1"/>
    <sheet name="Datos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xlnm._FilterDatabase" localSheetId="1" hidden="1">Datos!$F$1:$H$1</definedName>
    <definedName name="_xlnm._FilterDatabase" localSheetId="0" hidden="1">Mayo!$A$1:$Z$1213</definedName>
    <definedName name="A" localSheetId="1">#REF!</definedName>
    <definedName name="A">#REF!</definedName>
    <definedName name="alex" localSheetId="1">[8]AGENCIA!#REF!</definedName>
    <definedName name="alex">[8]AGENCIA!#REF!</definedName>
    <definedName name="asdf" localSheetId="1">#REF!</definedName>
    <definedName name="asdf">#REF!</definedName>
    <definedName name="EV__EVCOM_OPTIONS__" hidden="1">8</definedName>
    <definedName name="EV__EXPOPTIONS__" hidden="1">0</definedName>
    <definedName name="EV__LASTREFTIME__" hidden="1">40843.760787037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134217732</definedName>
    <definedName name="EV__WBVERSION__" hidden="1">0</definedName>
    <definedName name="MEWarning" hidden="1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090" i="3" l="1"/>
  <c r="G4077" i="3"/>
  <c r="G4076" i="3"/>
  <c r="G4073" i="3"/>
  <c r="G4011" i="3"/>
  <c r="G3991" i="3"/>
  <c r="T19" i="3"/>
  <c r="S19" i="3"/>
  <c r="R19" i="3"/>
  <c r="N19" i="3"/>
  <c r="M19" i="3"/>
  <c r="L19" i="3"/>
  <c r="T18" i="3"/>
  <c r="S18" i="3"/>
  <c r="R18" i="3"/>
  <c r="N18" i="3"/>
  <c r="M18" i="3"/>
  <c r="L18" i="3"/>
  <c r="T17" i="3"/>
  <c r="S17" i="3"/>
  <c r="R17" i="3"/>
  <c r="N17" i="3"/>
  <c r="M17" i="3"/>
  <c r="L17" i="3"/>
  <c r="T16" i="3"/>
  <c r="S16" i="3"/>
  <c r="R16" i="3"/>
  <c r="N16" i="3"/>
  <c r="M16" i="3"/>
  <c r="L16" i="3"/>
  <c r="T15" i="3"/>
  <c r="S15" i="3"/>
  <c r="R15" i="3"/>
  <c r="N15" i="3"/>
  <c r="M15" i="3"/>
  <c r="L15" i="3"/>
  <c r="T14" i="3"/>
  <c r="S14" i="3"/>
  <c r="R14" i="3"/>
  <c r="N14" i="3"/>
  <c r="M14" i="3"/>
  <c r="L14" i="3"/>
  <c r="T13" i="3"/>
  <c r="S13" i="3"/>
  <c r="R13" i="3"/>
  <c r="N13" i="3"/>
  <c r="M13" i="3"/>
  <c r="L13" i="3"/>
  <c r="T12" i="3"/>
  <c r="S12" i="3"/>
  <c r="R12" i="3"/>
  <c r="N12" i="3"/>
  <c r="M12" i="3"/>
  <c r="L12" i="3"/>
  <c r="T11" i="3"/>
  <c r="S11" i="3"/>
  <c r="R11" i="3"/>
  <c r="N11" i="3"/>
  <c r="M11" i="3"/>
  <c r="L11" i="3"/>
  <c r="T10" i="3"/>
  <c r="S10" i="3"/>
  <c r="R10" i="3"/>
  <c r="N10" i="3"/>
  <c r="M10" i="3"/>
  <c r="L10" i="3"/>
  <c r="T9" i="3"/>
  <c r="S9" i="3"/>
  <c r="R9" i="3"/>
  <c r="N9" i="3"/>
  <c r="M9" i="3"/>
  <c r="L9" i="3"/>
  <c r="T8" i="3"/>
  <c r="S8" i="3"/>
  <c r="R8" i="3"/>
  <c r="N8" i="3"/>
  <c r="M8" i="3"/>
  <c r="L8" i="3"/>
  <c r="T7" i="3"/>
  <c r="S7" i="3"/>
  <c r="R7" i="3"/>
  <c r="N7" i="3"/>
  <c r="M7" i="3"/>
  <c r="L7" i="3"/>
  <c r="T6" i="3"/>
  <c r="S6" i="3"/>
  <c r="R6" i="3"/>
  <c r="N6" i="3"/>
  <c r="M6" i="3"/>
  <c r="L6" i="3"/>
  <c r="T5" i="3"/>
  <c r="S5" i="3"/>
  <c r="R5" i="3"/>
  <c r="N5" i="3"/>
  <c r="M5" i="3"/>
  <c r="L5" i="3"/>
  <c r="T4" i="3"/>
  <c r="S4" i="3"/>
  <c r="R4" i="3"/>
  <c r="N4" i="3"/>
  <c r="M4" i="3"/>
  <c r="L4" i="3"/>
  <c r="T3" i="3"/>
  <c r="S3" i="3"/>
  <c r="R3" i="3"/>
  <c r="N3" i="3"/>
  <c r="M3" i="3"/>
  <c r="L3" i="3"/>
  <c r="T2" i="3"/>
  <c r="S2" i="3"/>
  <c r="R2" i="3"/>
  <c r="N2" i="3"/>
  <c r="M2" i="3"/>
  <c r="L2" i="3"/>
  <c r="Z1213" i="2"/>
  <c r="Q1213" i="2"/>
  <c r="Z1212" i="2"/>
  <c r="Q1212" i="2"/>
  <c r="Z1211" i="2"/>
  <c r="Q1211" i="2"/>
  <c r="Z1210" i="2"/>
  <c r="Q1210" i="2"/>
  <c r="Z1209" i="2"/>
  <c r="Q1209" i="2"/>
  <c r="Z1208" i="2"/>
  <c r="Q1208" i="2"/>
  <c r="Z1207" i="2"/>
  <c r="Q1207" i="2"/>
  <c r="Z1206" i="2"/>
  <c r="Q1206" i="2"/>
  <c r="Z1205" i="2"/>
  <c r="Q1205" i="2"/>
  <c r="Z1204" i="2"/>
  <c r="Q1204" i="2"/>
  <c r="Z1203" i="2"/>
  <c r="Q1203" i="2"/>
  <c r="Z1202" i="2"/>
  <c r="Q1202" i="2"/>
  <c r="Z1201" i="2"/>
  <c r="Q1201" i="2"/>
  <c r="Z1200" i="2"/>
  <c r="Q1200" i="2"/>
  <c r="Z1199" i="2"/>
  <c r="Q1199" i="2"/>
  <c r="Z1198" i="2"/>
  <c r="Q1198" i="2"/>
  <c r="Z1197" i="2"/>
  <c r="Q1197" i="2"/>
  <c r="Z1196" i="2"/>
  <c r="Q1196" i="2"/>
  <c r="Z1195" i="2"/>
  <c r="Q1195" i="2"/>
  <c r="Z1194" i="2"/>
  <c r="Q1194" i="2"/>
  <c r="Z1193" i="2"/>
  <c r="Q1193" i="2"/>
  <c r="Z1192" i="2"/>
  <c r="Q1192" i="2"/>
  <c r="Z1191" i="2"/>
  <c r="Q1191" i="2"/>
  <c r="Z1190" i="2"/>
  <c r="Q1190" i="2"/>
  <c r="Z1189" i="2"/>
  <c r="Q1189" i="2"/>
  <c r="Z1188" i="2"/>
  <c r="Q1188" i="2"/>
  <c r="Z1187" i="2"/>
  <c r="Q1187" i="2"/>
  <c r="Z1186" i="2"/>
  <c r="Q1186" i="2"/>
  <c r="Z1185" i="2"/>
  <c r="Q1185" i="2"/>
  <c r="Z1184" i="2"/>
  <c r="Q1184" i="2"/>
  <c r="Z1183" i="2"/>
  <c r="Q1183" i="2"/>
  <c r="Z1182" i="2"/>
  <c r="Q1182" i="2"/>
  <c r="Z1181" i="2"/>
  <c r="Q1181" i="2"/>
  <c r="Z1180" i="2"/>
  <c r="Q1180" i="2"/>
  <c r="Z1179" i="2"/>
  <c r="Q1179" i="2"/>
  <c r="Z1178" i="2"/>
  <c r="Q1178" i="2"/>
  <c r="Z1177" i="2"/>
  <c r="Q1177" i="2"/>
  <c r="Z1176" i="2"/>
  <c r="Q1176" i="2"/>
  <c r="Z1175" i="2"/>
  <c r="Q1175" i="2"/>
  <c r="Z1174" i="2"/>
  <c r="Q1174" i="2"/>
  <c r="Z1173" i="2"/>
  <c r="Q1173" i="2"/>
  <c r="Z1172" i="2"/>
  <c r="Q1172" i="2"/>
  <c r="Z1171" i="2"/>
  <c r="Q1171" i="2"/>
  <c r="Z1170" i="2"/>
  <c r="Q1170" i="2"/>
  <c r="Z1169" i="2"/>
  <c r="Q1169" i="2"/>
  <c r="Z1168" i="2"/>
  <c r="Q1168" i="2"/>
  <c r="Z1167" i="2"/>
  <c r="Q1167" i="2"/>
  <c r="Z1166" i="2"/>
  <c r="Q1166" i="2"/>
  <c r="Z1165" i="2"/>
  <c r="Q1165" i="2"/>
  <c r="Z1164" i="2"/>
  <c r="Q1164" i="2"/>
  <c r="Z1163" i="2"/>
  <c r="Q1163" i="2"/>
  <c r="Z1162" i="2"/>
  <c r="Q1162" i="2"/>
  <c r="Z1161" i="2"/>
  <c r="Q1161" i="2"/>
  <c r="Z1160" i="2"/>
  <c r="Q1160" i="2"/>
  <c r="Z1159" i="2"/>
  <c r="Q1159" i="2"/>
  <c r="Z1158" i="2"/>
  <c r="Q1158" i="2"/>
  <c r="Z1157" i="2"/>
  <c r="Q1157" i="2"/>
  <c r="Z1156" i="2"/>
  <c r="Q1156" i="2"/>
  <c r="Z1155" i="2"/>
  <c r="Q1155" i="2"/>
  <c r="Z1154" i="2"/>
  <c r="Q1154" i="2"/>
  <c r="Z1153" i="2"/>
  <c r="Q1153" i="2"/>
  <c r="Z1152" i="2"/>
  <c r="Q1152" i="2"/>
  <c r="Z1151" i="2"/>
  <c r="Q1151" i="2"/>
  <c r="Z1150" i="2"/>
  <c r="Q1150" i="2"/>
  <c r="Z1149" i="2"/>
  <c r="Q1149" i="2"/>
  <c r="Z1148" i="2"/>
  <c r="Q1148" i="2"/>
  <c r="Z1147" i="2"/>
  <c r="Q1147" i="2"/>
  <c r="Z1146" i="2"/>
  <c r="Q1146" i="2"/>
  <c r="Z1145" i="2"/>
  <c r="Q1145" i="2"/>
  <c r="Z1144" i="2"/>
  <c r="Q1144" i="2"/>
  <c r="Z1143" i="2"/>
  <c r="Q1143" i="2"/>
  <c r="Z1142" i="2"/>
  <c r="Q1142" i="2"/>
  <c r="Z1141" i="2"/>
  <c r="Q1141" i="2"/>
  <c r="Z1140" i="2"/>
  <c r="Q1140" i="2"/>
  <c r="Z1139" i="2"/>
  <c r="Q1139" i="2"/>
  <c r="Z1138" i="2"/>
  <c r="Q1138" i="2"/>
  <c r="Z1137" i="2"/>
  <c r="Q1137" i="2"/>
  <c r="Z1136" i="2"/>
  <c r="Q1136" i="2"/>
  <c r="Z1135" i="2"/>
  <c r="Q1135" i="2"/>
  <c r="Z1134" i="2"/>
  <c r="Q1134" i="2"/>
  <c r="Z1133" i="2"/>
  <c r="Q1133" i="2"/>
  <c r="Z1132" i="2"/>
  <c r="Q1132" i="2"/>
  <c r="Z1131" i="2"/>
  <c r="Q1131" i="2"/>
  <c r="Z1130" i="2"/>
  <c r="Q1130" i="2"/>
  <c r="Z1129" i="2"/>
  <c r="Q1129" i="2"/>
  <c r="Z1128" i="2"/>
  <c r="Q1128" i="2"/>
  <c r="Z1127" i="2"/>
  <c r="Q1127" i="2"/>
  <c r="Z1126" i="2"/>
  <c r="Q1126" i="2"/>
  <c r="Z1125" i="2"/>
  <c r="Q1125" i="2"/>
  <c r="Z1124" i="2"/>
  <c r="Q1124" i="2"/>
  <c r="Z1123" i="2"/>
  <c r="Q1123" i="2"/>
  <c r="Z1122" i="2"/>
  <c r="Q1122" i="2"/>
  <c r="Z1121" i="2"/>
  <c r="Q1121" i="2"/>
  <c r="Z1120" i="2"/>
  <c r="Q1120" i="2"/>
  <c r="Z1119" i="2"/>
  <c r="Q1119" i="2"/>
  <c r="Z1118" i="2"/>
  <c r="Q1118" i="2"/>
  <c r="Z1117" i="2"/>
  <c r="Q1117" i="2"/>
  <c r="Z1116" i="2"/>
  <c r="Q1116" i="2"/>
  <c r="Z1115" i="2"/>
  <c r="Q1115" i="2"/>
  <c r="Z1114" i="2"/>
  <c r="Q1114" i="2"/>
  <c r="Z1113" i="2"/>
  <c r="Q1113" i="2"/>
  <c r="Z1112" i="2"/>
  <c r="Q1112" i="2"/>
  <c r="Z1111" i="2"/>
  <c r="Q1111" i="2"/>
  <c r="Z1110" i="2"/>
  <c r="Q1110" i="2"/>
  <c r="Z1109" i="2"/>
  <c r="Q1109" i="2"/>
  <c r="Z1108" i="2"/>
  <c r="Q1108" i="2"/>
  <c r="Z1107" i="2"/>
  <c r="Q1107" i="2"/>
  <c r="Z1106" i="2"/>
  <c r="Q1106" i="2"/>
  <c r="Z1105" i="2"/>
  <c r="Q1105" i="2"/>
  <c r="Z1104" i="2"/>
  <c r="Q1104" i="2"/>
  <c r="Z1103" i="2"/>
  <c r="Q1103" i="2"/>
  <c r="Z1102" i="2"/>
  <c r="Q1102" i="2"/>
  <c r="Z1101" i="2"/>
  <c r="Q1101" i="2"/>
  <c r="Z1100" i="2"/>
  <c r="Q1100" i="2"/>
  <c r="Z1099" i="2"/>
  <c r="Q1099" i="2"/>
  <c r="Z1098" i="2"/>
  <c r="Q1098" i="2"/>
  <c r="Z1097" i="2"/>
  <c r="Q1097" i="2"/>
  <c r="Z1096" i="2"/>
  <c r="Q1096" i="2"/>
  <c r="Z1095" i="2"/>
  <c r="Q1095" i="2"/>
  <c r="Z1094" i="2"/>
  <c r="Q1094" i="2"/>
  <c r="Z1093" i="2"/>
  <c r="Q1093" i="2"/>
  <c r="Z1092" i="2"/>
  <c r="Q1092" i="2"/>
  <c r="Z1091" i="2"/>
  <c r="Q1091" i="2"/>
  <c r="Z1090" i="2"/>
  <c r="Q1090" i="2"/>
  <c r="Z1089" i="2"/>
  <c r="Q1089" i="2"/>
  <c r="Z1088" i="2"/>
  <c r="Q1088" i="2"/>
  <c r="Z1087" i="2"/>
  <c r="Q1087" i="2"/>
  <c r="Z1086" i="2"/>
  <c r="Q1086" i="2"/>
  <c r="Z1085" i="2"/>
  <c r="Q1085" i="2"/>
  <c r="Z1084" i="2"/>
  <c r="Q1084" i="2"/>
  <c r="Z1083" i="2"/>
  <c r="Q1083" i="2"/>
  <c r="Z1082" i="2"/>
  <c r="Q1082" i="2"/>
  <c r="Z1081" i="2"/>
  <c r="Q1081" i="2"/>
  <c r="Z1080" i="2"/>
  <c r="Q1080" i="2"/>
  <c r="Z1079" i="2"/>
  <c r="Q1079" i="2"/>
  <c r="Z1078" i="2"/>
  <c r="Q1078" i="2"/>
  <c r="Z1077" i="2"/>
  <c r="Q1077" i="2"/>
  <c r="Z1076" i="2"/>
  <c r="Q1076" i="2"/>
  <c r="Z1075" i="2"/>
  <c r="Q1075" i="2"/>
  <c r="Z1074" i="2"/>
  <c r="Q1074" i="2"/>
  <c r="Z1073" i="2"/>
  <c r="Q1073" i="2"/>
  <c r="Z1072" i="2"/>
  <c r="Q1072" i="2"/>
  <c r="Z1071" i="2"/>
  <c r="Q1071" i="2"/>
  <c r="Z1070" i="2"/>
  <c r="Q1070" i="2"/>
  <c r="Z1069" i="2"/>
  <c r="Q1069" i="2"/>
  <c r="Z1068" i="2"/>
  <c r="Q1068" i="2"/>
  <c r="Z1067" i="2"/>
  <c r="Q1067" i="2"/>
  <c r="Z1066" i="2"/>
  <c r="Q1066" i="2"/>
  <c r="Z1065" i="2"/>
  <c r="Q1065" i="2"/>
  <c r="Z1064" i="2"/>
  <c r="Q1064" i="2"/>
  <c r="Z1063" i="2"/>
  <c r="Q1063" i="2"/>
  <c r="Z1062" i="2"/>
  <c r="Q1062" i="2"/>
  <c r="Z1061" i="2"/>
  <c r="Q1061" i="2"/>
  <c r="Z1060" i="2"/>
  <c r="Q1060" i="2"/>
  <c r="Z1059" i="2"/>
  <c r="Q1059" i="2"/>
  <c r="Z1058" i="2"/>
  <c r="Q1058" i="2"/>
  <c r="Z1057" i="2"/>
  <c r="Q1057" i="2"/>
  <c r="Z1056" i="2"/>
  <c r="Q1056" i="2"/>
  <c r="Z1055" i="2"/>
  <c r="Q1055" i="2"/>
  <c r="Z1054" i="2"/>
  <c r="Q1054" i="2"/>
  <c r="Z1053" i="2"/>
  <c r="Q1053" i="2"/>
  <c r="Z1052" i="2"/>
  <c r="Q1052" i="2"/>
  <c r="Z1051" i="2"/>
  <c r="Q1051" i="2"/>
  <c r="Z1050" i="2"/>
  <c r="Q1050" i="2"/>
  <c r="Z1049" i="2"/>
  <c r="Q1049" i="2"/>
  <c r="Z1048" i="2"/>
  <c r="Q1048" i="2"/>
  <c r="Z1047" i="2"/>
  <c r="Q1047" i="2"/>
  <c r="Z1046" i="2"/>
  <c r="Q1046" i="2"/>
  <c r="Z1045" i="2"/>
  <c r="Q1045" i="2"/>
  <c r="Z1044" i="2"/>
  <c r="Q1044" i="2"/>
  <c r="Z1043" i="2"/>
  <c r="Q1043" i="2"/>
  <c r="Z1042" i="2"/>
  <c r="Q1042" i="2"/>
  <c r="Z1041" i="2"/>
  <c r="Q1041" i="2"/>
  <c r="Z1040" i="2"/>
  <c r="Q1040" i="2"/>
  <c r="Z1039" i="2"/>
  <c r="Q1039" i="2"/>
  <c r="Z1038" i="2"/>
  <c r="Q1038" i="2"/>
  <c r="Z1037" i="2"/>
  <c r="Q1037" i="2"/>
  <c r="Z1036" i="2"/>
  <c r="Q1036" i="2"/>
  <c r="Z1035" i="2"/>
  <c r="Q1035" i="2"/>
  <c r="Z1034" i="2"/>
  <c r="Q1034" i="2"/>
  <c r="Z1033" i="2"/>
  <c r="Q1033" i="2"/>
  <c r="Z1032" i="2"/>
  <c r="Q1032" i="2"/>
  <c r="Z1031" i="2"/>
  <c r="Q1031" i="2"/>
  <c r="Z1030" i="2"/>
  <c r="Q1030" i="2"/>
  <c r="Z1029" i="2"/>
  <c r="Q1029" i="2"/>
  <c r="Z1028" i="2"/>
  <c r="Q1028" i="2"/>
  <c r="Z1027" i="2"/>
  <c r="Q1027" i="2"/>
  <c r="Z1026" i="2"/>
  <c r="Q1026" i="2"/>
  <c r="Z1025" i="2"/>
  <c r="Q1025" i="2"/>
  <c r="Z1024" i="2"/>
  <c r="Q1024" i="2"/>
  <c r="Z1023" i="2"/>
  <c r="Q1023" i="2"/>
  <c r="Z1022" i="2"/>
  <c r="Q1022" i="2"/>
  <c r="Z1021" i="2"/>
  <c r="Q1021" i="2"/>
  <c r="Z1020" i="2"/>
  <c r="Q1020" i="2"/>
  <c r="Z1019" i="2"/>
  <c r="Q1019" i="2"/>
  <c r="Z1018" i="2"/>
  <c r="Q1018" i="2"/>
  <c r="Z1017" i="2"/>
  <c r="Q1017" i="2"/>
  <c r="Z1016" i="2"/>
  <c r="Q1016" i="2"/>
  <c r="Z1015" i="2"/>
  <c r="Q1015" i="2"/>
  <c r="Z1014" i="2"/>
  <c r="Q1014" i="2"/>
  <c r="Z1013" i="2"/>
  <c r="Q1013" i="2"/>
  <c r="Z1012" i="2"/>
  <c r="Q1012" i="2"/>
  <c r="Z1011" i="2"/>
  <c r="Q1011" i="2"/>
  <c r="Z1010" i="2"/>
  <c r="Q1010" i="2"/>
  <c r="Z1009" i="2"/>
  <c r="Q1009" i="2"/>
  <c r="Z1008" i="2"/>
  <c r="Q1008" i="2"/>
  <c r="Z1007" i="2"/>
  <c r="Q1007" i="2"/>
  <c r="Z1006" i="2"/>
  <c r="Q1006" i="2"/>
  <c r="Z1005" i="2"/>
  <c r="Q1005" i="2"/>
  <c r="Z1004" i="2"/>
  <c r="Q1004" i="2"/>
  <c r="Z1003" i="2"/>
  <c r="Q1003" i="2"/>
  <c r="Z1002" i="2"/>
  <c r="Q1002" i="2"/>
  <c r="Z1001" i="2"/>
  <c r="Q1001" i="2"/>
  <c r="Z1000" i="2"/>
  <c r="Q1000" i="2"/>
  <c r="Z999" i="2"/>
  <c r="Q999" i="2"/>
  <c r="Z998" i="2"/>
  <c r="Q998" i="2"/>
  <c r="Z997" i="2"/>
  <c r="Q997" i="2"/>
  <c r="Z996" i="2"/>
  <c r="Q996" i="2"/>
  <c r="Z995" i="2"/>
  <c r="Q995" i="2"/>
  <c r="Z994" i="2"/>
  <c r="Q994" i="2"/>
  <c r="Z993" i="2"/>
  <c r="Q993" i="2"/>
  <c r="Z992" i="2"/>
  <c r="Q992" i="2"/>
  <c r="Z991" i="2"/>
  <c r="Q991" i="2"/>
  <c r="Z990" i="2"/>
  <c r="Q990" i="2"/>
  <c r="Z989" i="2"/>
  <c r="Q989" i="2"/>
  <c r="Z988" i="2"/>
  <c r="Q988" i="2"/>
  <c r="Z987" i="2"/>
  <c r="Q987" i="2"/>
  <c r="Z986" i="2"/>
  <c r="Q986" i="2"/>
  <c r="Z985" i="2"/>
  <c r="Q985" i="2"/>
  <c r="Z984" i="2"/>
  <c r="Q984" i="2"/>
  <c r="Z983" i="2"/>
  <c r="Q983" i="2"/>
  <c r="Z982" i="2"/>
  <c r="Q982" i="2"/>
  <c r="Z981" i="2"/>
  <c r="Q981" i="2"/>
  <c r="Z980" i="2"/>
  <c r="Q980" i="2"/>
  <c r="Z979" i="2"/>
  <c r="Q979" i="2"/>
  <c r="Z978" i="2"/>
  <c r="Q978" i="2"/>
  <c r="Z977" i="2"/>
  <c r="Q977" i="2"/>
  <c r="Z976" i="2"/>
  <c r="Q976" i="2"/>
  <c r="Z975" i="2"/>
  <c r="Q975" i="2"/>
  <c r="Z974" i="2"/>
  <c r="Q974" i="2"/>
  <c r="Z973" i="2"/>
  <c r="Q973" i="2"/>
  <c r="Z972" i="2"/>
  <c r="Q972" i="2"/>
  <c r="Z971" i="2"/>
  <c r="Q971" i="2"/>
  <c r="Z970" i="2"/>
  <c r="Q970" i="2"/>
  <c r="Z969" i="2"/>
  <c r="Q969" i="2"/>
  <c r="Z968" i="2"/>
  <c r="Q968" i="2"/>
  <c r="Z967" i="2"/>
  <c r="Q967" i="2"/>
  <c r="Z966" i="2"/>
  <c r="Q966" i="2"/>
  <c r="Z965" i="2"/>
  <c r="Q965" i="2"/>
  <c r="Z964" i="2"/>
  <c r="Q964" i="2"/>
  <c r="Z963" i="2"/>
  <c r="Q963" i="2"/>
  <c r="Z962" i="2"/>
  <c r="Q962" i="2"/>
  <c r="Z961" i="2"/>
  <c r="Q961" i="2"/>
  <c r="Z960" i="2"/>
  <c r="Q960" i="2"/>
  <c r="Z959" i="2"/>
  <c r="Q959" i="2"/>
  <c r="Z958" i="2"/>
  <c r="Q958" i="2"/>
  <c r="Z957" i="2"/>
  <c r="Q957" i="2"/>
  <c r="Z956" i="2"/>
  <c r="Q956" i="2"/>
  <c r="Z955" i="2"/>
  <c r="Q955" i="2"/>
  <c r="Z954" i="2"/>
  <c r="Q954" i="2"/>
  <c r="Z953" i="2"/>
  <c r="Q953" i="2"/>
  <c r="Z952" i="2"/>
  <c r="Q952" i="2"/>
  <c r="Z951" i="2"/>
  <c r="Q951" i="2"/>
  <c r="Z950" i="2"/>
  <c r="Q950" i="2"/>
  <c r="Z949" i="2"/>
  <c r="Q949" i="2"/>
  <c r="Z948" i="2"/>
  <c r="Q948" i="2"/>
  <c r="Z947" i="2"/>
  <c r="Q947" i="2"/>
  <c r="Z946" i="2"/>
  <c r="Q946" i="2"/>
  <c r="Z945" i="2"/>
  <c r="Q945" i="2"/>
  <c r="Z944" i="2"/>
  <c r="Q944" i="2"/>
  <c r="Z943" i="2"/>
  <c r="Q943" i="2"/>
  <c r="Z942" i="2"/>
  <c r="Q942" i="2"/>
  <c r="Z941" i="2"/>
  <c r="Q941" i="2"/>
  <c r="Z940" i="2"/>
  <c r="Q940" i="2"/>
  <c r="Z939" i="2"/>
  <c r="Q939" i="2"/>
  <c r="Z938" i="2"/>
  <c r="Q938" i="2"/>
  <c r="Z937" i="2"/>
  <c r="Q937" i="2"/>
  <c r="Z936" i="2"/>
  <c r="Q936" i="2"/>
  <c r="Z935" i="2"/>
  <c r="Q935" i="2"/>
  <c r="Z934" i="2"/>
  <c r="Q934" i="2"/>
  <c r="Z933" i="2"/>
  <c r="Q933" i="2"/>
  <c r="Z932" i="2"/>
  <c r="Q932" i="2"/>
  <c r="Z931" i="2"/>
  <c r="Q931" i="2"/>
  <c r="Z930" i="2"/>
  <c r="Q930" i="2"/>
  <c r="Z929" i="2"/>
  <c r="Q929" i="2"/>
  <c r="Z928" i="2"/>
  <c r="Q928" i="2"/>
  <c r="Z927" i="2"/>
  <c r="Q927" i="2"/>
  <c r="Z926" i="2"/>
  <c r="Q926" i="2"/>
  <c r="Z925" i="2"/>
  <c r="Q925" i="2"/>
  <c r="Z924" i="2"/>
  <c r="Q924" i="2"/>
  <c r="Z923" i="2"/>
  <c r="Q923" i="2"/>
  <c r="Z922" i="2"/>
  <c r="Q922" i="2"/>
  <c r="Z921" i="2"/>
  <c r="Q921" i="2"/>
  <c r="Z920" i="2"/>
  <c r="Q920" i="2"/>
  <c r="Z919" i="2"/>
  <c r="Q919" i="2"/>
  <c r="Z918" i="2"/>
  <c r="Q918" i="2"/>
  <c r="Z917" i="2"/>
  <c r="Q917" i="2"/>
  <c r="Z916" i="2"/>
  <c r="Q916" i="2"/>
  <c r="Z915" i="2"/>
  <c r="Q915" i="2"/>
  <c r="Z914" i="2"/>
  <c r="Q914" i="2"/>
  <c r="Z913" i="2"/>
  <c r="Q913" i="2"/>
  <c r="Z912" i="2"/>
  <c r="Q912" i="2"/>
  <c r="Z911" i="2"/>
  <c r="Q911" i="2"/>
  <c r="Z910" i="2"/>
  <c r="Q910" i="2"/>
  <c r="Z909" i="2"/>
  <c r="Q909" i="2"/>
  <c r="Z908" i="2"/>
  <c r="Q908" i="2"/>
  <c r="Z907" i="2"/>
  <c r="Q907" i="2"/>
  <c r="Z906" i="2"/>
  <c r="Q906" i="2"/>
  <c r="Z905" i="2"/>
  <c r="Q905" i="2"/>
  <c r="Z904" i="2"/>
  <c r="Q904" i="2"/>
  <c r="Z903" i="2"/>
  <c r="Q903" i="2"/>
  <c r="Z902" i="2"/>
  <c r="Q902" i="2"/>
  <c r="Z901" i="2"/>
  <c r="Q901" i="2"/>
  <c r="Z900" i="2"/>
  <c r="Q900" i="2"/>
  <c r="Z899" i="2"/>
  <c r="Q899" i="2"/>
  <c r="Z898" i="2"/>
  <c r="Q898" i="2"/>
  <c r="Z897" i="2"/>
  <c r="Q897" i="2"/>
  <c r="Z896" i="2"/>
  <c r="Q896" i="2"/>
  <c r="Z895" i="2"/>
  <c r="Q895" i="2"/>
  <c r="Z894" i="2"/>
  <c r="Q894" i="2"/>
  <c r="Z893" i="2"/>
  <c r="Q893" i="2"/>
  <c r="Z892" i="2"/>
  <c r="Q892" i="2"/>
  <c r="Z891" i="2"/>
  <c r="Q891" i="2"/>
  <c r="Z890" i="2"/>
  <c r="Q890" i="2"/>
  <c r="Z889" i="2"/>
  <c r="Q889" i="2"/>
  <c r="Z888" i="2"/>
  <c r="Q888" i="2"/>
  <c r="Z887" i="2"/>
  <c r="Q887" i="2"/>
  <c r="Z886" i="2"/>
  <c r="Q886" i="2"/>
  <c r="Z885" i="2"/>
  <c r="Q885" i="2"/>
  <c r="Z884" i="2"/>
  <c r="Q884" i="2"/>
  <c r="Z883" i="2"/>
  <c r="Q883" i="2"/>
  <c r="Z882" i="2"/>
  <c r="Q882" i="2"/>
  <c r="Z881" i="2"/>
  <c r="Q881" i="2"/>
  <c r="Z880" i="2"/>
  <c r="Q880" i="2"/>
  <c r="Z879" i="2"/>
  <c r="Q879" i="2"/>
  <c r="Z878" i="2"/>
  <c r="Q878" i="2"/>
  <c r="Z877" i="2"/>
  <c r="Q877" i="2"/>
  <c r="Z876" i="2"/>
  <c r="Q876" i="2"/>
  <c r="Z875" i="2"/>
  <c r="Q875" i="2"/>
  <c r="Z874" i="2"/>
  <c r="Q874" i="2"/>
  <c r="Z873" i="2"/>
  <c r="Q873" i="2"/>
  <c r="Z872" i="2"/>
  <c r="Q872" i="2"/>
  <c r="Z871" i="2"/>
  <c r="Q871" i="2"/>
  <c r="Z870" i="2"/>
  <c r="Q870" i="2"/>
  <c r="Z869" i="2"/>
  <c r="Q869" i="2"/>
  <c r="Z868" i="2"/>
  <c r="Q868" i="2"/>
  <c r="Z867" i="2"/>
  <c r="Q867" i="2"/>
  <c r="Z866" i="2"/>
  <c r="Q866" i="2"/>
  <c r="Z865" i="2"/>
  <c r="Q865" i="2"/>
  <c r="Z864" i="2"/>
  <c r="Q864" i="2"/>
  <c r="Z863" i="2"/>
  <c r="Q863" i="2"/>
  <c r="Z862" i="2"/>
  <c r="Q862" i="2"/>
  <c r="Z861" i="2"/>
  <c r="Q861" i="2"/>
  <c r="Z860" i="2"/>
  <c r="Q860" i="2"/>
  <c r="Z859" i="2"/>
  <c r="Q859" i="2"/>
  <c r="Z858" i="2"/>
  <c r="Q858" i="2"/>
  <c r="Z857" i="2"/>
  <c r="Q857" i="2"/>
  <c r="Z856" i="2"/>
  <c r="Q856" i="2"/>
  <c r="Z855" i="2"/>
  <c r="Q855" i="2"/>
  <c r="Z854" i="2"/>
  <c r="Q854" i="2"/>
  <c r="Z853" i="2"/>
  <c r="Q853" i="2"/>
  <c r="Z852" i="2"/>
  <c r="Q852" i="2"/>
  <c r="Z851" i="2"/>
  <c r="Q851" i="2"/>
  <c r="Z850" i="2"/>
  <c r="Q850" i="2"/>
  <c r="Z849" i="2"/>
  <c r="Q849" i="2"/>
  <c r="Z848" i="2"/>
  <c r="Q848" i="2"/>
  <c r="Z847" i="2"/>
  <c r="Q847" i="2"/>
  <c r="Z846" i="2"/>
  <c r="Q846" i="2"/>
  <c r="Z845" i="2"/>
  <c r="Q845" i="2"/>
  <c r="Z844" i="2"/>
  <c r="Q844" i="2"/>
  <c r="Z843" i="2"/>
  <c r="Q843" i="2"/>
  <c r="Z842" i="2"/>
  <c r="Q842" i="2"/>
  <c r="Z841" i="2"/>
  <c r="Q841" i="2"/>
  <c r="Z840" i="2"/>
  <c r="Q840" i="2"/>
  <c r="Z839" i="2"/>
  <c r="Q839" i="2"/>
  <c r="Z838" i="2"/>
  <c r="Q838" i="2"/>
  <c r="Z837" i="2"/>
  <c r="Q837" i="2"/>
  <c r="Z836" i="2"/>
  <c r="Q836" i="2"/>
  <c r="Z835" i="2"/>
  <c r="Q835" i="2"/>
  <c r="Z834" i="2"/>
  <c r="Q834" i="2"/>
  <c r="Z833" i="2"/>
  <c r="Q833" i="2"/>
  <c r="Z832" i="2"/>
  <c r="Q832" i="2"/>
  <c r="Z831" i="2"/>
  <c r="Q831" i="2"/>
  <c r="Z830" i="2"/>
  <c r="Q830" i="2"/>
  <c r="Z829" i="2"/>
  <c r="Q829" i="2"/>
  <c r="Z828" i="2"/>
  <c r="Q828" i="2"/>
  <c r="Z827" i="2"/>
  <c r="Q827" i="2"/>
  <c r="Z826" i="2"/>
  <c r="Q826" i="2"/>
  <c r="Z825" i="2"/>
  <c r="Q825" i="2"/>
  <c r="Z824" i="2"/>
  <c r="Q824" i="2"/>
  <c r="Z823" i="2"/>
  <c r="Q823" i="2"/>
  <c r="Z822" i="2"/>
  <c r="Q822" i="2"/>
  <c r="Z821" i="2"/>
  <c r="Q821" i="2"/>
  <c r="Z820" i="2"/>
  <c r="Q820" i="2"/>
  <c r="Z819" i="2"/>
  <c r="Q819" i="2"/>
  <c r="Z818" i="2"/>
  <c r="Q818" i="2"/>
  <c r="Z817" i="2"/>
  <c r="Q817" i="2"/>
  <c r="Z816" i="2"/>
  <c r="Q816" i="2"/>
  <c r="Z815" i="2"/>
  <c r="Q815" i="2"/>
  <c r="Z814" i="2"/>
  <c r="Q814" i="2"/>
  <c r="Z813" i="2"/>
  <c r="Q813" i="2"/>
  <c r="Z812" i="2"/>
  <c r="Q812" i="2"/>
  <c r="Z811" i="2"/>
  <c r="Q811" i="2"/>
  <c r="Z810" i="2"/>
  <c r="Q810" i="2"/>
  <c r="Z809" i="2"/>
  <c r="Q809" i="2"/>
  <c r="Z808" i="2"/>
  <c r="Q808" i="2"/>
  <c r="Z807" i="2"/>
  <c r="Q807" i="2"/>
  <c r="Z806" i="2"/>
  <c r="Q806" i="2"/>
  <c r="Z805" i="2"/>
  <c r="Q805" i="2"/>
  <c r="Z804" i="2"/>
  <c r="Q804" i="2"/>
  <c r="Z803" i="2"/>
  <c r="Q803" i="2"/>
  <c r="Z802" i="2"/>
  <c r="Q802" i="2"/>
  <c r="Z801" i="2"/>
  <c r="Q801" i="2"/>
  <c r="Z800" i="2"/>
  <c r="Q800" i="2"/>
  <c r="Z799" i="2"/>
  <c r="Q799" i="2"/>
  <c r="Z798" i="2"/>
  <c r="Q798" i="2"/>
  <c r="Z797" i="2"/>
  <c r="Q797" i="2"/>
  <c r="Z796" i="2"/>
  <c r="Q796" i="2"/>
  <c r="Z795" i="2"/>
  <c r="Q795" i="2"/>
  <c r="Z794" i="2"/>
  <c r="Q794" i="2"/>
  <c r="Z793" i="2"/>
  <c r="Q793" i="2"/>
  <c r="Z792" i="2"/>
  <c r="Q792" i="2"/>
  <c r="Z791" i="2"/>
  <c r="Q791" i="2"/>
  <c r="Z790" i="2"/>
  <c r="Q790" i="2"/>
  <c r="Z789" i="2"/>
  <c r="Q789" i="2"/>
  <c r="Z788" i="2"/>
  <c r="Q788" i="2"/>
  <c r="Z787" i="2"/>
  <c r="Q787" i="2"/>
  <c r="Z786" i="2"/>
  <c r="Q786" i="2"/>
  <c r="Z785" i="2"/>
  <c r="Q785" i="2"/>
  <c r="Z784" i="2"/>
  <c r="Q784" i="2"/>
  <c r="Z783" i="2"/>
  <c r="Q783" i="2"/>
  <c r="Z782" i="2"/>
  <c r="Q782" i="2"/>
  <c r="Z781" i="2"/>
  <c r="Q781" i="2"/>
  <c r="Z780" i="2"/>
  <c r="Q780" i="2"/>
  <c r="Z779" i="2"/>
  <c r="Q779" i="2"/>
  <c r="Z778" i="2"/>
  <c r="Q778" i="2"/>
  <c r="Z777" i="2"/>
  <c r="Q777" i="2"/>
  <c r="Z776" i="2"/>
  <c r="Q776" i="2"/>
  <c r="Z775" i="2"/>
  <c r="Q775" i="2"/>
  <c r="Z774" i="2"/>
  <c r="Q774" i="2"/>
  <c r="Z773" i="2"/>
  <c r="Q773" i="2"/>
  <c r="N773" i="2"/>
  <c r="L773" i="2"/>
  <c r="J773" i="2"/>
  <c r="Z772" i="2"/>
  <c r="Q772" i="2"/>
  <c r="N772" i="2"/>
  <c r="L772" i="2"/>
  <c r="J772" i="2"/>
  <c r="Z771" i="2"/>
  <c r="Q771" i="2"/>
  <c r="N771" i="2"/>
  <c r="L771" i="2"/>
  <c r="J771" i="2"/>
  <c r="Z770" i="2"/>
  <c r="Q770" i="2"/>
  <c r="N770" i="2"/>
  <c r="L770" i="2"/>
  <c r="J770" i="2"/>
  <c r="Z769" i="2"/>
  <c r="Q769" i="2"/>
  <c r="N769" i="2"/>
  <c r="L769" i="2"/>
  <c r="J769" i="2"/>
  <c r="Z768" i="2"/>
  <c r="Q768" i="2"/>
  <c r="N768" i="2"/>
  <c r="L768" i="2"/>
  <c r="J768" i="2"/>
  <c r="Z767" i="2"/>
  <c r="Q767" i="2"/>
  <c r="N767" i="2"/>
  <c r="L767" i="2"/>
  <c r="J767" i="2"/>
  <c r="Z766" i="2"/>
  <c r="Q766" i="2"/>
  <c r="N766" i="2"/>
  <c r="L766" i="2"/>
  <c r="J766" i="2"/>
  <c r="Z765" i="2"/>
  <c r="Q765" i="2"/>
  <c r="N765" i="2"/>
  <c r="L765" i="2"/>
  <c r="J765" i="2"/>
  <c r="Z764" i="2"/>
  <c r="Q764" i="2"/>
  <c r="N764" i="2"/>
  <c r="L764" i="2"/>
  <c r="J764" i="2"/>
  <c r="Z763" i="2"/>
  <c r="Q763" i="2"/>
  <c r="N763" i="2"/>
  <c r="L763" i="2"/>
  <c r="J763" i="2"/>
  <c r="Z762" i="2"/>
  <c r="Q762" i="2"/>
  <c r="N762" i="2"/>
  <c r="L762" i="2"/>
  <c r="J762" i="2"/>
  <c r="Z761" i="2"/>
  <c r="Q761" i="2"/>
  <c r="N761" i="2"/>
  <c r="L761" i="2"/>
  <c r="J761" i="2"/>
  <c r="Z760" i="2"/>
  <c r="Q760" i="2"/>
  <c r="N760" i="2"/>
  <c r="L760" i="2"/>
  <c r="J760" i="2"/>
  <c r="Z759" i="2"/>
  <c r="Q759" i="2"/>
  <c r="N759" i="2"/>
  <c r="L759" i="2"/>
  <c r="J759" i="2"/>
  <c r="Z758" i="2"/>
  <c r="Q758" i="2"/>
  <c r="N758" i="2"/>
  <c r="L758" i="2"/>
  <c r="J758" i="2"/>
  <c r="Z757" i="2"/>
  <c r="Q757" i="2"/>
  <c r="N757" i="2"/>
  <c r="L757" i="2"/>
  <c r="J757" i="2"/>
  <c r="Z756" i="2"/>
  <c r="Q756" i="2"/>
  <c r="N756" i="2"/>
  <c r="L756" i="2"/>
  <c r="J756" i="2"/>
  <c r="Z755" i="2"/>
  <c r="Q755" i="2"/>
  <c r="N755" i="2"/>
  <c r="L755" i="2"/>
  <c r="J755" i="2"/>
  <c r="Z754" i="2"/>
  <c r="Q754" i="2"/>
  <c r="N754" i="2"/>
  <c r="L754" i="2"/>
  <c r="J754" i="2"/>
  <c r="Z753" i="2"/>
  <c r="Q753" i="2"/>
  <c r="N753" i="2"/>
  <c r="L753" i="2"/>
  <c r="J753" i="2"/>
  <c r="Z752" i="2"/>
  <c r="Q752" i="2"/>
  <c r="N752" i="2"/>
  <c r="L752" i="2"/>
  <c r="J752" i="2"/>
  <c r="Z751" i="2"/>
  <c r="Q751" i="2"/>
  <c r="N751" i="2"/>
  <c r="L751" i="2"/>
  <c r="J751" i="2"/>
  <c r="Z750" i="2"/>
  <c r="Q750" i="2"/>
  <c r="N750" i="2"/>
  <c r="L750" i="2"/>
  <c r="J750" i="2"/>
  <c r="Z749" i="2"/>
  <c r="Q749" i="2"/>
  <c r="N749" i="2"/>
  <c r="L749" i="2"/>
  <c r="J749" i="2"/>
  <c r="Z748" i="2"/>
  <c r="Q748" i="2"/>
  <c r="N748" i="2"/>
  <c r="L748" i="2"/>
  <c r="J748" i="2"/>
  <c r="Z747" i="2"/>
  <c r="Q747" i="2"/>
  <c r="N747" i="2"/>
  <c r="L747" i="2"/>
  <c r="J747" i="2"/>
  <c r="Z746" i="2"/>
  <c r="Q746" i="2"/>
  <c r="N746" i="2"/>
  <c r="L746" i="2"/>
  <c r="J746" i="2"/>
  <c r="Z745" i="2"/>
  <c r="Q745" i="2"/>
  <c r="N745" i="2"/>
  <c r="L745" i="2"/>
  <c r="J745" i="2"/>
  <c r="Z744" i="2"/>
  <c r="Q744" i="2"/>
  <c r="N744" i="2"/>
  <c r="L744" i="2"/>
  <c r="J744" i="2"/>
  <c r="Z743" i="2"/>
  <c r="Q743" i="2"/>
  <c r="N743" i="2"/>
  <c r="L743" i="2"/>
  <c r="J743" i="2"/>
  <c r="Z742" i="2"/>
  <c r="Q742" i="2"/>
  <c r="N742" i="2"/>
  <c r="L742" i="2"/>
  <c r="J742" i="2"/>
  <c r="Z741" i="2"/>
  <c r="Q741" i="2"/>
  <c r="N741" i="2"/>
  <c r="L741" i="2"/>
  <c r="J741" i="2"/>
  <c r="Z740" i="2"/>
  <c r="Q740" i="2"/>
  <c r="N740" i="2"/>
  <c r="L740" i="2"/>
  <c r="J740" i="2"/>
  <c r="Z739" i="2"/>
  <c r="Q739" i="2"/>
  <c r="N739" i="2"/>
  <c r="L739" i="2"/>
  <c r="J739" i="2"/>
  <c r="Z738" i="2"/>
  <c r="Q738" i="2"/>
  <c r="N738" i="2"/>
  <c r="L738" i="2"/>
  <c r="J738" i="2"/>
  <c r="Z737" i="2"/>
  <c r="Q737" i="2"/>
  <c r="N737" i="2"/>
  <c r="L737" i="2"/>
  <c r="J737" i="2"/>
  <c r="Z736" i="2"/>
  <c r="Q736" i="2"/>
  <c r="N736" i="2"/>
  <c r="L736" i="2"/>
  <c r="J736" i="2"/>
  <c r="Z735" i="2"/>
  <c r="Q735" i="2"/>
  <c r="N735" i="2"/>
  <c r="L735" i="2"/>
  <c r="J735" i="2"/>
  <c r="Z734" i="2"/>
  <c r="Q734" i="2"/>
  <c r="N734" i="2"/>
  <c r="L734" i="2"/>
  <c r="J734" i="2"/>
  <c r="Z733" i="2"/>
  <c r="Q733" i="2"/>
  <c r="N733" i="2"/>
  <c r="L733" i="2"/>
  <c r="J733" i="2"/>
  <c r="Z732" i="2"/>
  <c r="Q732" i="2"/>
  <c r="N732" i="2"/>
  <c r="L732" i="2"/>
  <c r="J732" i="2"/>
  <c r="Z731" i="2"/>
  <c r="Q731" i="2"/>
  <c r="N731" i="2"/>
  <c r="L731" i="2"/>
  <c r="J731" i="2"/>
  <c r="Z730" i="2"/>
  <c r="Q730" i="2"/>
  <c r="N730" i="2"/>
  <c r="L730" i="2"/>
  <c r="J730" i="2"/>
  <c r="Z729" i="2"/>
  <c r="Q729" i="2"/>
  <c r="N729" i="2"/>
  <c r="L729" i="2"/>
  <c r="J729" i="2"/>
  <c r="Z728" i="2"/>
  <c r="Q728" i="2"/>
  <c r="N728" i="2"/>
  <c r="L728" i="2"/>
  <c r="J728" i="2"/>
  <c r="Z727" i="2"/>
  <c r="Q727" i="2"/>
  <c r="N727" i="2"/>
  <c r="L727" i="2"/>
  <c r="J727" i="2"/>
  <c r="Z726" i="2"/>
  <c r="Q726" i="2"/>
  <c r="N726" i="2"/>
  <c r="L726" i="2"/>
  <c r="J726" i="2"/>
  <c r="Z725" i="2"/>
  <c r="Q725" i="2"/>
  <c r="N725" i="2"/>
  <c r="L725" i="2"/>
  <c r="J725" i="2"/>
  <c r="Z724" i="2"/>
  <c r="Q724" i="2"/>
  <c r="N724" i="2"/>
  <c r="L724" i="2"/>
  <c r="J724" i="2"/>
  <c r="Z723" i="2"/>
  <c r="Q723" i="2"/>
  <c r="N723" i="2"/>
  <c r="L723" i="2"/>
  <c r="J723" i="2"/>
  <c r="Z722" i="2"/>
  <c r="Q722" i="2"/>
  <c r="N722" i="2"/>
  <c r="L722" i="2"/>
  <c r="J722" i="2"/>
  <c r="Z721" i="2"/>
  <c r="Q721" i="2"/>
  <c r="N721" i="2"/>
  <c r="L721" i="2"/>
  <c r="J721" i="2"/>
  <c r="Z720" i="2"/>
  <c r="Q720" i="2"/>
  <c r="N720" i="2"/>
  <c r="L720" i="2"/>
  <c r="J720" i="2"/>
  <c r="Z719" i="2"/>
  <c r="Q719" i="2"/>
  <c r="N719" i="2"/>
  <c r="L719" i="2"/>
  <c r="J719" i="2"/>
  <c r="Z718" i="2"/>
  <c r="Q718" i="2"/>
  <c r="N718" i="2"/>
  <c r="L718" i="2"/>
  <c r="J718" i="2"/>
  <c r="Z717" i="2"/>
  <c r="Q717" i="2"/>
  <c r="N717" i="2"/>
  <c r="L717" i="2"/>
  <c r="J717" i="2"/>
  <c r="Z716" i="2"/>
  <c r="Q716" i="2"/>
  <c r="N716" i="2"/>
  <c r="L716" i="2"/>
  <c r="J716" i="2"/>
  <c r="Z715" i="2"/>
  <c r="Q715" i="2"/>
  <c r="N715" i="2"/>
  <c r="L715" i="2"/>
  <c r="J715" i="2"/>
  <c r="Z714" i="2"/>
  <c r="Q714" i="2"/>
  <c r="N714" i="2"/>
  <c r="L714" i="2"/>
  <c r="J714" i="2"/>
  <c r="Z713" i="2"/>
  <c r="Q713" i="2"/>
  <c r="N713" i="2"/>
  <c r="L713" i="2"/>
  <c r="J713" i="2"/>
  <c r="Z712" i="2"/>
  <c r="Q712" i="2"/>
  <c r="N712" i="2"/>
  <c r="L712" i="2"/>
  <c r="J712" i="2"/>
  <c r="Z711" i="2"/>
  <c r="Q711" i="2"/>
  <c r="N711" i="2"/>
  <c r="L711" i="2"/>
  <c r="J711" i="2"/>
  <c r="Z710" i="2"/>
  <c r="Q710" i="2"/>
  <c r="N710" i="2"/>
  <c r="L710" i="2"/>
  <c r="J710" i="2"/>
  <c r="Z709" i="2"/>
  <c r="Q709" i="2"/>
  <c r="N709" i="2"/>
  <c r="L709" i="2"/>
  <c r="J709" i="2"/>
  <c r="Z708" i="2"/>
  <c r="Q708" i="2"/>
  <c r="N708" i="2"/>
  <c r="L708" i="2"/>
  <c r="J708" i="2"/>
  <c r="Z707" i="2"/>
  <c r="Q707" i="2"/>
  <c r="N707" i="2"/>
  <c r="L707" i="2"/>
  <c r="J707" i="2"/>
  <c r="Z706" i="2"/>
  <c r="Q706" i="2"/>
  <c r="N706" i="2"/>
  <c r="L706" i="2"/>
  <c r="J706" i="2"/>
  <c r="Z705" i="2"/>
  <c r="Q705" i="2"/>
  <c r="N705" i="2"/>
  <c r="L705" i="2"/>
  <c r="J705" i="2"/>
  <c r="Z704" i="2"/>
  <c r="Q704" i="2"/>
  <c r="N704" i="2"/>
  <c r="L704" i="2"/>
  <c r="J704" i="2"/>
  <c r="Z703" i="2"/>
  <c r="Q703" i="2"/>
  <c r="N703" i="2"/>
  <c r="L703" i="2"/>
  <c r="J703" i="2"/>
  <c r="Z702" i="2"/>
  <c r="Q702" i="2"/>
  <c r="N702" i="2"/>
  <c r="L702" i="2"/>
  <c r="J702" i="2"/>
  <c r="Z701" i="2"/>
  <c r="Q701" i="2"/>
  <c r="N701" i="2"/>
  <c r="L701" i="2"/>
  <c r="J701" i="2"/>
  <c r="Z700" i="2"/>
  <c r="Q700" i="2"/>
  <c r="N700" i="2"/>
  <c r="L700" i="2"/>
  <c r="J700" i="2"/>
  <c r="Z699" i="2"/>
  <c r="Q699" i="2"/>
  <c r="N699" i="2"/>
  <c r="L699" i="2"/>
  <c r="J699" i="2"/>
  <c r="Z698" i="2"/>
  <c r="Q698" i="2"/>
  <c r="N698" i="2"/>
  <c r="L698" i="2"/>
  <c r="J698" i="2"/>
  <c r="Z697" i="2"/>
  <c r="Q697" i="2"/>
  <c r="N697" i="2"/>
  <c r="L697" i="2"/>
  <c r="J697" i="2"/>
  <c r="Z696" i="2"/>
  <c r="Q696" i="2"/>
  <c r="N696" i="2"/>
  <c r="L696" i="2"/>
  <c r="J696" i="2"/>
  <c r="Z695" i="2"/>
  <c r="Q695" i="2"/>
  <c r="N695" i="2"/>
  <c r="L695" i="2"/>
  <c r="J695" i="2"/>
  <c r="Z694" i="2"/>
  <c r="Q694" i="2"/>
  <c r="N694" i="2"/>
  <c r="L694" i="2"/>
  <c r="J694" i="2"/>
  <c r="Z693" i="2"/>
  <c r="Q693" i="2"/>
  <c r="N693" i="2"/>
  <c r="L693" i="2"/>
  <c r="J693" i="2"/>
  <c r="Z692" i="2"/>
  <c r="Q692" i="2"/>
  <c r="N692" i="2"/>
  <c r="L692" i="2"/>
  <c r="J692" i="2"/>
  <c r="Z691" i="2"/>
  <c r="Q691" i="2"/>
  <c r="N691" i="2"/>
  <c r="L691" i="2"/>
  <c r="J691" i="2"/>
  <c r="Z690" i="2"/>
  <c r="Q690" i="2"/>
  <c r="N690" i="2"/>
  <c r="L690" i="2"/>
  <c r="J690" i="2"/>
  <c r="Z689" i="2"/>
  <c r="Q689" i="2"/>
  <c r="N689" i="2"/>
  <c r="L689" i="2"/>
  <c r="J689" i="2"/>
  <c r="Z688" i="2"/>
  <c r="Q688" i="2"/>
  <c r="N688" i="2"/>
  <c r="L688" i="2"/>
  <c r="J688" i="2"/>
  <c r="Z687" i="2"/>
  <c r="Q687" i="2"/>
  <c r="N687" i="2"/>
  <c r="L687" i="2"/>
  <c r="J687" i="2"/>
  <c r="Z686" i="2"/>
  <c r="Q686" i="2"/>
  <c r="N686" i="2"/>
  <c r="L686" i="2"/>
  <c r="J686" i="2"/>
  <c r="Z685" i="2"/>
  <c r="Q685" i="2"/>
  <c r="N685" i="2"/>
  <c r="L685" i="2"/>
  <c r="J685" i="2"/>
  <c r="Z684" i="2"/>
  <c r="Q684" i="2"/>
  <c r="N684" i="2"/>
  <c r="L684" i="2"/>
  <c r="J684" i="2"/>
  <c r="Z683" i="2"/>
  <c r="Q683" i="2"/>
  <c r="N683" i="2"/>
  <c r="L683" i="2"/>
  <c r="J683" i="2"/>
  <c r="Z682" i="2"/>
  <c r="Q682" i="2"/>
  <c r="N682" i="2"/>
  <c r="L682" i="2"/>
  <c r="J682" i="2"/>
  <c r="Z681" i="2"/>
  <c r="Q681" i="2"/>
  <c r="N681" i="2"/>
  <c r="L681" i="2"/>
  <c r="J681" i="2"/>
  <c r="Z680" i="2"/>
  <c r="Q680" i="2"/>
  <c r="N680" i="2"/>
  <c r="L680" i="2"/>
  <c r="J680" i="2"/>
  <c r="Z679" i="2"/>
  <c r="Q679" i="2"/>
  <c r="N679" i="2"/>
  <c r="L679" i="2"/>
  <c r="J679" i="2"/>
  <c r="Z678" i="2"/>
  <c r="Q678" i="2"/>
  <c r="N678" i="2"/>
  <c r="L678" i="2"/>
  <c r="J678" i="2"/>
  <c r="Z677" i="2"/>
  <c r="Q677" i="2"/>
  <c r="N677" i="2"/>
  <c r="L677" i="2"/>
  <c r="J677" i="2"/>
  <c r="Z676" i="2"/>
  <c r="Q676" i="2"/>
  <c r="N676" i="2"/>
  <c r="L676" i="2"/>
  <c r="J676" i="2"/>
  <c r="Z675" i="2"/>
  <c r="Q675" i="2"/>
  <c r="N675" i="2"/>
  <c r="L675" i="2"/>
  <c r="J675" i="2"/>
  <c r="Z674" i="2"/>
  <c r="Q674" i="2"/>
  <c r="N674" i="2"/>
  <c r="L674" i="2"/>
  <c r="J674" i="2"/>
  <c r="Z673" i="2"/>
  <c r="Q673" i="2"/>
  <c r="N673" i="2"/>
  <c r="L673" i="2"/>
  <c r="J673" i="2"/>
  <c r="Z672" i="2"/>
  <c r="Q672" i="2"/>
  <c r="O672" i="2"/>
  <c r="N672" i="2"/>
  <c r="L672" i="2"/>
  <c r="J672" i="2"/>
  <c r="Z671" i="2"/>
  <c r="Q671" i="2"/>
  <c r="O671" i="2"/>
  <c r="N671" i="2"/>
  <c r="L671" i="2"/>
  <c r="J671" i="2"/>
  <c r="Z670" i="2"/>
  <c r="Q670" i="2"/>
  <c r="O670" i="2"/>
  <c r="N670" i="2"/>
  <c r="L670" i="2"/>
  <c r="J670" i="2"/>
  <c r="Z669" i="2"/>
  <c r="Q669" i="2"/>
  <c r="O669" i="2"/>
  <c r="N669" i="2"/>
  <c r="L669" i="2"/>
  <c r="J669" i="2"/>
  <c r="Z668" i="2"/>
  <c r="Q668" i="2"/>
  <c r="O668" i="2"/>
  <c r="N668" i="2"/>
  <c r="L668" i="2"/>
  <c r="J668" i="2"/>
  <c r="Z667" i="2"/>
  <c r="Q667" i="2"/>
  <c r="O667" i="2"/>
  <c r="N667" i="2"/>
  <c r="L667" i="2"/>
  <c r="J667" i="2"/>
  <c r="Z666" i="2"/>
  <c r="Q666" i="2"/>
  <c r="O666" i="2"/>
  <c r="N666" i="2"/>
  <c r="L666" i="2"/>
  <c r="J666" i="2"/>
  <c r="Z665" i="2"/>
  <c r="Q665" i="2"/>
  <c r="O665" i="2"/>
  <c r="N665" i="2"/>
  <c r="L665" i="2"/>
  <c r="J665" i="2"/>
  <c r="Z664" i="2"/>
  <c r="Q664" i="2"/>
  <c r="O664" i="2"/>
  <c r="N664" i="2"/>
  <c r="L664" i="2"/>
  <c r="J664" i="2"/>
  <c r="Z663" i="2"/>
  <c r="Q663" i="2"/>
  <c r="O663" i="2"/>
  <c r="N663" i="2"/>
  <c r="L663" i="2"/>
  <c r="J663" i="2"/>
  <c r="Z662" i="2"/>
  <c r="Q662" i="2"/>
  <c r="O662" i="2"/>
  <c r="N662" i="2"/>
  <c r="L662" i="2"/>
  <c r="J662" i="2"/>
  <c r="Z661" i="2"/>
  <c r="Q661" i="2"/>
  <c r="O661" i="2"/>
  <c r="N661" i="2"/>
  <c r="L661" i="2"/>
  <c r="J661" i="2"/>
  <c r="Z660" i="2"/>
  <c r="Q660" i="2"/>
  <c r="O660" i="2"/>
  <c r="N660" i="2"/>
  <c r="L660" i="2"/>
  <c r="J660" i="2"/>
  <c r="Z659" i="2"/>
  <c r="Q659" i="2"/>
  <c r="O659" i="2"/>
  <c r="N659" i="2"/>
  <c r="L659" i="2"/>
  <c r="J659" i="2"/>
  <c r="Z658" i="2"/>
  <c r="Q658" i="2"/>
  <c r="O658" i="2"/>
  <c r="N658" i="2"/>
  <c r="L658" i="2"/>
  <c r="J658" i="2"/>
  <c r="Z657" i="2"/>
  <c r="Q657" i="2"/>
  <c r="O657" i="2"/>
  <c r="N657" i="2"/>
  <c r="L657" i="2"/>
  <c r="J657" i="2"/>
  <c r="Z656" i="2"/>
  <c r="Q656" i="2"/>
  <c r="O656" i="2"/>
  <c r="N656" i="2"/>
  <c r="L656" i="2"/>
  <c r="J656" i="2"/>
  <c r="Z655" i="2"/>
  <c r="Q655" i="2"/>
  <c r="O655" i="2"/>
  <c r="N655" i="2"/>
  <c r="L655" i="2"/>
  <c r="J655" i="2"/>
  <c r="Z654" i="2"/>
  <c r="Q654" i="2"/>
  <c r="O654" i="2"/>
  <c r="N654" i="2"/>
  <c r="L654" i="2"/>
  <c r="J654" i="2"/>
  <c r="Z653" i="2"/>
  <c r="Q653" i="2"/>
  <c r="O653" i="2"/>
  <c r="N653" i="2"/>
  <c r="L653" i="2"/>
  <c r="J653" i="2"/>
  <c r="Z652" i="2"/>
  <c r="Q652" i="2"/>
  <c r="O652" i="2"/>
  <c r="N652" i="2"/>
  <c r="L652" i="2"/>
  <c r="J652" i="2"/>
  <c r="Z651" i="2"/>
  <c r="Q651" i="2"/>
  <c r="O651" i="2"/>
  <c r="N651" i="2"/>
  <c r="L651" i="2"/>
  <c r="J651" i="2"/>
  <c r="Z650" i="2"/>
  <c r="Q650" i="2"/>
  <c r="O650" i="2"/>
  <c r="N650" i="2"/>
  <c r="L650" i="2"/>
  <c r="J650" i="2"/>
  <c r="Z649" i="2"/>
  <c r="Q649" i="2"/>
  <c r="O649" i="2"/>
  <c r="N649" i="2"/>
  <c r="L649" i="2"/>
  <c r="J649" i="2"/>
  <c r="Z648" i="2"/>
  <c r="Q648" i="2"/>
  <c r="O648" i="2"/>
  <c r="N648" i="2"/>
  <c r="L648" i="2"/>
  <c r="J648" i="2"/>
  <c r="Z647" i="2"/>
  <c r="Q647" i="2"/>
  <c r="O647" i="2"/>
  <c r="N647" i="2"/>
  <c r="L647" i="2"/>
  <c r="J647" i="2"/>
  <c r="Z646" i="2"/>
  <c r="Q646" i="2"/>
  <c r="O646" i="2"/>
  <c r="N646" i="2"/>
  <c r="L646" i="2"/>
  <c r="J646" i="2"/>
  <c r="Z645" i="2"/>
  <c r="Q645" i="2"/>
  <c r="O645" i="2"/>
  <c r="N645" i="2"/>
  <c r="L645" i="2"/>
  <c r="J645" i="2"/>
  <c r="Z644" i="2"/>
  <c r="Q644" i="2"/>
  <c r="O644" i="2"/>
  <c r="N644" i="2"/>
  <c r="L644" i="2"/>
  <c r="J644" i="2"/>
  <c r="Z643" i="2"/>
  <c r="Q643" i="2"/>
  <c r="O643" i="2"/>
  <c r="N643" i="2"/>
  <c r="L643" i="2"/>
  <c r="J643" i="2"/>
  <c r="Z642" i="2"/>
  <c r="Q642" i="2"/>
  <c r="O642" i="2"/>
  <c r="N642" i="2"/>
  <c r="L642" i="2"/>
  <c r="J642" i="2"/>
  <c r="Z641" i="2"/>
  <c r="Q641" i="2"/>
  <c r="O641" i="2"/>
  <c r="N641" i="2"/>
  <c r="L641" i="2"/>
  <c r="J641" i="2"/>
  <c r="Z640" i="2"/>
  <c r="Q640" i="2"/>
  <c r="O640" i="2"/>
  <c r="N640" i="2"/>
  <c r="L640" i="2"/>
  <c r="J640" i="2"/>
  <c r="Z639" i="2"/>
  <c r="Q639" i="2"/>
  <c r="O639" i="2"/>
  <c r="N639" i="2"/>
  <c r="L639" i="2"/>
  <c r="J639" i="2"/>
  <c r="Z638" i="2"/>
  <c r="Q638" i="2"/>
  <c r="O638" i="2"/>
  <c r="N638" i="2"/>
  <c r="L638" i="2"/>
  <c r="J638" i="2"/>
  <c r="Z637" i="2"/>
  <c r="Q637" i="2"/>
  <c r="O637" i="2"/>
  <c r="N637" i="2"/>
  <c r="L637" i="2"/>
  <c r="J637" i="2"/>
  <c r="Z636" i="2"/>
  <c r="Q636" i="2"/>
  <c r="O636" i="2"/>
  <c r="N636" i="2"/>
  <c r="L636" i="2"/>
  <c r="J636" i="2"/>
  <c r="Z635" i="2"/>
  <c r="Q635" i="2"/>
  <c r="O635" i="2"/>
  <c r="N635" i="2"/>
  <c r="L635" i="2"/>
  <c r="J635" i="2"/>
  <c r="Z634" i="2"/>
  <c r="Q634" i="2"/>
  <c r="O634" i="2"/>
  <c r="N634" i="2"/>
  <c r="L634" i="2"/>
  <c r="J634" i="2"/>
  <c r="Z633" i="2"/>
  <c r="Q633" i="2"/>
  <c r="O633" i="2"/>
  <c r="N633" i="2"/>
  <c r="L633" i="2"/>
  <c r="J633" i="2"/>
  <c r="Z632" i="2"/>
  <c r="Q632" i="2"/>
  <c r="O632" i="2"/>
  <c r="N632" i="2"/>
  <c r="L632" i="2"/>
  <c r="J632" i="2"/>
  <c r="Z631" i="2"/>
  <c r="Q631" i="2"/>
  <c r="O631" i="2"/>
  <c r="N631" i="2"/>
  <c r="L631" i="2"/>
  <c r="J631" i="2"/>
  <c r="Z630" i="2"/>
  <c r="Q630" i="2"/>
  <c r="O630" i="2"/>
  <c r="N630" i="2"/>
  <c r="L630" i="2"/>
  <c r="J630" i="2"/>
  <c r="Z629" i="2"/>
  <c r="Q629" i="2"/>
  <c r="O629" i="2"/>
  <c r="N629" i="2"/>
  <c r="L629" i="2"/>
  <c r="J629" i="2"/>
  <c r="Z628" i="2"/>
  <c r="Q628" i="2"/>
  <c r="O628" i="2"/>
  <c r="N628" i="2"/>
  <c r="L628" i="2"/>
  <c r="J628" i="2"/>
  <c r="Z627" i="2"/>
  <c r="Q627" i="2"/>
  <c r="O627" i="2"/>
  <c r="N627" i="2"/>
  <c r="L627" i="2"/>
  <c r="J627" i="2"/>
  <c r="Z626" i="2"/>
  <c r="Q626" i="2"/>
  <c r="O626" i="2"/>
  <c r="N626" i="2"/>
  <c r="L626" i="2"/>
  <c r="J626" i="2"/>
  <c r="Z625" i="2"/>
  <c r="Q625" i="2"/>
  <c r="O625" i="2"/>
  <c r="N625" i="2"/>
  <c r="L625" i="2"/>
  <c r="J625" i="2"/>
  <c r="Z624" i="2"/>
  <c r="Q624" i="2"/>
  <c r="O624" i="2"/>
  <c r="N624" i="2"/>
  <c r="L624" i="2"/>
  <c r="J624" i="2"/>
  <c r="Z623" i="2"/>
  <c r="Q623" i="2"/>
  <c r="O623" i="2"/>
  <c r="N623" i="2"/>
  <c r="L623" i="2"/>
  <c r="J623" i="2"/>
  <c r="Z622" i="2"/>
  <c r="Q622" i="2"/>
  <c r="O622" i="2"/>
  <c r="N622" i="2"/>
  <c r="L622" i="2"/>
  <c r="J622" i="2"/>
  <c r="Z621" i="2"/>
  <c r="Q621" i="2"/>
  <c r="O621" i="2"/>
  <c r="N621" i="2"/>
  <c r="L621" i="2"/>
  <c r="J621" i="2"/>
  <c r="Z620" i="2"/>
  <c r="Q620" i="2"/>
  <c r="O620" i="2"/>
  <c r="N620" i="2"/>
  <c r="L620" i="2"/>
  <c r="J620" i="2"/>
  <c r="Z619" i="2"/>
  <c r="Q619" i="2"/>
  <c r="O619" i="2"/>
  <c r="N619" i="2"/>
  <c r="L619" i="2"/>
  <c r="J619" i="2"/>
  <c r="Z618" i="2"/>
  <c r="Q618" i="2"/>
  <c r="O618" i="2"/>
  <c r="N618" i="2"/>
  <c r="L618" i="2"/>
  <c r="J618" i="2"/>
  <c r="Z617" i="2"/>
  <c r="Q617" i="2"/>
  <c r="O617" i="2"/>
  <c r="N617" i="2"/>
  <c r="L617" i="2"/>
  <c r="J617" i="2"/>
  <c r="Z616" i="2"/>
  <c r="Q616" i="2"/>
  <c r="O616" i="2"/>
  <c r="N616" i="2"/>
  <c r="L616" i="2"/>
  <c r="J616" i="2"/>
  <c r="Z615" i="2"/>
  <c r="Q615" i="2"/>
  <c r="O615" i="2"/>
  <c r="N615" i="2"/>
  <c r="L615" i="2"/>
  <c r="J615" i="2"/>
  <c r="Z614" i="2"/>
  <c r="Q614" i="2"/>
  <c r="O614" i="2"/>
  <c r="N614" i="2"/>
  <c r="L614" i="2"/>
  <c r="J614" i="2"/>
  <c r="Z613" i="2"/>
  <c r="Q613" i="2"/>
  <c r="O613" i="2"/>
  <c r="N613" i="2"/>
  <c r="L613" i="2"/>
  <c r="J613" i="2"/>
  <c r="Z612" i="2"/>
  <c r="Q612" i="2"/>
  <c r="O612" i="2"/>
  <c r="N612" i="2"/>
  <c r="L612" i="2"/>
  <c r="J612" i="2"/>
  <c r="Z611" i="2"/>
  <c r="Q611" i="2"/>
  <c r="O611" i="2"/>
  <c r="N611" i="2"/>
  <c r="L611" i="2"/>
  <c r="J611" i="2"/>
  <c r="Z610" i="2"/>
  <c r="Q610" i="2"/>
  <c r="O610" i="2"/>
  <c r="N610" i="2"/>
  <c r="L610" i="2"/>
  <c r="J610" i="2"/>
  <c r="Z609" i="2"/>
  <c r="Q609" i="2"/>
  <c r="O609" i="2"/>
  <c r="N609" i="2"/>
  <c r="L609" i="2"/>
  <c r="J609" i="2"/>
  <c r="Z608" i="2"/>
  <c r="Q608" i="2"/>
  <c r="O608" i="2"/>
  <c r="N608" i="2"/>
  <c r="L608" i="2"/>
  <c r="J608" i="2"/>
  <c r="Z607" i="2"/>
  <c r="Q607" i="2"/>
  <c r="O607" i="2"/>
  <c r="N607" i="2"/>
  <c r="L607" i="2"/>
  <c r="J607" i="2"/>
  <c r="Z606" i="2"/>
  <c r="Q606" i="2"/>
  <c r="O606" i="2"/>
  <c r="N606" i="2"/>
  <c r="L606" i="2"/>
  <c r="J606" i="2"/>
  <c r="Z605" i="2"/>
  <c r="Q605" i="2"/>
  <c r="O605" i="2"/>
  <c r="N605" i="2"/>
  <c r="L605" i="2"/>
  <c r="J605" i="2"/>
  <c r="Z604" i="2"/>
  <c r="Q604" i="2"/>
  <c r="O604" i="2"/>
  <c r="N604" i="2"/>
  <c r="L604" i="2"/>
  <c r="J604" i="2"/>
  <c r="Z603" i="2"/>
  <c r="Q603" i="2"/>
  <c r="O603" i="2"/>
  <c r="N603" i="2"/>
  <c r="L603" i="2"/>
  <c r="J603" i="2"/>
  <c r="Z602" i="2"/>
  <c r="Q602" i="2"/>
  <c r="O602" i="2"/>
  <c r="N602" i="2"/>
  <c r="L602" i="2"/>
  <c r="J602" i="2"/>
  <c r="Z601" i="2"/>
  <c r="Q601" i="2"/>
  <c r="O601" i="2"/>
  <c r="N601" i="2"/>
  <c r="L601" i="2"/>
  <c r="J601" i="2"/>
  <c r="Z600" i="2"/>
  <c r="Q600" i="2"/>
  <c r="O600" i="2"/>
  <c r="N600" i="2"/>
  <c r="L600" i="2"/>
  <c r="J600" i="2"/>
  <c r="Z599" i="2"/>
  <c r="Q599" i="2"/>
  <c r="O599" i="2"/>
  <c r="N599" i="2"/>
  <c r="L599" i="2"/>
  <c r="J599" i="2"/>
  <c r="Z598" i="2"/>
  <c r="Q598" i="2"/>
  <c r="O598" i="2"/>
  <c r="N598" i="2"/>
  <c r="L598" i="2"/>
  <c r="J598" i="2"/>
  <c r="Z597" i="2"/>
  <c r="Q597" i="2"/>
  <c r="O597" i="2"/>
  <c r="N597" i="2"/>
  <c r="L597" i="2"/>
  <c r="J597" i="2"/>
  <c r="Z596" i="2"/>
  <c r="Q596" i="2"/>
  <c r="O596" i="2"/>
  <c r="N596" i="2"/>
  <c r="L596" i="2"/>
  <c r="J596" i="2"/>
  <c r="Z595" i="2"/>
  <c r="Q595" i="2"/>
  <c r="O595" i="2"/>
  <c r="N595" i="2"/>
  <c r="L595" i="2"/>
  <c r="J595" i="2"/>
  <c r="Z594" i="2"/>
  <c r="Q594" i="2"/>
  <c r="O594" i="2"/>
  <c r="N594" i="2"/>
  <c r="L594" i="2"/>
  <c r="J594" i="2"/>
  <c r="Z593" i="2"/>
  <c r="Q593" i="2"/>
  <c r="O593" i="2"/>
  <c r="N593" i="2"/>
  <c r="L593" i="2"/>
  <c r="J593" i="2"/>
  <c r="Z592" i="2"/>
  <c r="Q592" i="2"/>
  <c r="O592" i="2"/>
  <c r="N592" i="2"/>
  <c r="L592" i="2"/>
  <c r="J592" i="2"/>
  <c r="Z591" i="2"/>
  <c r="Q591" i="2"/>
  <c r="O591" i="2"/>
  <c r="N591" i="2"/>
  <c r="L591" i="2"/>
  <c r="J591" i="2"/>
  <c r="Z590" i="2"/>
  <c r="Q590" i="2"/>
  <c r="O590" i="2"/>
  <c r="N590" i="2"/>
  <c r="L590" i="2"/>
  <c r="J590" i="2"/>
  <c r="Z589" i="2"/>
  <c r="Q589" i="2"/>
  <c r="O589" i="2"/>
  <c r="N589" i="2"/>
  <c r="L589" i="2"/>
  <c r="J589" i="2"/>
  <c r="Z588" i="2"/>
  <c r="Q588" i="2"/>
  <c r="O588" i="2"/>
  <c r="N588" i="2"/>
  <c r="L588" i="2"/>
  <c r="J588" i="2"/>
  <c r="Z587" i="2"/>
  <c r="Q587" i="2"/>
  <c r="O587" i="2"/>
  <c r="N587" i="2"/>
  <c r="L587" i="2"/>
  <c r="J587" i="2"/>
  <c r="Z586" i="2"/>
  <c r="Q586" i="2"/>
  <c r="O586" i="2"/>
  <c r="N586" i="2"/>
  <c r="L586" i="2"/>
  <c r="J586" i="2"/>
  <c r="Z585" i="2"/>
  <c r="Q585" i="2"/>
  <c r="O585" i="2"/>
  <c r="N585" i="2"/>
  <c r="L585" i="2"/>
  <c r="J585" i="2"/>
  <c r="Z584" i="2"/>
  <c r="W584" i="2"/>
  <c r="V584" i="2"/>
  <c r="Q584" i="2"/>
  <c r="O584" i="2"/>
  <c r="N584" i="2"/>
  <c r="L584" i="2"/>
  <c r="J584" i="2"/>
  <c r="Z583" i="2"/>
  <c r="W583" i="2"/>
  <c r="V583" i="2"/>
  <c r="Q583" i="2"/>
  <c r="O583" i="2"/>
  <c r="N583" i="2"/>
  <c r="L583" i="2"/>
  <c r="J583" i="2"/>
  <c r="Z582" i="2"/>
  <c r="W582" i="2"/>
  <c r="V582" i="2"/>
  <c r="Q582" i="2"/>
  <c r="O582" i="2"/>
  <c r="N582" i="2"/>
  <c r="L582" i="2"/>
  <c r="J582" i="2"/>
  <c r="Z581" i="2"/>
  <c r="W581" i="2"/>
  <c r="V581" i="2"/>
  <c r="Q581" i="2"/>
  <c r="O581" i="2"/>
  <c r="N581" i="2"/>
  <c r="L581" i="2"/>
  <c r="J581" i="2"/>
  <c r="Z580" i="2"/>
  <c r="W580" i="2"/>
  <c r="V580" i="2"/>
  <c r="Q580" i="2"/>
  <c r="O580" i="2"/>
  <c r="N580" i="2"/>
  <c r="L580" i="2"/>
  <c r="J580" i="2"/>
  <c r="Z579" i="2"/>
  <c r="W579" i="2"/>
  <c r="V579" i="2"/>
  <c r="Q579" i="2"/>
  <c r="O579" i="2"/>
  <c r="N579" i="2"/>
  <c r="L579" i="2"/>
  <c r="J579" i="2"/>
  <c r="Z578" i="2"/>
  <c r="W578" i="2"/>
  <c r="V578" i="2"/>
  <c r="Q578" i="2"/>
  <c r="O578" i="2"/>
  <c r="N578" i="2"/>
  <c r="L578" i="2"/>
  <c r="J578" i="2"/>
  <c r="Z577" i="2"/>
  <c r="W577" i="2"/>
  <c r="V577" i="2"/>
  <c r="Q577" i="2"/>
  <c r="O577" i="2"/>
  <c r="N577" i="2"/>
  <c r="L577" i="2"/>
  <c r="J577" i="2"/>
  <c r="Z576" i="2"/>
  <c r="W576" i="2"/>
  <c r="V576" i="2"/>
  <c r="Q576" i="2"/>
  <c r="O576" i="2"/>
  <c r="N576" i="2"/>
  <c r="L576" i="2"/>
  <c r="J576" i="2"/>
  <c r="Z575" i="2"/>
  <c r="W575" i="2"/>
  <c r="V575" i="2"/>
  <c r="Q575" i="2"/>
  <c r="O575" i="2"/>
  <c r="N575" i="2"/>
  <c r="L575" i="2"/>
  <c r="J575" i="2"/>
  <c r="Z574" i="2"/>
  <c r="W574" i="2"/>
  <c r="V574" i="2"/>
  <c r="Q574" i="2"/>
  <c r="O574" i="2"/>
  <c r="N574" i="2"/>
  <c r="L574" i="2"/>
  <c r="J574" i="2"/>
  <c r="Z573" i="2"/>
  <c r="W573" i="2"/>
  <c r="V573" i="2"/>
  <c r="Q573" i="2"/>
  <c r="O573" i="2"/>
  <c r="N573" i="2"/>
  <c r="L573" i="2"/>
  <c r="J573" i="2"/>
  <c r="Z572" i="2"/>
  <c r="W572" i="2"/>
  <c r="V572" i="2"/>
  <c r="Q572" i="2"/>
  <c r="O572" i="2"/>
  <c r="N572" i="2"/>
  <c r="L572" i="2"/>
  <c r="J572" i="2"/>
  <c r="Z571" i="2"/>
  <c r="W571" i="2"/>
  <c r="V571" i="2"/>
  <c r="Q571" i="2"/>
  <c r="O571" i="2"/>
  <c r="N571" i="2"/>
  <c r="L571" i="2"/>
  <c r="J571" i="2"/>
  <c r="Z570" i="2"/>
  <c r="W570" i="2"/>
  <c r="V570" i="2"/>
  <c r="Q570" i="2"/>
  <c r="O570" i="2"/>
  <c r="N570" i="2"/>
  <c r="L570" i="2"/>
  <c r="J570" i="2"/>
  <c r="Z569" i="2"/>
  <c r="W569" i="2"/>
  <c r="V569" i="2"/>
  <c r="Q569" i="2"/>
  <c r="O569" i="2"/>
  <c r="N569" i="2"/>
  <c r="L569" i="2"/>
  <c r="J569" i="2"/>
  <c r="Z568" i="2"/>
  <c r="W568" i="2"/>
  <c r="V568" i="2"/>
  <c r="Q568" i="2"/>
  <c r="O568" i="2"/>
  <c r="N568" i="2"/>
  <c r="L568" i="2"/>
  <c r="J568" i="2"/>
  <c r="Z567" i="2"/>
  <c r="W567" i="2"/>
  <c r="V567" i="2"/>
  <c r="Q567" i="2"/>
  <c r="O567" i="2"/>
  <c r="N567" i="2"/>
  <c r="L567" i="2"/>
  <c r="J567" i="2"/>
  <c r="Z566" i="2"/>
  <c r="W566" i="2"/>
  <c r="V566" i="2"/>
  <c r="Q566" i="2"/>
  <c r="O566" i="2"/>
  <c r="N566" i="2"/>
  <c r="L566" i="2"/>
  <c r="J566" i="2"/>
  <c r="Z565" i="2"/>
  <c r="W565" i="2"/>
  <c r="V565" i="2"/>
  <c r="Q565" i="2"/>
  <c r="O565" i="2"/>
  <c r="N565" i="2"/>
  <c r="L565" i="2"/>
  <c r="J565" i="2"/>
  <c r="Z564" i="2"/>
  <c r="W564" i="2"/>
  <c r="V564" i="2"/>
  <c r="Q564" i="2"/>
  <c r="O564" i="2"/>
  <c r="N564" i="2"/>
  <c r="L564" i="2"/>
  <c r="J564" i="2"/>
  <c r="Z563" i="2"/>
  <c r="W563" i="2"/>
  <c r="V563" i="2"/>
  <c r="Q563" i="2"/>
  <c r="O563" i="2"/>
  <c r="N563" i="2"/>
  <c r="L563" i="2"/>
  <c r="J563" i="2"/>
  <c r="Z562" i="2"/>
  <c r="W562" i="2"/>
  <c r="V562" i="2"/>
  <c r="Q562" i="2"/>
  <c r="O562" i="2"/>
  <c r="N562" i="2"/>
  <c r="L562" i="2"/>
  <c r="J562" i="2"/>
  <c r="Z561" i="2"/>
  <c r="W561" i="2"/>
  <c r="V561" i="2"/>
  <c r="Q561" i="2"/>
  <c r="O561" i="2"/>
  <c r="N561" i="2"/>
  <c r="L561" i="2"/>
  <c r="J561" i="2"/>
  <c r="Z560" i="2"/>
  <c r="W560" i="2"/>
  <c r="V560" i="2"/>
  <c r="Q560" i="2"/>
  <c r="O560" i="2"/>
  <c r="N560" i="2"/>
  <c r="L560" i="2"/>
  <c r="J560" i="2"/>
  <c r="Z559" i="2"/>
  <c r="W559" i="2"/>
  <c r="V559" i="2"/>
  <c r="Q559" i="2"/>
  <c r="O559" i="2"/>
  <c r="N559" i="2"/>
  <c r="L559" i="2"/>
  <c r="J559" i="2"/>
  <c r="Z558" i="2"/>
  <c r="W558" i="2"/>
  <c r="V558" i="2"/>
  <c r="Q558" i="2"/>
  <c r="O558" i="2"/>
  <c r="N558" i="2"/>
  <c r="L558" i="2"/>
  <c r="J558" i="2"/>
  <c r="Z557" i="2"/>
  <c r="W557" i="2"/>
  <c r="V557" i="2"/>
  <c r="Q557" i="2"/>
  <c r="O557" i="2"/>
  <c r="N557" i="2"/>
  <c r="L557" i="2"/>
  <c r="J557" i="2"/>
  <c r="Z556" i="2"/>
  <c r="W556" i="2"/>
  <c r="V556" i="2"/>
  <c r="Q556" i="2"/>
  <c r="O556" i="2"/>
  <c r="N556" i="2"/>
  <c r="L556" i="2"/>
  <c r="J556" i="2"/>
  <c r="Z555" i="2"/>
  <c r="W555" i="2"/>
  <c r="V555" i="2"/>
  <c r="Q555" i="2"/>
  <c r="O555" i="2"/>
  <c r="N555" i="2"/>
  <c r="L555" i="2"/>
  <c r="J555" i="2"/>
  <c r="Z554" i="2"/>
  <c r="W554" i="2"/>
  <c r="V554" i="2"/>
  <c r="Q554" i="2"/>
  <c r="O554" i="2"/>
  <c r="N554" i="2"/>
  <c r="L554" i="2"/>
  <c r="J554" i="2"/>
  <c r="Z553" i="2"/>
  <c r="W553" i="2"/>
  <c r="V553" i="2"/>
  <c r="Q553" i="2"/>
  <c r="O553" i="2"/>
  <c r="N553" i="2"/>
  <c r="L553" i="2"/>
  <c r="J553" i="2"/>
  <c r="Z552" i="2"/>
  <c r="W552" i="2"/>
  <c r="V552" i="2"/>
  <c r="Q552" i="2"/>
  <c r="O552" i="2"/>
  <c r="N552" i="2"/>
  <c r="L552" i="2"/>
  <c r="J552" i="2"/>
  <c r="Z551" i="2"/>
  <c r="W551" i="2"/>
  <c r="V551" i="2"/>
  <c r="Q551" i="2"/>
  <c r="O551" i="2"/>
  <c r="N551" i="2"/>
  <c r="L551" i="2"/>
  <c r="J551" i="2"/>
  <c r="Z550" i="2"/>
  <c r="W550" i="2"/>
  <c r="V550" i="2"/>
  <c r="Q550" i="2"/>
  <c r="O550" i="2"/>
  <c r="N550" i="2"/>
  <c r="L550" i="2"/>
  <c r="J550" i="2"/>
  <c r="Z549" i="2"/>
  <c r="W549" i="2"/>
  <c r="V549" i="2"/>
  <c r="Q549" i="2"/>
  <c r="O549" i="2"/>
  <c r="N549" i="2"/>
  <c r="L549" i="2"/>
  <c r="J549" i="2"/>
  <c r="Z548" i="2"/>
  <c r="W548" i="2"/>
  <c r="V548" i="2"/>
  <c r="Q548" i="2"/>
  <c r="O548" i="2"/>
  <c r="N548" i="2"/>
  <c r="L548" i="2"/>
  <c r="J548" i="2"/>
  <c r="Z547" i="2"/>
  <c r="W547" i="2"/>
  <c r="V547" i="2"/>
  <c r="Q547" i="2"/>
  <c r="O547" i="2"/>
  <c r="N547" i="2"/>
  <c r="L547" i="2"/>
  <c r="J547" i="2"/>
  <c r="Z546" i="2"/>
  <c r="W546" i="2"/>
  <c r="V546" i="2"/>
  <c r="Q546" i="2"/>
  <c r="O546" i="2"/>
  <c r="N546" i="2"/>
  <c r="L546" i="2"/>
  <c r="J546" i="2"/>
  <c r="Z545" i="2"/>
  <c r="W545" i="2"/>
  <c r="V545" i="2"/>
  <c r="Q545" i="2"/>
  <c r="O545" i="2"/>
  <c r="N545" i="2"/>
  <c r="L545" i="2"/>
  <c r="J545" i="2"/>
  <c r="Z544" i="2"/>
  <c r="W544" i="2"/>
  <c r="V544" i="2"/>
  <c r="Q544" i="2"/>
  <c r="O544" i="2"/>
  <c r="N544" i="2"/>
  <c r="L544" i="2"/>
  <c r="J544" i="2"/>
  <c r="Z543" i="2"/>
  <c r="W543" i="2"/>
  <c r="V543" i="2"/>
  <c r="Q543" i="2"/>
  <c r="O543" i="2"/>
  <c r="N543" i="2"/>
  <c r="L543" i="2"/>
  <c r="J543" i="2"/>
  <c r="Z542" i="2"/>
  <c r="W542" i="2"/>
  <c r="V542" i="2"/>
  <c r="Q542" i="2"/>
  <c r="O542" i="2"/>
  <c r="N542" i="2"/>
  <c r="L542" i="2"/>
  <c r="J542" i="2"/>
  <c r="Z541" i="2"/>
  <c r="W541" i="2"/>
  <c r="V541" i="2"/>
  <c r="Q541" i="2"/>
  <c r="O541" i="2"/>
  <c r="N541" i="2"/>
  <c r="L541" i="2"/>
  <c r="J541" i="2"/>
  <c r="Z540" i="2"/>
  <c r="W540" i="2"/>
  <c r="V540" i="2"/>
  <c r="Q540" i="2"/>
  <c r="O540" i="2"/>
  <c r="N540" i="2"/>
  <c r="L540" i="2"/>
  <c r="J540" i="2"/>
  <c r="Z539" i="2"/>
  <c r="W539" i="2"/>
  <c r="V539" i="2"/>
  <c r="Q539" i="2"/>
  <c r="O539" i="2"/>
  <c r="N539" i="2"/>
  <c r="L539" i="2"/>
  <c r="J539" i="2"/>
  <c r="Z538" i="2"/>
  <c r="W538" i="2"/>
  <c r="V538" i="2"/>
  <c r="Q538" i="2"/>
  <c r="O538" i="2"/>
  <c r="N538" i="2"/>
  <c r="L538" i="2"/>
  <c r="J538" i="2"/>
  <c r="Z537" i="2"/>
  <c r="W537" i="2"/>
  <c r="V537" i="2"/>
  <c r="Q537" i="2"/>
  <c r="O537" i="2"/>
  <c r="N537" i="2"/>
  <c r="L537" i="2"/>
  <c r="J537" i="2"/>
  <c r="Z536" i="2"/>
  <c r="W536" i="2"/>
  <c r="V536" i="2"/>
  <c r="Q536" i="2"/>
  <c r="O536" i="2"/>
  <c r="N536" i="2"/>
  <c r="L536" i="2"/>
  <c r="J536" i="2"/>
  <c r="Z535" i="2"/>
  <c r="W535" i="2"/>
  <c r="V535" i="2"/>
  <c r="Q535" i="2"/>
  <c r="O535" i="2"/>
  <c r="N535" i="2"/>
  <c r="L535" i="2"/>
  <c r="J535" i="2"/>
  <c r="Z534" i="2"/>
  <c r="W534" i="2"/>
  <c r="V534" i="2"/>
  <c r="Q534" i="2"/>
  <c r="O534" i="2"/>
  <c r="N534" i="2"/>
  <c r="L534" i="2"/>
  <c r="J534" i="2"/>
  <c r="Z533" i="2"/>
  <c r="W533" i="2"/>
  <c r="V533" i="2"/>
  <c r="Q533" i="2"/>
  <c r="O533" i="2"/>
  <c r="N533" i="2"/>
  <c r="L533" i="2"/>
  <c r="J533" i="2"/>
  <c r="Z532" i="2"/>
  <c r="W532" i="2"/>
  <c r="V532" i="2"/>
  <c r="Q532" i="2"/>
  <c r="O532" i="2"/>
  <c r="N532" i="2"/>
  <c r="L532" i="2"/>
  <c r="J532" i="2"/>
  <c r="Z531" i="2"/>
  <c r="W531" i="2"/>
  <c r="V531" i="2"/>
  <c r="Q531" i="2"/>
  <c r="O531" i="2"/>
  <c r="N531" i="2"/>
  <c r="L531" i="2"/>
  <c r="J531" i="2"/>
  <c r="Z530" i="2"/>
  <c r="W530" i="2"/>
  <c r="V530" i="2"/>
  <c r="Q530" i="2"/>
  <c r="O530" i="2"/>
  <c r="N530" i="2"/>
  <c r="L530" i="2"/>
  <c r="J530" i="2"/>
  <c r="Z529" i="2"/>
  <c r="W529" i="2"/>
  <c r="V529" i="2"/>
  <c r="Q529" i="2"/>
  <c r="O529" i="2"/>
  <c r="N529" i="2"/>
  <c r="L529" i="2"/>
  <c r="J529" i="2"/>
  <c r="Z528" i="2"/>
  <c r="W528" i="2"/>
  <c r="V528" i="2"/>
  <c r="Q528" i="2"/>
  <c r="O528" i="2"/>
  <c r="N528" i="2"/>
  <c r="L528" i="2"/>
  <c r="J528" i="2"/>
  <c r="Z527" i="2"/>
  <c r="W527" i="2"/>
  <c r="V527" i="2"/>
  <c r="Q527" i="2"/>
  <c r="O527" i="2"/>
  <c r="N527" i="2"/>
  <c r="L527" i="2"/>
  <c r="J527" i="2"/>
  <c r="Z526" i="2"/>
  <c r="W526" i="2"/>
  <c r="V526" i="2"/>
  <c r="Q526" i="2"/>
  <c r="O526" i="2"/>
  <c r="N526" i="2"/>
  <c r="L526" i="2"/>
  <c r="J526" i="2"/>
  <c r="Z525" i="2"/>
  <c r="W525" i="2"/>
  <c r="V525" i="2"/>
  <c r="Q525" i="2"/>
  <c r="O525" i="2"/>
  <c r="N525" i="2"/>
  <c r="L525" i="2"/>
  <c r="J525" i="2"/>
  <c r="Z524" i="2"/>
  <c r="W524" i="2"/>
  <c r="V524" i="2"/>
  <c r="Q524" i="2"/>
  <c r="O524" i="2"/>
  <c r="N524" i="2"/>
  <c r="L524" i="2"/>
  <c r="J524" i="2"/>
  <c r="Z523" i="2"/>
  <c r="W523" i="2"/>
  <c r="V523" i="2"/>
  <c r="Q523" i="2"/>
  <c r="O523" i="2"/>
  <c r="N523" i="2"/>
  <c r="L523" i="2"/>
  <c r="J523" i="2"/>
  <c r="Z522" i="2"/>
  <c r="W522" i="2"/>
  <c r="V522" i="2"/>
  <c r="Q522" i="2"/>
  <c r="O522" i="2"/>
  <c r="N522" i="2"/>
  <c r="L522" i="2"/>
  <c r="J522" i="2"/>
  <c r="Z521" i="2"/>
  <c r="W521" i="2"/>
  <c r="V521" i="2"/>
  <c r="Q521" i="2"/>
  <c r="O521" i="2"/>
  <c r="N521" i="2"/>
  <c r="L521" i="2"/>
  <c r="J521" i="2"/>
  <c r="Z520" i="2"/>
  <c r="W520" i="2"/>
  <c r="V520" i="2"/>
  <c r="Q520" i="2"/>
  <c r="O520" i="2"/>
  <c r="N520" i="2"/>
  <c r="L520" i="2"/>
  <c r="J520" i="2"/>
  <c r="Z519" i="2"/>
  <c r="W519" i="2"/>
  <c r="V519" i="2"/>
  <c r="Q519" i="2"/>
  <c r="O519" i="2"/>
  <c r="N519" i="2"/>
  <c r="L519" i="2"/>
  <c r="J519" i="2"/>
  <c r="Z518" i="2"/>
  <c r="W518" i="2"/>
  <c r="V518" i="2"/>
  <c r="Q518" i="2"/>
  <c r="O518" i="2"/>
  <c r="N518" i="2"/>
  <c r="L518" i="2"/>
  <c r="J518" i="2"/>
  <c r="Z517" i="2"/>
  <c r="W517" i="2"/>
  <c r="V517" i="2"/>
  <c r="Q517" i="2"/>
  <c r="O517" i="2"/>
  <c r="N517" i="2"/>
  <c r="L517" i="2"/>
  <c r="J517" i="2"/>
  <c r="Z516" i="2"/>
  <c r="W516" i="2"/>
  <c r="V516" i="2"/>
  <c r="Q516" i="2"/>
  <c r="O516" i="2"/>
  <c r="N516" i="2"/>
  <c r="L516" i="2"/>
  <c r="J516" i="2"/>
  <c r="Z515" i="2"/>
  <c r="W515" i="2"/>
  <c r="V515" i="2"/>
  <c r="Q515" i="2"/>
  <c r="O515" i="2"/>
  <c r="N515" i="2"/>
  <c r="L515" i="2"/>
  <c r="J515" i="2"/>
  <c r="Z514" i="2"/>
  <c r="W514" i="2"/>
  <c r="V514" i="2"/>
  <c r="Q514" i="2"/>
  <c r="O514" i="2"/>
  <c r="N514" i="2"/>
  <c r="L514" i="2"/>
  <c r="J514" i="2"/>
  <c r="Z513" i="2"/>
  <c r="W513" i="2"/>
  <c r="V513" i="2"/>
  <c r="Q513" i="2"/>
  <c r="O513" i="2"/>
  <c r="N513" i="2"/>
  <c r="L513" i="2"/>
  <c r="J513" i="2"/>
  <c r="Z512" i="2"/>
  <c r="W512" i="2"/>
  <c r="V512" i="2"/>
  <c r="Q512" i="2"/>
  <c r="O512" i="2"/>
  <c r="N512" i="2"/>
  <c r="L512" i="2"/>
  <c r="J512" i="2"/>
  <c r="Z511" i="2"/>
  <c r="W511" i="2"/>
  <c r="V511" i="2"/>
  <c r="Q511" i="2"/>
  <c r="O511" i="2"/>
  <c r="N511" i="2"/>
  <c r="L511" i="2"/>
  <c r="J511" i="2"/>
  <c r="Z510" i="2"/>
  <c r="W510" i="2"/>
  <c r="V510" i="2"/>
  <c r="Q510" i="2"/>
  <c r="O510" i="2"/>
  <c r="N510" i="2"/>
  <c r="L510" i="2"/>
  <c r="J510" i="2"/>
  <c r="Z509" i="2"/>
  <c r="W509" i="2"/>
  <c r="V509" i="2"/>
  <c r="Q509" i="2"/>
  <c r="O509" i="2"/>
  <c r="N509" i="2"/>
  <c r="L509" i="2"/>
  <c r="J509" i="2"/>
  <c r="Z508" i="2"/>
  <c r="W508" i="2"/>
  <c r="V508" i="2"/>
  <c r="Q508" i="2"/>
  <c r="O508" i="2"/>
  <c r="N508" i="2"/>
  <c r="L508" i="2"/>
  <c r="J508" i="2"/>
  <c r="Z507" i="2"/>
  <c r="W507" i="2"/>
  <c r="V507" i="2"/>
  <c r="Q507" i="2"/>
  <c r="O507" i="2"/>
  <c r="N507" i="2"/>
  <c r="L507" i="2"/>
  <c r="J507" i="2"/>
  <c r="Z506" i="2"/>
  <c r="W506" i="2"/>
  <c r="V506" i="2"/>
  <c r="Q506" i="2"/>
  <c r="O506" i="2"/>
  <c r="N506" i="2"/>
  <c r="L506" i="2"/>
  <c r="J506" i="2"/>
  <c r="Z505" i="2"/>
  <c r="W505" i="2"/>
  <c r="V505" i="2"/>
  <c r="Q505" i="2"/>
  <c r="O505" i="2"/>
  <c r="N505" i="2"/>
  <c r="L505" i="2"/>
  <c r="J505" i="2"/>
  <c r="Z504" i="2"/>
  <c r="W504" i="2"/>
  <c r="V504" i="2"/>
  <c r="Q504" i="2"/>
  <c r="O504" i="2"/>
  <c r="N504" i="2"/>
  <c r="L504" i="2"/>
  <c r="J504" i="2"/>
  <c r="Z503" i="2"/>
  <c r="W503" i="2"/>
  <c r="V503" i="2"/>
  <c r="Q503" i="2"/>
  <c r="O503" i="2"/>
  <c r="N503" i="2"/>
  <c r="L503" i="2"/>
  <c r="J503" i="2"/>
  <c r="Z502" i="2"/>
  <c r="W502" i="2"/>
  <c r="V502" i="2"/>
  <c r="Q502" i="2"/>
  <c r="O502" i="2"/>
  <c r="N502" i="2"/>
  <c r="L502" i="2"/>
  <c r="J502" i="2"/>
  <c r="Z501" i="2"/>
  <c r="W501" i="2"/>
  <c r="V501" i="2"/>
  <c r="Q501" i="2"/>
  <c r="O501" i="2"/>
  <c r="N501" i="2"/>
  <c r="L501" i="2"/>
  <c r="J501" i="2"/>
  <c r="Z500" i="2"/>
  <c r="W500" i="2"/>
  <c r="V500" i="2"/>
  <c r="Q500" i="2"/>
  <c r="O500" i="2"/>
  <c r="N500" i="2"/>
  <c r="L500" i="2"/>
  <c r="J500" i="2"/>
  <c r="Z499" i="2"/>
  <c r="W499" i="2"/>
  <c r="V499" i="2"/>
  <c r="Q499" i="2"/>
  <c r="O499" i="2"/>
  <c r="N499" i="2"/>
  <c r="L499" i="2"/>
  <c r="J499" i="2"/>
  <c r="Z498" i="2"/>
  <c r="W498" i="2"/>
  <c r="V498" i="2"/>
  <c r="Q498" i="2"/>
  <c r="O498" i="2"/>
  <c r="N498" i="2"/>
  <c r="L498" i="2"/>
  <c r="J498" i="2"/>
  <c r="Z497" i="2"/>
  <c r="W497" i="2"/>
  <c r="V497" i="2"/>
  <c r="Q497" i="2"/>
  <c r="O497" i="2"/>
  <c r="N497" i="2"/>
  <c r="L497" i="2"/>
  <c r="J497" i="2"/>
  <c r="Z496" i="2"/>
  <c r="W496" i="2"/>
  <c r="V496" i="2"/>
  <c r="Q496" i="2"/>
  <c r="O496" i="2"/>
  <c r="N496" i="2"/>
  <c r="L496" i="2"/>
  <c r="J496" i="2"/>
  <c r="Z495" i="2"/>
  <c r="W495" i="2"/>
  <c r="V495" i="2"/>
  <c r="Q495" i="2"/>
  <c r="O495" i="2"/>
  <c r="N495" i="2"/>
  <c r="L495" i="2"/>
  <c r="J495" i="2"/>
  <c r="Z494" i="2"/>
  <c r="W494" i="2"/>
  <c r="V494" i="2"/>
  <c r="Q494" i="2"/>
  <c r="O494" i="2"/>
  <c r="N494" i="2"/>
  <c r="L494" i="2"/>
  <c r="J494" i="2"/>
  <c r="Z493" i="2"/>
  <c r="W493" i="2"/>
  <c r="V493" i="2"/>
  <c r="Q493" i="2"/>
  <c r="O493" i="2"/>
  <c r="N493" i="2"/>
  <c r="L493" i="2"/>
  <c r="J493" i="2"/>
  <c r="Z492" i="2"/>
  <c r="W492" i="2"/>
  <c r="V492" i="2"/>
  <c r="Q492" i="2"/>
  <c r="O492" i="2"/>
  <c r="N492" i="2"/>
  <c r="L492" i="2"/>
  <c r="J492" i="2"/>
  <c r="Z491" i="2"/>
  <c r="W491" i="2"/>
  <c r="V491" i="2"/>
  <c r="Q491" i="2"/>
  <c r="O491" i="2"/>
  <c r="N491" i="2"/>
  <c r="L491" i="2"/>
  <c r="J491" i="2"/>
  <c r="Z490" i="2"/>
  <c r="W490" i="2"/>
  <c r="V490" i="2"/>
  <c r="Q490" i="2"/>
  <c r="O490" i="2"/>
  <c r="N490" i="2"/>
  <c r="L490" i="2"/>
  <c r="J490" i="2"/>
  <c r="Z489" i="2"/>
  <c r="W489" i="2"/>
  <c r="V489" i="2"/>
  <c r="Q489" i="2"/>
  <c r="O489" i="2"/>
  <c r="N489" i="2"/>
  <c r="L489" i="2"/>
  <c r="J489" i="2"/>
  <c r="Z488" i="2"/>
  <c r="W488" i="2"/>
  <c r="V488" i="2"/>
  <c r="Q488" i="2"/>
  <c r="O488" i="2"/>
  <c r="N488" i="2"/>
  <c r="L488" i="2"/>
  <c r="J488" i="2"/>
  <c r="Z487" i="2"/>
  <c r="W487" i="2"/>
  <c r="V487" i="2"/>
  <c r="Q487" i="2"/>
  <c r="O487" i="2"/>
  <c r="N487" i="2"/>
  <c r="L487" i="2"/>
  <c r="J487" i="2"/>
  <c r="Z486" i="2"/>
  <c r="W486" i="2"/>
  <c r="V486" i="2"/>
  <c r="Q486" i="2"/>
  <c r="O486" i="2"/>
  <c r="N486" i="2"/>
  <c r="L486" i="2"/>
  <c r="J486" i="2"/>
  <c r="Z485" i="2"/>
  <c r="W485" i="2"/>
  <c r="V485" i="2"/>
  <c r="Q485" i="2"/>
  <c r="O485" i="2"/>
  <c r="N485" i="2"/>
  <c r="L485" i="2"/>
  <c r="J485" i="2"/>
  <c r="Z484" i="2"/>
  <c r="W484" i="2"/>
  <c r="V484" i="2"/>
  <c r="Q484" i="2"/>
  <c r="O484" i="2"/>
  <c r="N484" i="2"/>
  <c r="L484" i="2"/>
  <c r="J484" i="2"/>
  <c r="Z483" i="2"/>
  <c r="W483" i="2"/>
  <c r="V483" i="2"/>
  <c r="Q483" i="2"/>
  <c r="O483" i="2"/>
  <c r="N483" i="2"/>
  <c r="L483" i="2"/>
  <c r="J483" i="2"/>
  <c r="Z482" i="2"/>
  <c r="W482" i="2"/>
  <c r="V482" i="2"/>
  <c r="Q482" i="2"/>
  <c r="O482" i="2"/>
  <c r="N482" i="2"/>
  <c r="L482" i="2"/>
  <c r="J482" i="2"/>
  <c r="Z481" i="2"/>
  <c r="W481" i="2"/>
  <c r="V481" i="2"/>
  <c r="Q481" i="2"/>
  <c r="O481" i="2"/>
  <c r="N481" i="2"/>
  <c r="L481" i="2"/>
  <c r="J481" i="2"/>
  <c r="Z480" i="2"/>
  <c r="W480" i="2"/>
  <c r="V480" i="2"/>
  <c r="Q480" i="2"/>
  <c r="O480" i="2"/>
  <c r="N480" i="2"/>
  <c r="L480" i="2"/>
  <c r="J480" i="2"/>
  <c r="Z479" i="2"/>
  <c r="W479" i="2"/>
  <c r="V479" i="2"/>
  <c r="Q479" i="2"/>
  <c r="O479" i="2"/>
  <c r="N479" i="2"/>
  <c r="L479" i="2"/>
  <c r="J479" i="2"/>
  <c r="Z478" i="2"/>
  <c r="W478" i="2"/>
  <c r="V478" i="2"/>
  <c r="Q478" i="2"/>
  <c r="O478" i="2"/>
  <c r="N478" i="2"/>
  <c r="L478" i="2"/>
  <c r="J478" i="2"/>
  <c r="Z477" i="2"/>
  <c r="W477" i="2"/>
  <c r="V477" i="2"/>
  <c r="Q477" i="2"/>
  <c r="O477" i="2"/>
  <c r="N477" i="2"/>
  <c r="L477" i="2"/>
  <c r="J477" i="2"/>
  <c r="Z476" i="2"/>
  <c r="W476" i="2"/>
  <c r="V476" i="2"/>
  <c r="Q476" i="2"/>
  <c r="O476" i="2"/>
  <c r="N476" i="2"/>
  <c r="L476" i="2"/>
  <c r="J476" i="2"/>
  <c r="Z475" i="2"/>
  <c r="W475" i="2"/>
  <c r="V475" i="2"/>
  <c r="Q475" i="2"/>
  <c r="O475" i="2"/>
  <c r="N475" i="2"/>
  <c r="L475" i="2"/>
  <c r="J475" i="2"/>
  <c r="Z474" i="2"/>
  <c r="W474" i="2"/>
  <c r="V474" i="2"/>
  <c r="Q474" i="2"/>
  <c r="O474" i="2"/>
  <c r="N474" i="2"/>
  <c r="L474" i="2"/>
  <c r="J474" i="2"/>
  <c r="Z473" i="2"/>
  <c r="W473" i="2"/>
  <c r="V473" i="2"/>
  <c r="Q473" i="2"/>
  <c r="O473" i="2"/>
  <c r="N473" i="2"/>
  <c r="L473" i="2"/>
  <c r="J473" i="2"/>
  <c r="Z472" i="2"/>
  <c r="W472" i="2"/>
  <c r="V472" i="2"/>
  <c r="Q472" i="2"/>
  <c r="O472" i="2"/>
  <c r="N472" i="2"/>
  <c r="L472" i="2"/>
  <c r="J472" i="2"/>
  <c r="Z471" i="2"/>
  <c r="W471" i="2"/>
  <c r="V471" i="2"/>
  <c r="Q471" i="2"/>
  <c r="O471" i="2"/>
  <c r="N471" i="2"/>
  <c r="L471" i="2"/>
  <c r="J471" i="2"/>
  <c r="Z470" i="2"/>
  <c r="W470" i="2"/>
  <c r="V470" i="2"/>
  <c r="Q470" i="2"/>
  <c r="O470" i="2"/>
  <c r="N470" i="2"/>
  <c r="L470" i="2"/>
  <c r="J470" i="2"/>
  <c r="Z469" i="2"/>
  <c r="W469" i="2"/>
  <c r="V469" i="2"/>
  <c r="Q469" i="2"/>
  <c r="O469" i="2"/>
  <c r="N469" i="2"/>
  <c r="L469" i="2"/>
  <c r="J469" i="2"/>
  <c r="Z468" i="2"/>
  <c r="W468" i="2"/>
  <c r="V468" i="2"/>
  <c r="Q468" i="2"/>
  <c r="O468" i="2"/>
  <c r="N468" i="2"/>
  <c r="L468" i="2"/>
  <c r="J468" i="2"/>
  <c r="Z467" i="2"/>
  <c r="W467" i="2"/>
  <c r="V467" i="2"/>
  <c r="Q467" i="2"/>
  <c r="O467" i="2"/>
  <c r="N467" i="2"/>
  <c r="L467" i="2"/>
  <c r="J467" i="2"/>
  <c r="Z466" i="2"/>
  <c r="W466" i="2"/>
  <c r="V466" i="2"/>
  <c r="Q466" i="2"/>
  <c r="O466" i="2"/>
  <c r="N466" i="2"/>
  <c r="L466" i="2"/>
  <c r="J466" i="2"/>
  <c r="Z465" i="2"/>
  <c r="W465" i="2"/>
  <c r="V465" i="2"/>
  <c r="Q465" i="2"/>
  <c r="O465" i="2"/>
  <c r="N465" i="2"/>
  <c r="L465" i="2"/>
  <c r="J465" i="2"/>
  <c r="Z464" i="2"/>
  <c r="W464" i="2"/>
  <c r="V464" i="2"/>
  <c r="Q464" i="2"/>
  <c r="O464" i="2"/>
  <c r="N464" i="2"/>
  <c r="L464" i="2"/>
  <c r="J464" i="2"/>
  <c r="Z463" i="2"/>
  <c r="W463" i="2"/>
  <c r="V463" i="2"/>
  <c r="Q463" i="2"/>
  <c r="O463" i="2"/>
  <c r="N463" i="2"/>
  <c r="L463" i="2"/>
  <c r="J463" i="2"/>
  <c r="Z462" i="2"/>
  <c r="W462" i="2"/>
  <c r="V462" i="2"/>
  <c r="Q462" i="2"/>
  <c r="O462" i="2"/>
  <c r="N462" i="2"/>
  <c r="L462" i="2"/>
  <c r="J462" i="2"/>
  <c r="Z461" i="2"/>
  <c r="W461" i="2"/>
  <c r="V461" i="2"/>
  <c r="Q461" i="2"/>
  <c r="O461" i="2"/>
  <c r="N461" i="2"/>
  <c r="L461" i="2"/>
  <c r="J461" i="2"/>
  <c r="Z460" i="2"/>
  <c r="W460" i="2"/>
  <c r="V460" i="2"/>
  <c r="Q460" i="2"/>
  <c r="O460" i="2"/>
  <c r="N460" i="2"/>
  <c r="L460" i="2"/>
  <c r="J460" i="2"/>
  <c r="Z459" i="2"/>
  <c r="W459" i="2"/>
  <c r="V459" i="2"/>
  <c r="Q459" i="2"/>
  <c r="O459" i="2"/>
  <c r="N459" i="2"/>
  <c r="L459" i="2"/>
  <c r="J459" i="2"/>
  <c r="Z458" i="2"/>
  <c r="W458" i="2"/>
  <c r="V458" i="2"/>
  <c r="Q458" i="2"/>
  <c r="O458" i="2"/>
  <c r="N458" i="2"/>
  <c r="L458" i="2"/>
  <c r="J458" i="2"/>
  <c r="Z457" i="2"/>
  <c r="W457" i="2"/>
  <c r="V457" i="2"/>
  <c r="Q457" i="2"/>
  <c r="O457" i="2"/>
  <c r="N457" i="2"/>
  <c r="L457" i="2"/>
  <c r="J457" i="2"/>
  <c r="Z456" i="2"/>
  <c r="W456" i="2"/>
  <c r="V456" i="2"/>
  <c r="Q456" i="2"/>
  <c r="O456" i="2"/>
  <c r="N456" i="2"/>
  <c r="L456" i="2"/>
  <c r="J456" i="2"/>
  <c r="Z455" i="2"/>
  <c r="W455" i="2"/>
  <c r="V455" i="2"/>
  <c r="Q455" i="2"/>
  <c r="O455" i="2"/>
  <c r="N455" i="2"/>
  <c r="L455" i="2"/>
  <c r="J455" i="2"/>
  <c r="Z454" i="2"/>
  <c r="W454" i="2"/>
  <c r="V454" i="2"/>
  <c r="Q454" i="2"/>
  <c r="O454" i="2"/>
  <c r="N454" i="2"/>
  <c r="L454" i="2"/>
  <c r="J454" i="2"/>
  <c r="Z453" i="2"/>
  <c r="W453" i="2"/>
  <c r="V453" i="2"/>
  <c r="Q453" i="2"/>
  <c r="O453" i="2"/>
  <c r="N453" i="2"/>
  <c r="L453" i="2"/>
  <c r="J453" i="2"/>
  <c r="Z452" i="2"/>
  <c r="W452" i="2"/>
  <c r="V452" i="2"/>
  <c r="Q452" i="2"/>
  <c r="O452" i="2"/>
  <c r="N452" i="2"/>
  <c r="L452" i="2"/>
  <c r="J452" i="2"/>
  <c r="Z451" i="2"/>
  <c r="W451" i="2"/>
  <c r="V451" i="2"/>
  <c r="Q451" i="2"/>
  <c r="O451" i="2"/>
  <c r="N451" i="2"/>
  <c r="L451" i="2"/>
  <c r="J451" i="2"/>
  <c r="Z450" i="2"/>
  <c r="W450" i="2"/>
  <c r="V450" i="2"/>
  <c r="Q450" i="2"/>
  <c r="O450" i="2"/>
  <c r="N450" i="2"/>
  <c r="L450" i="2"/>
  <c r="J450" i="2"/>
  <c r="Z449" i="2"/>
  <c r="W449" i="2"/>
  <c r="V449" i="2"/>
  <c r="Q449" i="2"/>
  <c r="O449" i="2"/>
  <c r="N449" i="2"/>
  <c r="L449" i="2"/>
  <c r="J449" i="2"/>
  <c r="Z448" i="2"/>
  <c r="W448" i="2"/>
  <c r="V448" i="2"/>
  <c r="Q448" i="2"/>
  <c r="O448" i="2"/>
  <c r="N448" i="2"/>
  <c r="L448" i="2"/>
  <c r="J448" i="2"/>
  <c r="Z447" i="2"/>
  <c r="W447" i="2"/>
  <c r="V447" i="2"/>
  <c r="Q447" i="2"/>
  <c r="O447" i="2"/>
  <c r="N447" i="2"/>
  <c r="L447" i="2"/>
  <c r="J447" i="2"/>
  <c r="Z446" i="2"/>
  <c r="W446" i="2"/>
  <c r="V446" i="2"/>
  <c r="Q446" i="2"/>
  <c r="O446" i="2"/>
  <c r="N446" i="2"/>
  <c r="L446" i="2"/>
  <c r="J446" i="2"/>
  <c r="Z445" i="2"/>
  <c r="W445" i="2"/>
  <c r="V445" i="2"/>
  <c r="Q445" i="2"/>
  <c r="O445" i="2"/>
  <c r="N445" i="2"/>
  <c r="L445" i="2"/>
  <c r="J445" i="2"/>
  <c r="Z444" i="2"/>
  <c r="W444" i="2"/>
  <c r="V444" i="2"/>
  <c r="Q444" i="2"/>
  <c r="O444" i="2"/>
  <c r="N444" i="2"/>
  <c r="L444" i="2"/>
  <c r="J444" i="2"/>
  <c r="Z443" i="2"/>
  <c r="W443" i="2"/>
  <c r="V443" i="2"/>
  <c r="Q443" i="2"/>
  <c r="O443" i="2"/>
  <c r="N443" i="2"/>
  <c r="L443" i="2"/>
  <c r="J443" i="2"/>
  <c r="Z442" i="2"/>
  <c r="W442" i="2"/>
  <c r="V442" i="2"/>
  <c r="Q442" i="2"/>
  <c r="O442" i="2"/>
  <c r="N442" i="2"/>
  <c r="L442" i="2"/>
  <c r="J442" i="2"/>
  <c r="Z441" i="2"/>
  <c r="W441" i="2"/>
  <c r="V441" i="2"/>
  <c r="Q441" i="2"/>
  <c r="O441" i="2"/>
  <c r="N441" i="2"/>
  <c r="L441" i="2"/>
  <c r="J441" i="2"/>
  <c r="Z440" i="2"/>
  <c r="W440" i="2"/>
  <c r="V440" i="2"/>
  <c r="Q440" i="2"/>
  <c r="O440" i="2"/>
  <c r="N440" i="2"/>
  <c r="L440" i="2"/>
  <c r="J440" i="2"/>
  <c r="Z439" i="2"/>
  <c r="W439" i="2"/>
  <c r="V439" i="2"/>
  <c r="Q439" i="2"/>
  <c r="O439" i="2"/>
  <c r="N439" i="2"/>
  <c r="L439" i="2"/>
  <c r="J439" i="2"/>
  <c r="Z438" i="2"/>
  <c r="W438" i="2"/>
  <c r="V438" i="2"/>
  <c r="Q438" i="2"/>
  <c r="O438" i="2"/>
  <c r="N438" i="2"/>
  <c r="L438" i="2"/>
  <c r="J438" i="2"/>
  <c r="Z437" i="2"/>
  <c r="W437" i="2"/>
  <c r="V437" i="2"/>
  <c r="Q437" i="2"/>
  <c r="O437" i="2"/>
  <c r="N437" i="2"/>
  <c r="L437" i="2"/>
  <c r="J437" i="2"/>
  <c r="Z436" i="2"/>
  <c r="W436" i="2"/>
  <c r="V436" i="2"/>
  <c r="Q436" i="2"/>
  <c r="O436" i="2"/>
  <c r="N436" i="2"/>
  <c r="L436" i="2"/>
  <c r="J436" i="2"/>
  <c r="Z435" i="2"/>
  <c r="W435" i="2"/>
  <c r="V435" i="2"/>
  <c r="Q435" i="2"/>
  <c r="O435" i="2"/>
  <c r="N435" i="2"/>
  <c r="L435" i="2"/>
  <c r="J435" i="2"/>
  <c r="Z434" i="2"/>
  <c r="W434" i="2"/>
  <c r="V434" i="2"/>
  <c r="Q434" i="2"/>
  <c r="O434" i="2"/>
  <c r="N434" i="2"/>
  <c r="L434" i="2"/>
  <c r="J434" i="2"/>
  <c r="Z433" i="2"/>
  <c r="W433" i="2"/>
  <c r="V433" i="2"/>
  <c r="Q433" i="2"/>
  <c r="O433" i="2"/>
  <c r="N433" i="2"/>
  <c r="L433" i="2"/>
  <c r="J433" i="2"/>
  <c r="Z432" i="2"/>
  <c r="W432" i="2"/>
  <c r="V432" i="2"/>
  <c r="Q432" i="2"/>
  <c r="O432" i="2"/>
  <c r="N432" i="2"/>
  <c r="L432" i="2"/>
  <c r="J432" i="2"/>
  <c r="Z431" i="2"/>
  <c r="W431" i="2"/>
  <c r="V431" i="2"/>
  <c r="Q431" i="2"/>
  <c r="O431" i="2"/>
  <c r="N431" i="2"/>
  <c r="L431" i="2"/>
  <c r="J431" i="2"/>
  <c r="Z430" i="2"/>
  <c r="W430" i="2"/>
  <c r="V430" i="2"/>
  <c r="Q430" i="2"/>
  <c r="O430" i="2"/>
  <c r="N430" i="2"/>
  <c r="L430" i="2"/>
  <c r="J430" i="2"/>
  <c r="Z429" i="2"/>
  <c r="W429" i="2"/>
  <c r="V429" i="2"/>
  <c r="Q429" i="2"/>
  <c r="O429" i="2"/>
  <c r="N429" i="2"/>
  <c r="L429" i="2"/>
  <c r="J429" i="2"/>
  <c r="Z428" i="2"/>
  <c r="W428" i="2"/>
  <c r="V428" i="2"/>
  <c r="Q428" i="2"/>
  <c r="O428" i="2"/>
  <c r="N428" i="2"/>
  <c r="L428" i="2"/>
  <c r="J428" i="2"/>
  <c r="Z427" i="2"/>
  <c r="W427" i="2"/>
  <c r="V427" i="2"/>
  <c r="Q427" i="2"/>
  <c r="O427" i="2"/>
  <c r="N427" i="2"/>
  <c r="L427" i="2"/>
  <c r="J427" i="2"/>
  <c r="Z426" i="2"/>
  <c r="W426" i="2"/>
  <c r="V426" i="2"/>
  <c r="Q426" i="2"/>
  <c r="O426" i="2"/>
  <c r="N426" i="2"/>
  <c r="L426" i="2"/>
  <c r="J426" i="2"/>
  <c r="Z425" i="2"/>
  <c r="W425" i="2"/>
  <c r="V425" i="2"/>
  <c r="Q425" i="2"/>
  <c r="O425" i="2"/>
  <c r="N425" i="2"/>
  <c r="L425" i="2"/>
  <c r="J425" i="2"/>
  <c r="Z424" i="2"/>
  <c r="W424" i="2"/>
  <c r="V424" i="2"/>
  <c r="Q424" i="2"/>
  <c r="O424" i="2"/>
  <c r="N424" i="2"/>
  <c r="L424" i="2"/>
  <c r="J424" i="2"/>
  <c r="Z423" i="2"/>
  <c r="W423" i="2"/>
  <c r="V423" i="2"/>
  <c r="Q423" i="2"/>
  <c r="O423" i="2"/>
  <c r="N423" i="2"/>
  <c r="L423" i="2"/>
  <c r="J423" i="2"/>
  <c r="Z422" i="2"/>
  <c r="W422" i="2"/>
  <c r="V422" i="2"/>
  <c r="Q422" i="2"/>
  <c r="O422" i="2"/>
  <c r="N422" i="2"/>
  <c r="L422" i="2"/>
  <c r="J422" i="2"/>
  <c r="Z421" i="2"/>
  <c r="W421" i="2"/>
  <c r="V421" i="2"/>
  <c r="Q421" i="2"/>
  <c r="O421" i="2"/>
  <c r="N421" i="2"/>
  <c r="L421" i="2"/>
  <c r="J421" i="2"/>
  <c r="Z420" i="2"/>
  <c r="W420" i="2"/>
  <c r="V420" i="2"/>
  <c r="Q420" i="2"/>
  <c r="O420" i="2"/>
  <c r="N420" i="2"/>
  <c r="L420" i="2"/>
  <c r="J420" i="2"/>
  <c r="Z419" i="2"/>
  <c r="W419" i="2"/>
  <c r="V419" i="2"/>
  <c r="Q419" i="2"/>
  <c r="O419" i="2"/>
  <c r="N419" i="2"/>
  <c r="L419" i="2"/>
  <c r="J419" i="2"/>
  <c r="Z418" i="2"/>
  <c r="W418" i="2"/>
  <c r="V418" i="2"/>
  <c r="Q418" i="2"/>
  <c r="O418" i="2"/>
  <c r="N418" i="2"/>
  <c r="L418" i="2"/>
  <c r="J418" i="2"/>
  <c r="Z417" i="2"/>
  <c r="W417" i="2"/>
  <c r="V417" i="2"/>
  <c r="Q417" i="2"/>
  <c r="O417" i="2"/>
  <c r="N417" i="2"/>
  <c r="L417" i="2"/>
  <c r="J417" i="2"/>
  <c r="Z416" i="2"/>
  <c r="W416" i="2"/>
  <c r="V416" i="2"/>
  <c r="Q416" i="2"/>
  <c r="O416" i="2"/>
  <c r="N416" i="2"/>
  <c r="L416" i="2"/>
  <c r="J416" i="2"/>
  <c r="Z415" i="2"/>
  <c r="W415" i="2"/>
  <c r="V415" i="2"/>
  <c r="Q415" i="2"/>
  <c r="O415" i="2"/>
  <c r="N415" i="2"/>
  <c r="L415" i="2"/>
  <c r="J415" i="2"/>
  <c r="Z414" i="2"/>
  <c r="W414" i="2"/>
  <c r="V414" i="2"/>
  <c r="Q414" i="2"/>
  <c r="O414" i="2"/>
  <c r="N414" i="2"/>
  <c r="L414" i="2"/>
  <c r="J414" i="2"/>
  <c r="Z413" i="2"/>
  <c r="W413" i="2"/>
  <c r="V413" i="2"/>
  <c r="Q413" i="2"/>
  <c r="O413" i="2"/>
  <c r="N413" i="2"/>
  <c r="L413" i="2"/>
  <c r="J413" i="2"/>
  <c r="Z412" i="2"/>
  <c r="W412" i="2"/>
  <c r="V412" i="2"/>
  <c r="Q412" i="2"/>
  <c r="O412" i="2"/>
  <c r="N412" i="2"/>
  <c r="L412" i="2"/>
  <c r="J412" i="2"/>
  <c r="Z411" i="2"/>
  <c r="W411" i="2"/>
  <c r="V411" i="2"/>
  <c r="Q411" i="2"/>
  <c r="O411" i="2"/>
  <c r="N411" i="2"/>
  <c r="L411" i="2"/>
  <c r="J411" i="2"/>
  <c r="Z410" i="2"/>
  <c r="W410" i="2"/>
  <c r="V410" i="2"/>
  <c r="Q410" i="2"/>
  <c r="O410" i="2"/>
  <c r="N410" i="2"/>
  <c r="L410" i="2"/>
  <c r="J410" i="2"/>
  <c r="Z409" i="2"/>
  <c r="W409" i="2"/>
  <c r="V409" i="2"/>
  <c r="Q409" i="2"/>
  <c r="O409" i="2"/>
  <c r="N409" i="2"/>
  <c r="L409" i="2"/>
  <c r="J409" i="2"/>
  <c r="Z408" i="2"/>
  <c r="W408" i="2"/>
  <c r="V408" i="2"/>
  <c r="Q408" i="2"/>
  <c r="O408" i="2"/>
  <c r="N408" i="2"/>
  <c r="L408" i="2"/>
  <c r="J408" i="2"/>
  <c r="Z407" i="2"/>
  <c r="W407" i="2"/>
  <c r="V407" i="2"/>
  <c r="Q407" i="2"/>
  <c r="O407" i="2"/>
  <c r="N407" i="2"/>
  <c r="L407" i="2"/>
  <c r="J407" i="2"/>
  <c r="Z406" i="2"/>
  <c r="W406" i="2"/>
  <c r="V406" i="2"/>
  <c r="Q406" i="2"/>
  <c r="O406" i="2"/>
  <c r="N406" i="2"/>
  <c r="L406" i="2"/>
  <c r="J406" i="2"/>
  <c r="Z405" i="2"/>
  <c r="W405" i="2"/>
  <c r="V405" i="2"/>
  <c r="Q405" i="2"/>
  <c r="O405" i="2"/>
  <c r="N405" i="2"/>
  <c r="L405" i="2"/>
  <c r="J405" i="2"/>
  <c r="Z404" i="2"/>
  <c r="W404" i="2"/>
  <c r="V404" i="2"/>
  <c r="Q404" i="2"/>
  <c r="O404" i="2"/>
  <c r="N404" i="2"/>
  <c r="L404" i="2"/>
  <c r="J404" i="2"/>
  <c r="Z403" i="2"/>
  <c r="W403" i="2"/>
  <c r="V403" i="2"/>
  <c r="Q403" i="2"/>
  <c r="O403" i="2"/>
  <c r="N403" i="2"/>
  <c r="L403" i="2"/>
  <c r="J403" i="2"/>
  <c r="Z402" i="2"/>
  <c r="W402" i="2"/>
  <c r="V402" i="2"/>
  <c r="Q402" i="2"/>
  <c r="O402" i="2"/>
  <c r="N402" i="2"/>
  <c r="L402" i="2"/>
  <c r="J402" i="2"/>
  <c r="Z401" i="2"/>
  <c r="W401" i="2"/>
  <c r="V401" i="2"/>
  <c r="Q401" i="2"/>
  <c r="O401" i="2"/>
  <c r="N401" i="2"/>
  <c r="L401" i="2"/>
  <c r="J401" i="2"/>
  <c r="Z400" i="2"/>
  <c r="W400" i="2"/>
  <c r="V400" i="2"/>
  <c r="Q400" i="2"/>
  <c r="O400" i="2"/>
  <c r="N400" i="2"/>
  <c r="L400" i="2"/>
  <c r="J400" i="2"/>
  <c r="Z399" i="2"/>
  <c r="W399" i="2"/>
  <c r="V399" i="2"/>
  <c r="Q399" i="2"/>
  <c r="O399" i="2"/>
  <c r="N399" i="2"/>
  <c r="L399" i="2"/>
  <c r="J399" i="2"/>
  <c r="Z398" i="2"/>
  <c r="W398" i="2"/>
  <c r="V398" i="2"/>
  <c r="Q398" i="2"/>
  <c r="O398" i="2"/>
  <c r="N398" i="2"/>
  <c r="L398" i="2"/>
  <c r="J398" i="2"/>
  <c r="Z397" i="2"/>
  <c r="W397" i="2"/>
  <c r="V397" i="2"/>
  <c r="Q397" i="2"/>
  <c r="O397" i="2"/>
  <c r="N397" i="2"/>
  <c r="L397" i="2"/>
  <c r="J397" i="2"/>
  <c r="Z396" i="2"/>
  <c r="W396" i="2"/>
  <c r="V396" i="2"/>
  <c r="Q396" i="2"/>
  <c r="O396" i="2"/>
  <c r="N396" i="2"/>
  <c r="L396" i="2"/>
  <c r="J396" i="2"/>
  <c r="Z395" i="2"/>
  <c r="W395" i="2"/>
  <c r="V395" i="2"/>
  <c r="Q395" i="2"/>
  <c r="O395" i="2"/>
  <c r="N395" i="2"/>
  <c r="L395" i="2"/>
  <c r="J395" i="2"/>
  <c r="Z394" i="2"/>
  <c r="W394" i="2"/>
  <c r="V394" i="2"/>
  <c r="Q394" i="2"/>
  <c r="O394" i="2"/>
  <c r="N394" i="2"/>
  <c r="L394" i="2"/>
  <c r="J394" i="2"/>
  <c r="Z393" i="2"/>
  <c r="W393" i="2"/>
  <c r="V393" i="2"/>
  <c r="Q393" i="2"/>
  <c r="O393" i="2"/>
  <c r="N393" i="2"/>
  <c r="L393" i="2"/>
  <c r="J393" i="2"/>
  <c r="Z392" i="2"/>
  <c r="W392" i="2"/>
  <c r="V392" i="2"/>
  <c r="Q392" i="2"/>
  <c r="O392" i="2"/>
  <c r="N392" i="2"/>
  <c r="L392" i="2"/>
  <c r="J392" i="2"/>
  <c r="Z391" i="2"/>
  <c r="W391" i="2"/>
  <c r="V391" i="2"/>
  <c r="Q391" i="2"/>
  <c r="O391" i="2"/>
  <c r="N391" i="2"/>
  <c r="L391" i="2"/>
  <c r="J391" i="2"/>
  <c r="Z390" i="2"/>
  <c r="W390" i="2"/>
  <c r="V390" i="2"/>
  <c r="Q390" i="2"/>
  <c r="O390" i="2"/>
  <c r="N390" i="2"/>
  <c r="L390" i="2"/>
  <c r="J390" i="2"/>
  <c r="Z389" i="2"/>
  <c r="W389" i="2"/>
  <c r="V389" i="2"/>
  <c r="Q389" i="2"/>
  <c r="O389" i="2"/>
  <c r="N389" i="2"/>
  <c r="L389" i="2"/>
  <c r="J389" i="2"/>
  <c r="Z388" i="2"/>
  <c r="W388" i="2"/>
  <c r="V388" i="2"/>
  <c r="Q388" i="2"/>
  <c r="O388" i="2"/>
  <c r="N388" i="2"/>
  <c r="L388" i="2"/>
  <c r="J388" i="2"/>
  <c r="Z387" i="2"/>
  <c r="W387" i="2"/>
  <c r="V387" i="2"/>
  <c r="Q387" i="2"/>
  <c r="O387" i="2"/>
  <c r="N387" i="2"/>
  <c r="L387" i="2"/>
  <c r="J387" i="2"/>
  <c r="Z386" i="2"/>
  <c r="W386" i="2"/>
  <c r="V386" i="2"/>
  <c r="Q386" i="2"/>
  <c r="O386" i="2"/>
  <c r="N386" i="2"/>
  <c r="L386" i="2"/>
  <c r="J386" i="2"/>
  <c r="Z385" i="2"/>
  <c r="W385" i="2"/>
  <c r="V385" i="2"/>
  <c r="Q385" i="2"/>
  <c r="O385" i="2"/>
  <c r="N385" i="2"/>
  <c r="L385" i="2"/>
  <c r="J385" i="2"/>
  <c r="Z384" i="2"/>
  <c r="W384" i="2"/>
  <c r="V384" i="2"/>
  <c r="Q384" i="2"/>
  <c r="O384" i="2"/>
  <c r="N384" i="2"/>
  <c r="L384" i="2"/>
  <c r="J384" i="2"/>
  <c r="Z383" i="2"/>
  <c r="W383" i="2"/>
  <c r="V383" i="2"/>
  <c r="Q383" i="2"/>
  <c r="O383" i="2"/>
  <c r="N383" i="2"/>
  <c r="L383" i="2"/>
  <c r="J383" i="2"/>
  <c r="Z382" i="2"/>
  <c r="W382" i="2"/>
  <c r="V382" i="2"/>
  <c r="Q382" i="2"/>
  <c r="O382" i="2"/>
  <c r="N382" i="2"/>
  <c r="L382" i="2"/>
  <c r="J382" i="2"/>
  <c r="Z381" i="2"/>
  <c r="W381" i="2"/>
  <c r="V381" i="2"/>
  <c r="Q381" i="2"/>
  <c r="O381" i="2"/>
  <c r="N381" i="2"/>
  <c r="L381" i="2"/>
  <c r="J381" i="2"/>
  <c r="Z380" i="2"/>
  <c r="W380" i="2"/>
  <c r="V380" i="2"/>
  <c r="Q380" i="2"/>
  <c r="O380" i="2"/>
  <c r="N380" i="2"/>
  <c r="L380" i="2"/>
  <c r="J380" i="2"/>
  <c r="Z379" i="2"/>
  <c r="W379" i="2"/>
  <c r="V379" i="2"/>
  <c r="Q379" i="2"/>
  <c r="O379" i="2"/>
  <c r="N379" i="2"/>
  <c r="L379" i="2"/>
  <c r="J379" i="2"/>
  <c r="Z378" i="2"/>
  <c r="W378" i="2"/>
  <c r="V378" i="2"/>
  <c r="Q378" i="2"/>
  <c r="O378" i="2"/>
  <c r="N378" i="2"/>
  <c r="L378" i="2"/>
  <c r="J378" i="2"/>
  <c r="Z377" i="2"/>
  <c r="W377" i="2"/>
  <c r="V377" i="2"/>
  <c r="Q377" i="2"/>
  <c r="O377" i="2"/>
  <c r="N377" i="2"/>
  <c r="L377" i="2"/>
  <c r="J377" i="2"/>
  <c r="Z376" i="2"/>
  <c r="W376" i="2"/>
  <c r="V376" i="2"/>
  <c r="Q376" i="2"/>
  <c r="O376" i="2"/>
  <c r="N376" i="2"/>
  <c r="L376" i="2"/>
  <c r="J376" i="2"/>
  <c r="Z375" i="2"/>
  <c r="W375" i="2"/>
  <c r="V375" i="2"/>
  <c r="Q375" i="2"/>
  <c r="O375" i="2"/>
  <c r="N375" i="2"/>
  <c r="L375" i="2"/>
  <c r="J375" i="2"/>
  <c r="Z374" i="2"/>
  <c r="W374" i="2"/>
  <c r="V374" i="2"/>
  <c r="Q374" i="2"/>
  <c r="O374" i="2"/>
  <c r="N374" i="2"/>
  <c r="L374" i="2"/>
  <c r="J374" i="2"/>
  <c r="Z373" i="2"/>
  <c r="W373" i="2"/>
  <c r="V373" i="2"/>
  <c r="Q373" i="2"/>
  <c r="O373" i="2"/>
  <c r="N373" i="2"/>
  <c r="L373" i="2"/>
  <c r="J373" i="2"/>
  <c r="Z372" i="2"/>
  <c r="W372" i="2"/>
  <c r="V372" i="2"/>
  <c r="Q372" i="2"/>
  <c r="O372" i="2"/>
  <c r="N372" i="2"/>
  <c r="L372" i="2"/>
  <c r="J372" i="2"/>
  <c r="Z371" i="2"/>
  <c r="W371" i="2"/>
  <c r="V371" i="2"/>
  <c r="Q371" i="2"/>
  <c r="O371" i="2"/>
  <c r="N371" i="2"/>
  <c r="L371" i="2"/>
  <c r="J371" i="2"/>
  <c r="Z370" i="2"/>
  <c r="W370" i="2"/>
  <c r="V370" i="2"/>
  <c r="Q370" i="2"/>
  <c r="O370" i="2"/>
  <c r="N370" i="2"/>
  <c r="L370" i="2"/>
  <c r="J370" i="2"/>
  <c r="Z369" i="2"/>
  <c r="W369" i="2"/>
  <c r="V369" i="2"/>
  <c r="Q369" i="2"/>
  <c r="O369" i="2"/>
  <c r="N369" i="2"/>
  <c r="L369" i="2"/>
  <c r="J369" i="2"/>
  <c r="Z368" i="2"/>
  <c r="W368" i="2"/>
  <c r="V368" i="2"/>
  <c r="Q368" i="2"/>
  <c r="O368" i="2"/>
  <c r="N368" i="2"/>
  <c r="L368" i="2"/>
  <c r="J368" i="2"/>
  <c r="Z367" i="2"/>
  <c r="W367" i="2"/>
  <c r="V367" i="2"/>
  <c r="Q367" i="2"/>
  <c r="O367" i="2"/>
  <c r="N367" i="2"/>
  <c r="L367" i="2"/>
  <c r="J367" i="2"/>
  <c r="Z366" i="2"/>
  <c r="W366" i="2"/>
  <c r="V366" i="2"/>
  <c r="Q366" i="2"/>
  <c r="O366" i="2"/>
  <c r="N366" i="2"/>
  <c r="L366" i="2"/>
  <c r="J366" i="2"/>
  <c r="Z365" i="2"/>
  <c r="W365" i="2"/>
  <c r="V365" i="2"/>
  <c r="Q365" i="2"/>
  <c r="O365" i="2"/>
  <c r="N365" i="2"/>
  <c r="L365" i="2"/>
  <c r="J365" i="2"/>
  <c r="Z364" i="2"/>
  <c r="W364" i="2"/>
  <c r="V364" i="2"/>
  <c r="Q364" i="2"/>
  <c r="O364" i="2"/>
  <c r="N364" i="2"/>
  <c r="L364" i="2"/>
  <c r="J364" i="2"/>
  <c r="Z363" i="2"/>
  <c r="W363" i="2"/>
  <c r="V363" i="2"/>
  <c r="Q363" i="2"/>
  <c r="O363" i="2"/>
  <c r="N363" i="2"/>
  <c r="L363" i="2"/>
  <c r="J363" i="2"/>
  <c r="Z362" i="2"/>
  <c r="W362" i="2"/>
  <c r="V362" i="2"/>
  <c r="Q362" i="2"/>
  <c r="O362" i="2"/>
  <c r="N362" i="2"/>
  <c r="L362" i="2"/>
  <c r="J362" i="2"/>
  <c r="Z361" i="2"/>
  <c r="W361" i="2"/>
  <c r="V361" i="2"/>
  <c r="Q361" i="2"/>
  <c r="O361" i="2"/>
  <c r="N361" i="2"/>
  <c r="L361" i="2"/>
  <c r="J361" i="2"/>
  <c r="Z360" i="2"/>
  <c r="W360" i="2"/>
  <c r="V360" i="2"/>
  <c r="Q360" i="2"/>
  <c r="O360" i="2"/>
  <c r="N360" i="2"/>
  <c r="L360" i="2"/>
  <c r="J360" i="2"/>
  <c r="Z359" i="2"/>
  <c r="W359" i="2"/>
  <c r="V359" i="2"/>
  <c r="Q359" i="2"/>
  <c r="O359" i="2"/>
  <c r="N359" i="2"/>
  <c r="L359" i="2"/>
  <c r="J359" i="2"/>
  <c r="Z358" i="2"/>
  <c r="W358" i="2"/>
  <c r="V358" i="2"/>
  <c r="Q358" i="2"/>
  <c r="O358" i="2"/>
  <c r="N358" i="2"/>
  <c r="L358" i="2"/>
  <c r="J358" i="2"/>
  <c r="Z357" i="2"/>
  <c r="W357" i="2"/>
  <c r="V357" i="2"/>
  <c r="Q357" i="2"/>
  <c r="O357" i="2"/>
  <c r="N357" i="2"/>
  <c r="L357" i="2"/>
  <c r="J357" i="2"/>
  <c r="Z356" i="2"/>
  <c r="W356" i="2"/>
  <c r="V356" i="2"/>
  <c r="Q356" i="2"/>
  <c r="O356" i="2"/>
  <c r="N356" i="2"/>
  <c r="L356" i="2"/>
  <c r="J356" i="2"/>
  <c r="Z355" i="2"/>
  <c r="W355" i="2"/>
  <c r="V355" i="2"/>
  <c r="Q355" i="2"/>
  <c r="O355" i="2"/>
  <c r="N355" i="2"/>
  <c r="L355" i="2"/>
  <c r="J355" i="2"/>
  <c r="Z354" i="2"/>
  <c r="W354" i="2"/>
  <c r="V354" i="2"/>
  <c r="Q354" i="2"/>
  <c r="O354" i="2"/>
  <c r="N354" i="2"/>
  <c r="L354" i="2"/>
  <c r="J354" i="2"/>
  <c r="Z353" i="2"/>
  <c r="W353" i="2"/>
  <c r="V353" i="2"/>
  <c r="Q353" i="2"/>
  <c r="O353" i="2"/>
  <c r="N353" i="2"/>
  <c r="L353" i="2"/>
  <c r="J353" i="2"/>
  <c r="Z352" i="2"/>
  <c r="W352" i="2"/>
  <c r="V352" i="2"/>
  <c r="Q352" i="2"/>
  <c r="O352" i="2"/>
  <c r="N352" i="2"/>
  <c r="L352" i="2"/>
  <c r="J352" i="2"/>
  <c r="Z351" i="2"/>
  <c r="W351" i="2"/>
  <c r="V351" i="2"/>
  <c r="Q351" i="2"/>
  <c r="O351" i="2"/>
  <c r="N351" i="2"/>
  <c r="L351" i="2"/>
  <c r="J351" i="2"/>
  <c r="Z350" i="2"/>
  <c r="W350" i="2"/>
  <c r="V350" i="2"/>
  <c r="Q350" i="2"/>
  <c r="O350" i="2"/>
  <c r="N350" i="2"/>
  <c r="L350" i="2"/>
  <c r="J350" i="2"/>
  <c r="Z349" i="2"/>
  <c r="W349" i="2"/>
  <c r="V349" i="2"/>
  <c r="Q349" i="2"/>
  <c r="O349" i="2"/>
  <c r="N349" i="2"/>
  <c r="L349" i="2"/>
  <c r="J349" i="2"/>
  <c r="Z348" i="2"/>
  <c r="W348" i="2"/>
  <c r="V348" i="2"/>
  <c r="Q348" i="2"/>
  <c r="O348" i="2"/>
  <c r="N348" i="2"/>
  <c r="L348" i="2"/>
  <c r="J348" i="2"/>
  <c r="Z347" i="2"/>
  <c r="W347" i="2"/>
  <c r="V347" i="2"/>
  <c r="Q347" i="2"/>
  <c r="O347" i="2"/>
  <c r="N347" i="2"/>
  <c r="L347" i="2"/>
  <c r="J347" i="2"/>
  <c r="Z346" i="2"/>
  <c r="W346" i="2"/>
  <c r="V346" i="2"/>
  <c r="Q346" i="2"/>
  <c r="O346" i="2"/>
  <c r="N346" i="2"/>
  <c r="L346" i="2"/>
  <c r="J346" i="2"/>
  <c r="Z345" i="2"/>
  <c r="W345" i="2"/>
  <c r="V345" i="2"/>
  <c r="Q345" i="2"/>
  <c r="O345" i="2"/>
  <c r="N345" i="2"/>
  <c r="L345" i="2"/>
  <c r="J345" i="2"/>
  <c r="Z344" i="2"/>
  <c r="W344" i="2"/>
  <c r="V344" i="2"/>
  <c r="Q344" i="2"/>
  <c r="O344" i="2"/>
  <c r="N344" i="2"/>
  <c r="L344" i="2"/>
  <c r="J344" i="2"/>
  <c r="Z343" i="2"/>
  <c r="W343" i="2"/>
  <c r="V343" i="2"/>
  <c r="Q343" i="2"/>
  <c r="O343" i="2"/>
  <c r="N343" i="2"/>
  <c r="L343" i="2"/>
  <c r="J343" i="2"/>
  <c r="Z342" i="2"/>
  <c r="W342" i="2"/>
  <c r="V342" i="2"/>
  <c r="Q342" i="2"/>
  <c r="O342" i="2"/>
  <c r="N342" i="2"/>
  <c r="L342" i="2"/>
  <c r="J342" i="2"/>
  <c r="Z341" i="2"/>
  <c r="W341" i="2"/>
  <c r="V341" i="2"/>
  <c r="Q341" i="2"/>
  <c r="O341" i="2"/>
  <c r="N341" i="2"/>
  <c r="L341" i="2"/>
  <c r="J341" i="2"/>
  <c r="Z340" i="2"/>
  <c r="W340" i="2"/>
  <c r="V340" i="2"/>
  <c r="Q340" i="2"/>
  <c r="O340" i="2"/>
  <c r="N340" i="2"/>
  <c r="L340" i="2"/>
  <c r="J340" i="2"/>
  <c r="Z339" i="2"/>
  <c r="W339" i="2"/>
  <c r="V339" i="2"/>
  <c r="Q339" i="2"/>
  <c r="O339" i="2"/>
  <c r="N339" i="2"/>
  <c r="L339" i="2"/>
  <c r="J339" i="2"/>
  <c r="Z338" i="2"/>
  <c r="W338" i="2"/>
  <c r="V338" i="2"/>
  <c r="Q338" i="2"/>
  <c r="O338" i="2"/>
  <c r="N338" i="2"/>
  <c r="L338" i="2"/>
  <c r="J338" i="2"/>
  <c r="Z337" i="2"/>
  <c r="W337" i="2"/>
  <c r="V337" i="2"/>
  <c r="Q337" i="2"/>
  <c r="O337" i="2"/>
  <c r="N337" i="2"/>
  <c r="L337" i="2"/>
  <c r="J337" i="2"/>
  <c r="Z336" i="2"/>
  <c r="W336" i="2"/>
  <c r="V336" i="2"/>
  <c r="Q336" i="2"/>
  <c r="O336" i="2"/>
  <c r="N336" i="2"/>
  <c r="L336" i="2"/>
  <c r="J336" i="2"/>
  <c r="Z335" i="2"/>
  <c r="W335" i="2"/>
  <c r="V335" i="2"/>
  <c r="Q335" i="2"/>
  <c r="O335" i="2"/>
  <c r="N335" i="2"/>
  <c r="L335" i="2"/>
  <c r="J335" i="2"/>
  <c r="Z334" i="2"/>
  <c r="W334" i="2"/>
  <c r="V334" i="2"/>
  <c r="Q334" i="2"/>
  <c r="O334" i="2"/>
  <c r="N334" i="2"/>
  <c r="L334" i="2"/>
  <c r="J334" i="2"/>
  <c r="Z333" i="2"/>
  <c r="W333" i="2"/>
  <c r="V333" i="2"/>
  <c r="Q333" i="2"/>
  <c r="O333" i="2"/>
  <c r="N333" i="2"/>
  <c r="L333" i="2"/>
  <c r="J333" i="2"/>
  <c r="Z332" i="2"/>
  <c r="W332" i="2"/>
  <c r="V332" i="2"/>
  <c r="Q332" i="2"/>
  <c r="O332" i="2"/>
  <c r="N332" i="2"/>
  <c r="L332" i="2"/>
  <c r="J332" i="2"/>
  <c r="Z331" i="2"/>
  <c r="W331" i="2"/>
  <c r="V331" i="2"/>
  <c r="Q331" i="2"/>
  <c r="O331" i="2"/>
  <c r="N331" i="2"/>
  <c r="L331" i="2"/>
  <c r="J331" i="2"/>
  <c r="Z330" i="2"/>
  <c r="W330" i="2"/>
  <c r="V330" i="2"/>
  <c r="Q330" i="2"/>
  <c r="O330" i="2"/>
  <c r="N330" i="2"/>
  <c r="L330" i="2"/>
  <c r="J330" i="2"/>
  <c r="Z329" i="2"/>
  <c r="W329" i="2"/>
  <c r="V329" i="2"/>
  <c r="Q329" i="2"/>
  <c r="O329" i="2"/>
  <c r="N329" i="2"/>
  <c r="L329" i="2"/>
  <c r="J329" i="2"/>
  <c r="Z328" i="2"/>
  <c r="W328" i="2"/>
  <c r="V328" i="2"/>
  <c r="Q328" i="2"/>
  <c r="O328" i="2"/>
  <c r="N328" i="2"/>
  <c r="L328" i="2"/>
  <c r="J328" i="2"/>
  <c r="Z327" i="2"/>
  <c r="W327" i="2"/>
  <c r="V327" i="2"/>
  <c r="Q327" i="2"/>
  <c r="O327" i="2"/>
  <c r="N327" i="2"/>
  <c r="L327" i="2"/>
  <c r="J327" i="2"/>
  <c r="Z326" i="2"/>
  <c r="W326" i="2"/>
  <c r="V326" i="2"/>
  <c r="Q326" i="2"/>
  <c r="O326" i="2"/>
  <c r="N326" i="2"/>
  <c r="L326" i="2"/>
  <c r="J326" i="2"/>
  <c r="Z325" i="2"/>
  <c r="W325" i="2"/>
  <c r="V325" i="2"/>
  <c r="Q325" i="2"/>
  <c r="O325" i="2"/>
  <c r="N325" i="2"/>
  <c r="L325" i="2"/>
  <c r="J325" i="2"/>
  <c r="Z324" i="2"/>
  <c r="W324" i="2"/>
  <c r="V324" i="2"/>
  <c r="Q324" i="2"/>
  <c r="O324" i="2"/>
  <c r="N324" i="2"/>
  <c r="L324" i="2"/>
  <c r="J324" i="2"/>
  <c r="Z323" i="2"/>
  <c r="W323" i="2"/>
  <c r="V323" i="2"/>
  <c r="Q323" i="2"/>
  <c r="O323" i="2"/>
  <c r="N323" i="2"/>
  <c r="L323" i="2"/>
  <c r="J323" i="2"/>
  <c r="Z322" i="2"/>
  <c r="W322" i="2"/>
  <c r="V322" i="2"/>
  <c r="Q322" i="2"/>
  <c r="O322" i="2"/>
  <c r="N322" i="2"/>
  <c r="L322" i="2"/>
  <c r="J322" i="2"/>
  <c r="Z321" i="2"/>
  <c r="W321" i="2"/>
  <c r="V321" i="2"/>
  <c r="Q321" i="2"/>
  <c r="O321" i="2"/>
  <c r="N321" i="2"/>
  <c r="L321" i="2"/>
  <c r="J321" i="2"/>
  <c r="Z320" i="2"/>
  <c r="W320" i="2"/>
  <c r="V320" i="2"/>
  <c r="Q320" i="2"/>
  <c r="O320" i="2"/>
  <c r="N320" i="2"/>
  <c r="L320" i="2"/>
  <c r="J320" i="2"/>
  <c r="Z319" i="2"/>
  <c r="W319" i="2"/>
  <c r="V319" i="2"/>
  <c r="Q319" i="2"/>
  <c r="O319" i="2"/>
  <c r="N319" i="2"/>
  <c r="L319" i="2"/>
  <c r="J319" i="2"/>
  <c r="Z318" i="2"/>
  <c r="W318" i="2"/>
  <c r="V318" i="2"/>
  <c r="Q318" i="2"/>
  <c r="O318" i="2"/>
  <c r="N318" i="2"/>
  <c r="L318" i="2"/>
  <c r="J318" i="2"/>
  <c r="Z317" i="2"/>
  <c r="W317" i="2"/>
  <c r="V317" i="2"/>
  <c r="Q317" i="2"/>
  <c r="O317" i="2"/>
  <c r="N317" i="2"/>
  <c r="L317" i="2"/>
  <c r="J317" i="2"/>
  <c r="Z316" i="2"/>
  <c r="W316" i="2"/>
  <c r="V316" i="2"/>
  <c r="Q316" i="2"/>
  <c r="O316" i="2"/>
  <c r="N316" i="2"/>
  <c r="L316" i="2"/>
  <c r="J316" i="2"/>
  <c r="Z315" i="2"/>
  <c r="W315" i="2"/>
  <c r="V315" i="2"/>
  <c r="Q315" i="2"/>
  <c r="O315" i="2"/>
  <c r="N315" i="2"/>
  <c r="L315" i="2"/>
  <c r="J315" i="2"/>
  <c r="Z314" i="2"/>
  <c r="W314" i="2"/>
  <c r="V314" i="2"/>
  <c r="Q314" i="2"/>
  <c r="O314" i="2"/>
  <c r="N314" i="2"/>
  <c r="L314" i="2"/>
  <c r="J314" i="2"/>
  <c r="Z313" i="2"/>
  <c r="W313" i="2"/>
  <c r="V313" i="2"/>
  <c r="Q313" i="2"/>
  <c r="O313" i="2"/>
  <c r="N313" i="2"/>
  <c r="L313" i="2"/>
  <c r="J313" i="2"/>
  <c r="Z312" i="2"/>
  <c r="W312" i="2"/>
  <c r="V312" i="2"/>
  <c r="Q312" i="2"/>
  <c r="O312" i="2"/>
  <c r="N312" i="2"/>
  <c r="L312" i="2"/>
  <c r="J312" i="2"/>
  <c r="Z311" i="2"/>
  <c r="W311" i="2"/>
  <c r="V311" i="2"/>
  <c r="Q311" i="2"/>
  <c r="O311" i="2"/>
  <c r="N311" i="2"/>
  <c r="L311" i="2"/>
  <c r="J311" i="2"/>
  <c r="Z310" i="2"/>
  <c r="W310" i="2"/>
  <c r="V310" i="2"/>
  <c r="Q310" i="2"/>
  <c r="O310" i="2"/>
  <c r="N310" i="2"/>
  <c r="L310" i="2"/>
  <c r="J310" i="2"/>
  <c r="Z309" i="2"/>
  <c r="W309" i="2"/>
  <c r="V309" i="2"/>
  <c r="Q309" i="2"/>
  <c r="O309" i="2"/>
  <c r="N309" i="2"/>
  <c r="L309" i="2"/>
  <c r="J309" i="2"/>
  <c r="Z308" i="2"/>
  <c r="W308" i="2"/>
  <c r="V308" i="2"/>
  <c r="Q308" i="2"/>
  <c r="O308" i="2"/>
  <c r="N308" i="2"/>
  <c r="L308" i="2"/>
  <c r="J308" i="2"/>
  <c r="Z307" i="2"/>
  <c r="W307" i="2"/>
  <c r="V307" i="2"/>
  <c r="Q307" i="2"/>
  <c r="O307" i="2"/>
  <c r="N307" i="2"/>
  <c r="L307" i="2"/>
  <c r="J307" i="2"/>
  <c r="Z306" i="2"/>
  <c r="W306" i="2"/>
  <c r="V306" i="2"/>
  <c r="Q306" i="2"/>
  <c r="O306" i="2"/>
  <c r="N306" i="2"/>
  <c r="L306" i="2"/>
  <c r="J306" i="2"/>
  <c r="Z305" i="2"/>
  <c r="W305" i="2"/>
  <c r="V305" i="2"/>
  <c r="Q305" i="2"/>
  <c r="O305" i="2"/>
  <c r="N305" i="2"/>
  <c r="L305" i="2"/>
  <c r="J305" i="2"/>
  <c r="Z304" i="2"/>
  <c r="W304" i="2"/>
  <c r="V304" i="2"/>
  <c r="Q304" i="2"/>
  <c r="O304" i="2"/>
  <c r="N304" i="2"/>
  <c r="L304" i="2"/>
  <c r="J304" i="2"/>
  <c r="Z303" i="2"/>
  <c r="W303" i="2"/>
  <c r="V303" i="2"/>
  <c r="Q303" i="2"/>
  <c r="O303" i="2"/>
  <c r="N303" i="2"/>
  <c r="L303" i="2"/>
  <c r="J303" i="2"/>
  <c r="Z302" i="2"/>
  <c r="W302" i="2"/>
  <c r="V302" i="2"/>
  <c r="Q302" i="2"/>
  <c r="O302" i="2"/>
  <c r="N302" i="2"/>
  <c r="L302" i="2"/>
  <c r="J302" i="2"/>
  <c r="Z301" i="2"/>
  <c r="W301" i="2"/>
  <c r="V301" i="2"/>
  <c r="Q301" i="2"/>
  <c r="O301" i="2"/>
  <c r="N301" i="2"/>
  <c r="L301" i="2"/>
  <c r="J301" i="2"/>
  <c r="Z300" i="2"/>
  <c r="W300" i="2"/>
  <c r="V300" i="2"/>
  <c r="Q300" i="2"/>
  <c r="O300" i="2"/>
  <c r="N300" i="2"/>
  <c r="L300" i="2"/>
  <c r="J300" i="2"/>
  <c r="Z299" i="2"/>
  <c r="W299" i="2"/>
  <c r="V299" i="2"/>
  <c r="Q299" i="2"/>
  <c r="O299" i="2"/>
  <c r="N299" i="2"/>
  <c r="L299" i="2"/>
  <c r="J299" i="2"/>
  <c r="Z298" i="2"/>
  <c r="W298" i="2"/>
  <c r="V298" i="2"/>
  <c r="Q298" i="2"/>
  <c r="O298" i="2"/>
  <c r="N298" i="2"/>
  <c r="L298" i="2"/>
  <c r="J298" i="2"/>
  <c r="Z297" i="2"/>
  <c r="W297" i="2"/>
  <c r="V297" i="2"/>
  <c r="Q297" i="2"/>
  <c r="O297" i="2"/>
  <c r="N297" i="2"/>
  <c r="L297" i="2"/>
  <c r="J297" i="2"/>
  <c r="Z296" i="2"/>
  <c r="W296" i="2"/>
  <c r="V296" i="2"/>
  <c r="Q296" i="2"/>
  <c r="O296" i="2"/>
  <c r="N296" i="2"/>
  <c r="L296" i="2"/>
  <c r="J296" i="2"/>
  <c r="Z295" i="2"/>
  <c r="W295" i="2"/>
  <c r="V295" i="2"/>
  <c r="Q295" i="2"/>
  <c r="O295" i="2"/>
  <c r="N295" i="2"/>
  <c r="L295" i="2"/>
  <c r="J295" i="2"/>
  <c r="Z294" i="2"/>
  <c r="W294" i="2"/>
  <c r="V294" i="2"/>
  <c r="Q294" i="2"/>
  <c r="O294" i="2"/>
  <c r="N294" i="2"/>
  <c r="L294" i="2"/>
  <c r="J294" i="2"/>
  <c r="Z293" i="2"/>
  <c r="W293" i="2"/>
  <c r="V293" i="2"/>
  <c r="Q293" i="2"/>
  <c r="O293" i="2"/>
  <c r="N293" i="2"/>
  <c r="L293" i="2"/>
  <c r="J293" i="2"/>
  <c r="Z292" i="2"/>
  <c r="W292" i="2"/>
  <c r="V292" i="2"/>
  <c r="Q292" i="2"/>
  <c r="O292" i="2"/>
  <c r="N292" i="2"/>
  <c r="L292" i="2"/>
  <c r="J292" i="2"/>
  <c r="Z291" i="2"/>
  <c r="W291" i="2"/>
  <c r="V291" i="2"/>
  <c r="Q291" i="2"/>
  <c r="O291" i="2"/>
  <c r="N291" i="2"/>
  <c r="L291" i="2"/>
  <c r="J291" i="2"/>
  <c r="Z290" i="2"/>
  <c r="W290" i="2"/>
  <c r="V290" i="2"/>
  <c r="Q290" i="2"/>
  <c r="O290" i="2"/>
  <c r="N290" i="2"/>
  <c r="L290" i="2"/>
  <c r="J290" i="2"/>
  <c r="Z289" i="2"/>
  <c r="W289" i="2"/>
  <c r="V289" i="2"/>
  <c r="Q289" i="2"/>
  <c r="O289" i="2"/>
  <c r="N289" i="2"/>
  <c r="L289" i="2"/>
  <c r="J289" i="2"/>
  <c r="Z288" i="2"/>
  <c r="W288" i="2"/>
  <c r="V288" i="2"/>
  <c r="Q288" i="2"/>
  <c r="O288" i="2"/>
  <c r="N288" i="2"/>
  <c r="L288" i="2"/>
  <c r="J288" i="2"/>
  <c r="Z287" i="2"/>
  <c r="W287" i="2"/>
  <c r="V287" i="2"/>
  <c r="Q287" i="2"/>
  <c r="O287" i="2"/>
  <c r="N287" i="2"/>
  <c r="L287" i="2"/>
  <c r="J287" i="2"/>
  <c r="Z286" i="2"/>
  <c r="W286" i="2"/>
  <c r="V286" i="2"/>
  <c r="Q286" i="2"/>
  <c r="O286" i="2"/>
  <c r="N286" i="2"/>
  <c r="L286" i="2"/>
  <c r="J286" i="2"/>
  <c r="Z285" i="2"/>
  <c r="W285" i="2"/>
  <c r="V285" i="2"/>
  <c r="Q285" i="2"/>
  <c r="O285" i="2"/>
  <c r="N285" i="2"/>
  <c r="L285" i="2"/>
  <c r="J285" i="2"/>
  <c r="Z284" i="2"/>
  <c r="W284" i="2"/>
  <c r="V284" i="2"/>
  <c r="Q284" i="2"/>
  <c r="O284" i="2"/>
  <c r="N284" i="2"/>
  <c r="L284" i="2"/>
  <c r="J284" i="2"/>
  <c r="Z283" i="2"/>
  <c r="W283" i="2"/>
  <c r="V283" i="2"/>
  <c r="Q283" i="2"/>
  <c r="O283" i="2"/>
  <c r="N283" i="2"/>
  <c r="L283" i="2"/>
  <c r="J283" i="2"/>
  <c r="Z282" i="2"/>
  <c r="W282" i="2"/>
  <c r="V282" i="2"/>
  <c r="Q282" i="2"/>
  <c r="O282" i="2"/>
  <c r="N282" i="2"/>
  <c r="L282" i="2"/>
  <c r="J282" i="2"/>
  <c r="Z281" i="2"/>
  <c r="W281" i="2"/>
  <c r="V281" i="2"/>
  <c r="Q281" i="2"/>
  <c r="O281" i="2"/>
  <c r="N281" i="2"/>
  <c r="L281" i="2"/>
  <c r="J281" i="2"/>
  <c r="Z280" i="2"/>
  <c r="W280" i="2"/>
  <c r="V280" i="2"/>
  <c r="Q280" i="2"/>
  <c r="O280" i="2"/>
  <c r="N280" i="2"/>
  <c r="L280" i="2"/>
  <c r="J280" i="2"/>
  <c r="Z279" i="2"/>
  <c r="W279" i="2"/>
  <c r="V279" i="2"/>
  <c r="Q279" i="2"/>
  <c r="O279" i="2"/>
  <c r="N279" i="2"/>
  <c r="L279" i="2"/>
  <c r="J279" i="2"/>
  <c r="Z278" i="2"/>
  <c r="V278" i="2"/>
  <c r="Q278" i="2"/>
  <c r="O278" i="2"/>
  <c r="N278" i="2"/>
  <c r="L278" i="2"/>
  <c r="J278" i="2"/>
  <c r="Z277" i="2"/>
  <c r="W277" i="2"/>
  <c r="V277" i="2"/>
  <c r="Q277" i="2"/>
  <c r="O277" i="2"/>
  <c r="N277" i="2"/>
  <c r="L277" i="2"/>
  <c r="J277" i="2"/>
  <c r="Z276" i="2"/>
  <c r="W276" i="2"/>
  <c r="V276" i="2"/>
  <c r="Q276" i="2"/>
  <c r="O276" i="2"/>
  <c r="N276" i="2"/>
  <c r="L276" i="2"/>
  <c r="J276" i="2"/>
  <c r="Z275" i="2"/>
  <c r="W275" i="2"/>
  <c r="V275" i="2"/>
  <c r="Q275" i="2"/>
  <c r="O275" i="2"/>
  <c r="N275" i="2"/>
  <c r="L275" i="2"/>
  <c r="J275" i="2"/>
  <c r="Z274" i="2"/>
  <c r="W274" i="2"/>
  <c r="V274" i="2"/>
  <c r="Q274" i="2"/>
  <c r="O274" i="2"/>
  <c r="N274" i="2"/>
  <c r="L274" i="2"/>
  <c r="J274" i="2"/>
  <c r="Z273" i="2"/>
  <c r="W273" i="2"/>
  <c r="V273" i="2"/>
  <c r="Q273" i="2"/>
  <c r="O273" i="2"/>
  <c r="N273" i="2"/>
  <c r="L273" i="2"/>
  <c r="J273" i="2"/>
  <c r="Z272" i="2"/>
  <c r="W272" i="2"/>
  <c r="V272" i="2"/>
  <c r="Q272" i="2"/>
  <c r="O272" i="2"/>
  <c r="N272" i="2"/>
  <c r="L272" i="2"/>
  <c r="J272" i="2"/>
  <c r="Z271" i="2"/>
  <c r="W271" i="2"/>
  <c r="V271" i="2"/>
  <c r="Q271" i="2"/>
  <c r="O271" i="2"/>
  <c r="N271" i="2"/>
  <c r="L271" i="2"/>
  <c r="J271" i="2"/>
  <c r="Z270" i="2"/>
  <c r="W270" i="2"/>
  <c r="V270" i="2"/>
  <c r="Q270" i="2"/>
  <c r="O270" i="2"/>
  <c r="N270" i="2"/>
  <c r="L270" i="2"/>
  <c r="J270" i="2"/>
  <c r="Z269" i="2"/>
  <c r="W269" i="2"/>
  <c r="V269" i="2"/>
  <c r="Q269" i="2"/>
  <c r="O269" i="2"/>
  <c r="N269" i="2"/>
  <c r="L269" i="2"/>
  <c r="J269" i="2"/>
  <c r="Z268" i="2"/>
  <c r="W268" i="2"/>
  <c r="V268" i="2"/>
  <c r="Q268" i="2"/>
  <c r="O268" i="2"/>
  <c r="N268" i="2"/>
  <c r="L268" i="2"/>
  <c r="J268" i="2"/>
  <c r="Z267" i="2"/>
  <c r="W267" i="2"/>
  <c r="V267" i="2"/>
  <c r="Q267" i="2"/>
  <c r="O267" i="2"/>
  <c r="N267" i="2"/>
  <c r="L267" i="2"/>
  <c r="J267" i="2"/>
  <c r="Z266" i="2"/>
  <c r="W266" i="2"/>
  <c r="V266" i="2"/>
  <c r="Q266" i="2"/>
  <c r="O266" i="2"/>
  <c r="N266" i="2"/>
  <c r="L266" i="2"/>
  <c r="J266" i="2"/>
  <c r="Z265" i="2"/>
  <c r="W265" i="2"/>
  <c r="V265" i="2"/>
  <c r="Q265" i="2"/>
  <c r="O265" i="2"/>
  <c r="N265" i="2"/>
  <c r="L265" i="2"/>
  <c r="J265" i="2"/>
  <c r="Z264" i="2"/>
  <c r="W264" i="2"/>
  <c r="V264" i="2"/>
  <c r="Q264" i="2"/>
  <c r="O264" i="2"/>
  <c r="N264" i="2"/>
  <c r="L264" i="2"/>
  <c r="J264" i="2"/>
  <c r="Z263" i="2"/>
  <c r="W263" i="2"/>
  <c r="V263" i="2"/>
  <c r="Q263" i="2"/>
  <c r="O263" i="2"/>
  <c r="N263" i="2"/>
  <c r="L263" i="2"/>
  <c r="J263" i="2"/>
  <c r="Z262" i="2"/>
  <c r="W262" i="2"/>
  <c r="V262" i="2"/>
  <c r="Q262" i="2"/>
  <c r="O262" i="2"/>
  <c r="N262" i="2"/>
  <c r="L262" i="2"/>
  <c r="J262" i="2"/>
  <c r="Z261" i="2"/>
  <c r="W261" i="2"/>
  <c r="V261" i="2"/>
  <c r="Q261" i="2"/>
  <c r="O261" i="2"/>
  <c r="N261" i="2"/>
  <c r="L261" i="2"/>
  <c r="J261" i="2"/>
  <c r="Z260" i="2"/>
  <c r="W260" i="2"/>
  <c r="V260" i="2"/>
  <c r="Q260" i="2"/>
  <c r="O260" i="2"/>
  <c r="N260" i="2"/>
  <c r="L260" i="2"/>
  <c r="J260" i="2"/>
  <c r="Z259" i="2"/>
  <c r="W259" i="2"/>
  <c r="V259" i="2"/>
  <c r="Q259" i="2"/>
  <c r="O259" i="2"/>
  <c r="N259" i="2"/>
  <c r="L259" i="2"/>
  <c r="J259" i="2"/>
  <c r="Z258" i="2"/>
  <c r="W258" i="2"/>
  <c r="V258" i="2"/>
  <c r="Q258" i="2"/>
  <c r="O258" i="2"/>
  <c r="N258" i="2"/>
  <c r="L258" i="2"/>
  <c r="J258" i="2"/>
  <c r="Z257" i="2"/>
  <c r="W257" i="2"/>
  <c r="V257" i="2"/>
  <c r="Q257" i="2"/>
  <c r="O257" i="2"/>
  <c r="N257" i="2"/>
  <c r="L257" i="2"/>
  <c r="J257" i="2"/>
  <c r="Z256" i="2"/>
  <c r="W256" i="2"/>
  <c r="V256" i="2"/>
  <c r="Q256" i="2"/>
  <c r="O256" i="2"/>
  <c r="N256" i="2"/>
  <c r="L256" i="2"/>
  <c r="J256" i="2"/>
  <c r="Z255" i="2"/>
  <c r="W255" i="2"/>
  <c r="V255" i="2"/>
  <c r="Q255" i="2"/>
  <c r="O255" i="2"/>
  <c r="N255" i="2"/>
  <c r="L255" i="2"/>
  <c r="J255" i="2"/>
  <c r="Z254" i="2"/>
  <c r="W254" i="2"/>
  <c r="V254" i="2"/>
  <c r="Q254" i="2"/>
  <c r="O254" i="2"/>
  <c r="N254" i="2"/>
  <c r="L254" i="2"/>
  <c r="J254" i="2"/>
  <c r="Z253" i="2"/>
  <c r="W253" i="2"/>
  <c r="V253" i="2"/>
  <c r="Q253" i="2"/>
  <c r="O253" i="2"/>
  <c r="N253" i="2"/>
  <c r="L253" i="2"/>
  <c r="J253" i="2"/>
  <c r="Z252" i="2"/>
  <c r="W252" i="2"/>
  <c r="V252" i="2"/>
  <c r="Q252" i="2"/>
  <c r="O252" i="2"/>
  <c r="N252" i="2"/>
  <c r="L252" i="2"/>
  <c r="J252" i="2"/>
  <c r="Z251" i="2"/>
  <c r="W251" i="2"/>
  <c r="V251" i="2"/>
  <c r="Q251" i="2"/>
  <c r="O251" i="2"/>
  <c r="N251" i="2"/>
  <c r="L251" i="2"/>
  <c r="J251" i="2"/>
  <c r="Z250" i="2"/>
  <c r="W250" i="2"/>
  <c r="V250" i="2"/>
  <c r="Q250" i="2"/>
  <c r="O250" i="2"/>
  <c r="N250" i="2"/>
  <c r="L250" i="2"/>
  <c r="J250" i="2"/>
  <c r="Z249" i="2"/>
  <c r="W249" i="2"/>
  <c r="V249" i="2"/>
  <c r="Q249" i="2"/>
  <c r="O249" i="2"/>
  <c r="N249" i="2"/>
  <c r="L249" i="2"/>
  <c r="J249" i="2"/>
  <c r="Z248" i="2"/>
  <c r="W248" i="2"/>
  <c r="V248" i="2"/>
  <c r="Q248" i="2"/>
  <c r="O248" i="2"/>
  <c r="N248" i="2"/>
  <c r="L248" i="2"/>
  <c r="J248" i="2"/>
  <c r="Z247" i="2"/>
  <c r="W247" i="2"/>
  <c r="V247" i="2"/>
  <c r="Q247" i="2"/>
  <c r="O247" i="2"/>
  <c r="N247" i="2"/>
  <c r="L247" i="2"/>
  <c r="J247" i="2"/>
  <c r="Z246" i="2"/>
  <c r="W246" i="2"/>
  <c r="V246" i="2"/>
  <c r="Q246" i="2"/>
  <c r="O246" i="2"/>
  <c r="N246" i="2"/>
  <c r="L246" i="2"/>
  <c r="J246" i="2"/>
  <c r="Z245" i="2"/>
  <c r="W245" i="2"/>
  <c r="V245" i="2"/>
  <c r="Q245" i="2"/>
  <c r="O245" i="2"/>
  <c r="N245" i="2"/>
  <c r="L245" i="2"/>
  <c r="J245" i="2"/>
  <c r="Z244" i="2"/>
  <c r="W244" i="2"/>
  <c r="V244" i="2"/>
  <c r="Q244" i="2"/>
  <c r="O244" i="2"/>
  <c r="N244" i="2"/>
  <c r="L244" i="2"/>
  <c r="J244" i="2"/>
  <c r="W243" i="2"/>
  <c r="V243" i="2"/>
  <c r="Q243" i="2"/>
  <c r="O243" i="2"/>
  <c r="N243" i="2"/>
  <c r="L243" i="2"/>
  <c r="J243" i="2"/>
  <c r="W242" i="2"/>
  <c r="V242" i="2"/>
  <c r="Q242" i="2"/>
  <c r="O242" i="2"/>
  <c r="N242" i="2"/>
  <c r="L242" i="2"/>
  <c r="J242" i="2"/>
  <c r="W241" i="2"/>
  <c r="V241" i="2"/>
  <c r="Q241" i="2"/>
  <c r="O241" i="2"/>
  <c r="N241" i="2"/>
  <c r="L241" i="2"/>
  <c r="J241" i="2"/>
  <c r="Z240" i="2"/>
  <c r="W240" i="2"/>
  <c r="V240" i="2"/>
  <c r="Q240" i="2"/>
  <c r="O240" i="2"/>
  <c r="N240" i="2"/>
  <c r="L240" i="2"/>
  <c r="J240" i="2"/>
  <c r="Z239" i="2"/>
  <c r="W239" i="2"/>
  <c r="V239" i="2"/>
  <c r="Q239" i="2"/>
  <c r="O239" i="2"/>
  <c r="N239" i="2"/>
  <c r="L239" i="2"/>
  <c r="J239" i="2"/>
  <c r="Z238" i="2"/>
  <c r="W238" i="2"/>
  <c r="V238" i="2"/>
  <c r="Q238" i="2"/>
  <c r="O238" i="2"/>
  <c r="N238" i="2"/>
  <c r="L238" i="2"/>
  <c r="J238" i="2"/>
  <c r="Z237" i="2"/>
  <c r="W237" i="2"/>
  <c r="V237" i="2"/>
  <c r="Q237" i="2"/>
  <c r="O237" i="2"/>
  <c r="N237" i="2"/>
  <c r="L237" i="2"/>
  <c r="J237" i="2"/>
  <c r="Z236" i="2"/>
  <c r="W236" i="2"/>
  <c r="V236" i="2"/>
  <c r="Q236" i="2"/>
  <c r="O236" i="2"/>
  <c r="N236" i="2"/>
  <c r="L236" i="2"/>
  <c r="J236" i="2"/>
  <c r="Z235" i="2"/>
  <c r="W235" i="2"/>
  <c r="V235" i="2"/>
  <c r="Q235" i="2"/>
  <c r="O235" i="2"/>
  <c r="N235" i="2"/>
  <c r="L235" i="2"/>
  <c r="J235" i="2"/>
  <c r="Z234" i="2"/>
  <c r="W234" i="2"/>
  <c r="V234" i="2"/>
  <c r="Q234" i="2"/>
  <c r="O234" i="2"/>
  <c r="N234" i="2"/>
  <c r="L234" i="2"/>
  <c r="J234" i="2"/>
  <c r="Z233" i="2"/>
  <c r="W233" i="2"/>
  <c r="V233" i="2"/>
  <c r="Q233" i="2"/>
  <c r="O233" i="2"/>
  <c r="N233" i="2"/>
  <c r="L233" i="2"/>
  <c r="J233" i="2"/>
  <c r="Z232" i="2"/>
  <c r="W232" i="2"/>
  <c r="V232" i="2"/>
  <c r="Q232" i="2"/>
  <c r="O232" i="2"/>
  <c r="N232" i="2"/>
  <c r="L232" i="2"/>
  <c r="J232" i="2"/>
  <c r="Z231" i="2"/>
  <c r="W231" i="2"/>
  <c r="V231" i="2"/>
  <c r="Q231" i="2"/>
  <c r="O231" i="2"/>
  <c r="N231" i="2"/>
  <c r="L231" i="2"/>
  <c r="J231" i="2"/>
  <c r="Z230" i="2"/>
  <c r="W230" i="2"/>
  <c r="V230" i="2"/>
  <c r="Q230" i="2"/>
  <c r="O230" i="2"/>
  <c r="N230" i="2"/>
  <c r="L230" i="2"/>
  <c r="J230" i="2"/>
  <c r="Z229" i="2"/>
  <c r="W229" i="2"/>
  <c r="V229" i="2"/>
  <c r="Q229" i="2"/>
  <c r="O229" i="2"/>
  <c r="N229" i="2"/>
  <c r="L229" i="2"/>
  <c r="J229" i="2"/>
  <c r="Z228" i="2"/>
  <c r="W228" i="2"/>
  <c r="V228" i="2"/>
  <c r="Q228" i="2"/>
  <c r="O228" i="2"/>
  <c r="N228" i="2"/>
  <c r="L228" i="2"/>
  <c r="J228" i="2"/>
  <c r="Z227" i="2"/>
  <c r="W227" i="2"/>
  <c r="V227" i="2"/>
  <c r="Q227" i="2"/>
  <c r="O227" i="2"/>
  <c r="N227" i="2"/>
  <c r="L227" i="2"/>
  <c r="J227" i="2"/>
  <c r="Z226" i="2"/>
  <c r="W226" i="2"/>
  <c r="V226" i="2"/>
  <c r="Q226" i="2"/>
  <c r="O226" i="2"/>
  <c r="N226" i="2"/>
  <c r="L226" i="2"/>
  <c r="J226" i="2"/>
  <c r="Z225" i="2"/>
  <c r="W225" i="2"/>
  <c r="V225" i="2"/>
  <c r="Q225" i="2"/>
  <c r="O225" i="2"/>
  <c r="N225" i="2"/>
  <c r="L225" i="2"/>
  <c r="J225" i="2"/>
  <c r="Z224" i="2"/>
  <c r="W224" i="2"/>
  <c r="V224" i="2"/>
  <c r="Q224" i="2"/>
  <c r="O224" i="2"/>
  <c r="N224" i="2"/>
  <c r="L224" i="2"/>
  <c r="J224" i="2"/>
  <c r="Z223" i="2"/>
  <c r="W223" i="2"/>
  <c r="V223" i="2"/>
  <c r="Q223" i="2"/>
  <c r="O223" i="2"/>
  <c r="N223" i="2"/>
  <c r="L223" i="2"/>
  <c r="J223" i="2"/>
  <c r="Z222" i="2"/>
  <c r="W222" i="2"/>
  <c r="V222" i="2"/>
  <c r="Q222" i="2"/>
  <c r="O222" i="2"/>
  <c r="N222" i="2"/>
  <c r="L222" i="2"/>
  <c r="J222" i="2"/>
  <c r="Z221" i="2"/>
  <c r="W221" i="2"/>
  <c r="V221" i="2"/>
  <c r="Q221" i="2"/>
  <c r="O221" i="2"/>
  <c r="N221" i="2"/>
  <c r="L221" i="2"/>
  <c r="J221" i="2"/>
  <c r="Z220" i="2"/>
  <c r="W220" i="2"/>
  <c r="V220" i="2"/>
  <c r="Q220" i="2"/>
  <c r="O220" i="2"/>
  <c r="N220" i="2"/>
  <c r="L220" i="2"/>
  <c r="J220" i="2"/>
  <c r="Z219" i="2"/>
  <c r="W219" i="2"/>
  <c r="V219" i="2"/>
  <c r="Q219" i="2"/>
  <c r="O219" i="2"/>
  <c r="N219" i="2"/>
  <c r="L219" i="2"/>
  <c r="J219" i="2"/>
  <c r="Z218" i="2"/>
  <c r="W218" i="2"/>
  <c r="V218" i="2"/>
  <c r="Q218" i="2"/>
  <c r="O218" i="2"/>
  <c r="N218" i="2"/>
  <c r="L218" i="2"/>
  <c r="J218" i="2"/>
  <c r="Z217" i="2"/>
  <c r="W217" i="2"/>
  <c r="V217" i="2"/>
  <c r="Q217" i="2"/>
  <c r="O217" i="2"/>
  <c r="N217" i="2"/>
  <c r="L217" i="2"/>
  <c r="J217" i="2"/>
  <c r="Z216" i="2"/>
  <c r="W216" i="2"/>
  <c r="V216" i="2"/>
  <c r="Q216" i="2"/>
  <c r="O216" i="2"/>
  <c r="N216" i="2"/>
  <c r="L216" i="2"/>
  <c r="J216" i="2"/>
  <c r="Z215" i="2"/>
  <c r="W215" i="2"/>
  <c r="V215" i="2"/>
  <c r="Q215" i="2"/>
  <c r="O215" i="2"/>
  <c r="N215" i="2"/>
  <c r="L215" i="2"/>
  <c r="J215" i="2"/>
  <c r="Z214" i="2"/>
  <c r="W214" i="2"/>
  <c r="V214" i="2"/>
  <c r="Q214" i="2"/>
  <c r="O214" i="2"/>
  <c r="N214" i="2"/>
  <c r="L214" i="2"/>
  <c r="J214" i="2"/>
  <c r="Z213" i="2"/>
  <c r="W213" i="2"/>
  <c r="V213" i="2"/>
  <c r="Q213" i="2"/>
  <c r="O213" i="2"/>
  <c r="N213" i="2"/>
  <c r="L213" i="2"/>
  <c r="J213" i="2"/>
  <c r="Z212" i="2"/>
  <c r="W212" i="2"/>
  <c r="V212" i="2"/>
  <c r="Q212" i="2"/>
  <c r="O212" i="2"/>
  <c r="N212" i="2"/>
  <c r="L212" i="2"/>
  <c r="J212" i="2"/>
  <c r="Z211" i="2"/>
  <c r="W211" i="2"/>
  <c r="V211" i="2"/>
  <c r="Q211" i="2"/>
  <c r="O211" i="2"/>
  <c r="N211" i="2"/>
  <c r="L211" i="2"/>
  <c r="J211" i="2"/>
  <c r="Z210" i="2"/>
  <c r="W210" i="2"/>
  <c r="V210" i="2"/>
  <c r="Q210" i="2"/>
  <c r="O210" i="2"/>
  <c r="N210" i="2"/>
  <c r="L210" i="2"/>
  <c r="J210" i="2"/>
  <c r="Z209" i="2"/>
  <c r="W209" i="2"/>
  <c r="V209" i="2"/>
  <c r="Q209" i="2"/>
  <c r="O209" i="2"/>
  <c r="N209" i="2"/>
  <c r="L209" i="2"/>
  <c r="J209" i="2"/>
  <c r="Z208" i="2"/>
  <c r="W208" i="2"/>
  <c r="V208" i="2"/>
  <c r="Q208" i="2"/>
  <c r="O208" i="2"/>
  <c r="N208" i="2"/>
  <c r="L208" i="2"/>
  <c r="J208" i="2"/>
  <c r="Z207" i="2"/>
  <c r="W207" i="2"/>
  <c r="V207" i="2"/>
  <c r="Q207" i="2"/>
  <c r="O207" i="2"/>
  <c r="N207" i="2"/>
  <c r="L207" i="2"/>
  <c r="J207" i="2"/>
  <c r="Z206" i="2"/>
  <c r="W206" i="2"/>
  <c r="V206" i="2"/>
  <c r="Q206" i="2"/>
  <c r="O206" i="2"/>
  <c r="N206" i="2"/>
  <c r="L206" i="2"/>
  <c r="J206" i="2"/>
  <c r="Z205" i="2"/>
  <c r="W205" i="2"/>
  <c r="V205" i="2"/>
  <c r="Q205" i="2"/>
  <c r="O205" i="2"/>
  <c r="N205" i="2"/>
  <c r="L205" i="2"/>
  <c r="J205" i="2"/>
  <c r="Z204" i="2"/>
  <c r="W204" i="2"/>
  <c r="V204" i="2"/>
  <c r="Q204" i="2"/>
  <c r="O204" i="2"/>
  <c r="N204" i="2"/>
  <c r="L204" i="2"/>
  <c r="J204" i="2"/>
  <c r="Z203" i="2"/>
  <c r="W203" i="2"/>
  <c r="V203" i="2"/>
  <c r="Q203" i="2"/>
  <c r="O203" i="2"/>
  <c r="N203" i="2"/>
  <c r="L203" i="2"/>
  <c r="J203" i="2"/>
  <c r="Z202" i="2"/>
  <c r="W202" i="2"/>
  <c r="V202" i="2"/>
  <c r="Q202" i="2"/>
  <c r="O202" i="2"/>
  <c r="N202" i="2"/>
  <c r="L202" i="2"/>
  <c r="J202" i="2"/>
  <c r="Z201" i="2"/>
  <c r="W201" i="2"/>
  <c r="V201" i="2"/>
  <c r="Q201" i="2"/>
  <c r="O201" i="2"/>
  <c r="N201" i="2"/>
  <c r="L201" i="2"/>
  <c r="J201" i="2"/>
  <c r="Z200" i="2"/>
  <c r="W200" i="2"/>
  <c r="V200" i="2"/>
  <c r="Q200" i="2"/>
  <c r="O200" i="2"/>
  <c r="N200" i="2"/>
  <c r="L200" i="2"/>
  <c r="J200" i="2"/>
  <c r="Z199" i="2"/>
  <c r="W199" i="2"/>
  <c r="V199" i="2"/>
  <c r="Q199" i="2"/>
  <c r="O199" i="2"/>
  <c r="N199" i="2"/>
  <c r="L199" i="2"/>
  <c r="J199" i="2"/>
  <c r="Z198" i="2"/>
  <c r="W198" i="2"/>
  <c r="V198" i="2"/>
  <c r="Q198" i="2"/>
  <c r="O198" i="2"/>
  <c r="N198" i="2"/>
  <c r="L198" i="2"/>
  <c r="J198" i="2"/>
  <c r="Z197" i="2"/>
  <c r="W197" i="2"/>
  <c r="V197" i="2"/>
  <c r="Q197" i="2"/>
  <c r="O197" i="2"/>
  <c r="N197" i="2"/>
  <c r="L197" i="2"/>
  <c r="J197" i="2"/>
  <c r="Z196" i="2"/>
  <c r="W196" i="2"/>
  <c r="V196" i="2"/>
  <c r="Q196" i="2"/>
  <c r="O196" i="2"/>
  <c r="N196" i="2"/>
  <c r="L196" i="2"/>
  <c r="J196" i="2"/>
  <c r="Z195" i="2"/>
  <c r="W195" i="2"/>
  <c r="V195" i="2"/>
  <c r="Q195" i="2"/>
  <c r="O195" i="2"/>
  <c r="N195" i="2"/>
  <c r="L195" i="2"/>
  <c r="J195" i="2"/>
  <c r="Z194" i="2"/>
  <c r="W194" i="2"/>
  <c r="V194" i="2"/>
  <c r="Q194" i="2"/>
  <c r="O194" i="2"/>
  <c r="N194" i="2"/>
  <c r="L194" i="2"/>
  <c r="J194" i="2"/>
  <c r="Z193" i="2"/>
  <c r="W193" i="2"/>
  <c r="V193" i="2"/>
  <c r="Q193" i="2"/>
  <c r="O193" i="2"/>
  <c r="N193" i="2"/>
  <c r="L193" i="2"/>
  <c r="J193" i="2"/>
  <c r="Z192" i="2"/>
  <c r="W192" i="2"/>
  <c r="V192" i="2"/>
  <c r="Q192" i="2"/>
  <c r="O192" i="2"/>
  <c r="N192" i="2"/>
  <c r="L192" i="2"/>
  <c r="J192" i="2"/>
  <c r="Z191" i="2"/>
  <c r="W191" i="2"/>
  <c r="V191" i="2"/>
  <c r="Q191" i="2"/>
  <c r="O191" i="2"/>
  <c r="N191" i="2"/>
  <c r="L191" i="2"/>
  <c r="J191" i="2"/>
  <c r="Z190" i="2"/>
  <c r="W190" i="2"/>
  <c r="V190" i="2"/>
  <c r="Q190" i="2"/>
  <c r="O190" i="2"/>
  <c r="N190" i="2"/>
  <c r="L190" i="2"/>
  <c r="J190" i="2"/>
  <c r="Z189" i="2"/>
  <c r="W189" i="2"/>
  <c r="V189" i="2"/>
  <c r="Q189" i="2"/>
  <c r="O189" i="2"/>
  <c r="N189" i="2"/>
  <c r="L189" i="2"/>
  <c r="J189" i="2"/>
  <c r="Z188" i="2"/>
  <c r="W188" i="2"/>
  <c r="V188" i="2"/>
  <c r="Q188" i="2"/>
  <c r="O188" i="2"/>
  <c r="N188" i="2"/>
  <c r="L188" i="2"/>
  <c r="J188" i="2"/>
  <c r="Z187" i="2"/>
  <c r="W187" i="2"/>
  <c r="V187" i="2"/>
  <c r="Q187" i="2"/>
  <c r="O187" i="2"/>
  <c r="N187" i="2"/>
  <c r="L187" i="2"/>
  <c r="J187" i="2"/>
  <c r="Z186" i="2"/>
  <c r="W186" i="2"/>
  <c r="V186" i="2"/>
  <c r="Q186" i="2"/>
  <c r="O186" i="2"/>
  <c r="N186" i="2"/>
  <c r="L186" i="2"/>
  <c r="J186" i="2"/>
  <c r="Z185" i="2"/>
  <c r="W185" i="2"/>
  <c r="V185" i="2"/>
  <c r="Q185" i="2"/>
  <c r="O185" i="2"/>
  <c r="N185" i="2"/>
  <c r="L185" i="2"/>
  <c r="J185" i="2"/>
  <c r="Z184" i="2"/>
  <c r="W184" i="2"/>
  <c r="V184" i="2"/>
  <c r="Q184" i="2"/>
  <c r="O184" i="2"/>
  <c r="N184" i="2"/>
  <c r="L184" i="2"/>
  <c r="J184" i="2"/>
  <c r="Z183" i="2"/>
  <c r="W183" i="2"/>
  <c r="V183" i="2"/>
  <c r="Q183" i="2"/>
  <c r="O183" i="2"/>
  <c r="N183" i="2"/>
  <c r="L183" i="2"/>
  <c r="J183" i="2"/>
  <c r="Z182" i="2"/>
  <c r="W182" i="2"/>
  <c r="V182" i="2"/>
  <c r="Q182" i="2"/>
  <c r="O182" i="2"/>
  <c r="N182" i="2"/>
  <c r="L182" i="2"/>
  <c r="J182" i="2"/>
  <c r="I182" i="2"/>
  <c r="Z181" i="2"/>
  <c r="W181" i="2"/>
  <c r="V181" i="2"/>
  <c r="Q181" i="2"/>
  <c r="O181" i="2"/>
  <c r="N181" i="2"/>
  <c r="L181" i="2"/>
  <c r="J181" i="2"/>
  <c r="Z180" i="2"/>
  <c r="W180" i="2"/>
  <c r="V180" i="2"/>
  <c r="Q180" i="2"/>
  <c r="O180" i="2"/>
  <c r="N180" i="2"/>
  <c r="L180" i="2"/>
  <c r="J180" i="2"/>
  <c r="Z179" i="2"/>
  <c r="W179" i="2"/>
  <c r="V179" i="2"/>
  <c r="Q179" i="2"/>
  <c r="O179" i="2"/>
  <c r="N179" i="2"/>
  <c r="L179" i="2"/>
  <c r="J179" i="2"/>
  <c r="Z178" i="2"/>
  <c r="W178" i="2"/>
  <c r="V178" i="2"/>
  <c r="Q178" i="2"/>
  <c r="O178" i="2"/>
  <c r="N178" i="2"/>
  <c r="L178" i="2"/>
  <c r="J178" i="2"/>
  <c r="Z177" i="2"/>
  <c r="W177" i="2"/>
  <c r="V177" i="2"/>
  <c r="Q177" i="2"/>
  <c r="O177" i="2"/>
  <c r="N177" i="2"/>
  <c r="L177" i="2"/>
  <c r="J177" i="2"/>
  <c r="Z176" i="2"/>
  <c r="W176" i="2"/>
  <c r="V176" i="2"/>
  <c r="Q176" i="2"/>
  <c r="O176" i="2"/>
  <c r="N176" i="2"/>
  <c r="L176" i="2"/>
  <c r="J176" i="2"/>
  <c r="Z175" i="2"/>
  <c r="W175" i="2"/>
  <c r="V175" i="2"/>
  <c r="Q175" i="2"/>
  <c r="O175" i="2"/>
  <c r="N175" i="2"/>
  <c r="L175" i="2"/>
  <c r="J175" i="2"/>
  <c r="Z174" i="2"/>
  <c r="W174" i="2"/>
  <c r="V174" i="2"/>
  <c r="Q174" i="2"/>
  <c r="O174" i="2"/>
  <c r="N174" i="2"/>
  <c r="L174" i="2"/>
  <c r="J174" i="2"/>
  <c r="Z173" i="2"/>
  <c r="W173" i="2"/>
  <c r="V173" i="2"/>
  <c r="Q173" i="2"/>
  <c r="O173" i="2"/>
  <c r="N173" i="2"/>
  <c r="L173" i="2"/>
  <c r="J173" i="2"/>
  <c r="Z172" i="2"/>
  <c r="W172" i="2"/>
  <c r="V172" i="2"/>
  <c r="Q172" i="2"/>
  <c r="O172" i="2"/>
  <c r="N172" i="2"/>
  <c r="L172" i="2"/>
  <c r="J172" i="2"/>
  <c r="Z171" i="2"/>
  <c r="W171" i="2"/>
  <c r="V171" i="2"/>
  <c r="Q171" i="2"/>
  <c r="O171" i="2"/>
  <c r="N171" i="2"/>
  <c r="L171" i="2"/>
  <c r="J171" i="2"/>
  <c r="Z170" i="2"/>
  <c r="W170" i="2"/>
  <c r="V170" i="2"/>
  <c r="Q170" i="2"/>
  <c r="O170" i="2"/>
  <c r="N170" i="2"/>
  <c r="L170" i="2"/>
  <c r="J170" i="2"/>
  <c r="Z169" i="2"/>
  <c r="W169" i="2"/>
  <c r="V169" i="2"/>
  <c r="Q169" i="2"/>
  <c r="O169" i="2"/>
  <c r="N169" i="2"/>
  <c r="L169" i="2"/>
  <c r="J169" i="2"/>
  <c r="Z168" i="2"/>
  <c r="W168" i="2"/>
  <c r="V168" i="2"/>
  <c r="Q168" i="2"/>
  <c r="O168" i="2"/>
  <c r="N168" i="2"/>
  <c r="L168" i="2"/>
  <c r="J168" i="2"/>
  <c r="Z167" i="2"/>
  <c r="W167" i="2"/>
  <c r="V167" i="2"/>
  <c r="Q167" i="2"/>
  <c r="O167" i="2"/>
  <c r="N167" i="2"/>
  <c r="L167" i="2"/>
  <c r="J167" i="2"/>
  <c r="Z166" i="2"/>
  <c r="W166" i="2"/>
  <c r="V166" i="2"/>
  <c r="Q166" i="2"/>
  <c r="O166" i="2"/>
  <c r="N166" i="2"/>
  <c r="L166" i="2"/>
  <c r="J166" i="2"/>
  <c r="Z165" i="2"/>
  <c r="W165" i="2"/>
  <c r="V165" i="2"/>
  <c r="Q165" i="2"/>
  <c r="O165" i="2"/>
  <c r="N165" i="2"/>
  <c r="L165" i="2"/>
  <c r="J165" i="2"/>
  <c r="Z164" i="2"/>
  <c r="W164" i="2"/>
  <c r="V164" i="2"/>
  <c r="Q164" i="2"/>
  <c r="O164" i="2"/>
  <c r="N164" i="2"/>
  <c r="L164" i="2"/>
  <c r="J164" i="2"/>
  <c r="Z163" i="2"/>
  <c r="W163" i="2"/>
  <c r="V163" i="2"/>
  <c r="Q163" i="2"/>
  <c r="O163" i="2"/>
  <c r="N163" i="2"/>
  <c r="L163" i="2"/>
  <c r="J163" i="2"/>
  <c r="Z162" i="2"/>
  <c r="W162" i="2"/>
  <c r="V162" i="2"/>
  <c r="Q162" i="2"/>
  <c r="O162" i="2"/>
  <c r="N162" i="2"/>
  <c r="L162" i="2"/>
  <c r="J162" i="2"/>
  <c r="Z161" i="2"/>
  <c r="W161" i="2"/>
  <c r="V161" i="2"/>
  <c r="Q161" i="2"/>
  <c r="O161" i="2"/>
  <c r="N161" i="2"/>
  <c r="L161" i="2"/>
  <c r="J161" i="2"/>
  <c r="Z160" i="2"/>
  <c r="W160" i="2"/>
  <c r="V160" i="2"/>
  <c r="Q160" i="2"/>
  <c r="O160" i="2"/>
  <c r="N160" i="2"/>
  <c r="L160" i="2"/>
  <c r="J160" i="2"/>
  <c r="Z159" i="2"/>
  <c r="W159" i="2"/>
  <c r="V159" i="2"/>
  <c r="Q159" i="2"/>
  <c r="O159" i="2"/>
  <c r="N159" i="2"/>
  <c r="L159" i="2"/>
  <c r="J159" i="2"/>
  <c r="Z158" i="2"/>
  <c r="W158" i="2"/>
  <c r="V158" i="2"/>
  <c r="Q158" i="2"/>
  <c r="O158" i="2"/>
  <c r="N158" i="2"/>
  <c r="L158" i="2"/>
  <c r="J158" i="2"/>
  <c r="Z157" i="2"/>
  <c r="W157" i="2"/>
  <c r="V157" i="2"/>
  <c r="Q157" i="2"/>
  <c r="O157" i="2"/>
  <c r="N157" i="2"/>
  <c r="L157" i="2"/>
  <c r="J157" i="2"/>
  <c r="Z156" i="2"/>
  <c r="W156" i="2"/>
  <c r="V156" i="2"/>
  <c r="Q156" i="2"/>
  <c r="O156" i="2"/>
  <c r="N156" i="2"/>
  <c r="L156" i="2"/>
  <c r="J156" i="2"/>
  <c r="Z155" i="2"/>
  <c r="W155" i="2"/>
  <c r="V155" i="2"/>
  <c r="Q155" i="2"/>
  <c r="O155" i="2"/>
  <c r="N155" i="2"/>
  <c r="L155" i="2"/>
  <c r="J155" i="2"/>
  <c r="Z154" i="2"/>
  <c r="W154" i="2"/>
  <c r="V154" i="2"/>
  <c r="Q154" i="2"/>
  <c r="O154" i="2"/>
  <c r="N154" i="2"/>
  <c r="L154" i="2"/>
  <c r="J154" i="2"/>
  <c r="Z153" i="2"/>
  <c r="W153" i="2"/>
  <c r="V153" i="2"/>
  <c r="Q153" i="2"/>
  <c r="O153" i="2"/>
  <c r="N153" i="2"/>
  <c r="L153" i="2"/>
  <c r="J153" i="2"/>
  <c r="Z152" i="2"/>
  <c r="W152" i="2"/>
  <c r="V152" i="2"/>
  <c r="Q152" i="2"/>
  <c r="O152" i="2"/>
  <c r="N152" i="2"/>
  <c r="L152" i="2"/>
  <c r="J152" i="2"/>
  <c r="Z151" i="2"/>
  <c r="W151" i="2"/>
  <c r="V151" i="2"/>
  <c r="Q151" i="2"/>
  <c r="O151" i="2"/>
  <c r="N151" i="2"/>
  <c r="L151" i="2"/>
  <c r="J151" i="2"/>
  <c r="Z150" i="2"/>
  <c r="W150" i="2"/>
  <c r="V150" i="2"/>
  <c r="Q150" i="2"/>
  <c r="O150" i="2"/>
  <c r="N150" i="2"/>
  <c r="L150" i="2"/>
  <c r="J150" i="2"/>
  <c r="Z149" i="2"/>
  <c r="W149" i="2"/>
  <c r="V149" i="2"/>
  <c r="Q149" i="2"/>
  <c r="O149" i="2"/>
  <c r="N149" i="2"/>
  <c r="L149" i="2"/>
  <c r="J149" i="2"/>
  <c r="Z148" i="2"/>
  <c r="W148" i="2"/>
  <c r="V148" i="2"/>
  <c r="Q148" i="2"/>
  <c r="O148" i="2"/>
  <c r="N148" i="2"/>
  <c r="L148" i="2"/>
  <c r="J148" i="2"/>
  <c r="Z147" i="2"/>
  <c r="W147" i="2"/>
  <c r="V147" i="2"/>
  <c r="Q147" i="2"/>
  <c r="O147" i="2"/>
  <c r="N147" i="2"/>
  <c r="L147" i="2"/>
  <c r="J147" i="2"/>
  <c r="Z146" i="2"/>
  <c r="W146" i="2"/>
  <c r="V146" i="2"/>
  <c r="Q146" i="2"/>
  <c r="O146" i="2"/>
  <c r="N146" i="2"/>
  <c r="L146" i="2"/>
  <c r="J146" i="2"/>
  <c r="Z145" i="2"/>
  <c r="W145" i="2"/>
  <c r="V145" i="2"/>
  <c r="Q145" i="2"/>
  <c r="O145" i="2"/>
  <c r="N145" i="2"/>
  <c r="L145" i="2"/>
  <c r="J145" i="2"/>
  <c r="Z144" i="2"/>
  <c r="W144" i="2"/>
  <c r="V144" i="2"/>
  <c r="Q144" i="2"/>
  <c r="O144" i="2"/>
  <c r="N144" i="2"/>
  <c r="L144" i="2"/>
  <c r="J144" i="2"/>
  <c r="Z143" i="2"/>
  <c r="W143" i="2"/>
  <c r="V143" i="2"/>
  <c r="Q143" i="2"/>
  <c r="O143" i="2"/>
  <c r="N143" i="2"/>
  <c r="L143" i="2"/>
  <c r="J143" i="2"/>
  <c r="Z142" i="2"/>
  <c r="W142" i="2"/>
  <c r="V142" i="2"/>
  <c r="Q142" i="2"/>
  <c r="O142" i="2"/>
  <c r="N142" i="2"/>
  <c r="L142" i="2"/>
  <c r="J142" i="2"/>
  <c r="Z141" i="2"/>
  <c r="W141" i="2"/>
  <c r="V141" i="2"/>
  <c r="Q141" i="2"/>
  <c r="O141" i="2"/>
  <c r="N141" i="2"/>
  <c r="L141" i="2"/>
  <c r="J141" i="2"/>
  <c r="Z140" i="2"/>
  <c r="W140" i="2"/>
  <c r="V140" i="2"/>
  <c r="Q140" i="2"/>
  <c r="O140" i="2"/>
  <c r="N140" i="2"/>
  <c r="L140" i="2"/>
  <c r="J140" i="2"/>
  <c r="Z139" i="2"/>
  <c r="W139" i="2"/>
  <c r="V139" i="2"/>
  <c r="Q139" i="2"/>
  <c r="O139" i="2"/>
  <c r="N139" i="2"/>
  <c r="L139" i="2"/>
  <c r="J139" i="2"/>
  <c r="Z138" i="2"/>
  <c r="W138" i="2"/>
  <c r="V138" i="2"/>
  <c r="Q138" i="2"/>
  <c r="O138" i="2"/>
  <c r="N138" i="2"/>
  <c r="L138" i="2"/>
  <c r="J138" i="2"/>
  <c r="Z137" i="2"/>
  <c r="W137" i="2"/>
  <c r="V137" i="2"/>
  <c r="Q137" i="2"/>
  <c r="O137" i="2"/>
  <c r="N137" i="2"/>
  <c r="L137" i="2"/>
  <c r="J137" i="2"/>
  <c r="Z136" i="2"/>
  <c r="W136" i="2"/>
  <c r="V136" i="2"/>
  <c r="Q136" i="2"/>
  <c r="O136" i="2"/>
  <c r="N136" i="2"/>
  <c r="L136" i="2"/>
  <c r="J136" i="2"/>
  <c r="Z135" i="2"/>
  <c r="W135" i="2"/>
  <c r="V135" i="2"/>
  <c r="Q135" i="2"/>
  <c r="O135" i="2"/>
  <c r="N135" i="2"/>
  <c r="L135" i="2"/>
  <c r="J135" i="2"/>
  <c r="Z134" i="2"/>
  <c r="W134" i="2"/>
  <c r="V134" i="2"/>
  <c r="Q134" i="2"/>
  <c r="O134" i="2"/>
  <c r="N134" i="2"/>
  <c r="L134" i="2"/>
  <c r="J134" i="2"/>
  <c r="Z133" i="2"/>
  <c r="W133" i="2"/>
  <c r="V133" i="2"/>
  <c r="Q133" i="2"/>
  <c r="O133" i="2"/>
  <c r="N133" i="2"/>
  <c r="L133" i="2"/>
  <c r="J133" i="2"/>
  <c r="Z132" i="2"/>
  <c r="W132" i="2"/>
  <c r="V132" i="2"/>
  <c r="Q132" i="2"/>
  <c r="O132" i="2"/>
  <c r="N132" i="2"/>
  <c r="L132" i="2"/>
  <c r="J132" i="2"/>
  <c r="Z131" i="2"/>
  <c r="W131" i="2"/>
  <c r="V131" i="2"/>
  <c r="Q131" i="2"/>
  <c r="O131" i="2"/>
  <c r="N131" i="2"/>
  <c r="L131" i="2"/>
  <c r="J131" i="2"/>
  <c r="Z130" i="2"/>
  <c r="W130" i="2"/>
  <c r="V130" i="2"/>
  <c r="Q130" i="2"/>
  <c r="O130" i="2"/>
  <c r="N130" i="2"/>
  <c r="L130" i="2"/>
  <c r="J130" i="2"/>
  <c r="Z129" i="2"/>
  <c r="W129" i="2"/>
  <c r="V129" i="2"/>
  <c r="Q129" i="2"/>
  <c r="O129" i="2"/>
  <c r="N129" i="2"/>
  <c r="L129" i="2"/>
  <c r="J129" i="2"/>
  <c r="Z128" i="2"/>
  <c r="W128" i="2"/>
  <c r="V128" i="2"/>
  <c r="Q128" i="2"/>
  <c r="O128" i="2"/>
  <c r="N128" i="2"/>
  <c r="L128" i="2"/>
  <c r="J128" i="2"/>
  <c r="Z127" i="2"/>
  <c r="W127" i="2"/>
  <c r="V127" i="2"/>
  <c r="Q127" i="2"/>
  <c r="O127" i="2"/>
  <c r="N127" i="2"/>
  <c r="L127" i="2"/>
  <c r="J127" i="2"/>
  <c r="Z126" i="2"/>
  <c r="W126" i="2"/>
  <c r="V126" i="2"/>
  <c r="Q126" i="2"/>
  <c r="O126" i="2"/>
  <c r="N126" i="2"/>
  <c r="L126" i="2"/>
  <c r="J126" i="2"/>
  <c r="Z125" i="2"/>
  <c r="W125" i="2"/>
  <c r="V125" i="2"/>
  <c r="Q125" i="2"/>
  <c r="O125" i="2"/>
  <c r="N125" i="2"/>
  <c r="L125" i="2"/>
  <c r="J125" i="2"/>
  <c r="Z124" i="2"/>
  <c r="W124" i="2"/>
  <c r="V124" i="2"/>
  <c r="Q124" i="2"/>
  <c r="O124" i="2"/>
  <c r="N124" i="2"/>
  <c r="L124" i="2"/>
  <c r="J124" i="2"/>
  <c r="Z123" i="2"/>
  <c r="W123" i="2"/>
  <c r="V123" i="2"/>
  <c r="Q123" i="2"/>
  <c r="O123" i="2"/>
  <c r="N123" i="2"/>
  <c r="L123" i="2"/>
  <c r="J123" i="2"/>
  <c r="Z122" i="2"/>
  <c r="W122" i="2"/>
  <c r="V122" i="2"/>
  <c r="Q122" i="2"/>
  <c r="O122" i="2"/>
  <c r="N122" i="2"/>
  <c r="L122" i="2"/>
  <c r="J122" i="2"/>
  <c r="Z121" i="2"/>
  <c r="W121" i="2"/>
  <c r="V121" i="2"/>
  <c r="Q121" i="2"/>
  <c r="O121" i="2"/>
  <c r="N121" i="2"/>
  <c r="L121" i="2"/>
  <c r="J121" i="2"/>
  <c r="Z120" i="2"/>
  <c r="W120" i="2"/>
  <c r="V120" i="2"/>
  <c r="Q120" i="2"/>
  <c r="O120" i="2"/>
  <c r="N120" i="2"/>
  <c r="L120" i="2"/>
  <c r="J120" i="2"/>
  <c r="Z119" i="2"/>
  <c r="W119" i="2"/>
  <c r="V119" i="2"/>
  <c r="Q119" i="2"/>
  <c r="O119" i="2"/>
  <c r="N119" i="2"/>
  <c r="L119" i="2"/>
  <c r="J119" i="2"/>
  <c r="Z118" i="2"/>
  <c r="W118" i="2"/>
  <c r="V118" i="2"/>
  <c r="Q118" i="2"/>
  <c r="O118" i="2"/>
  <c r="N118" i="2"/>
  <c r="L118" i="2"/>
  <c r="J118" i="2"/>
  <c r="Z117" i="2"/>
  <c r="W117" i="2"/>
  <c r="V117" i="2"/>
  <c r="Q117" i="2"/>
  <c r="O117" i="2"/>
  <c r="N117" i="2"/>
  <c r="L117" i="2"/>
  <c r="J117" i="2"/>
  <c r="Z116" i="2"/>
  <c r="W116" i="2"/>
  <c r="V116" i="2"/>
  <c r="Q116" i="2"/>
  <c r="O116" i="2"/>
  <c r="N116" i="2"/>
  <c r="L116" i="2"/>
  <c r="J116" i="2"/>
  <c r="Z115" i="2"/>
  <c r="W115" i="2"/>
  <c r="V115" i="2"/>
  <c r="Q115" i="2"/>
  <c r="O115" i="2"/>
  <c r="N115" i="2"/>
  <c r="L115" i="2"/>
  <c r="J115" i="2"/>
  <c r="Z114" i="2"/>
  <c r="W114" i="2"/>
  <c r="V114" i="2"/>
  <c r="Q114" i="2"/>
  <c r="O114" i="2"/>
  <c r="N114" i="2"/>
  <c r="L114" i="2"/>
  <c r="J114" i="2"/>
  <c r="Z113" i="2"/>
  <c r="W113" i="2"/>
  <c r="V113" i="2"/>
  <c r="Q113" i="2"/>
  <c r="O113" i="2"/>
  <c r="N113" i="2"/>
  <c r="L113" i="2"/>
  <c r="J113" i="2"/>
  <c r="Z112" i="2"/>
  <c r="W112" i="2"/>
  <c r="V112" i="2"/>
  <c r="Q112" i="2"/>
  <c r="O112" i="2"/>
  <c r="N112" i="2"/>
  <c r="L112" i="2"/>
  <c r="J112" i="2"/>
  <c r="Z111" i="2"/>
  <c r="W111" i="2"/>
  <c r="V111" i="2"/>
  <c r="Q111" i="2"/>
  <c r="O111" i="2"/>
  <c r="N111" i="2"/>
  <c r="L111" i="2"/>
  <c r="J111" i="2"/>
  <c r="Z110" i="2"/>
  <c r="W110" i="2"/>
  <c r="V110" i="2"/>
  <c r="Q110" i="2"/>
  <c r="O110" i="2"/>
  <c r="N110" i="2"/>
  <c r="L110" i="2"/>
  <c r="J110" i="2"/>
  <c r="Z109" i="2"/>
  <c r="W109" i="2"/>
  <c r="V109" i="2"/>
  <c r="Q109" i="2"/>
  <c r="O109" i="2"/>
  <c r="N109" i="2"/>
  <c r="L109" i="2"/>
  <c r="J109" i="2"/>
  <c r="Z108" i="2"/>
  <c r="W108" i="2"/>
  <c r="V108" i="2"/>
  <c r="Q108" i="2"/>
  <c r="O108" i="2"/>
  <c r="N108" i="2"/>
  <c r="L108" i="2"/>
  <c r="J108" i="2"/>
  <c r="Z107" i="2"/>
  <c r="W107" i="2"/>
  <c r="V107" i="2"/>
  <c r="Q107" i="2"/>
  <c r="O107" i="2"/>
  <c r="N107" i="2"/>
  <c r="L107" i="2"/>
  <c r="J107" i="2"/>
  <c r="Z106" i="2"/>
  <c r="W106" i="2"/>
  <c r="V106" i="2"/>
  <c r="Q106" i="2"/>
  <c r="O106" i="2"/>
  <c r="N106" i="2"/>
  <c r="L106" i="2"/>
  <c r="J106" i="2"/>
  <c r="Z105" i="2"/>
  <c r="W105" i="2"/>
  <c r="V105" i="2"/>
  <c r="Q105" i="2"/>
  <c r="O105" i="2"/>
  <c r="N105" i="2"/>
  <c r="L105" i="2"/>
  <c r="J105" i="2"/>
  <c r="Z104" i="2"/>
  <c r="W104" i="2"/>
  <c r="V104" i="2"/>
  <c r="Q104" i="2"/>
  <c r="O104" i="2"/>
  <c r="N104" i="2"/>
  <c r="L104" i="2"/>
  <c r="J104" i="2"/>
  <c r="Z103" i="2"/>
  <c r="W103" i="2"/>
  <c r="V103" i="2"/>
  <c r="Q103" i="2"/>
  <c r="O103" i="2"/>
  <c r="N103" i="2"/>
  <c r="L103" i="2"/>
  <c r="J103" i="2"/>
  <c r="Z102" i="2"/>
  <c r="W102" i="2"/>
  <c r="V102" i="2"/>
  <c r="Q102" i="2"/>
  <c r="O102" i="2"/>
  <c r="N102" i="2"/>
  <c r="L102" i="2"/>
  <c r="J102" i="2"/>
  <c r="Z101" i="2"/>
  <c r="W101" i="2"/>
  <c r="V101" i="2"/>
  <c r="Q101" i="2"/>
  <c r="O101" i="2"/>
  <c r="N101" i="2"/>
  <c r="L101" i="2"/>
  <c r="J101" i="2"/>
  <c r="Z100" i="2"/>
  <c r="W100" i="2"/>
  <c r="V100" i="2"/>
  <c r="Q100" i="2"/>
  <c r="O100" i="2"/>
  <c r="N100" i="2"/>
  <c r="L100" i="2"/>
  <c r="J100" i="2"/>
  <c r="Z99" i="2"/>
  <c r="W99" i="2"/>
  <c r="V99" i="2"/>
  <c r="Q99" i="2"/>
  <c r="O99" i="2"/>
  <c r="N99" i="2"/>
  <c r="L99" i="2"/>
  <c r="J99" i="2"/>
  <c r="Z98" i="2"/>
  <c r="W98" i="2"/>
  <c r="V98" i="2"/>
  <c r="Q98" i="2"/>
  <c r="O98" i="2"/>
  <c r="N98" i="2"/>
  <c r="L98" i="2"/>
  <c r="J98" i="2"/>
  <c r="Z97" i="2"/>
  <c r="W97" i="2"/>
  <c r="V97" i="2"/>
  <c r="Q97" i="2"/>
  <c r="O97" i="2"/>
  <c r="N97" i="2"/>
  <c r="L97" i="2"/>
  <c r="J97" i="2"/>
  <c r="Z96" i="2"/>
  <c r="W96" i="2"/>
  <c r="V96" i="2"/>
  <c r="Q96" i="2"/>
  <c r="O96" i="2"/>
  <c r="N96" i="2"/>
  <c r="L96" i="2"/>
  <c r="J96" i="2"/>
  <c r="Z95" i="2"/>
  <c r="W95" i="2"/>
  <c r="V95" i="2"/>
  <c r="Q95" i="2"/>
  <c r="O95" i="2"/>
  <c r="N95" i="2"/>
  <c r="L95" i="2"/>
  <c r="J95" i="2"/>
  <c r="Z94" i="2"/>
  <c r="W94" i="2"/>
  <c r="V94" i="2"/>
  <c r="Q94" i="2"/>
  <c r="O94" i="2"/>
  <c r="N94" i="2"/>
  <c r="L94" i="2"/>
  <c r="J94" i="2"/>
  <c r="Z93" i="2"/>
  <c r="W93" i="2"/>
  <c r="V93" i="2"/>
  <c r="Q93" i="2"/>
  <c r="O93" i="2"/>
  <c r="N93" i="2"/>
  <c r="L93" i="2"/>
  <c r="J93" i="2"/>
  <c r="Z92" i="2"/>
  <c r="W92" i="2"/>
  <c r="V92" i="2"/>
  <c r="Q92" i="2"/>
  <c r="O92" i="2"/>
  <c r="N92" i="2"/>
  <c r="L92" i="2"/>
  <c r="J92" i="2"/>
  <c r="Z91" i="2"/>
  <c r="W91" i="2"/>
  <c r="V91" i="2"/>
  <c r="Q91" i="2"/>
  <c r="O91" i="2"/>
  <c r="N91" i="2"/>
  <c r="L91" i="2"/>
  <c r="J91" i="2"/>
  <c r="Z90" i="2"/>
  <c r="W90" i="2"/>
  <c r="V90" i="2"/>
  <c r="Q90" i="2"/>
  <c r="O90" i="2"/>
  <c r="N90" i="2"/>
  <c r="L90" i="2"/>
  <c r="J90" i="2"/>
  <c r="Z89" i="2"/>
  <c r="W89" i="2"/>
  <c r="V89" i="2"/>
  <c r="Q89" i="2"/>
  <c r="O89" i="2"/>
  <c r="N89" i="2"/>
  <c r="L89" i="2"/>
  <c r="J89" i="2"/>
  <c r="Z88" i="2"/>
  <c r="W88" i="2"/>
  <c r="V88" i="2"/>
  <c r="Q88" i="2"/>
  <c r="O88" i="2"/>
  <c r="N88" i="2"/>
  <c r="L88" i="2"/>
  <c r="J88" i="2"/>
  <c r="Z87" i="2"/>
  <c r="W87" i="2"/>
  <c r="V87" i="2"/>
  <c r="Q87" i="2"/>
  <c r="O87" i="2"/>
  <c r="N87" i="2"/>
  <c r="L87" i="2"/>
  <c r="J87" i="2"/>
  <c r="Z86" i="2"/>
  <c r="W86" i="2"/>
  <c r="V86" i="2"/>
  <c r="Q86" i="2"/>
  <c r="O86" i="2"/>
  <c r="N86" i="2"/>
  <c r="L86" i="2"/>
  <c r="J86" i="2"/>
  <c r="Z85" i="2"/>
  <c r="W85" i="2"/>
  <c r="V85" i="2"/>
  <c r="Q85" i="2"/>
  <c r="O85" i="2"/>
  <c r="N85" i="2"/>
  <c r="L85" i="2"/>
  <c r="J85" i="2"/>
  <c r="Z84" i="2"/>
  <c r="W84" i="2"/>
  <c r="V84" i="2"/>
  <c r="Q84" i="2"/>
  <c r="O84" i="2"/>
  <c r="N84" i="2"/>
  <c r="L84" i="2"/>
  <c r="J84" i="2"/>
  <c r="Z83" i="2"/>
  <c r="W83" i="2"/>
  <c r="V83" i="2"/>
  <c r="Q83" i="2"/>
  <c r="O83" i="2"/>
  <c r="N83" i="2"/>
  <c r="L83" i="2"/>
  <c r="J83" i="2"/>
  <c r="Z82" i="2"/>
  <c r="W82" i="2"/>
  <c r="V82" i="2"/>
  <c r="Q82" i="2"/>
  <c r="O82" i="2"/>
  <c r="N82" i="2"/>
  <c r="L82" i="2"/>
  <c r="J82" i="2"/>
  <c r="Z81" i="2"/>
  <c r="W81" i="2"/>
  <c r="V81" i="2"/>
  <c r="Q81" i="2"/>
  <c r="O81" i="2"/>
  <c r="N81" i="2"/>
  <c r="L81" i="2"/>
  <c r="J81" i="2"/>
  <c r="Z80" i="2"/>
  <c r="W80" i="2"/>
  <c r="V80" i="2"/>
  <c r="Q80" i="2"/>
  <c r="O80" i="2"/>
  <c r="N80" i="2"/>
  <c r="L80" i="2"/>
  <c r="J80" i="2"/>
  <c r="I80" i="2"/>
  <c r="Z79" i="2"/>
  <c r="W79" i="2"/>
  <c r="V79" i="2"/>
  <c r="Q79" i="2"/>
  <c r="O79" i="2"/>
  <c r="N79" i="2"/>
  <c r="L79" i="2"/>
  <c r="J79" i="2"/>
  <c r="Z78" i="2"/>
  <c r="W78" i="2"/>
  <c r="V78" i="2"/>
  <c r="Q78" i="2"/>
  <c r="O78" i="2"/>
  <c r="N78" i="2"/>
  <c r="L78" i="2"/>
  <c r="J78" i="2"/>
  <c r="Z77" i="2"/>
  <c r="W77" i="2"/>
  <c r="V77" i="2"/>
  <c r="Q77" i="2"/>
  <c r="O77" i="2"/>
  <c r="N77" i="2"/>
  <c r="L77" i="2"/>
  <c r="J77" i="2"/>
  <c r="Z76" i="2"/>
  <c r="W76" i="2"/>
  <c r="V76" i="2"/>
  <c r="Q76" i="2"/>
  <c r="O76" i="2"/>
  <c r="N76" i="2"/>
  <c r="L76" i="2"/>
  <c r="J76" i="2"/>
  <c r="Z75" i="2"/>
  <c r="W75" i="2"/>
  <c r="V75" i="2"/>
  <c r="Q75" i="2"/>
  <c r="O75" i="2"/>
  <c r="N75" i="2"/>
  <c r="L75" i="2"/>
  <c r="J75" i="2"/>
  <c r="Z74" i="2"/>
  <c r="W74" i="2"/>
  <c r="V74" i="2"/>
  <c r="Q74" i="2"/>
  <c r="O74" i="2"/>
  <c r="N74" i="2"/>
  <c r="L74" i="2"/>
  <c r="J74" i="2"/>
  <c r="Z73" i="2"/>
  <c r="W73" i="2"/>
  <c r="V73" i="2"/>
  <c r="Q73" i="2"/>
  <c r="O73" i="2"/>
  <c r="N73" i="2"/>
  <c r="L73" i="2"/>
  <c r="J73" i="2"/>
  <c r="Z72" i="2"/>
  <c r="W72" i="2"/>
  <c r="V72" i="2"/>
  <c r="Q72" i="2"/>
  <c r="O72" i="2"/>
  <c r="N72" i="2"/>
  <c r="L72" i="2"/>
  <c r="J72" i="2"/>
  <c r="Z71" i="2"/>
  <c r="W71" i="2"/>
  <c r="V71" i="2"/>
  <c r="Q71" i="2"/>
  <c r="O71" i="2"/>
  <c r="N71" i="2"/>
  <c r="L71" i="2"/>
  <c r="J71" i="2"/>
  <c r="Z70" i="2"/>
  <c r="W70" i="2"/>
  <c r="V70" i="2"/>
  <c r="Q70" i="2"/>
  <c r="N70" i="2"/>
  <c r="L70" i="2"/>
  <c r="J70" i="2"/>
  <c r="Z69" i="2"/>
  <c r="W69" i="2"/>
  <c r="V69" i="2"/>
  <c r="Q69" i="2"/>
  <c r="O69" i="2"/>
  <c r="N69" i="2"/>
  <c r="L69" i="2"/>
  <c r="J69" i="2"/>
  <c r="Z68" i="2"/>
  <c r="W68" i="2"/>
  <c r="V68" i="2"/>
  <c r="Q68" i="2"/>
  <c r="O68" i="2"/>
  <c r="N68" i="2"/>
  <c r="L68" i="2"/>
  <c r="J68" i="2"/>
  <c r="Z67" i="2"/>
  <c r="W67" i="2"/>
  <c r="V67" i="2"/>
  <c r="Q67" i="2"/>
  <c r="O67" i="2"/>
  <c r="N67" i="2"/>
  <c r="L67" i="2"/>
  <c r="J67" i="2"/>
  <c r="Z66" i="2"/>
  <c r="W66" i="2"/>
  <c r="V66" i="2"/>
  <c r="Q66" i="2"/>
  <c r="O66" i="2"/>
  <c r="N66" i="2"/>
  <c r="L66" i="2"/>
  <c r="J66" i="2"/>
  <c r="Z65" i="2"/>
  <c r="W65" i="2"/>
  <c r="V65" i="2"/>
  <c r="Q65" i="2"/>
  <c r="O65" i="2"/>
  <c r="N65" i="2"/>
  <c r="L65" i="2"/>
  <c r="J65" i="2"/>
  <c r="Z64" i="2"/>
  <c r="W64" i="2"/>
  <c r="V64" i="2"/>
  <c r="Q64" i="2"/>
  <c r="O64" i="2"/>
  <c r="N64" i="2"/>
  <c r="L64" i="2"/>
  <c r="J64" i="2"/>
  <c r="Z63" i="2"/>
  <c r="W63" i="2"/>
  <c r="V63" i="2"/>
  <c r="Q63" i="2"/>
  <c r="O63" i="2"/>
  <c r="N63" i="2"/>
  <c r="L63" i="2"/>
  <c r="J63" i="2"/>
  <c r="Z62" i="2"/>
  <c r="W62" i="2"/>
  <c r="V62" i="2"/>
  <c r="Q62" i="2"/>
  <c r="O62" i="2"/>
  <c r="N62" i="2"/>
  <c r="L62" i="2"/>
  <c r="J62" i="2"/>
  <c r="Z61" i="2"/>
  <c r="W61" i="2"/>
  <c r="V61" i="2"/>
  <c r="Q61" i="2"/>
  <c r="O61" i="2"/>
  <c r="N61" i="2"/>
  <c r="L61" i="2"/>
  <c r="J61" i="2"/>
  <c r="Z60" i="2"/>
  <c r="W60" i="2"/>
  <c r="V60" i="2"/>
  <c r="Q60" i="2"/>
  <c r="O60" i="2"/>
  <c r="N60" i="2"/>
  <c r="L60" i="2"/>
  <c r="J60" i="2"/>
  <c r="Z59" i="2"/>
  <c r="W59" i="2"/>
  <c r="V59" i="2"/>
  <c r="Q59" i="2"/>
  <c r="O59" i="2"/>
  <c r="N59" i="2"/>
  <c r="L59" i="2"/>
  <c r="J59" i="2"/>
  <c r="Z58" i="2"/>
  <c r="W58" i="2"/>
  <c r="V58" i="2"/>
  <c r="Q58" i="2"/>
  <c r="O58" i="2"/>
  <c r="N58" i="2"/>
  <c r="L58" i="2"/>
  <c r="J58" i="2"/>
  <c r="Z57" i="2"/>
  <c r="W57" i="2"/>
  <c r="V57" i="2"/>
  <c r="Q57" i="2"/>
  <c r="O57" i="2"/>
  <c r="N57" i="2"/>
  <c r="L57" i="2"/>
  <c r="J57" i="2"/>
  <c r="Z56" i="2"/>
  <c r="W56" i="2"/>
  <c r="V56" i="2"/>
  <c r="Q56" i="2"/>
  <c r="O56" i="2"/>
  <c r="N56" i="2"/>
  <c r="L56" i="2"/>
  <c r="J56" i="2"/>
  <c r="Z55" i="2"/>
  <c r="W55" i="2"/>
  <c r="V55" i="2"/>
  <c r="Q55" i="2"/>
  <c r="O55" i="2"/>
  <c r="N55" i="2"/>
  <c r="L55" i="2"/>
  <c r="J55" i="2"/>
  <c r="Z54" i="2"/>
  <c r="W54" i="2"/>
  <c r="V54" i="2"/>
  <c r="Q54" i="2"/>
  <c r="O54" i="2"/>
  <c r="N54" i="2"/>
  <c r="L54" i="2"/>
  <c r="J54" i="2"/>
  <c r="Z53" i="2"/>
  <c r="W53" i="2"/>
  <c r="V53" i="2"/>
  <c r="Q53" i="2"/>
  <c r="O53" i="2"/>
  <c r="N53" i="2"/>
  <c r="L53" i="2"/>
  <c r="J53" i="2"/>
  <c r="Z52" i="2"/>
  <c r="W52" i="2"/>
  <c r="V52" i="2"/>
  <c r="Q52" i="2"/>
  <c r="O52" i="2"/>
  <c r="N52" i="2"/>
  <c r="L52" i="2"/>
  <c r="J52" i="2"/>
  <c r="Z51" i="2"/>
  <c r="W51" i="2"/>
  <c r="V51" i="2"/>
  <c r="Q51" i="2"/>
  <c r="O51" i="2"/>
  <c r="N51" i="2"/>
  <c r="L51" i="2"/>
  <c r="J51" i="2"/>
  <c r="Z50" i="2"/>
  <c r="W50" i="2"/>
  <c r="V50" i="2"/>
  <c r="Q50" i="2"/>
  <c r="O50" i="2"/>
  <c r="N50" i="2"/>
  <c r="L50" i="2"/>
  <c r="J50" i="2"/>
  <c r="Z49" i="2"/>
  <c r="W49" i="2"/>
  <c r="V49" i="2"/>
  <c r="Q49" i="2"/>
  <c r="O49" i="2"/>
  <c r="N49" i="2"/>
  <c r="L49" i="2"/>
  <c r="J49" i="2"/>
  <c r="Z48" i="2"/>
  <c r="W48" i="2"/>
  <c r="V48" i="2"/>
  <c r="Q48" i="2"/>
  <c r="O48" i="2"/>
  <c r="N48" i="2"/>
  <c r="L48" i="2"/>
  <c r="J48" i="2"/>
  <c r="Z47" i="2"/>
  <c r="W47" i="2"/>
  <c r="V47" i="2"/>
  <c r="Q47" i="2"/>
  <c r="O47" i="2"/>
  <c r="N47" i="2"/>
  <c r="L47" i="2"/>
  <c r="J47" i="2"/>
  <c r="Z46" i="2"/>
  <c r="W46" i="2"/>
  <c r="V46" i="2"/>
  <c r="Q46" i="2"/>
  <c r="O46" i="2"/>
  <c r="N46" i="2"/>
  <c r="L46" i="2"/>
  <c r="J46" i="2"/>
  <c r="Z45" i="2"/>
  <c r="W45" i="2"/>
  <c r="V45" i="2"/>
  <c r="Q45" i="2"/>
  <c r="O45" i="2"/>
  <c r="N45" i="2"/>
  <c r="L45" i="2"/>
  <c r="J45" i="2"/>
  <c r="Z44" i="2"/>
  <c r="W44" i="2"/>
  <c r="V44" i="2"/>
  <c r="Q44" i="2"/>
  <c r="O44" i="2"/>
  <c r="N44" i="2"/>
  <c r="L44" i="2"/>
  <c r="J44" i="2"/>
  <c r="Z43" i="2"/>
  <c r="W43" i="2"/>
  <c r="V43" i="2"/>
  <c r="Q43" i="2"/>
  <c r="O43" i="2"/>
  <c r="N43" i="2"/>
  <c r="L43" i="2"/>
  <c r="J43" i="2"/>
  <c r="Z42" i="2"/>
  <c r="W42" i="2"/>
  <c r="V42" i="2"/>
  <c r="Q42" i="2"/>
  <c r="O42" i="2"/>
  <c r="N42" i="2"/>
  <c r="L42" i="2"/>
  <c r="J42" i="2"/>
  <c r="Z41" i="2"/>
  <c r="W41" i="2"/>
  <c r="V41" i="2"/>
  <c r="Q41" i="2"/>
  <c r="O41" i="2"/>
  <c r="N41" i="2"/>
  <c r="L41" i="2"/>
  <c r="J41" i="2"/>
  <c r="Z40" i="2"/>
  <c r="W40" i="2"/>
  <c r="V40" i="2"/>
  <c r="Q40" i="2"/>
  <c r="O40" i="2"/>
  <c r="N40" i="2"/>
  <c r="L40" i="2"/>
  <c r="J40" i="2"/>
  <c r="Z39" i="2"/>
  <c r="W39" i="2"/>
  <c r="V39" i="2"/>
  <c r="Q39" i="2"/>
  <c r="O39" i="2"/>
  <c r="N39" i="2"/>
  <c r="L39" i="2"/>
  <c r="J39" i="2"/>
  <c r="Z38" i="2"/>
  <c r="W38" i="2"/>
  <c r="V38" i="2"/>
  <c r="Q38" i="2"/>
  <c r="O38" i="2"/>
  <c r="N38" i="2"/>
  <c r="L38" i="2"/>
  <c r="J38" i="2"/>
  <c r="Z37" i="2"/>
  <c r="W37" i="2"/>
  <c r="V37" i="2"/>
  <c r="Q37" i="2"/>
  <c r="O37" i="2"/>
  <c r="N37" i="2"/>
  <c r="L37" i="2"/>
  <c r="J37" i="2"/>
  <c r="Z36" i="2"/>
  <c r="W36" i="2"/>
  <c r="V36" i="2"/>
  <c r="Q36" i="2"/>
  <c r="O36" i="2"/>
  <c r="N36" i="2"/>
  <c r="L36" i="2"/>
  <c r="J36" i="2"/>
  <c r="Z35" i="2"/>
  <c r="W35" i="2"/>
  <c r="V35" i="2"/>
  <c r="Q35" i="2"/>
  <c r="O35" i="2"/>
  <c r="N35" i="2"/>
  <c r="L35" i="2"/>
  <c r="J35" i="2"/>
  <c r="Z34" i="2"/>
  <c r="W34" i="2"/>
  <c r="V34" i="2"/>
  <c r="Q34" i="2"/>
  <c r="O34" i="2"/>
  <c r="N34" i="2"/>
  <c r="L34" i="2"/>
  <c r="J34" i="2"/>
  <c r="Z33" i="2"/>
  <c r="W33" i="2"/>
  <c r="V33" i="2"/>
  <c r="Q33" i="2"/>
  <c r="O33" i="2"/>
  <c r="N33" i="2"/>
  <c r="L33" i="2"/>
  <c r="J33" i="2"/>
  <c r="Z32" i="2"/>
  <c r="W32" i="2"/>
  <c r="V32" i="2"/>
  <c r="Q32" i="2"/>
  <c r="O32" i="2"/>
  <c r="N32" i="2"/>
  <c r="L32" i="2"/>
  <c r="J32" i="2"/>
  <c r="Z31" i="2"/>
  <c r="W31" i="2"/>
  <c r="V31" i="2"/>
  <c r="Q31" i="2"/>
  <c r="O31" i="2"/>
  <c r="N31" i="2"/>
  <c r="L31" i="2"/>
  <c r="J31" i="2"/>
  <c r="Z30" i="2"/>
  <c r="W30" i="2"/>
  <c r="V30" i="2"/>
  <c r="Q30" i="2"/>
  <c r="O30" i="2"/>
  <c r="N30" i="2"/>
  <c r="L30" i="2"/>
  <c r="J30" i="2"/>
  <c r="Z29" i="2"/>
  <c r="W29" i="2"/>
  <c r="V29" i="2"/>
  <c r="Q29" i="2"/>
  <c r="O29" i="2"/>
  <c r="N29" i="2"/>
  <c r="L29" i="2"/>
  <c r="J29" i="2"/>
  <c r="Z28" i="2"/>
  <c r="W28" i="2"/>
  <c r="V28" i="2"/>
  <c r="Q28" i="2"/>
  <c r="O28" i="2"/>
  <c r="N28" i="2"/>
  <c r="L28" i="2"/>
  <c r="J28" i="2"/>
  <c r="Z27" i="2"/>
  <c r="W27" i="2"/>
  <c r="V27" i="2"/>
  <c r="Q27" i="2"/>
  <c r="O27" i="2"/>
  <c r="N27" i="2"/>
  <c r="L27" i="2"/>
  <c r="J27" i="2"/>
  <c r="Z26" i="2"/>
  <c r="W26" i="2"/>
  <c r="V26" i="2"/>
  <c r="Q26" i="2"/>
  <c r="O26" i="2"/>
  <c r="N26" i="2"/>
  <c r="L26" i="2"/>
  <c r="J26" i="2"/>
  <c r="Z25" i="2"/>
  <c r="W25" i="2"/>
  <c r="V25" i="2"/>
  <c r="Q25" i="2"/>
  <c r="O25" i="2"/>
  <c r="N25" i="2"/>
  <c r="L25" i="2"/>
  <c r="J25" i="2"/>
  <c r="Z24" i="2"/>
  <c r="W24" i="2"/>
  <c r="V24" i="2"/>
  <c r="Q24" i="2"/>
  <c r="O24" i="2"/>
  <c r="N24" i="2"/>
  <c r="L24" i="2"/>
  <c r="J24" i="2"/>
  <c r="Z23" i="2"/>
  <c r="W23" i="2"/>
  <c r="V23" i="2"/>
  <c r="Q23" i="2"/>
  <c r="O23" i="2"/>
  <c r="N23" i="2"/>
  <c r="L23" i="2"/>
  <c r="J23" i="2"/>
  <c r="Z22" i="2"/>
  <c r="W22" i="2"/>
  <c r="V22" i="2"/>
  <c r="Q22" i="2"/>
  <c r="O22" i="2"/>
  <c r="N22" i="2"/>
  <c r="L22" i="2"/>
  <c r="J22" i="2"/>
  <c r="Z21" i="2"/>
  <c r="W21" i="2"/>
  <c r="V21" i="2"/>
  <c r="Q21" i="2"/>
  <c r="O21" i="2"/>
  <c r="N21" i="2"/>
  <c r="L21" i="2"/>
  <c r="J21" i="2"/>
  <c r="Z20" i="2"/>
  <c r="W20" i="2"/>
  <c r="V20" i="2"/>
  <c r="Q20" i="2"/>
  <c r="O20" i="2"/>
  <c r="N20" i="2"/>
  <c r="L20" i="2"/>
  <c r="J20" i="2"/>
  <c r="Z19" i="2"/>
  <c r="W19" i="2"/>
  <c r="V19" i="2"/>
  <c r="Q19" i="2"/>
  <c r="O19" i="2"/>
  <c r="N19" i="2"/>
  <c r="L19" i="2"/>
  <c r="J19" i="2"/>
  <c r="Z18" i="2"/>
  <c r="W18" i="2"/>
  <c r="V18" i="2"/>
  <c r="Q18" i="2"/>
  <c r="O18" i="2"/>
  <c r="N18" i="2"/>
  <c r="L18" i="2"/>
  <c r="J18" i="2"/>
  <c r="Z17" i="2"/>
  <c r="W17" i="2"/>
  <c r="V17" i="2"/>
  <c r="Q17" i="2"/>
  <c r="O17" i="2"/>
  <c r="N17" i="2"/>
  <c r="L17" i="2"/>
  <c r="J17" i="2"/>
  <c r="Z16" i="2"/>
  <c r="W16" i="2"/>
  <c r="V16" i="2"/>
  <c r="Q16" i="2"/>
  <c r="O16" i="2"/>
  <c r="N16" i="2"/>
  <c r="L16" i="2"/>
  <c r="J16" i="2"/>
  <c r="Z15" i="2"/>
  <c r="W15" i="2"/>
  <c r="V15" i="2"/>
  <c r="Q15" i="2"/>
  <c r="O15" i="2"/>
  <c r="N15" i="2"/>
  <c r="L15" i="2"/>
  <c r="J15" i="2"/>
  <c r="Z14" i="2"/>
  <c r="W14" i="2"/>
  <c r="V14" i="2"/>
  <c r="Q14" i="2"/>
  <c r="O14" i="2"/>
  <c r="N14" i="2"/>
  <c r="L14" i="2"/>
  <c r="J14" i="2"/>
  <c r="Z13" i="2"/>
  <c r="W13" i="2"/>
  <c r="V13" i="2"/>
  <c r="Q13" i="2"/>
  <c r="O13" i="2"/>
  <c r="N13" i="2"/>
  <c r="L13" i="2"/>
  <c r="J13" i="2"/>
  <c r="Z12" i="2"/>
  <c r="W12" i="2"/>
  <c r="V12" i="2"/>
  <c r="Q12" i="2"/>
  <c r="O12" i="2"/>
  <c r="N12" i="2"/>
  <c r="L12" i="2"/>
  <c r="J12" i="2"/>
  <c r="Z11" i="2"/>
  <c r="W11" i="2"/>
  <c r="V11" i="2"/>
  <c r="Q11" i="2"/>
  <c r="O11" i="2"/>
  <c r="N11" i="2"/>
  <c r="L11" i="2"/>
  <c r="J11" i="2"/>
  <c r="Z10" i="2"/>
  <c r="W10" i="2"/>
  <c r="V10" i="2"/>
  <c r="Q10" i="2"/>
  <c r="O10" i="2"/>
  <c r="N10" i="2"/>
  <c r="L10" i="2"/>
  <c r="J10" i="2"/>
  <c r="Z9" i="2"/>
  <c r="W9" i="2"/>
  <c r="V9" i="2"/>
  <c r="Q9" i="2"/>
  <c r="O9" i="2"/>
  <c r="N9" i="2"/>
  <c r="L9" i="2"/>
  <c r="J9" i="2"/>
  <c r="Z8" i="2"/>
  <c r="W8" i="2"/>
  <c r="V8" i="2"/>
  <c r="Q8" i="2"/>
  <c r="O8" i="2"/>
  <c r="N8" i="2"/>
  <c r="L8" i="2"/>
  <c r="J8" i="2"/>
  <c r="Z7" i="2"/>
  <c r="W7" i="2"/>
  <c r="V7" i="2"/>
  <c r="Q7" i="2"/>
  <c r="O7" i="2"/>
  <c r="N7" i="2"/>
  <c r="L7" i="2"/>
  <c r="J7" i="2"/>
  <c r="Z6" i="2"/>
  <c r="W6" i="2"/>
  <c r="V6" i="2"/>
  <c r="Q6" i="2"/>
  <c r="O6" i="2"/>
  <c r="N6" i="2"/>
  <c r="L6" i="2"/>
  <c r="J6" i="2"/>
  <c r="Z5" i="2"/>
  <c r="W5" i="2"/>
  <c r="V5" i="2"/>
  <c r="Q5" i="2"/>
  <c r="O5" i="2"/>
  <c r="N5" i="2"/>
  <c r="L5" i="2"/>
  <c r="J5" i="2"/>
  <c r="Z4" i="2"/>
  <c r="W4" i="2"/>
  <c r="V4" i="2"/>
  <c r="Q4" i="2"/>
  <c r="O4" i="2"/>
  <c r="N4" i="2"/>
  <c r="L4" i="2"/>
  <c r="J4" i="2"/>
  <c r="Z3" i="2"/>
  <c r="W3" i="2"/>
  <c r="V3" i="2"/>
  <c r="Q3" i="2"/>
  <c r="O3" i="2"/>
  <c r="N3" i="2"/>
  <c r="L3" i="2"/>
  <c r="J3" i="2"/>
  <c r="Z2" i="2"/>
  <c r="W2" i="2"/>
  <c r="V2" i="2"/>
  <c r="Q2" i="2"/>
  <c r="O2" i="2"/>
  <c r="N2" i="2"/>
  <c r="L2" i="2"/>
  <c r="J2" i="2"/>
</calcChain>
</file>

<file path=xl/sharedStrings.xml><?xml version="1.0" encoding="utf-8"?>
<sst xmlns="http://schemas.openxmlformats.org/spreadsheetml/2006/main" count="7733" uniqueCount="2750">
  <si>
    <t>TARJETA BAM</t>
  </si>
  <si>
    <t>Pago</t>
  </si>
  <si>
    <t>Vigencia</t>
  </si>
  <si>
    <t>Tipo</t>
  </si>
  <si>
    <t>Poliza</t>
  </si>
  <si>
    <t>Certificado</t>
  </si>
  <si>
    <t>Nombre</t>
  </si>
  <si>
    <t>Fecha</t>
  </si>
  <si>
    <t>Fecha Cobro</t>
  </si>
  <si>
    <t>Zona</t>
  </si>
  <si>
    <t>Fuente</t>
  </si>
  <si>
    <t>Agencia</t>
  </si>
  <si>
    <t>Cod. Colaborador</t>
  </si>
  <si>
    <t>Nombre colaborador</t>
  </si>
  <si>
    <t>Prima</t>
  </si>
  <si>
    <t>Cod. Jefe</t>
  </si>
  <si>
    <t>Nombre Jefe</t>
  </si>
  <si>
    <t>Producto</t>
  </si>
  <si>
    <t>Puesto</t>
  </si>
  <si>
    <t>Modificaciones</t>
  </si>
  <si>
    <t>Control</t>
  </si>
  <si>
    <t>Equipo</t>
  </si>
  <si>
    <t>Enviada</t>
  </si>
  <si>
    <t>Meta campaña</t>
  </si>
  <si>
    <t>Asesor</t>
  </si>
  <si>
    <t>SI</t>
  </si>
  <si>
    <t>VIDA+SEGURO</t>
  </si>
  <si>
    <t>VCB-20220010</t>
  </si>
  <si>
    <t>LEONIDAS BERNABE LOPEZ RAMOS</t>
  </si>
  <si>
    <t>NUEVO</t>
  </si>
  <si>
    <t>VCB-20240008</t>
  </si>
  <si>
    <t>JAIME LEONEL DE LEON REYES</t>
  </si>
  <si>
    <t xml:space="preserve">VCB - 20210003 </t>
  </si>
  <si>
    <t>ERIKA MARINA ALONZO</t>
  </si>
  <si>
    <t>APSS-20200009</t>
  </si>
  <si>
    <t>JOSUE EZEQUIEL CAAL</t>
  </si>
  <si>
    <t>CONSULTA BASICO</t>
  </si>
  <si>
    <t>VCB-20210003</t>
  </si>
  <si>
    <t>CARLOS ALFREDO TECUN DOMINGUEZ</t>
  </si>
  <si>
    <t>MARIA TERESA BOCEL TECUN</t>
  </si>
  <si>
    <t>MARIA ESPERANZA  CANEL DIAZ</t>
  </si>
  <si>
    <t>VCB-20220034</t>
  </si>
  <si>
    <t xml:space="preserve">JULIO ROBERTO CAJAS HERNANDEZ </t>
  </si>
  <si>
    <t>ACPE-20210019</t>
  </si>
  <si>
    <t>ISIAIAS OTONIEL LOPEZ SOTO</t>
  </si>
  <si>
    <t>AP DENTAL INDIVIDUAL</t>
  </si>
  <si>
    <t>ENMA MISHELLE LOPEZ LOPEZ</t>
  </si>
  <si>
    <t>JUAN JOSE RAMOS GOMEZ</t>
  </si>
  <si>
    <t>VIDA+SEGURO PLAN 1</t>
  </si>
  <si>
    <t>OSBALDO DAVID SAMAYOA RODRIGUEZ</t>
  </si>
  <si>
    <t>BEATRIZ ELENA PERAZA LOPEZ</t>
  </si>
  <si>
    <t>MARIA NIVEA AGUIRRE ALVARADO</t>
  </si>
  <si>
    <t>ALEJANDRO MIGUEL MENCHU MAZARIEGOS</t>
  </si>
  <si>
    <t>EDGAR ROLANDO PEREZ HERNANDEZ</t>
  </si>
  <si>
    <t>CONSULTA COMPLETO</t>
  </si>
  <si>
    <t>VCB-20210015</t>
  </si>
  <si>
    <t>ANDRES SANTOS DOINGO ORDOÑEZ</t>
  </si>
  <si>
    <t>PREVENCION+SEGURA</t>
  </si>
  <si>
    <t>FELIPE BARRENO HERNANDEZ</t>
  </si>
  <si>
    <t>VCB 20210003</t>
  </si>
  <si>
    <t>AURA MARINA NICOLAS FERNANDEZ</t>
  </si>
  <si>
    <t>JOHANA IDANIA JIMENEZ REYES</t>
  </si>
  <si>
    <t>MATILDE TOMAS PEDRO</t>
  </si>
  <si>
    <t>CECILIA MARISOL SALES</t>
  </si>
  <si>
    <t>HENRRI AVILA SANTIZO</t>
  </si>
  <si>
    <t>VCB 20220009</t>
  </si>
  <si>
    <t>BAYRON NATTANAEL LOPEZ BARAN</t>
  </si>
  <si>
    <t>SAMUEL SOLIS MORALES</t>
  </si>
  <si>
    <t>YOSELIN YESSENIA ALVAREZ PEREZ</t>
  </si>
  <si>
    <t>ROSA ESPERANZA SIPAC CHIRIX</t>
  </si>
  <si>
    <t xml:space="preserve">HENRY FERNANDO LOPEZ PASCUAL </t>
  </si>
  <si>
    <t>03/29/2026</t>
  </si>
  <si>
    <t>BONIFILIO GUDIEL HUINIL CHAY</t>
  </si>
  <si>
    <t>MARVIN ESTUARDO RIOS AGUSTIN</t>
  </si>
  <si>
    <t>VCB- 20220022</t>
  </si>
  <si>
    <t>JERONIMO ROSALES LOPEZ</t>
  </si>
  <si>
    <t>TOMAS DOMINGO ZACARIAS DOMINGO</t>
  </si>
  <si>
    <t>LIDIA ESPERANZA REYES CIFUENTES</t>
  </si>
  <si>
    <t>RONI MARCOTULIO MIRANDA ORTEGA</t>
  </si>
  <si>
    <t>JOSE LUIS CHOCHOM LOPEZ</t>
  </si>
  <si>
    <t>GIOVANA MARIANA MAZARIEGOS SERRANO</t>
  </si>
  <si>
    <t>ALMA PATRICIA GIRON REYES</t>
  </si>
  <si>
    <t>KAREN MELISA PEREZ CAN</t>
  </si>
  <si>
    <t>DAVID ESTEBAN MENDOZA DOMINGUEZ</t>
  </si>
  <si>
    <t>FILIBERTO LOPEZ BUC</t>
  </si>
  <si>
    <t>CONSULTA BASICO + BIENESTAR</t>
  </si>
  <si>
    <t>APSS-20220021</t>
  </si>
  <si>
    <t>FELIX  HERRERA LOPEZ</t>
  </si>
  <si>
    <t>CONSULTA COMPLETO + BIENESTAR</t>
  </si>
  <si>
    <t>RAFAEL GODINEZ PEREZ</t>
  </si>
  <si>
    <t>APSS20200009</t>
  </si>
  <si>
    <t>EFRAIN MANUEL JIMENEZ MENDEZ</t>
  </si>
  <si>
    <t xml:space="preserve">JUANA SANTIAGO PANJOJ SALVADOR </t>
  </si>
  <si>
    <t>2 polia</t>
  </si>
  <si>
    <t>VCB-20220046</t>
  </si>
  <si>
    <t xml:space="preserve">2 poliza </t>
  </si>
  <si>
    <t>EDIL WOSBELI GOMEZ GOMEZ</t>
  </si>
  <si>
    <t>DOMINGO MATEO SEBASTIAN</t>
  </si>
  <si>
    <t>RONY FIDEL AGUILAR AJTUN</t>
  </si>
  <si>
    <t>ACPE-20210007</t>
  </si>
  <si>
    <t>ERVIN HOMERO LOPEZ REYES</t>
  </si>
  <si>
    <t>AP BIENESTAR</t>
  </si>
  <si>
    <t xml:space="preserve">LUIS ALFREDO DE LEON RUIZ </t>
  </si>
  <si>
    <t xml:space="preserve">ANADILIA TELON MAZARIEGOS </t>
  </si>
  <si>
    <t>ACPE-20240016</t>
  </si>
  <si>
    <t>ISAAC PEREZ ACABAL</t>
  </si>
  <si>
    <t>VCB20210003</t>
  </si>
  <si>
    <t xml:space="preserve">EMERSON DENILSON FUNES RIVERA </t>
  </si>
  <si>
    <t xml:space="preserve">RIGOBERTO LIMA VASQUEZ </t>
  </si>
  <si>
    <t>GENDRI ELIAZAR REYES BARRIOS</t>
  </si>
  <si>
    <t>ACPE-20220038</t>
  </si>
  <si>
    <t>MARVIN GERARDO CHAPETON SARMIENTOS</t>
  </si>
  <si>
    <t>BYRON RENE HIGUEROS LUARTE</t>
  </si>
  <si>
    <t xml:space="preserve">ABNER YERALDO LOPEZ DEL VALLE </t>
  </si>
  <si>
    <t>NOE NERY RIVERA ALVARADO</t>
  </si>
  <si>
    <t>GLORIA MARIA CASTELLANOS MERIDA</t>
  </si>
  <si>
    <t>ADONIAS ISAI PEREZ BONILLA</t>
  </si>
  <si>
    <t>KAREN YAZMIN PEREZ ROMERO</t>
  </si>
  <si>
    <t>FRANCISCO LOPEZ PEREZ</t>
  </si>
  <si>
    <t>HENRY MARGOS RALON</t>
  </si>
  <si>
    <t>CARMEN GOMEZ VASQUEZ</t>
  </si>
  <si>
    <t>MIGUEL ANGEL VELASQUEZ PEREZ</t>
  </si>
  <si>
    <t xml:space="preserve">GUMERCINDO MACARIO VASQUEZ </t>
  </si>
  <si>
    <t>BRENDA NICTE PEREZ MENDOZA</t>
  </si>
  <si>
    <t>NO</t>
  </si>
  <si>
    <t>MOBS-22000361</t>
  </si>
  <si>
    <t>OTTO RODOLFO MAZARIEGOS GOMEZ</t>
  </si>
  <si>
    <t>MOTO+SEGURA</t>
  </si>
  <si>
    <t>TOMAS ALEXANDER AJANEL RAMOS</t>
  </si>
  <si>
    <t>VCB- 20220034</t>
  </si>
  <si>
    <t>MARTA JOSEFINA HERNANDEZ GOMEZ</t>
  </si>
  <si>
    <t>PENDIENTE</t>
  </si>
  <si>
    <t>MARCO VINICIO CASTILLO GOMEZ</t>
  </si>
  <si>
    <t>VCB 20220034</t>
  </si>
  <si>
    <t>RONALD IVAN DE LEON BARRIOS</t>
  </si>
  <si>
    <t>VIDA+SEGURO PLAN 3</t>
  </si>
  <si>
    <t xml:space="preserve">ELVIRA DARINETH RECINOIS ESCALANTE </t>
  </si>
  <si>
    <t>--</t>
  </si>
  <si>
    <t>NICOLAS HERNANDEZ LOPEZ</t>
  </si>
  <si>
    <t>MIGUEL FILOMENO TZUL VICENTE</t>
  </si>
  <si>
    <t>VCB-20240020</t>
  </si>
  <si>
    <t>GERBER ABIGAIL ESCOBAR GARCIA</t>
  </si>
  <si>
    <t>FANNY ELISA AJPOP TELEGUARIO</t>
  </si>
  <si>
    <t>CRISTIAN SAMUEL VELASQUEZ MENDEZ</t>
  </si>
  <si>
    <t>ANTOLIN TOMAS REYNOSO</t>
  </si>
  <si>
    <t>KEVIN DANIEL BELETZUY DE LA CRUZ</t>
  </si>
  <si>
    <t>ENGEMBER TERESO MARTINEZ DE LEON</t>
  </si>
  <si>
    <t>AIDA CORONITA MANZO DE LEON</t>
  </si>
  <si>
    <t>ACPE-20220074</t>
  </si>
  <si>
    <t>FELIPE ROBERTO OXLAJ GONZALEZ</t>
  </si>
  <si>
    <t>CELESTINA CHAPERON MENDOZA</t>
  </si>
  <si>
    <t>PEDRO GARCIA OXLAJ</t>
  </si>
  <si>
    <t xml:space="preserve">MARIA ROSARIO TISTOJ RACANCOJ </t>
  </si>
  <si>
    <t>DARWIN VICENTE VELASQUEZ VELASQUEZ</t>
  </si>
  <si>
    <t>ABDONIA BEATRIZ LOPEZ Y LOPEZ</t>
  </si>
  <si>
    <t xml:space="preserve"> JOSE ALFREDO DE LEON BATZ</t>
  </si>
  <si>
    <t>VIDA+SEGURO PLAN 2</t>
  </si>
  <si>
    <t>EDGAR DIONEL ROJAS VASQUEZ</t>
  </si>
  <si>
    <t>HUGO ALEXANDER MORGA RODAS</t>
  </si>
  <si>
    <t>EVELYN ARELY HERNANDEZ LOPEZ CHAVEZ</t>
  </si>
  <si>
    <t>MATEO GOMEZ HERNANDEZ</t>
  </si>
  <si>
    <t>ISAIAS LUIS BAQUIAX TULUJAN</t>
  </si>
  <si>
    <t>MARIA ELENA IXCOY PEREZ</t>
  </si>
  <si>
    <t>JUAN MYNOR LAYNEZ ZACARIAS</t>
  </si>
  <si>
    <t>DUGLAS ISMAEL BARRIOS GONZALEZ</t>
  </si>
  <si>
    <t>ROBERTO ALVARADO LOPEZ</t>
  </si>
  <si>
    <t>MILTON VASQUEZ ALONZO</t>
  </si>
  <si>
    <t>VICTOR MANUEL ROBLES PEREZ</t>
  </si>
  <si>
    <t>GILMAR TOMAS YOC PEREZ</t>
  </si>
  <si>
    <t>LUIS ALBERTO VELASQUEZ LOPEZ</t>
  </si>
  <si>
    <t>EDWIN GEOVANY JUAREZ PAXTOR</t>
  </si>
  <si>
    <t>AMILCAR ABRAHAM ZARATE VELASQUEZ</t>
  </si>
  <si>
    <t>MARIO EDUARDO RIOS ORANTES</t>
  </si>
  <si>
    <t>VCB20240007</t>
  </si>
  <si>
    <t>OLIVER ALEXIS GONZALEZ PEREZ</t>
  </si>
  <si>
    <t>VCB</t>
  </si>
  <si>
    <t>ROBERTO BAMAC RAMOS</t>
  </si>
  <si>
    <t>FRANCISCO ANDRES IXCOT MEJIA</t>
  </si>
  <si>
    <t>OPTIMA</t>
  </si>
  <si>
    <t>TOMAS ANTONIO VASQUEZ RAMOS</t>
  </si>
  <si>
    <t>LORENZO DIEGO JUAN</t>
  </si>
  <si>
    <t>c</t>
  </si>
  <si>
    <t>ACPE20210031</t>
  </si>
  <si>
    <t>ELIEL ADONY LOPEZ DEL VALLE</t>
  </si>
  <si>
    <t>MULTIASISTENCIAS</t>
  </si>
  <si>
    <t>DIONISIO PANJOJ CONOZ</t>
  </si>
  <si>
    <t>SEBASTIAN MORALES MATEO</t>
  </si>
  <si>
    <t>VIDA PLAN 2</t>
  </si>
  <si>
    <t>CARLOS DANIEL LEIVA COYOY</t>
  </si>
  <si>
    <t>APSS-20240009</t>
  </si>
  <si>
    <t>ANA ESTEBAN RAMON</t>
  </si>
  <si>
    <t>VCB- 20220010</t>
  </si>
  <si>
    <t>GLORIA ERMINIA HERNANDEZ RIVERA</t>
  </si>
  <si>
    <t>ROGER DENIS CASTILLO LOPEZ</t>
  </si>
  <si>
    <t>VCB20240008</t>
  </si>
  <si>
    <t xml:space="preserve">MIGUEL ANGEL RODRIGUEZ VASQUEZ </t>
  </si>
  <si>
    <t>FELIX FERNANDO BATZ SOCOP</t>
  </si>
  <si>
    <t>ROMULO CORDOVA GUZMAN</t>
  </si>
  <si>
    <t>JUNA MICHELY GONZALEZ RIOS</t>
  </si>
  <si>
    <t>VIDA MAS SEGURA PLAN 1</t>
  </si>
  <si>
    <t>EVELYN JOHANA YAC DE PAZ</t>
  </si>
  <si>
    <t>CARLOS ALFREDO LOPEZ BARRENO</t>
  </si>
  <si>
    <t>JUAN DANIEL FUENTES MALDONADO</t>
  </si>
  <si>
    <t>HAROLDO CHAVEZ RAMIREZ</t>
  </si>
  <si>
    <t>OSCAR ALBERTO RALDA LEPE</t>
  </si>
  <si>
    <t>ACPE-20210031</t>
  </si>
  <si>
    <t>VICTOR DOMINGO ANTONIO</t>
  </si>
  <si>
    <t>LUCIA FRANCISCO RAMON</t>
  </si>
  <si>
    <t>LESBI ANADELSI DOMINGO AGUILAR</t>
  </si>
  <si>
    <t>EVER FERNANDO LOPEZ Y LOPEZ</t>
  </si>
  <si>
    <t>GUILLERMO ANIBAL ZUÑIGA</t>
  </si>
  <si>
    <t>NERY RAFAEL PEREZ OROZCO</t>
  </si>
  <si>
    <t>ARNULFO CHUB</t>
  </si>
  <si>
    <t>MARIO MARDOQUEO PEREZ MARTIN</t>
  </si>
  <si>
    <t>DANIEL RICARDO CHACAJ TZUNUX</t>
  </si>
  <si>
    <t>MYLDRED YESENIA TZUNUX TIU DE CHANAZ</t>
  </si>
  <si>
    <t>C</t>
  </si>
  <si>
    <t xml:space="preserve">macario santos vasquez lopez </t>
  </si>
  <si>
    <t>JOSE PABLO ALVARADO ROBLERO</t>
  </si>
  <si>
    <t xml:space="preserve">NUEVO </t>
  </si>
  <si>
    <t>BRANDON EDGARDO GOMEZ CARRETO</t>
  </si>
  <si>
    <t>BRIAN JOSE CALMO CIFUENTES</t>
  </si>
  <si>
    <t>IRIS SELENA PEREZ PEREZ</t>
  </si>
  <si>
    <t>MARIO ROBERTO FLORES BATEN</t>
  </si>
  <si>
    <t xml:space="preserve"> VCB 20240008</t>
  </si>
  <si>
    <t>EDVIN GEOVANY VASQUEZ BATEN</t>
  </si>
  <si>
    <t>LEOPOLDO JUAN SANTOS CAHUEX</t>
  </si>
  <si>
    <t>V</t>
  </si>
  <si>
    <t>BYRON IVAN LOPEZ BARILLAS</t>
  </si>
  <si>
    <t xml:space="preserve">MILESLIAN MARICELA JUAREZ ZAVALA </t>
  </si>
  <si>
    <t>MOISES FRANCISCO VELASQUEZ BATEN</t>
  </si>
  <si>
    <t xml:space="preserve">AURELINA SARAI VASQUEZ RAMIREZ </t>
  </si>
  <si>
    <t>BRAYAN DOUGLAS WALDEMAR AJPACAJA BULUX</t>
  </si>
  <si>
    <t>FRANCISCO CAN CUC</t>
  </si>
  <si>
    <t xml:space="preserve">FREDI ALEXANDER AJTUN MEJIA </t>
  </si>
  <si>
    <t>MAGDANELA ESTEBAN PASCUAL</t>
  </si>
  <si>
    <t>ELMAR FRANCISCO LOPEZ VICENTE</t>
  </si>
  <si>
    <t>FRANCISCO ARGELIO SNDOVAL DE LEON</t>
  </si>
  <si>
    <t>MILTON ORIDAY OROZCO LOPEZ</t>
  </si>
  <si>
    <t>GERSON DAVID GOMEZ TZIC</t>
  </si>
  <si>
    <t>JORGE ALBERTO LOPEZ GARCIA</t>
  </si>
  <si>
    <t>WILFRIDO ELIAZAR ALONZO VASQUEZ</t>
  </si>
  <si>
    <t>BENJAMIN TUT CUC</t>
  </si>
  <si>
    <t>RONY ORLANDO LUCAS SANCHEZ</t>
  </si>
  <si>
    <t>JULIO CESAR POZ ROJAS</t>
  </si>
  <si>
    <t>LAZARO AJANEL TULUXAN</t>
  </si>
  <si>
    <t>MIGUEL HUEX RODRIGUEZ</t>
  </si>
  <si>
    <t>NANCY ODILIA BARRIOS FLORES</t>
  </si>
  <si>
    <t>BLANCA LIDIA REYES SOLIS</t>
  </si>
  <si>
    <t>GLORIA LORENA RAFAEL SAPON</t>
  </si>
  <si>
    <t>SULMA VERONICA CIFUENTES SALAZAR</t>
  </si>
  <si>
    <t xml:space="preserve">DIANA MARIA VILLATORO MORALES </t>
  </si>
  <si>
    <t>JOEL RAFAEL TEPAZ</t>
  </si>
  <si>
    <t>ROSENDO FRANCISCO LOPEZ MATIAS</t>
  </si>
  <si>
    <t>ARCENIO DOHELI ESCOBAR MAZARIEGOS</t>
  </si>
  <si>
    <t>MARBELLA ADELINA VELASQUEZ CARDONA</t>
  </si>
  <si>
    <t>MARIA BEATRIZ LOPEZ GOMEZ</t>
  </si>
  <si>
    <t>EDILZAR IVAN DE LEON RAMIREZ</t>
  </si>
  <si>
    <t>NELSON GUSTAVO PANJOJ CONOZ</t>
  </si>
  <si>
    <t>CARLOS JOSUE ENRIQUE QUIEJ MARTINEZ</t>
  </si>
  <si>
    <t>GUMERCINDO XEPER CUTZAL</t>
  </si>
  <si>
    <t>JUAN ARTURO IBARGUEN VALENCIA</t>
  </si>
  <si>
    <t>VCB-20210007</t>
  </si>
  <si>
    <t>OSMIN CARMELINO GRAMAJO GALVEZ</t>
  </si>
  <si>
    <t>CONRADO AUGUSTO MARROQUIN JIMENEZ</t>
  </si>
  <si>
    <t>CLEMENCIA DEL ROSARIO CARDONA HENANDEZ DE GONZALEZ</t>
  </si>
  <si>
    <t xml:space="preserve">DIEGO  PEREZ IZARA </t>
  </si>
  <si>
    <t>ERIX GILBERTO GUZMAN RODRIGUEZ</t>
  </si>
  <si>
    <t>APSS-20220009</t>
  </si>
  <si>
    <t>EMILIO ESTEBAN PEREZ BARRERA</t>
  </si>
  <si>
    <t>SILAS BALDOMERO REYES RODAS</t>
  </si>
  <si>
    <t>FERDY EFRAIN GUINAC GONZALEZ</t>
  </si>
  <si>
    <t>ANGEL ABRAHAM CHIROY GONZALEZ</t>
  </si>
  <si>
    <t>ANA MARIA SALOJ CHUMIL</t>
  </si>
  <si>
    <t>MISHELL ALEXANDRA RIVERA TZAJ DE SAJVIN</t>
  </si>
  <si>
    <t>FREDY ARMANDO MARTINEZ</t>
  </si>
  <si>
    <t>MARCOS DEMECIO PEREZ</t>
  </si>
  <si>
    <t>KARINA NINNETTE RIVAS VILLATORO</t>
  </si>
  <si>
    <t>HEBER MAGDIEL SALES LOPEZ</t>
  </si>
  <si>
    <t>BYRON TRANQUILINO SAENZ GAMARRO</t>
  </si>
  <si>
    <t>EVELYN ARELY HERNANDEZ LOPEZ</t>
  </si>
  <si>
    <t>JUAN NICOLAS LEON</t>
  </si>
  <si>
    <t>SILVIA NOHEMI PEREZ ANDRES</t>
  </si>
  <si>
    <t>MERLIN CLAUDIA HERNANDEZ HIDALGO</t>
  </si>
  <si>
    <t>VIDALICIA DE LEON Y DE LEON</t>
  </si>
  <si>
    <t>ANUALIZADO</t>
  </si>
  <si>
    <t xml:space="preserve">OTTO RAFAEL QUEVEDO MORALES </t>
  </si>
  <si>
    <t>JOSHUA EDU SANTIZO RAMOS</t>
  </si>
  <si>
    <t xml:space="preserve">DANY JOEL GRAMAJO ALVARADO </t>
  </si>
  <si>
    <t xml:space="preserve">JUAN ALFREDO GIRON DIAZ </t>
  </si>
  <si>
    <t>JOSHUA RENE HERRERA RUBIO</t>
  </si>
  <si>
    <t>MADIORID ALEJANDRA ESCOBAR HERRERA</t>
  </si>
  <si>
    <t xml:space="preserve">MARCELO ELIAS HERNANDEZ LOPEZ </t>
  </si>
  <si>
    <t>EDWIN GUDIEL POZ VELASQUEZ</t>
  </si>
  <si>
    <t>ERIKA GABRIELA GALVEZ ANLEU</t>
  </si>
  <si>
    <t>MYNOR OOSWALDO SANTOS CANASTUJ</t>
  </si>
  <si>
    <t>WILDDER ADRIAN MARROQUIN MENDEZ</t>
  </si>
  <si>
    <t>MANUEL CALEL LUX</t>
  </si>
  <si>
    <t>ANGEL EMILIO ICAL CAAL</t>
  </si>
  <si>
    <t>JUAN ANTULIO NORATO LOPEZ</t>
  </si>
  <si>
    <t>ISABEL MENDEZ DIAZ</t>
  </si>
  <si>
    <t>FRANKLIN GARCIA VICENTE</t>
  </si>
  <si>
    <t>WILLIAM ESTUARDO BAMACA MARIN</t>
  </si>
  <si>
    <t>JUAN CARLOS JOJ UTUC</t>
  </si>
  <si>
    <t>KIMBERLY FABIOLA ALVARADO SANDOVAL</t>
  </si>
  <si>
    <t>VCB-20220022</t>
  </si>
  <si>
    <t>MARCLO HABALI GONZALEZ ROJAS</t>
  </si>
  <si>
    <t>ROMILIO ENICELCO VASQUEZ OXLAJ</t>
  </si>
  <si>
    <t>ANTONIO LOPEZ SAJVIN</t>
  </si>
  <si>
    <t>RONALDO NIMACACHI NIMACACHI</t>
  </si>
  <si>
    <t>LENNY PAOLA ARGUETA CHALCU</t>
  </si>
  <si>
    <t>EDGAR MACARIO POL</t>
  </si>
  <si>
    <t xml:space="preserve">LUIS ELISEO AJANEL IXCOY </t>
  </si>
  <si>
    <t>JOSE OBDULIO MEJIA CALDERON</t>
  </si>
  <si>
    <t>PATRICIA AZUCENA ESCOBAR</t>
  </si>
  <si>
    <t>FLORENCIO MARINO CHUC SALES</t>
  </si>
  <si>
    <t>WALFRE ARDANY RODRIGUEZ BARRIOS</t>
  </si>
  <si>
    <t>EDGAR LOPEZ GOMEZ</t>
  </si>
  <si>
    <t>VCB- 20210003</t>
  </si>
  <si>
    <t>NESTOR CASTRO VELASQUEZ</t>
  </si>
  <si>
    <t>IRMA ROSMERI MAURICIO PEREZ</t>
  </si>
  <si>
    <t>JEIDI ELIZABETH CHALI CIFUENTES</t>
  </si>
  <si>
    <t>KEVIN STUARDO ESPAÑA CUA</t>
  </si>
  <si>
    <t>SINDY EDIHT MAGALY MENDEZ VELASQUEZ</t>
  </si>
  <si>
    <t xml:space="preserve">LESLY ANALI GRIJALVA RAMIREZ </t>
  </si>
  <si>
    <t>JESUS CONRROY ESTEBAN SEBASTIAN</t>
  </si>
  <si>
    <t>AGUSTIN CHIQUITA SAMOL</t>
  </si>
  <si>
    <t>ELISEO NATANAEL COTOM MONTERROSO</t>
  </si>
  <si>
    <t>ROSTI JESUS AZ LOPEZ</t>
  </si>
  <si>
    <t>YENIFER AMARILIS FUENTES IXMAY</t>
  </si>
  <si>
    <t>JOSE ANTONIO REYES MACARIO</t>
  </si>
  <si>
    <t>ANTONIO REGINALDO LUGOS ALONZO</t>
  </si>
  <si>
    <t>CARMEN MARIA CARRILLO RUIZ</t>
  </si>
  <si>
    <t>DANI YAIR PU SANCHEZ</t>
  </si>
  <si>
    <t>SELVIN CATALIO LOPEZ BARRIOS</t>
  </si>
  <si>
    <t>ANGEL DANIEL GOMEZ MOLINA</t>
  </si>
  <si>
    <t>ACPE20220022</t>
  </si>
  <si>
    <t>IVONY AZUCENA SANCHEZ LOPEZ</t>
  </si>
  <si>
    <t xml:space="preserve">FELICIANO MEJIA GOMEZ </t>
  </si>
  <si>
    <t>MARIA MALDONADO SOC</t>
  </si>
  <si>
    <t>GERBER ALFREDO CHOPEN Y CHOPEN</t>
  </si>
  <si>
    <t>YENI MARILIS MATEO FRANCISCO</t>
  </si>
  <si>
    <t>WENDY CAROLINA BATEN BATRES</t>
  </si>
  <si>
    <t>SEBASTIAN EMILIO CUX SAQUIC</t>
  </si>
  <si>
    <t>ERICK ALBERTO COYOY SUCHI</t>
  </si>
  <si>
    <t>VCB-20200034</t>
  </si>
  <si>
    <t>JOSE JULIO REYES NIX</t>
  </si>
  <si>
    <t xml:space="preserve">DANIA YAMILETH RAMIREZ LOPEZ </t>
  </si>
  <si>
    <t>ELVIS ESTUARDO SANTOS ARRIVILLAGA</t>
  </si>
  <si>
    <t>JOSE EDUARDO AJU XICAY</t>
  </si>
  <si>
    <t xml:space="preserve">JAQUELINE LORENA CUCULISTA CASTILLO LANDAVERDE </t>
  </si>
  <si>
    <t>ACEPE-20210007</t>
  </si>
  <si>
    <t xml:space="preserve">JUANA ARACELY JUAREZ LOPEZ </t>
  </si>
  <si>
    <t>VICTORINA PEREZ GONZALEZ</t>
  </si>
  <si>
    <t>RONY WALDEMAR VASQUEZ GUINAC</t>
  </si>
  <si>
    <t>JUAN FRANCISCO PEREZ CHOGUAJ</t>
  </si>
  <si>
    <t>ELI ALONZO AGUILAR SALAZAR</t>
  </si>
  <si>
    <t>GERARDO ARTURO LOPEZ TAX</t>
  </si>
  <si>
    <t>ROBERTO SALAZAR MENDOZA</t>
  </si>
  <si>
    <t>JUAN ANIBAL TZUL YAX</t>
  </si>
  <si>
    <t>JUANA NAZARIO FRANCISCO DE CRISTOBAL</t>
  </si>
  <si>
    <t>EULALIA JUAREZ LORENZO DE MATEO</t>
  </si>
  <si>
    <t>VCB-2021003</t>
  </si>
  <si>
    <t xml:space="preserve">VALERIO GODINEZ PEREZ </t>
  </si>
  <si>
    <t>ALEJANDRO PEREBAL COJ</t>
  </si>
  <si>
    <t>JOEL TUBAC XON</t>
  </si>
  <si>
    <t>ANGELICA YESSENIA AROCHE BARRIENTOS</t>
  </si>
  <si>
    <t xml:space="preserve">ELIEZAR DE LEON TAPERIA </t>
  </si>
  <si>
    <t xml:space="preserve">SARAI LUIS VELASQUEZ </t>
  </si>
  <si>
    <t>JUAN APOLINARIO MENDEZ YOC</t>
  </si>
  <si>
    <t>ANAYANCI CATARINA MARTIN JUAN</t>
  </si>
  <si>
    <t>JUAN CARLOS AJPACAJA TZUNUN</t>
  </si>
  <si>
    <t>EDY ROBERTO HERNANDEZ ALVARADO</t>
  </si>
  <si>
    <t>JEISON ALEXANDER LOPEZ LOPEZ</t>
  </si>
  <si>
    <t>DANIEL RAMIREZ NICOLAS</t>
  </si>
  <si>
    <t>BRANDON ISAAC VASQUEZ LOPEZ</t>
  </si>
  <si>
    <t>YEISON ELISEO SANTIZO GUZMAN</t>
  </si>
  <si>
    <t>CARLOS ROGGERY AGUILAR GARCIA</t>
  </si>
  <si>
    <t>TOMAS ORDOÑEZ JERONIMO</t>
  </si>
  <si>
    <t>KRISH ANDERSON PIXCAR AJANEL</t>
  </si>
  <si>
    <t>FTE.</t>
  </si>
  <si>
    <t xml:space="preserve">AGENCIA  </t>
  </si>
  <si>
    <t>ZONA</t>
  </si>
  <si>
    <t>Codigo Empleado</t>
  </si>
  <si>
    <t>Nombre Empleado</t>
  </si>
  <si>
    <t>BAM</t>
  </si>
  <si>
    <t>1 año</t>
  </si>
  <si>
    <t>2 años</t>
  </si>
  <si>
    <t>3 años</t>
  </si>
  <si>
    <t>4 años</t>
  </si>
  <si>
    <t>OTRO BANCO</t>
  </si>
  <si>
    <t>PRADERA</t>
  </si>
  <si>
    <t>AMERICAS</t>
  </si>
  <si>
    <t>Abi Susana Santos Alvarado</t>
  </si>
  <si>
    <t>PUERTA PARADA</t>
  </si>
  <si>
    <t>Abigail Nohemi Letona Lopez</t>
  </si>
  <si>
    <t>LAS CONCHAS ZONA 14</t>
  </si>
  <si>
    <t>Abner Amilcar Miguel Pedro</t>
  </si>
  <si>
    <t>EUROPLAZA</t>
  </si>
  <si>
    <t>Abner Enmanuel Perez Rodriguez</t>
  </si>
  <si>
    <t>VISTA HERMOSA</t>
  </si>
  <si>
    <t>Abner Juan Alexander Menchu Tiu</t>
  </si>
  <si>
    <t>CENTRO MEDICO</t>
  </si>
  <si>
    <t>Abner Rocael Sosa Escobar</t>
  </si>
  <si>
    <t>AP DENTAL FAMILIAR</t>
  </si>
  <si>
    <t>CONDADO CONCEPCION</t>
  </si>
  <si>
    <t>Adelaida Garcia Hernandez</t>
  </si>
  <si>
    <t>MINUTO CARRETERA A EL SALVADOR</t>
  </si>
  <si>
    <t>Adieny Moren Ramirez Gamboa</t>
  </si>
  <si>
    <t>AUTO+SEGURO (AUTO)</t>
  </si>
  <si>
    <t>SAN JOSE PINULA</t>
  </si>
  <si>
    <t>Aida Gabriela De Leon Carrascoza</t>
  </si>
  <si>
    <t>SANTA AMELIA ZONA 16</t>
  </si>
  <si>
    <t>Alan David Perez Muyus</t>
  </si>
  <si>
    <t>HINCAPIE</t>
  </si>
  <si>
    <t>Alan Javier Castillo Ordoñez</t>
  </si>
  <si>
    <t>PLAZA ZONA 14</t>
  </si>
  <si>
    <t>Alan Ricardo Flores Diaz</t>
  </si>
  <si>
    <t>AUTO+SEGURO (PICK UP)</t>
  </si>
  <si>
    <t>PLAZA VARIETA</t>
  </si>
  <si>
    <t>Alba Azucena Santeliz Marin</t>
  </si>
  <si>
    <t>SPAZIO</t>
  </si>
  <si>
    <t>Alejandra Gramajo Marroquin</t>
  </si>
  <si>
    <t>PLAZA FINANCIERA</t>
  </si>
  <si>
    <t>Alejandra Julissa Solis Aguilar</t>
  </si>
  <si>
    <t>FUNDACION</t>
  </si>
  <si>
    <t>CENTRO HISTORICO</t>
  </si>
  <si>
    <t>Alejandra Naime Muñoz Letona</t>
  </si>
  <si>
    <t>VIDA+SEGURO PLAN 4</t>
  </si>
  <si>
    <t>ZONA 1</t>
  </si>
  <si>
    <t>Alejandro Enrique Mejicanos Ramos</t>
  </si>
  <si>
    <t>VIDA+SEGURO PLAN 5</t>
  </si>
  <si>
    <t>PLAZA FLORIDA</t>
  </si>
  <si>
    <t>Alejandro Jose Mont Diaz</t>
  </si>
  <si>
    <t>MIGRANTE BAM</t>
  </si>
  <si>
    <t>METANORTE</t>
  </si>
  <si>
    <t>Alexander Macario Gonzalez Monterroso</t>
  </si>
  <si>
    <t>MORAZAN ZONA 2</t>
  </si>
  <si>
    <t>Alexangel Quan Urrutia</t>
  </si>
  <si>
    <t>SAN JUAN SACATEPEQUEZ</t>
  </si>
  <si>
    <t>ROOSEVELT</t>
  </si>
  <si>
    <t>Alexia Paola Marroquin Lopez</t>
  </si>
  <si>
    <t>DEL CENTRO</t>
  </si>
  <si>
    <t>Alexsandra Daniela Cano Garcia</t>
  </si>
  <si>
    <t xml:space="preserve"> PEDRERA</t>
  </si>
  <si>
    <t>Alfredo Chiyal Bocel</t>
  </si>
  <si>
    <t>DISAGRO</t>
  </si>
  <si>
    <t>Alfredo Gomez Lancerio</t>
  </si>
  <si>
    <t>EL NARANJO</t>
  </si>
  <si>
    <t>Alfredo Monsanto Santos</t>
  </si>
  <si>
    <t>CALLE MARTI</t>
  </si>
  <si>
    <t>Alicia Magaly Juarez Quiacain</t>
  </si>
  <si>
    <t>LOS ALAMOS</t>
  </si>
  <si>
    <t>Alisson Andrea Jacobo Castro</t>
  </si>
  <si>
    <t>PARQUE COLON</t>
  </si>
  <si>
    <t>Allan David Galdamez De Leon</t>
  </si>
  <si>
    <t>23 CALLE</t>
  </si>
  <si>
    <t>Allan Kalleb Garcia Cahuex</t>
  </si>
  <si>
    <t>PORTALES</t>
  </si>
  <si>
    <t>Alma Carolina Herrera Pirir</t>
  </si>
  <si>
    <t>CENTRANORTE</t>
  </si>
  <si>
    <t>Alma Rosa Valle Blandon</t>
  </si>
  <si>
    <t>SANTA LU</t>
  </si>
  <si>
    <t>COSTA SUR</t>
  </si>
  <si>
    <t>Alma Yecenia Ramon Oroxon</t>
  </si>
  <si>
    <t>ESCUINTLA</t>
  </si>
  <si>
    <t>Alma Zucely Sarceño Peralta</t>
  </si>
  <si>
    <t>BARBERENA</t>
  </si>
  <si>
    <t>Alvaro Fernando Acte Mérida</t>
  </si>
  <si>
    <t>CHIQUIMULILLA</t>
  </si>
  <si>
    <t>Alvaro Luis Carias Gonzalez</t>
  </si>
  <si>
    <t>TAXISCO</t>
  </si>
  <si>
    <t>Amairani Lilibeth Escobar Maquin</t>
  </si>
  <si>
    <t>PATULUL</t>
  </si>
  <si>
    <t>Amalia Rebeca Son Juarez</t>
  </si>
  <si>
    <t>PRADERA ESCUINTLA</t>
  </si>
  <si>
    <t>Amarilis Sarita Ajtun Lopez</t>
  </si>
  <si>
    <t>SANTA LUCIA CENTRO</t>
  </si>
  <si>
    <t>Amauri Santillano Catalan</t>
  </si>
  <si>
    <t>NUEVA CONCEPCION</t>
  </si>
  <si>
    <t>Amed Isram Rodas Garcia</t>
  </si>
  <si>
    <t>SAN LUCAS TOLIMAN</t>
  </si>
  <si>
    <t>America Romilia Martinez Ramirez</t>
  </si>
  <si>
    <t>PUERTO DE SAN JOSE</t>
  </si>
  <si>
    <t>Amram Dodanim Lopez Cahuec</t>
  </si>
  <si>
    <t>LA DEMOCRACIA ESCUINTLA</t>
  </si>
  <si>
    <t>Ana Cecilia Navichoc Chiquival</t>
  </si>
  <si>
    <t>LA GOMERA</t>
  </si>
  <si>
    <t>Ana Celeste Garcia Garcia</t>
  </si>
  <si>
    <t>PRADERA EXPRESS PALIN</t>
  </si>
  <si>
    <t>Ana Gabriela Caal Cruz</t>
  </si>
  <si>
    <t xml:space="preserve"> COINCO</t>
  </si>
  <si>
    <t>Ana Gabriela Damian Ixbalan</t>
  </si>
  <si>
    <t>COBAN PLAZA DEL PARQUE</t>
  </si>
  <si>
    <t>NORTE</t>
  </si>
  <si>
    <t>Ana Gabriela De La Cruz Aguilar</t>
  </si>
  <si>
    <t>CARCHA</t>
  </si>
  <si>
    <t>Ana Gabriela Equite Diaz</t>
  </si>
  <si>
    <t>TACTIC</t>
  </si>
  <si>
    <t>Ana Gabriela Gonzalez Herrera</t>
  </si>
  <si>
    <t>SAN LUIS PETEN</t>
  </si>
  <si>
    <t>Ana Leticia Lux Say</t>
  </si>
  <si>
    <t>CHISEC</t>
  </si>
  <si>
    <t>Ana Lourdes Muñoz Pensamiento</t>
  </si>
  <si>
    <t>LA TINTA</t>
  </si>
  <si>
    <t>Ana Lucia Donis Franco</t>
  </si>
  <si>
    <t>SANTA ELENA CENTRO</t>
  </si>
  <si>
    <t>Ana Lucia Gudiel Vasquez</t>
  </si>
  <si>
    <t>PLAYA GRANDE</t>
  </si>
  <si>
    <t>Ana Lucia Ramirez Aquino</t>
  </si>
  <si>
    <t>TELEMAN</t>
  </si>
  <si>
    <t>Ana Marcela Castillo Rodriguez</t>
  </si>
  <si>
    <t>PLAZA MAGDALENA</t>
  </si>
  <si>
    <t>Ana Margarita Barrera Estrada</t>
  </si>
  <si>
    <t>SAN CRISTOBAL VERAPAZ</t>
  </si>
  <si>
    <t>Ana Maria Barrios Alejos</t>
  </si>
  <si>
    <t>FRAY BARTOLOME DE LAS CASAS</t>
  </si>
  <si>
    <t>Ana Merced Arriola Gomez</t>
  </si>
  <si>
    <t>SALAMA</t>
  </si>
  <si>
    <t>Ana Mercedes Tiul Caal</t>
  </si>
  <si>
    <t>COBAN LA PISTA</t>
  </si>
  <si>
    <t>Ana Patricia Escobar Cardona</t>
  </si>
  <si>
    <t>SUCURSAL QUETZALTENANGO</t>
  </si>
  <si>
    <t>OCCIDENTE</t>
  </si>
  <si>
    <t>Ana Paulina Macario Del Cid</t>
  </si>
  <si>
    <t>SAN PEDRO SACATEPEQUEZ S.M.</t>
  </si>
  <si>
    <t>Ana Rita Morales Mata</t>
  </si>
  <si>
    <t>HUEHUETENANGO</t>
  </si>
  <si>
    <t>Ana Sofia Castillo Armas</t>
  </si>
  <si>
    <t>ZENTROPLAZA</t>
  </si>
  <si>
    <t>Ana Victoria Gonzalez Garcia</t>
  </si>
  <si>
    <t>LOS ALTOS</t>
  </si>
  <si>
    <t>Anali Guadalupe Salazar Rodriguez</t>
  </si>
  <si>
    <t>PANAJACHEL</t>
  </si>
  <si>
    <t>Andrea Ayalett Ochoa Lopez</t>
  </si>
  <si>
    <t>CHICHICASTENANGO</t>
  </si>
  <si>
    <t>Andrea Dayana Ordoñez Mendez</t>
  </si>
  <si>
    <t>CHIMALTENANGO 2</t>
  </si>
  <si>
    <t>Andrea Fernanda Villela Hernandez</t>
  </si>
  <si>
    <t>HUEHUETENANGO TERMINAL</t>
  </si>
  <si>
    <t>Andrea Lisbeth Ruiz Rodas</t>
  </si>
  <si>
    <t>SANTA CRUZ DEL QUICHE</t>
  </si>
  <si>
    <t>Andrea Lucia Lopez Ajin</t>
  </si>
  <si>
    <t>TECPAN</t>
  </si>
  <si>
    <t>Andrea Marbely Letran Juarez</t>
  </si>
  <si>
    <t>TOTONICAPAN</t>
  </si>
  <si>
    <t>Andrea Margarita Gomez Morales</t>
  </si>
  <si>
    <t>SAN MARCOS CENTRO</t>
  </si>
  <si>
    <t>Andrea Maria Alvarez Calderon</t>
  </si>
  <si>
    <t>SALCAJA</t>
  </si>
  <si>
    <t>Andrea Michelle Urbina Solorzano</t>
  </si>
  <si>
    <t>PRADERA XELA</t>
  </si>
  <si>
    <t>Andrea Paola Santisteban Per</t>
  </si>
  <si>
    <t>SANTA CRUZ BARILLAS</t>
  </si>
  <si>
    <t>Andrea Sucely Ortiz Villavicencio</t>
  </si>
  <si>
    <t>ANDARIA</t>
  </si>
  <si>
    <t>Andrea Yesenia Carpio Ramirez</t>
  </si>
  <si>
    <t>JUTIAPA</t>
  </si>
  <si>
    <t>ORIENTE</t>
  </si>
  <si>
    <t>Andreina Antonieta Velasquez Fuentes</t>
  </si>
  <si>
    <t>JALAPA</t>
  </si>
  <si>
    <t>Andreina Nataly Canahui Ochoa</t>
  </si>
  <si>
    <t>PUERTO BARRIOS</t>
  </si>
  <si>
    <t>Angel Eliu Humberto Caal Lopez</t>
  </si>
  <si>
    <t>AGUA BLANCA</t>
  </si>
  <si>
    <t>Angel Enmanuel Quim Macz</t>
  </si>
  <si>
    <t>CHIQUIMULA 2</t>
  </si>
  <si>
    <t>Angel Jose Figueroa Garcia</t>
  </si>
  <si>
    <t>ESQUIPULAS</t>
  </si>
  <si>
    <t>Angel Josue Ortiz De Leon</t>
  </si>
  <si>
    <t>GUASTATOYA</t>
  </si>
  <si>
    <t>Angel Josue Perez Rivera</t>
  </si>
  <si>
    <t>RIO DULCE 2</t>
  </si>
  <si>
    <t>Angel Raderyk Vasquez Ovando</t>
  </si>
  <si>
    <t>SANARATE</t>
  </si>
  <si>
    <t>Angela Daniela Mazariegos Herrera</t>
  </si>
  <si>
    <t>TECULUTAN</t>
  </si>
  <si>
    <t>Angela Esmeralda Reyes Arriaza</t>
  </si>
  <si>
    <t>PRADERA PUERTO BARRIOS</t>
  </si>
  <si>
    <t>Angela Ester Gramajo Galicia</t>
  </si>
  <si>
    <t>ZACAPA CATEDRAL</t>
  </si>
  <si>
    <t>Angela Marizol Ramon Escobar</t>
  </si>
  <si>
    <t>MONJAS</t>
  </si>
  <si>
    <t>Angelica Sol Ortiz</t>
  </si>
  <si>
    <t>SAN LUIS JILOTEPEQUE CENTRO</t>
  </si>
  <si>
    <t>Anika Beira Domingo Escobar</t>
  </si>
  <si>
    <t>ASUNCION MITA</t>
  </si>
  <si>
    <t>Anthony Enrique Castellanos Perez</t>
  </si>
  <si>
    <t>PRADERA CHIQUIMULA</t>
  </si>
  <si>
    <t>Antoni Alexis Del Cid Sian</t>
  </si>
  <si>
    <t>UMG JUTIAPA</t>
  </si>
  <si>
    <t>Aracely Nohemy Fuentes Alonzo</t>
  </si>
  <si>
    <t>ZONA 8</t>
  </si>
  <si>
    <t>Arelis Noemi Gonzalez Vivar</t>
  </si>
  <si>
    <t>PETAPA</t>
  </si>
  <si>
    <t>Arely Maoly Aguilar Y Aguilar</t>
  </si>
  <si>
    <t>SAN CRISTOBAL</t>
  </si>
  <si>
    <t>Arleth Julissa Paredez Ramirez</t>
  </si>
  <si>
    <t>VILLA NUEVA</t>
  </si>
  <si>
    <t>Ashley Dayana Franco Sandoval</t>
  </si>
  <si>
    <t>QUETZAL</t>
  </si>
  <si>
    <t>Astrid Carolina Lopez Lopez</t>
  </si>
  <si>
    <t>EL FRUTAL</t>
  </si>
  <si>
    <t>Astrid Elena Alvarado Lopez</t>
  </si>
  <si>
    <t>ATANASIO TZUL</t>
  </si>
  <si>
    <t>Astrid Guadalupe Fernandez Perez</t>
  </si>
  <si>
    <t>BOULEVARD SAN CRISTOBAL</t>
  </si>
  <si>
    <t>Astrid Ivone Hernandez</t>
  </si>
  <si>
    <t>AGUILAR BATRES 2</t>
  </si>
  <si>
    <t>Astrid Leonela Barrios Velasquez</t>
  </si>
  <si>
    <t>PACIFIC CENTER</t>
  </si>
  <si>
    <t>Astrid Lisbeth Morales Morales</t>
  </si>
  <si>
    <t>VILLA HERMOSA</t>
  </si>
  <si>
    <t>Astrid Marielena Mendez Garcia</t>
  </si>
  <si>
    <t>VILLA NUEVA 2</t>
  </si>
  <si>
    <t>Astrid Yohana Escobar Oliva</t>
  </si>
  <si>
    <t>AMATITLAN</t>
  </si>
  <si>
    <t>Aura Josefina Coy Tiul</t>
  </si>
  <si>
    <t>PLAZA MADERO</t>
  </si>
  <si>
    <t>Aura Leticia Aparicio Marin</t>
  </si>
  <si>
    <t>BOCA DEL MONTE</t>
  </si>
  <si>
    <t>Aura Lourdes Garcia Gomez</t>
  </si>
  <si>
    <t xml:space="preserve"> COMAYMA</t>
  </si>
  <si>
    <t>Aura Mirthala Castillo Castillo</t>
  </si>
  <si>
    <t>CENTRASUR</t>
  </si>
  <si>
    <t>Avner Josue Merida Molina</t>
  </si>
  <si>
    <t>LUMINOVA</t>
  </si>
  <si>
    <t>Axel Anderson Montufar Roca</t>
  </si>
  <si>
    <t>ZONA 4</t>
  </si>
  <si>
    <t>REFORMA</t>
  </si>
  <si>
    <t>Axel Denilson Hernandez Tocay</t>
  </si>
  <si>
    <t>TIVOLI  ZONA 9</t>
  </si>
  <si>
    <t>Axel Roberto Guzman Coro</t>
  </si>
  <si>
    <t>ZONA 5</t>
  </si>
  <si>
    <t>Axel Wilfredo Caal Coy</t>
  </si>
  <si>
    <t>Azucena Raquel Luis Perez</t>
  </si>
  <si>
    <t>MARGARITAS</t>
  </si>
  <si>
    <t>Barbara Alejandra Toj Romero</t>
  </si>
  <si>
    <t>TERMINAL ZONA 9</t>
  </si>
  <si>
    <t>Beberli Yuceli Gomez Davila</t>
  </si>
  <si>
    <t>AGENCIA CENTRAL</t>
  </si>
  <si>
    <t>Beberlin Dayana Veron Garcia</t>
  </si>
  <si>
    <t>CAMINO REAL</t>
  </si>
  <si>
    <t>Beberly Angeaneth Gonzalez Ruiz</t>
  </si>
  <si>
    <t>LA TORRE</t>
  </si>
  <si>
    <t>Beberly Karina Ramirez Ismatul</t>
  </si>
  <si>
    <t>FUNDACION 2</t>
  </si>
  <si>
    <t>Beberly Salvador Zuñiga</t>
  </si>
  <si>
    <t>MONTUFAR</t>
  </si>
  <si>
    <t>Belgica Lizeth Can Guitz</t>
  </si>
  <si>
    <t>OAKLAND MALL</t>
  </si>
  <si>
    <t>Berta Leticia Yapan Pelen</t>
  </si>
  <si>
    <t>AVIA</t>
  </si>
  <si>
    <t>Bertha Lidia Morataya Diaz</t>
  </si>
  <si>
    <t>FONTABELLA</t>
  </si>
  <si>
    <t>Bertha Rosalba Gabriel Vasquez</t>
  </si>
  <si>
    <t>PLAZA 6-17</t>
  </si>
  <si>
    <t>Betzy Dayana Gutierrez Chon</t>
  </si>
  <si>
    <t>Beverly Jeanette Panjoj Tiriquiz</t>
  </si>
  <si>
    <t>ANTIGUA EL PORTAL</t>
  </si>
  <si>
    <t>Beverly Walesca Morales Ibarra</t>
  </si>
  <si>
    <t>ANTIGUA LANDIVAR</t>
  </si>
  <si>
    <t>Blanca Cristina Saquic Ac</t>
  </si>
  <si>
    <t>MIRAFLORES</t>
  </si>
  <si>
    <t>Blanca Olinda Quintanilla Godoy</t>
  </si>
  <si>
    <t>UTATLAN</t>
  </si>
  <si>
    <t>Brandon Alberto Jerez Cajas</t>
  </si>
  <si>
    <t>PERI-ROOSEVELT</t>
  </si>
  <si>
    <t>Brandon Antonio Alvarez Lopez</t>
  </si>
  <si>
    <t>CALZADA SAN JUAN</t>
  </si>
  <si>
    <t>Brandon Ivan De Mata Monzon</t>
  </si>
  <si>
    <t>GALERIAS MIRAFLORES</t>
  </si>
  <si>
    <t>Brayan Alexander Lopez Garcia</t>
  </si>
  <si>
    <t>JOCOTENANGO</t>
  </si>
  <si>
    <t>Brayan Alexander Recancoy Ramos</t>
  </si>
  <si>
    <t>ESKALA ROOSEVELT</t>
  </si>
  <si>
    <t>Brayan Dennis Lopez Puac</t>
  </si>
  <si>
    <t>ANTIGUA LOS ENCINOS</t>
  </si>
  <si>
    <t>Brayan Franklin Lopez Alvarez</t>
  </si>
  <si>
    <t>CIUDAD VIEJA</t>
  </si>
  <si>
    <t>Brenda Elizabeth Sanchez Barrientos</t>
  </si>
  <si>
    <t>LAS PUERTAS SAN LUCAS</t>
  </si>
  <si>
    <t>Brenda Esmeralda Alvarado Pascual</t>
  </si>
  <si>
    <t xml:space="preserve"> AGENCIA CUADRES</t>
  </si>
  <si>
    <t>SIN ZONA</t>
  </si>
  <si>
    <t>Brenda Karina Coxaj Peinado</t>
  </si>
  <si>
    <t xml:space="preserve"> AGENCIA BANCA PRIVADA  5to Niv</t>
  </si>
  <si>
    <t>Brenda Liseth Ixcoy Tulujan</t>
  </si>
  <si>
    <t xml:space="preserve"> AGENCIA BANCA PRIVADA</t>
  </si>
  <si>
    <t>Brenda Lucrecia Lopez Gonzalez</t>
  </si>
  <si>
    <t xml:space="preserve"> BANCA PRIVADA PLAZA ZONA 14</t>
  </si>
  <si>
    <t>Brenda Lucrecia Ruiz Sanchez</t>
  </si>
  <si>
    <t xml:space="preserve"> Banca Privada Plaza Varieta</t>
  </si>
  <si>
    <t>Brenda Maribel Montenegro Reyes</t>
  </si>
  <si>
    <t xml:space="preserve"> Operaciones de Agencias</t>
  </si>
  <si>
    <t>Brenda Marisol Aguilar Patzan</t>
  </si>
  <si>
    <t xml:space="preserve"> AGENCIA BANCA DE EMPRESAS</t>
  </si>
  <si>
    <t>Brenda Marisol Sanchez Chivalan</t>
  </si>
  <si>
    <t>MALACATAN</t>
  </si>
  <si>
    <t>SUROCCIDENTE</t>
  </si>
  <si>
    <t>Brenda Perez Morales</t>
  </si>
  <si>
    <t>TIQUISATE</t>
  </si>
  <si>
    <t>Brenda Raquel Ramirez Sanchez</t>
  </si>
  <si>
    <t>COATEPEQUE</t>
  </si>
  <si>
    <t>Bretany Celeste Ramirez Monroy</t>
  </si>
  <si>
    <t>MAZATENANGO TERMINAL</t>
  </si>
  <si>
    <t>Brian Baudilio Orozco Perez</t>
  </si>
  <si>
    <t>TECUN UMAN SAN MARCOS</t>
  </si>
  <si>
    <t>Brisley Cristina Ortiz Zelada</t>
  </si>
  <si>
    <t>MAZATENANGO CENTRO</t>
  </si>
  <si>
    <t>Bryan Alexander Emanuel Orozco Lancerio</t>
  </si>
  <si>
    <t>LA TRINIDAD RETALHULEU</t>
  </si>
  <si>
    <t>Bryan Daniel Milián De Leon</t>
  </si>
  <si>
    <t>COBIGUA TIQUISATE</t>
  </si>
  <si>
    <t>Bryllan Armando Sierra Sierra</t>
  </si>
  <si>
    <t>RETALHULEU LA SIRENA</t>
  </si>
  <si>
    <t>Byron Estuardo Paredes Villela</t>
  </si>
  <si>
    <t>LA MAQUINA</t>
  </si>
  <si>
    <t>Byron Giovanni Veliz Vasquez</t>
  </si>
  <si>
    <t>LA TRINIDAD MALACATAN</t>
  </si>
  <si>
    <t>Byron Josue Moscoso Vega</t>
  </si>
  <si>
    <t>PAJAPITA</t>
  </si>
  <si>
    <t>Byron Mauricio Amezquita Rivas</t>
  </si>
  <si>
    <t>CHICACAO PAMAXAN</t>
  </si>
  <si>
    <t>Carla Esmeralda Candido Gonzalez</t>
  </si>
  <si>
    <t>LA MAQUINA CENTRO II</t>
  </si>
  <si>
    <t>Carla Fernanda Fernandez Lopez</t>
  </si>
  <si>
    <t>LA TRINIDAD COATEPEQUE</t>
  </si>
  <si>
    <t>Carlos Adalberto Diaz Escobar</t>
  </si>
  <si>
    <t>PLAZA BARISTA</t>
  </si>
  <si>
    <t>Carlos Alberto Galvez Hernandez</t>
  </si>
  <si>
    <t>BANCA PERSONAL</t>
  </si>
  <si>
    <t>Carlos Alberto Guzman Hernandez</t>
  </si>
  <si>
    <t>PLAZA AMERICAS</t>
  </si>
  <si>
    <t>Carlos Alfredo Catun Rax</t>
  </si>
  <si>
    <t>PLAZA COCALES</t>
  </si>
  <si>
    <t>Carlos Anibal Caal Tux</t>
  </si>
  <si>
    <t>PLAZA MUSICAL</t>
  </si>
  <si>
    <t>Carlos Arturo Straube Lopez</t>
  </si>
  <si>
    <t xml:space="preserve">EL PARADOR ANTIGUA </t>
  </si>
  <si>
    <t>Carlos David Castillo Gamboa</t>
  </si>
  <si>
    <t>PARADOR DEL MAR</t>
  </si>
  <si>
    <t>Carlos Emilio Cumez Chenol</t>
  </si>
  <si>
    <t>Carlos Enrique Coz Toc</t>
  </si>
  <si>
    <t>Carlos Enrique Ramirez Lopez</t>
  </si>
  <si>
    <t>Carlos Enrique Vasquez Esteban</t>
  </si>
  <si>
    <t>Carlos Estuardo Campos Asig</t>
  </si>
  <si>
    <t>Carlos Humberto De Paz Paiz</t>
  </si>
  <si>
    <t>Carlos Josue Perez Garcia</t>
  </si>
  <si>
    <t>Carlos Leonel Corado Sosa</t>
  </si>
  <si>
    <t>Carlos Miguel Carrillo Perez</t>
  </si>
  <si>
    <t>Carlos Oliverio Ortiz Villalobos</t>
  </si>
  <si>
    <t>Carlos Onofre Sierra Vasquez</t>
  </si>
  <si>
    <t>Carlos Raul Pedroza Lopez</t>
  </si>
  <si>
    <t>Carlos Roberto Arana Garcia</t>
  </si>
  <si>
    <t>Carlos Saul Santizo Lopez</t>
  </si>
  <si>
    <t>Carmen Amalia Macario Rixtun</t>
  </si>
  <si>
    <t>Carmen Elizabeth Vargas Tun</t>
  </si>
  <si>
    <t>Carmen Liliana Subuyuj Ordoñez</t>
  </si>
  <si>
    <t>Carolina Azucena Lima Contreras</t>
  </si>
  <si>
    <t>Catarina Del Rosario Lopez Taquiej</t>
  </si>
  <si>
    <t>Caterin Berenise Cayax Atz</t>
  </si>
  <si>
    <t>Catirin Marbella Juarez Garcia</t>
  </si>
  <si>
    <t>Cecia Amabil Lopez Valencia</t>
  </si>
  <si>
    <t>Cecilia Margoth Lopez Raymundo</t>
  </si>
  <si>
    <t>Celia Esperanza Arroyo Chiche</t>
  </si>
  <si>
    <t>Cendy Regina Axulen Gonzalez</t>
  </si>
  <si>
    <t>Cesar Estuardo Perez Monterroso</t>
  </si>
  <si>
    <t>Cesar Fernando Reyna Almengor</t>
  </si>
  <si>
    <t>Cesar Geovanni Tuc Sum</t>
  </si>
  <si>
    <t>Cesar Geovanny De Leon Palacios</t>
  </si>
  <si>
    <t>Cesar Humberto Cazun Hernandez</t>
  </si>
  <si>
    <t>Cesar Oliverio Orozco Flores</t>
  </si>
  <si>
    <t>Cesia Paola Marroquin Sanchez</t>
  </si>
  <si>
    <t>Christa Maria Belen Barrera Mazariegos</t>
  </si>
  <si>
    <t>Christiam Daniel Arroyo Cisneros</t>
  </si>
  <si>
    <t>Christian Alejandro Tistoj Lopez</t>
  </si>
  <si>
    <t>Christian Bladimir Panjoj Mejia</t>
  </si>
  <si>
    <t>Christian Eduardo Celada Orellana</t>
  </si>
  <si>
    <t>Christofer Antonio Chali Bacajol</t>
  </si>
  <si>
    <t>Cindy Aracely Ruano Can</t>
  </si>
  <si>
    <t>Cindy Beatriz Reyes De Leon</t>
  </si>
  <si>
    <t>Cindy Carolina Sandoval Ruiz</t>
  </si>
  <si>
    <t>Cindy Gabriela Chanchavac Mejia</t>
  </si>
  <si>
    <t>Cindy Gabriela Perez</t>
  </si>
  <si>
    <t>Cindy Judith Urizar Davila</t>
  </si>
  <si>
    <t>Cindy Melissa Cordon Alfaro</t>
  </si>
  <si>
    <t>Cindy Paola Garcia Monroy</t>
  </si>
  <si>
    <t>Cindy Veronica Bran Polanco</t>
  </si>
  <si>
    <t>Cindy Yenibeth Cano Claudio</t>
  </si>
  <si>
    <t>Cindy Yesenia Morales Quevedo De Abril</t>
  </si>
  <si>
    <t>Cindy Yojana Mendoza Cajas</t>
  </si>
  <si>
    <t>Clara Elizabeth Joge Torres</t>
  </si>
  <si>
    <t>Clara Lorena Perez Hernandez</t>
  </si>
  <si>
    <t>Claudia Analy Argueta Matias</t>
  </si>
  <si>
    <t>Claudia Dolores Barcenas Guillen</t>
  </si>
  <si>
    <t>Claudia Eugenia Chavarria Ramos</t>
  </si>
  <si>
    <t>Claudia Lorena Quino Isaguirre</t>
  </si>
  <si>
    <t>Claudia Marisol Esquivel Ramirez</t>
  </si>
  <si>
    <t>Claudia Noemi Marroquin Perez</t>
  </si>
  <si>
    <t>Claudia Susana Garcia</t>
  </si>
  <si>
    <t>Claudia Yaneth Hidalgo Gonzalez</t>
  </si>
  <si>
    <t>Claudia Yesenia Pinto Picen</t>
  </si>
  <si>
    <t>Claudia Yesenia Ramos Perez</t>
  </si>
  <si>
    <t>Coralia Brenda Judith Ruano Hernandez</t>
  </si>
  <si>
    <t>Cristian Alfredo Jimenez Quino</t>
  </si>
  <si>
    <t>Cristian Esleiter Zuleta Batres</t>
  </si>
  <si>
    <t>Cristian Orlando Leonardo Cortez</t>
  </si>
  <si>
    <t>Cristian Romulo Rolando Cojulun Barrera</t>
  </si>
  <si>
    <t>Cristian Salvador Perez Quiroa</t>
  </si>
  <si>
    <t>Cristian Tomas Chuc Perez</t>
  </si>
  <si>
    <t>Cristian Ubaldo De Leon Ramirez</t>
  </si>
  <si>
    <t>Cristina De Jesus Hernandez Macajola</t>
  </si>
  <si>
    <t>Cristina Mariela Sapon Morales</t>
  </si>
  <si>
    <t>Cristobal Vinicio Chacon Rosana</t>
  </si>
  <si>
    <t>Cristy Charito Bran Guerra</t>
  </si>
  <si>
    <t>Cynthia Guisela Samayoa Aldana</t>
  </si>
  <si>
    <t>Cynthia Marisol Gonzalez Vargas</t>
  </si>
  <si>
    <t>Cynthia Rosaura Cruz Cosajay</t>
  </si>
  <si>
    <t>Dalila Marisol Ramos Galan</t>
  </si>
  <si>
    <t>Damaris Abigail Garcia Perez</t>
  </si>
  <si>
    <t>Damaris Abigail Urizar Martinez</t>
  </si>
  <si>
    <t>Damaris Liseth Sagastume Pinto</t>
  </si>
  <si>
    <t>Damaris Paola Gonzalez Gallardo</t>
  </si>
  <si>
    <t>Damaris Sucely Mendez Roche</t>
  </si>
  <si>
    <t>Damaris Violeta Gonzalez Miguel</t>
  </si>
  <si>
    <t>Danae Melissa Xitumul Ruiz</t>
  </si>
  <si>
    <t>Danely Arleth Rubin Escobar</t>
  </si>
  <si>
    <t>Daneylie Abigalie Dardon Gomez</t>
  </si>
  <si>
    <t>Daniel Abrahan Castillo Hernandez</t>
  </si>
  <si>
    <t>Daniel Alfredo Aguirre Marroquin</t>
  </si>
  <si>
    <t>Daniel Antonio Aceituno Paredes</t>
  </si>
  <si>
    <t>Daniel Isai Moran Lima</t>
  </si>
  <si>
    <t>Daniela Amarilis Davila Juarez</t>
  </si>
  <si>
    <t>Dany Adalberto Choc Bac</t>
  </si>
  <si>
    <t>Daomi Mishel Larios Morales</t>
  </si>
  <si>
    <t>Daphne Pamela Lopez Rodriguez</t>
  </si>
  <si>
    <t>Darbin Alejandro Soto Rodriguez</t>
  </si>
  <si>
    <t>Darissa Anahi Galindo Monzon</t>
  </si>
  <si>
    <t>Darli Asuceli Florian Garcia</t>
  </si>
  <si>
    <t>Darlin Estefany Coyoy Rivas</t>
  </si>
  <si>
    <t>Darlin Pamela Aguilar De La Cruz</t>
  </si>
  <si>
    <t>Darlyn Dayanara Cortez Ramirez</t>
  </si>
  <si>
    <t>Darlyn Guadalupe Barrios Yax</t>
  </si>
  <si>
    <t>Darwin Alexis Ponciano Cruz</t>
  </si>
  <si>
    <t>Darwin Omar Cabrera Cheguen</t>
  </si>
  <si>
    <t>Dauris Yomira Tellechea Lopez</t>
  </si>
  <si>
    <t>David De Jesus Quel Orozco</t>
  </si>
  <si>
    <t>David Emanuel Cachin Morales</t>
  </si>
  <si>
    <t>David Mejia Vicente</t>
  </si>
  <si>
    <t>Dayana Paola Lopez Bolanos</t>
  </si>
  <si>
    <t>Dayanna Beatriz Cachupe Chavac</t>
  </si>
  <si>
    <t>Daylin Ambrocia Cruz Lopez</t>
  </si>
  <si>
    <t>Dayne Dalu Sanchez Hernandez</t>
  </si>
  <si>
    <t>Debora Eunice Tzay Chuluc</t>
  </si>
  <si>
    <t>Debora Madahi Escobar Gomez</t>
  </si>
  <si>
    <t>Debora Paola Sepez Cuc</t>
  </si>
  <si>
    <t>Deisy Gabriela Pineda Paiz</t>
  </si>
  <si>
    <t>Delia Virginia Piedrasanta Parra</t>
  </si>
  <si>
    <t>Delio Maynor Lopez Barrios</t>
  </si>
  <si>
    <t>Delmy Fabiola Orellana Barrientos</t>
  </si>
  <si>
    <t>Delmy Francisca Lopez Perez</t>
  </si>
  <si>
    <t>Delmy Vanesa Morales Ramirez</t>
  </si>
  <si>
    <t>Delwin Leonel Vasquez Barrera</t>
  </si>
  <si>
    <t>Denilson Laureano De Paz Galdamez</t>
  </si>
  <si>
    <t>Derick Juan David Coti Camas</t>
  </si>
  <si>
    <t>Deysi Liliana Caal Oxom</t>
  </si>
  <si>
    <t>Deysi Margoth Lopez Monroy</t>
  </si>
  <si>
    <t>Deysi Noemi Aranoli Carias Pimentel</t>
  </si>
  <si>
    <t>Deysi Paola Lopez Yanes De Conde</t>
  </si>
  <si>
    <t>Deysi Roxana Pablo Ramirez</t>
  </si>
  <si>
    <t>Diana Andrea Castillo Mejia</t>
  </si>
  <si>
    <t>Diana Elizabeth Ayfan Del Cid</t>
  </si>
  <si>
    <t>Diana Guisela Satey De Leon</t>
  </si>
  <si>
    <t>Diana Lizeth Acabal Pansay</t>
  </si>
  <si>
    <t>Diana Mishel Perez Flores</t>
  </si>
  <si>
    <t>Diana Priscila Reyes Bran</t>
  </si>
  <si>
    <t>Diego Alejandro Monroy Barillas</t>
  </si>
  <si>
    <t>Diego Antonio Dubon Suyen</t>
  </si>
  <si>
    <t>Diego Ezequiel Samayoa Toledo</t>
  </si>
  <si>
    <t>Diego Josue David Dieguez Vivar</t>
  </si>
  <si>
    <t>Dilma Carolina Zetino Zepeda</t>
  </si>
  <si>
    <t>Dina Azucena Ortiz Crispin</t>
  </si>
  <si>
    <t>Donald Alejandro Mendez Mayen</t>
  </si>
  <si>
    <t>Donetta Diaz Oroman</t>
  </si>
  <si>
    <t>Dora Estefany Garcia Zetino</t>
  </si>
  <si>
    <t>Dorcas Raquel Palacios Reyes</t>
  </si>
  <si>
    <t>Doris Elizabeth Sandoval Gonzalez</t>
  </si>
  <si>
    <t>Dorman Fernando Gomez Perez</t>
  </si>
  <si>
    <t>Douglas Alberto Luna</t>
  </si>
  <si>
    <t>Douglas Armando Garcia Machic</t>
  </si>
  <si>
    <t>Douglas Nehemias Paz Agustin</t>
  </si>
  <si>
    <t>Duglas Alexander Ramirez</t>
  </si>
  <si>
    <t>Dulce Estrellita Boche Pineda</t>
  </si>
  <si>
    <t>Dulce Fabiola Cabrera Alvarado</t>
  </si>
  <si>
    <t>Dulce Gollin Garcia</t>
  </si>
  <si>
    <t>Dulce Maria Barillas Pineda</t>
  </si>
  <si>
    <t>Dulce Maria De Los Angeles Carranza Poitan</t>
  </si>
  <si>
    <t>Dulce Maria Sican Galicia</t>
  </si>
  <si>
    <t>Dulsse Gabriela Muñoz Giordano</t>
  </si>
  <si>
    <t>Duncan Vladimir Fuentes Marroquin</t>
  </si>
  <si>
    <t>Dylan Anderson Rodriguez Paredes</t>
  </si>
  <si>
    <t>Eber Manuel Valdes Samayoa</t>
  </si>
  <si>
    <t>Eddy Estuardo Lool Calderon</t>
  </si>
  <si>
    <t>Eddy Jose Cabrera Rivas</t>
  </si>
  <si>
    <t>Edgar Alejandro Alvarado Juarez</t>
  </si>
  <si>
    <t>Edgar Alfonso Escoto Asig</t>
  </si>
  <si>
    <t>Edgar Augusto Lara Joachin</t>
  </si>
  <si>
    <t>Edgar Josue Lopez Cahuec</t>
  </si>
  <si>
    <t>Edgar Manrique Flores Sanchez</t>
  </si>
  <si>
    <t>Edgar Ricardo Lopez Valenzuela</t>
  </si>
  <si>
    <t>Edgar Samuel Chavez Garcia</t>
  </si>
  <si>
    <t>Edith Guadalupe Del Cid Orellana</t>
  </si>
  <si>
    <t>Edna Fabiola Miranda Nufio</t>
  </si>
  <si>
    <t>Edna Rubi Hernandez Retana</t>
  </si>
  <si>
    <t>Eduardo Antonio Sotoj Zepeda</t>
  </si>
  <si>
    <t>Eduardo Eliu Camey Coyoy</t>
  </si>
  <si>
    <t>Eduardo Jose Perez Pichilla</t>
  </si>
  <si>
    <t>Eduvina Lisbeth Chilel Garcia</t>
  </si>
  <si>
    <t>Edvin Daniel Compa Oroxom</t>
  </si>
  <si>
    <t>Edvin Estuardo Ordoñez Gonzalez</t>
  </si>
  <si>
    <t>Edvin Raul Chavez Monroy</t>
  </si>
  <si>
    <t>Edward Andoni Alvarez Agueda</t>
  </si>
  <si>
    <t>Edward Oswaldo Mo Macz</t>
  </si>
  <si>
    <t>Edwin Adolfo Soberanis Mazariegos</t>
  </si>
  <si>
    <t>Edwin Alexander Davila Xitumul</t>
  </si>
  <si>
    <t>Edwin Ernesto Sut Chinol</t>
  </si>
  <si>
    <t>Edwin Romeo Eleazar Ochoa Lopez</t>
  </si>
  <si>
    <t>Edy Giancarlo Moreno Pineda</t>
  </si>
  <si>
    <t>Elba Eulalia Esquite Lemus</t>
  </si>
  <si>
    <t>Elder Antonio Mendez Tobar</t>
  </si>
  <si>
    <t>Elder Frankiln Cax Dionicio</t>
  </si>
  <si>
    <t>Elder Uzias Jordan Perez</t>
  </si>
  <si>
    <t>Elena Yazmin Valdez Gallegos</t>
  </si>
  <si>
    <t>Elias Jose Daniel Estrada Nufio</t>
  </si>
  <si>
    <t>Elida Noemi Monroy Ortega</t>
  </si>
  <si>
    <t>Elin Magali Gallardo Velasquez</t>
  </si>
  <si>
    <t>Elisa Clementina Mazariegos Andrade</t>
  </si>
  <si>
    <t>Eliseo Gonzalez De Leon</t>
  </si>
  <si>
    <t>Elizangela Jazmin Barillas Ramirez</t>
  </si>
  <si>
    <t>Elmer Antonio Muñoz Alvarez</t>
  </si>
  <si>
    <t>Elsa Edith Alixjandra Morales Cordon</t>
  </si>
  <si>
    <t>Elsa Karina Siquibache Perez</t>
  </si>
  <si>
    <t>Eluizer Amadeus De Leon De Leon</t>
  </si>
  <si>
    <t>Elvis Ariel Juarez Solis</t>
  </si>
  <si>
    <t>Elvis Orlando Lopez Marroquin</t>
  </si>
  <si>
    <t>Emanuel Perez Garnillo</t>
  </si>
  <si>
    <t>Emely Johanna Urbina Beltran</t>
  </si>
  <si>
    <t>Emerson Ezequiel Giron Lopez</t>
  </si>
  <si>
    <t>Emerson Josue Lopez Hernandez</t>
  </si>
  <si>
    <t>Emily Jisselle Rosales Paz</t>
  </si>
  <si>
    <t>Emy Noemi Vicente Herrera</t>
  </si>
  <si>
    <t>Erick Adolfo Orellana Lopez</t>
  </si>
  <si>
    <t>Erick Antonio Perez Perez</t>
  </si>
  <si>
    <t>Erick Estuardo Morales Samayoa</t>
  </si>
  <si>
    <t>Erick Gamaliel Pineda Mendez</t>
  </si>
  <si>
    <t>Erick Guillermo Sierra Escobar</t>
  </si>
  <si>
    <t>Erick Joel Diaz Barrera</t>
  </si>
  <si>
    <t>Erick Josue Martinez Pineda</t>
  </si>
  <si>
    <t>Erick Manuel Umul Quiej</t>
  </si>
  <si>
    <t>Erick Oswaldo Aguilar Santiago</t>
  </si>
  <si>
    <t>Erick Uriel Sandoval Herrera</t>
  </si>
  <si>
    <t>Ericka Arceli Gonzalez Astorga</t>
  </si>
  <si>
    <t>Ericka Beatriz Tiu Arriola</t>
  </si>
  <si>
    <t>Ericka Florentina Hernandez Bermudes</t>
  </si>
  <si>
    <t>Ericka Gricelda Beatriz Calderon Lopez</t>
  </si>
  <si>
    <t>Ericka Mabel Choc Vasquez</t>
  </si>
  <si>
    <t>Ericka Nathali Huitz Ortega</t>
  </si>
  <si>
    <t>Erickson Amilcar Vasquez Garrido</t>
  </si>
  <si>
    <t>Erik Leonel Alva</t>
  </si>
  <si>
    <t>Erika Alejandra Hernandez Vega</t>
  </si>
  <si>
    <t>Erika Carolina Lopez Chiroy</t>
  </si>
  <si>
    <t>Erika Ixtan Canil</t>
  </si>
  <si>
    <t>Erlinda Elizabeth Cabrera</t>
  </si>
  <si>
    <t>Ernesto Perez Tecun</t>
  </si>
  <si>
    <t>Erwin Antonio Lorenzo Zamora</t>
  </si>
  <si>
    <t/>
  </si>
  <si>
    <t>Esdras Daniel Pablo Solis</t>
  </si>
  <si>
    <t>Esdras Eduardo Hernadez Morales</t>
  </si>
  <si>
    <t>Esdras Manases Vasquez Vasquez</t>
  </si>
  <si>
    <t>Eskarleth Julieta Coloma Camey</t>
  </si>
  <si>
    <t>Esmaylin Alexis Melchor Lopez</t>
  </si>
  <si>
    <t>Esteban Alfonso Gonzalez Osuna</t>
  </si>
  <si>
    <t>Estefani Elizabeth Tzul Macario</t>
  </si>
  <si>
    <t>Estefani Mishel Carpio Alvarado</t>
  </si>
  <si>
    <t>Estefany Catalina Suazo Garcia</t>
  </si>
  <si>
    <t>Estefany Virginia Perez Leiva</t>
  </si>
  <si>
    <t>Ester Yulissa Salazar Sanches</t>
  </si>
  <si>
    <t>Estuardo Alejandro Us Chanchavac</t>
  </si>
  <si>
    <t>Esvin Rolando Orozco Mulul</t>
  </si>
  <si>
    <t>Eswin Antonio Carrillo Barrera</t>
  </si>
  <si>
    <t>Eswin Aroldo Ordoñez Robles</t>
  </si>
  <si>
    <t>Eugenia Azucely Lopez De De Aguirre</t>
  </si>
  <si>
    <t>Eunice Alejandrina Simon Gonzalez</t>
  </si>
  <si>
    <t>Eva Argentina Ramirez Perez</t>
  </si>
  <si>
    <t>Eva Yustinia Lopez Zuñiga</t>
  </si>
  <si>
    <t>Evelin Lorena Noguera García</t>
  </si>
  <si>
    <t>Evelin Maria Padilla Garcia</t>
  </si>
  <si>
    <t>Evelin Yulissa Lopez Villar</t>
  </si>
  <si>
    <t>Evelyn Julieta Lopez Peralta</t>
  </si>
  <si>
    <t>Evelyn Maritza Chumil Monroy</t>
  </si>
  <si>
    <t>Evelyn Marleny Rosales Cutz</t>
  </si>
  <si>
    <t>Evelyn Mishell Catalan Pixtun</t>
  </si>
  <si>
    <t>Evelyn Nohemi Morales Lopez</t>
  </si>
  <si>
    <t>Evelyn Rocio Chiquival Piquic</t>
  </si>
  <si>
    <t>Evelyn Susana Hernandez Ambrosio</t>
  </si>
  <si>
    <t>Evelyn Yaneth Aceituno Lara</t>
  </si>
  <si>
    <t>Ever Josue Del Valle Rivera</t>
  </si>
  <si>
    <t>Everilda Choc Caal</t>
  </si>
  <si>
    <t>Fabian De Jesus Ramirez Icute</t>
  </si>
  <si>
    <t>Fabiola Hernandez Bartolon</t>
  </si>
  <si>
    <t>Fabiola Ninett Beteta Barillas</t>
  </si>
  <si>
    <t>Fabricio Daniel Cajas Cifuentes</t>
  </si>
  <si>
    <t>Fatima Mercedes Montes Quezada</t>
  </si>
  <si>
    <t>Feliciana Isabel Ramirez Raymundo</t>
  </si>
  <si>
    <t>Felix Rodolfo Alvarado Jimenez</t>
  </si>
  <si>
    <t>Fernanda Lucia Lopez Estrada</t>
  </si>
  <si>
    <t>Fernanda Rene Villatoro Guarcas</t>
  </si>
  <si>
    <t>Fernando Jose Monzon Castañeda</t>
  </si>
  <si>
    <t>Flavio Ernesto Monzón Rummler</t>
  </si>
  <si>
    <t>Flor De Maria Lopez Garcia</t>
  </si>
  <si>
    <t>Flor De Maria Mux Ramos</t>
  </si>
  <si>
    <t>Flor Sylvestre Orellana Gonzalez</t>
  </si>
  <si>
    <t>Florencio Monterroso Estrada</t>
  </si>
  <si>
    <t>Floridalma Leticia Lopez Ramirez</t>
  </si>
  <si>
    <t>Floridalma Nicolas Yos</t>
  </si>
  <si>
    <t>Florita Reyes Roblero Morales</t>
  </si>
  <si>
    <t>Flory Azucena De Leon Ventura</t>
  </si>
  <si>
    <t>Francisco Javier Diaz Avila</t>
  </si>
  <si>
    <t>Francisco Joel Gomez Rodriguez</t>
  </si>
  <si>
    <t>Franklin Alexander Perez Paiz</t>
  </si>
  <si>
    <t>Gabriel Antonio Rodas Domingo</t>
  </si>
  <si>
    <t>Gabriela Alejandra Estrada Aroche</t>
  </si>
  <si>
    <t>Gabriela Elizabeth Flores Santos</t>
  </si>
  <si>
    <t>Gabriela Liseth Perez Monzon</t>
  </si>
  <si>
    <t>Gabriela Paola Macario Lopez</t>
  </si>
  <si>
    <t>Gabriela Pelaez Gonzalez</t>
  </si>
  <si>
    <t>Gabriela Raquel Pixtun Trujillo</t>
  </si>
  <si>
    <t>Gabriela Valeska Lemus Cotuc</t>
  </si>
  <si>
    <t>Gaby Beatriz Lopez Lopez</t>
  </si>
  <si>
    <t>Geraldy Daleska Cuyan Giron</t>
  </si>
  <si>
    <t>Gerber Ariel De Leon Elias</t>
  </si>
  <si>
    <t>Gerberth Aridmendi Arevalo Zepeda</t>
  </si>
  <si>
    <t>Gerson Arcadio Hernandez Barrios</t>
  </si>
  <si>
    <t>Gerson David Ortega Soto</t>
  </si>
  <si>
    <t>Gerson Rene Galicia Alvarez</t>
  </si>
  <si>
    <t>Gerson Rolando Alcantara Gonzalez</t>
  </si>
  <si>
    <t>Gladis Guadalupe Tuyuc Ramirez</t>
  </si>
  <si>
    <t>Gladis Mishel Aguilar Garcia</t>
  </si>
  <si>
    <t>Gladis Nohemi Noj Hernandez De De Leon</t>
  </si>
  <si>
    <t>Gladiz Maricela Guamuch Caracun De Lopez</t>
  </si>
  <si>
    <t>Gladys Maribel Chamale Cotzajay</t>
  </si>
  <si>
    <t>Gladys Marleny Rodriguez Tzoc</t>
  </si>
  <si>
    <t>Gladys Susana Marin De Leon</t>
  </si>
  <si>
    <t>Gladyz Ninett Sanchez Perez</t>
  </si>
  <si>
    <t>Glenda Flor De Maria Caal</t>
  </si>
  <si>
    <t>Glenda Isabel Perez Velasquez</t>
  </si>
  <si>
    <t>Glendy Aracely Arevalo Estrada</t>
  </si>
  <si>
    <t>Glendy Elizabeth Aspuac Xunux</t>
  </si>
  <si>
    <t>Glendy Modesta Orellana Sanabria</t>
  </si>
  <si>
    <t>Gloria Angelica Torres Franco</t>
  </si>
  <si>
    <t>Gloria Hernandez Reyes</t>
  </si>
  <si>
    <t>Gonzalo Danilo Castillo Miche</t>
  </si>
  <si>
    <t>Guadalupe Marroquin Mayen</t>
  </si>
  <si>
    <t>Gustavo Adolfo Mixtun Sunun</t>
  </si>
  <si>
    <t>Gustavo Manuel Cifuentes De Mata</t>
  </si>
  <si>
    <t>Hairo Andre Contreras Paz</t>
  </si>
  <si>
    <t>Hallari Michel Orozco Chapen</t>
  </si>
  <si>
    <t>Hans Estuard Milian Alarcon</t>
  </si>
  <si>
    <t>Heber Benjamin Gomez Ramirez</t>
  </si>
  <si>
    <t>Heber Nehemias Velasquez Lorenzo</t>
  </si>
  <si>
    <t>Heber Uziel Ruiz Escobar</t>
  </si>
  <si>
    <t>Hector Estuardo Velasquez Carvajal</t>
  </si>
  <si>
    <t>Hector Manuel Pojoy Berduo</t>
  </si>
  <si>
    <t>Phoenix</t>
  </si>
  <si>
    <t>Hector Marco Tulio Torres Garcia</t>
  </si>
  <si>
    <t>Hegner Aquino Mateo Recinos</t>
  </si>
  <si>
    <t>Heidy Carolina Monterroso Monterroso</t>
  </si>
  <si>
    <t>Heidy Karina Gil Quinti</t>
  </si>
  <si>
    <t>Heidy Noely Yupe Hernandez</t>
  </si>
  <si>
    <t>Heidy Patricia Santizo López</t>
  </si>
  <si>
    <t>Heidy Sucely Boc Monroy</t>
  </si>
  <si>
    <t>Heidy Yanet Reyes Presencin</t>
  </si>
  <si>
    <t>Heily Marie Taracena Diaz</t>
  </si>
  <si>
    <t>Helen Editt Solorzano Estrada</t>
  </si>
  <si>
    <t>Helen Eunice Hernandez Recinos</t>
  </si>
  <si>
    <t>Helen Xiomara Roldan Sagastume</t>
  </si>
  <si>
    <t>Hellen Marisol Velasquez Ciprian</t>
  </si>
  <si>
    <t>Henry David Lopez Perez</t>
  </si>
  <si>
    <t>Henry Donaldo Rodriguez Perez</t>
  </si>
  <si>
    <t>Henry Gabriel Morales Chinchilla</t>
  </si>
  <si>
    <t>Henry Misael Serech Ramon</t>
  </si>
  <si>
    <t>Herber Ardany Lucho Samayoa</t>
  </si>
  <si>
    <t>Herber Humberto Cax Gonzales</t>
  </si>
  <si>
    <t>Herbert Josue Mucia Garcia</t>
  </si>
  <si>
    <t>Herberth Alberto Barrios Perez</t>
  </si>
  <si>
    <t>Hercy Dayana Hidalgo Romero</t>
  </si>
  <si>
    <t>Hesler Jonathan Quevedo De La Cruz</t>
  </si>
  <si>
    <t>Heydee Johana Marisol Cho Del Valle</t>
  </si>
  <si>
    <t>Heydi Yaneth Sales Mazariegos</t>
  </si>
  <si>
    <t>Heydi Zuleyma Gue Cac</t>
  </si>
  <si>
    <t>Heydy Mariela Santiago Armas</t>
  </si>
  <si>
    <t>Hilda Paola Lopez Cano</t>
  </si>
  <si>
    <t>Hugo Leonel Tahual Ramos</t>
  </si>
  <si>
    <t>Hugo Rolando Ruiz Alquijay</t>
  </si>
  <si>
    <t>Hugo Vinicio Chavez Barrios</t>
  </si>
  <si>
    <t>Idalia Ester Espino Lopez</t>
  </si>
  <si>
    <t>Ilda Gricelda Garcia Zacarias</t>
  </si>
  <si>
    <t>Ilda Magnolia Lopez Ramirez</t>
  </si>
  <si>
    <t>Ilda Merary Calachij Mendez</t>
  </si>
  <si>
    <t>Ilsy Meliza Matzir Lebon</t>
  </si>
  <si>
    <t>Imelda Elizabeth Castro Rodas</t>
  </si>
  <si>
    <t>Imelda Eugenia Recinos Martinez</t>
  </si>
  <si>
    <t>Ingrid Alejandra Juarez Yanes</t>
  </si>
  <si>
    <t>Ingrid Benita Tojin Chuc</t>
  </si>
  <si>
    <t>Ingrid Esteffany Salazar Sosa</t>
  </si>
  <si>
    <t>Ingrid Haydee Minchez Monzon</t>
  </si>
  <si>
    <t>Ingrid Johana Muñoz Choc</t>
  </si>
  <si>
    <t>Ingrid Lorena Anleu Morales</t>
  </si>
  <si>
    <t>Ingrid Mariela Maldonado Tubac</t>
  </si>
  <si>
    <t>Ingrid Yojana Ramos Sacalxot</t>
  </si>
  <si>
    <t>Irene Lizbeth Rodas Cuc</t>
  </si>
  <si>
    <t>Iris Elizabeth Cardona Gonzalez</t>
  </si>
  <si>
    <t>Iris Yulisa Camposeco Funes</t>
  </si>
  <si>
    <t>Irma Leticia Raquec Yos</t>
  </si>
  <si>
    <t>Isaac David Ismael Calderon Socop</t>
  </si>
  <si>
    <t>Isabelita Retana Zepeda</t>
  </si>
  <si>
    <t>Isai Bernabe Quiroa Alvarez</t>
  </si>
  <si>
    <t>Isai De Jesus Cabrera Tirado</t>
  </si>
  <si>
    <t>Ismael Josafat Barrios</t>
  </si>
  <si>
    <t>Ismar Manfredo Gomez Batres</t>
  </si>
  <si>
    <t>Jackeline Andrea Yancor Wilhelm</t>
  </si>
  <si>
    <t>Jackeline Ester Vasquez Pernillo</t>
  </si>
  <si>
    <t>Jackeline Larisa De Leon Roldan</t>
  </si>
  <si>
    <t>Jackelinne Judith Paz Morales</t>
  </si>
  <si>
    <t>Jacqueline Mercedes Portuguez Simaj</t>
  </si>
  <si>
    <t>Jacqueline Michell Arroyo Mendoza</t>
  </si>
  <si>
    <t>Jaime Estuardo Gonzalez Lopez</t>
  </si>
  <si>
    <t>Jaime Ottoniel Del Aguila Pineda</t>
  </si>
  <si>
    <t>Jaime Rene Guzman Muy</t>
  </si>
  <si>
    <t>Jaime Wilfredo Chub Coc</t>
  </si>
  <si>
    <t>Jairo Anibal Veliz Carrera</t>
  </si>
  <si>
    <t>Jairo Onesimo Aguilar Cabrera</t>
  </si>
  <si>
    <t>Jairo Saul Lopez Quinteros</t>
  </si>
  <si>
    <t>Jakelyn Estrella Erazo Asencio</t>
  </si>
  <si>
    <t>James Alexander Marquez Salazar</t>
  </si>
  <si>
    <t>Jannely Darlene Telon Giron</t>
  </si>
  <si>
    <t>Janyer Violeta Aguirre Alvarez</t>
  </si>
  <si>
    <t>Jaquelin Paola Lopez Bocel</t>
  </si>
  <si>
    <t>Jaquelin Rocxana Cantey De Leon</t>
  </si>
  <si>
    <t>Jaqueline Gabriela Vasquez Icute De Padilla</t>
  </si>
  <si>
    <t>Jaqueline Johana Hernandez Masaya</t>
  </si>
  <si>
    <t>Jaqueline Mishel Zetino Culan</t>
  </si>
  <si>
    <t>Jaqueline Mishell Perez Sanic</t>
  </si>
  <si>
    <t>Jaqueline Noemi Cojon Franco</t>
  </si>
  <si>
    <t>Jaqueline Sarai Reynoso Perez</t>
  </si>
  <si>
    <t>Jaqueline Stephanie Espinoza Espinoza</t>
  </si>
  <si>
    <t>Jaqueline Vanessa Cardona Del Cid</t>
  </si>
  <si>
    <t>Jaquelyn Marleny Fernandez</t>
  </si>
  <si>
    <t>Jarod Emanuel Prado Sanchez</t>
  </si>
  <si>
    <t>Jasly Elisama Escobar Mayen</t>
  </si>
  <si>
    <t>Jasmin Cristabel Rosales</t>
  </si>
  <si>
    <t>Jasson Daniel Morales Garcia</t>
  </si>
  <si>
    <t>Javier Estuardo Calderon Caceres</t>
  </si>
  <si>
    <t>Javier Ignacio Monzon Leon</t>
  </si>
  <si>
    <t>Jayro Vinicio Alvarado Rodriguez</t>
  </si>
  <si>
    <t>Jefferson Marvin Baudilio Aldana Lozano</t>
  </si>
  <si>
    <t>Jeffrey Donely Alvarez Garcia</t>
  </si>
  <si>
    <t>Jeicob Manrique Argueta Ovalle</t>
  </si>
  <si>
    <t>Jency Julissa Chavarria Garcia</t>
  </si>
  <si>
    <t>Jenifer Estrella Alvarez Cruz</t>
  </si>
  <si>
    <t>Jenifer Lisset Chicol Solis</t>
  </si>
  <si>
    <t>Jenifer Lucrecia Herrera Gonzalez</t>
  </si>
  <si>
    <t>Jenifer Maria Lopez Jimenez</t>
  </si>
  <si>
    <t>Jenifer Patricia Ruano Camo</t>
  </si>
  <si>
    <t>Jeniffer Yadaris Villegas Montepeque</t>
  </si>
  <si>
    <t>Jennie Beatriz Aguilar Gonzalez</t>
  </si>
  <si>
    <t>Jennifer Alejandra Escobar De Leon</t>
  </si>
  <si>
    <t>Jennifer Carolina Xitimul Aguilar</t>
  </si>
  <si>
    <t>Jennifer Estefany Argueta De Leon</t>
  </si>
  <si>
    <t>Jennifer Mishel Reyes Solis</t>
  </si>
  <si>
    <t>Jennifer Noemi Soch Castro</t>
  </si>
  <si>
    <t>Jennifer Pahola Calderon Lopez</t>
  </si>
  <si>
    <t>Jennifer Scarlett Garcia Perez</t>
  </si>
  <si>
    <t>Jennifer Vanessa Rodriguez Hernandez</t>
  </si>
  <si>
    <t>Jennifer Waleska Arévalo Barrios</t>
  </si>
  <si>
    <t>Jenniffer Jazmin Ramos Madriles</t>
  </si>
  <si>
    <t>Jennyfer Cristina Zamora Rosales</t>
  </si>
  <si>
    <t>Jerson Herminio Melchor Vasquez</t>
  </si>
  <si>
    <t>Jessica Alejandra Castillo Alvarado</t>
  </si>
  <si>
    <t>Jessica Elizabeth Perez Noriega</t>
  </si>
  <si>
    <t>Jessica Haydee Garcia Cuyuche</t>
  </si>
  <si>
    <t>Jessica Jasmin Baltazar Fuentes</t>
  </si>
  <si>
    <t>Jessica Maria Jose Santizo Guzman</t>
  </si>
  <si>
    <t>Jessica Paola Espinoza Solares</t>
  </si>
  <si>
    <t>Jesus Alberto Vasquez</t>
  </si>
  <si>
    <t>Jesus Emanuel Ramos Perez</t>
  </si>
  <si>
    <t>Jhonatan Alexis Ramos Tecun</t>
  </si>
  <si>
    <t>Jhony Ivan Perez Castillo</t>
  </si>
  <si>
    <t>Jhoselyn Guadalupe Aquino Maldonado</t>
  </si>
  <si>
    <t>Jhosseline Stefanie Zermeño Ayala</t>
  </si>
  <si>
    <t>Jocelyn Fabiola Negro Vasquez</t>
  </si>
  <si>
    <t>Joel Bernardino Pu Vicente</t>
  </si>
  <si>
    <t>Johanna Cecilia Hernandez Ixtecoc</t>
  </si>
  <si>
    <t>Jonatan Estuardo Lopez Gonzalez</t>
  </si>
  <si>
    <t>Jonatan Guillermo Soto Urbina</t>
  </si>
  <si>
    <t>Jonathan Daniel Perez Marroquin</t>
  </si>
  <si>
    <t>Jonathan Donely Sandoval Soch</t>
  </si>
  <si>
    <t>Jonathan Estuardo Boteo Hernandez</t>
  </si>
  <si>
    <t>Jordi Alexander Yuman Ramos</t>
  </si>
  <si>
    <t>Jorge Alfredo Gutierrez Rodriguez</t>
  </si>
  <si>
    <t>Jorge Andres Sunum Sacul</t>
  </si>
  <si>
    <t>Jorge Antonio Ramirez Sicay</t>
  </si>
  <si>
    <t>Jorge Ckristian Murga</t>
  </si>
  <si>
    <t>Jorge Enrique Tzic Cruz</t>
  </si>
  <si>
    <t>Jorge Luis Hernandez Corado</t>
  </si>
  <si>
    <t>Jorge Luis Morales Lopez</t>
  </si>
  <si>
    <t>Jorge Luis Rizo Melgar</t>
  </si>
  <si>
    <t>Jorge Ramiro Ixpec Tinti</t>
  </si>
  <si>
    <t>Josabet Anai Paz Lobos</t>
  </si>
  <si>
    <t>Jose Alberto Alveno Chacon</t>
  </si>
  <si>
    <t>Jose Alberto Sosa</t>
  </si>
  <si>
    <t>Jose Alejandro Hernandez Escobar</t>
  </si>
  <si>
    <t>Jose Armando Bamaca De Leon</t>
  </si>
  <si>
    <t>Jose Baldemar Galicia Muñoz</t>
  </si>
  <si>
    <t>Jose Bernardo Yax Pop</t>
  </si>
  <si>
    <t>Jose Carlos Lopez Santisteban</t>
  </si>
  <si>
    <t>Jose Carlos Orozco Lopez</t>
  </si>
  <si>
    <t>Jose Daniel Sosa Torres</t>
  </si>
  <si>
    <t>Jose David Flores Enriquez</t>
  </si>
  <si>
    <t>Jose Emmanuel Ixcajo Higueros</t>
  </si>
  <si>
    <t>Jose Francisco Aquino Monterroso</t>
  </si>
  <si>
    <t>Jose Guillermo Marroquin Alvarado</t>
  </si>
  <si>
    <t>Jose Luis Chinchilla</t>
  </si>
  <si>
    <t>Jose Luis Velasquez Miche</t>
  </si>
  <si>
    <t>Jose Manuel Carreto Lopez</t>
  </si>
  <si>
    <t>Jose Manuel Vasquez Osoy</t>
  </si>
  <si>
    <t>Jose Mario Alberto Ordoñez Quiñonez</t>
  </si>
  <si>
    <t>Jose Miguel Angel Noj Aguilar</t>
  </si>
  <si>
    <t>Jose Miguel Santos Roca</t>
  </si>
  <si>
    <t>Jose Roberto Samayoa Bernal</t>
  </si>
  <si>
    <t>Jose Rodrigo Choc Turcios</t>
  </si>
  <si>
    <t>Joselin Rocio Galicia Mendez</t>
  </si>
  <si>
    <t>Joseline Otilia Lorenzana Obando</t>
  </si>
  <si>
    <t>Joselyn Amparo Jolon Arenas</t>
  </si>
  <si>
    <t>Joselyn Marilu Lima Hernandez</t>
  </si>
  <si>
    <t>Joselyne Elizabeth Sanchez Rodriguez</t>
  </si>
  <si>
    <t>Joselyne Gabriela Ruiz Serra</t>
  </si>
  <si>
    <t>Joshelyn Andrea Ozuna Rosales</t>
  </si>
  <si>
    <t>Joshua Leonel Pardo Carrera</t>
  </si>
  <si>
    <t>Josselin Azucena Cortez Hernandez</t>
  </si>
  <si>
    <t>Josseline Maribel Sarceno Guerra</t>
  </si>
  <si>
    <t>Josseline Mishel Flores Baren</t>
  </si>
  <si>
    <t>Josselyn Raab Morales Arana</t>
  </si>
  <si>
    <t>Josue Adrian Gutierrez Garcia</t>
  </si>
  <si>
    <t>Josue Gamaliel Rivera</t>
  </si>
  <si>
    <t>Josue Helaman Delgado Rivera</t>
  </si>
  <si>
    <t>Josue Ivan Escobar De Leon</t>
  </si>
  <si>
    <t>Josue Leonel Hernandez Diaz</t>
  </si>
  <si>
    <t>Jovita Vasquez Cuestas</t>
  </si>
  <si>
    <t>Juan Antonio Alvarez Paniagua</t>
  </si>
  <si>
    <t>Juan Carlos Enrique Molina Ramirez</t>
  </si>
  <si>
    <t>Juan Carlos Ivan Garcia Garcia</t>
  </si>
  <si>
    <t>Juan Carlos Perez Cahueque</t>
  </si>
  <si>
    <t>Juan Daniel Davila Juarez</t>
  </si>
  <si>
    <t>Juan Enrique Garcia</t>
  </si>
  <si>
    <t>Juan Enrique Jul Coc</t>
  </si>
  <si>
    <t>Juan Francisco Gudiel Castillo</t>
  </si>
  <si>
    <t>Juan Francisco Lopez Salic</t>
  </si>
  <si>
    <t>Juan Gabriel Mendoza Alvarez</t>
  </si>
  <si>
    <t>Juan Isael Amador</t>
  </si>
  <si>
    <t>Juan Jose Cifuentes Chavez</t>
  </si>
  <si>
    <t>Juan Jose Rodriguez Catu</t>
  </si>
  <si>
    <t>Juan Luis Ajcet Xicay</t>
  </si>
  <si>
    <t>Juan Manuel Lopez Hernandez</t>
  </si>
  <si>
    <t>Juana Del Carmen Arias Lopez</t>
  </si>
  <si>
    <t>Juana Ester Alvarez Tuluxan</t>
  </si>
  <si>
    <t>Julia Damaris Raquel Ramirez Torres</t>
  </si>
  <si>
    <t>Julio Alberto Guerra Jacinto</t>
  </si>
  <si>
    <t>Julio Amilcar Oswaldo Ico Rey</t>
  </si>
  <si>
    <t>Julio Antonio Gonzalez Izaguirre</t>
  </si>
  <si>
    <t>Julio Belarmino Mendez Camey</t>
  </si>
  <si>
    <t>Julio Cesar Cuellar Revolorio</t>
  </si>
  <si>
    <t>Julio Cesar De Leon Huinac</t>
  </si>
  <si>
    <t>Julio David Ambrosio Hernandez</t>
  </si>
  <si>
    <t>Julio Rene Medina Mendez</t>
  </si>
  <si>
    <t>Junior Stiven Gonzalez Fuentes</t>
  </si>
  <si>
    <t>Karen Alejandra Cotoc Valdes</t>
  </si>
  <si>
    <t>Karen Deniss Lucas Chavez</t>
  </si>
  <si>
    <t>Karen Elizabeth Racancoj Tin</t>
  </si>
  <si>
    <t>Karen Faviola Lutin Sanchez</t>
  </si>
  <si>
    <t>Karen Jeanet Pacheco Gomez</t>
  </si>
  <si>
    <t>Karen Julisa Fernandez Vides</t>
  </si>
  <si>
    <t>Karen Leticia Vasquez Castañeda</t>
  </si>
  <si>
    <t>Karen Marilu Chavez Suchite</t>
  </si>
  <si>
    <t>Karen Marleny Perez Fuentes</t>
  </si>
  <si>
    <t>Karen Meliza Saavedra Morataya</t>
  </si>
  <si>
    <t>Karen Mishelle Chavez Segura</t>
  </si>
  <si>
    <t>Karen Nohemi Perez Santos</t>
  </si>
  <si>
    <t>Karen Rubi Perez Calderon</t>
  </si>
  <si>
    <t>Karen Susana Marcos Yupe</t>
  </si>
  <si>
    <t>Karen Verali Sagastume Oliveros</t>
  </si>
  <si>
    <t>Karen Yamileth Rosales Alarcon</t>
  </si>
  <si>
    <t>Karin Liseth Son Chonay</t>
  </si>
  <si>
    <t>Karin Yesenia Nova Posadas</t>
  </si>
  <si>
    <t>Karina Lizeth Pineda Ortiz</t>
  </si>
  <si>
    <t>Karla Elizabeth Lopez Tupul</t>
  </si>
  <si>
    <t>Karla Eunice Godinez Mendoza</t>
  </si>
  <si>
    <t>Karla Jasmin Pelen Rafael</t>
  </si>
  <si>
    <t>Karla Maria Montejo Martinez</t>
  </si>
  <si>
    <t>Karla Mariela Lopez Salguero</t>
  </si>
  <si>
    <t>Karla Melisa Trejo Lopez</t>
  </si>
  <si>
    <t>Karla Nineth Guzman Carrera De Velasquez</t>
  </si>
  <si>
    <t>Karla Paola Solorzano Monroy</t>
  </si>
  <si>
    <t>Karla Veronica Zepeda Moran</t>
  </si>
  <si>
    <t>Karla Yaneth Vasquez Gomez</t>
  </si>
  <si>
    <t>Karla Yanira Francisco Morales</t>
  </si>
  <si>
    <t>Karla Yanira Franco Perez</t>
  </si>
  <si>
    <t>Karla Yessenia Garcia Lopez</t>
  </si>
  <si>
    <t>Karol Liset Reyes Alvarez</t>
  </si>
  <si>
    <t>Karolyn Gisselle Palma Ramirez</t>
  </si>
  <si>
    <t>Katerin Mariela Miranda Perez</t>
  </si>
  <si>
    <t>Katerine Andrea Mansilla Vasquez</t>
  </si>
  <si>
    <t>Katherin Maria Del Rosario Curiales Catalan</t>
  </si>
  <si>
    <t>Katherine Andreina Rodriguez Flores</t>
  </si>
  <si>
    <t>Katherine Dayana Sinay Colindres</t>
  </si>
  <si>
    <t>Katherine Guissele Camey Gonzalez</t>
  </si>
  <si>
    <t>Katherine Stephani Cazanga Giron</t>
  </si>
  <si>
    <t>Katherine Yorleny Montepeque Echeverria</t>
  </si>
  <si>
    <t>Katherinne Marleny Ruano Vasquez</t>
  </si>
  <si>
    <t>Katheryn Nohemi Pineda Sun</t>
  </si>
  <si>
    <t>Kathleen Yadira Martinez Salazar</t>
  </si>
  <si>
    <t>Keila Abigail Lopez Argueta</t>
  </si>
  <si>
    <t>Keila Betsaida Mendoza Pineda</t>
  </si>
  <si>
    <t>Keili Yanira Arceno Solano</t>
  </si>
  <si>
    <t>Kelly Dayanna Patzan Giron</t>
  </si>
  <si>
    <t>Kemberly Del Rosario Zecena Ramos</t>
  </si>
  <si>
    <t>Kendy Daniela Ramirez Lopez</t>
  </si>
  <si>
    <t>Kenia Estefania Mateo Castro</t>
  </si>
  <si>
    <t>Kevin Alberto Castillo Matias</t>
  </si>
  <si>
    <t>Kevin Alberto Lopez Ortiz</t>
  </si>
  <si>
    <t>Kevin Alexander Escobar Cante</t>
  </si>
  <si>
    <t>Kevin Amilcar Cor Guzman</t>
  </si>
  <si>
    <t>Kevin Antonio Perez Gonzalez</t>
  </si>
  <si>
    <t>Kevin Daniel Chonay Perez</t>
  </si>
  <si>
    <t>Kevin Doley Alexander Gomez Lopez</t>
  </si>
  <si>
    <t>Kevin Estuardo Yac Garcia</t>
  </si>
  <si>
    <t>Kevin Javier Ortiz Gonzalez</t>
  </si>
  <si>
    <t>Kevin Jordano Barrios Chin</t>
  </si>
  <si>
    <t>Kevin Jose Mijangos Vasquez</t>
  </si>
  <si>
    <t>Kevin Josue Sevilla Nieto</t>
  </si>
  <si>
    <t>Kevin Omar Ortiz Contreras</t>
  </si>
  <si>
    <t>Kevin Orlando Ventura Lopez</t>
  </si>
  <si>
    <t>Kevin Rene Medrano Sarceño</t>
  </si>
  <si>
    <t>Kevin Ruben Perez Lopez</t>
  </si>
  <si>
    <t>Kevin Saul Rodriguez Vasquez</t>
  </si>
  <si>
    <t>Kevin Winston Chavez Alvarez</t>
  </si>
  <si>
    <t>Keyla Cristy Dubon Pernillo</t>
  </si>
  <si>
    <t>Kezmi Romani Garcia Mendez</t>
  </si>
  <si>
    <t>Kimberly Anayanci Tello Morales</t>
  </si>
  <si>
    <t>Kimberly Dayanna Herrera Marroquin</t>
  </si>
  <si>
    <t>Kimberly Guadalupe Mulul Pelico</t>
  </si>
  <si>
    <t>Kimberly Guadalupe Soto</t>
  </si>
  <si>
    <t>Kimberly Judith Lopez Amaya</t>
  </si>
  <si>
    <t>Kimberly Melissa Juarez Ramirez</t>
  </si>
  <si>
    <t>Kimberly Mishel Merida Cortez</t>
  </si>
  <si>
    <t>Kimberly Nohemi Alvarado Toj</t>
  </si>
  <si>
    <t>Kimberly Suseli Ibarra Barahona</t>
  </si>
  <si>
    <t>Kimberly Yasmin Alvarado Veliz</t>
  </si>
  <si>
    <t>Kleidy Smaily Lopez Lopez De Vicente</t>
  </si>
  <si>
    <t>Klisman Julio Rolando Lopez Garcia</t>
  </si>
  <si>
    <t>Krisla Mayte Madrigales Palencia</t>
  </si>
  <si>
    <t>Krisley Mary Dayana Mazariegos Vega</t>
  </si>
  <si>
    <t>Larry Noel Gomez Cuellar</t>
  </si>
  <si>
    <t>Laura Cecilia De Leon Zapeta</t>
  </si>
  <si>
    <t>Laura Dairis Analy Zeceña Minera</t>
  </si>
  <si>
    <t>Laura Estefania Cardona Mateo</t>
  </si>
  <si>
    <t>Laura Gabriela Hernandez Merida</t>
  </si>
  <si>
    <t>Laura Jajairy Ramirez Veron</t>
  </si>
  <si>
    <t>Laura Lisbeth Gonzalez Ajin</t>
  </si>
  <si>
    <t>Lazaro Castro Cajanti</t>
  </si>
  <si>
    <t>Lea Maria Lopez Agustin</t>
  </si>
  <si>
    <t>Legbi Evangelina Martinez Vicente</t>
  </si>
  <si>
    <t>Legna Magali Juarez Aroche</t>
  </si>
  <si>
    <t>Leidy Ana Deisy Macz Valey</t>
  </si>
  <si>
    <t>Leidy Marisol Perez Arias</t>
  </si>
  <si>
    <t>Lely Herrera Molina</t>
  </si>
  <si>
    <t>Leon Vicente Estuardo Ical Chub</t>
  </si>
  <si>
    <t>Leonardo Bocel Lopez</t>
  </si>
  <si>
    <t>Lesli Carolina Iquique Chamale</t>
  </si>
  <si>
    <t>Lesli Paola Mendez Palencia</t>
  </si>
  <si>
    <t>Lesli Paola Vasquez Villalta</t>
  </si>
  <si>
    <t>Leslie Karina Peliz Garcia</t>
  </si>
  <si>
    <t>Leslie Veronica Varela Echeverria</t>
  </si>
  <si>
    <t>Lesly Alejandra Estrada Chacon</t>
  </si>
  <si>
    <t>Lesly Anali Monterroso Ramirez</t>
  </si>
  <si>
    <t>Lesly Aurora Hernandez Godoy</t>
  </si>
  <si>
    <t>Lesly Fabiola Solorzano Garcia</t>
  </si>
  <si>
    <t>Lesly Lisseth Ligorria Torres</t>
  </si>
  <si>
    <t>Lesly Maribel Hidalgo Barrios</t>
  </si>
  <si>
    <t>Lesly Marileny De Leon De Leon</t>
  </si>
  <si>
    <t>Lesly Nereyda Ixquiac Vidaurre</t>
  </si>
  <si>
    <t>Lesly Noemi Morales Molina</t>
  </si>
  <si>
    <t>Lesly Rosibel Asencio Estrada</t>
  </si>
  <si>
    <t>Lesly Vanessa Jerez Herrera</t>
  </si>
  <si>
    <t>Lesly Yohanna Ramirez Sarceño</t>
  </si>
  <si>
    <t>Lester Alexander Rodriguez Arevalo</t>
  </si>
  <si>
    <t>Lester Giovanni Barrios Gonzalez</t>
  </si>
  <si>
    <t>Lester Ottoniel Martinez Gonzalez</t>
  </si>
  <si>
    <t>Levy Jhafreth Molina Castellanos</t>
  </si>
  <si>
    <t>Leyvis Anihela Melendez Garcia</t>
  </si>
  <si>
    <t>Lidia Sarahi Rodriguez Zamora</t>
  </si>
  <si>
    <t>Ligia Delfina Caal Coy</t>
  </si>
  <si>
    <t>Ligia Iveth Marroquin Lechuga</t>
  </si>
  <si>
    <t>Lili Azucena Perez Yantuch</t>
  </si>
  <si>
    <t>Lilian Carolina Quiñonez Garcia</t>
  </si>
  <si>
    <t>Lilian Del Carmen Franco Curin</t>
  </si>
  <si>
    <t>Lilian Elizabeth Diaz Rivera</t>
  </si>
  <si>
    <t>Lilian Evelyn Sajbochol Garcia</t>
  </si>
  <si>
    <t>Lilian Nohemi Santos Bailon</t>
  </si>
  <si>
    <t>Lilian Vanessa Tezó Monterroso</t>
  </si>
  <si>
    <t>Lilian Yomara Perez Ajxup</t>
  </si>
  <si>
    <t>Liliana Marisela Chamorro Tax</t>
  </si>
  <si>
    <t>Linda Gineli Segura Perez</t>
  </si>
  <si>
    <t>Linsi Mishell Batz Marroquin</t>
  </si>
  <si>
    <t>Lisbeth Carolina Hernandez Urrutia</t>
  </si>
  <si>
    <t>Lisbeth Jeaneth Sucup</t>
  </si>
  <si>
    <t>Liseth Aldai De La Cruz Lopez</t>
  </si>
  <si>
    <t>Lizbeth Liliana Peren Velasquez</t>
  </si>
  <si>
    <t>Llori Eriselda Zuñiga Gomez</t>
  </si>
  <si>
    <t>Loida Eunice Celada Panjoj</t>
  </si>
  <si>
    <t>Loida Raquel Juarez Ixpata</t>
  </si>
  <si>
    <t>Londy Yazmin Gonzalez Ramirez</t>
  </si>
  <si>
    <t>Loren Alejandra Gutierrez Perez</t>
  </si>
  <si>
    <t>Lorena Elisbeth Gomez Ajanel</t>
  </si>
  <si>
    <t>Lourdes Cristina Flores Tahuite</t>
  </si>
  <si>
    <t>Lourdes Guadalupe Solorzano Herrera</t>
  </si>
  <si>
    <t>Lucia Adali Alvarado Juarez</t>
  </si>
  <si>
    <t>Lucinda Nova Garcia</t>
  </si>
  <si>
    <t>Ludwin Enrique Pineda Soto</t>
  </si>
  <si>
    <t>Ludwyn Alejandro Estrada Giron</t>
  </si>
  <si>
    <t>Luis Alan Caceros Chub</t>
  </si>
  <si>
    <t>Luis Alberto Figueroa Vasquez</t>
  </si>
  <si>
    <t>Luis Alberto Najera Solis</t>
  </si>
  <si>
    <t>Luis Antonio Cotzajay Quelex</t>
  </si>
  <si>
    <t>Luis Armando Ramirez De Leon</t>
  </si>
  <si>
    <t>Luis Carlos Xitimul Ramirez</t>
  </si>
  <si>
    <t>Luis De Jesus Julian Lopez</t>
  </si>
  <si>
    <t>Luis Diego Figueroa Coronado</t>
  </si>
  <si>
    <t>Luis Eduardo Corado Lara</t>
  </si>
  <si>
    <t>Luis Eduardo Fuentes Flores</t>
  </si>
  <si>
    <t>Luis Eduardo Gonzalez Arriaza</t>
  </si>
  <si>
    <t>Luis Eduardo Ramirez Arriaza</t>
  </si>
  <si>
    <t>Luis Ernesto Medrano Chajon</t>
  </si>
  <si>
    <t>Luis Felipe Cuzal Gomez</t>
  </si>
  <si>
    <t>Luis Fernando Alvarado Tocay</t>
  </si>
  <si>
    <t>Luis Fernando Jerez Perez</t>
  </si>
  <si>
    <t>Luis Fernando Lopez Lopez</t>
  </si>
  <si>
    <t>Luis Fernando Martin Mateo</t>
  </si>
  <si>
    <t>Luis Fernando Morales Chocoy</t>
  </si>
  <si>
    <t>Luis Fernando Perez Torres</t>
  </si>
  <si>
    <t>Luis Fernando Santos Aguilar</t>
  </si>
  <si>
    <t>Luis Fernando Valle Cuyun</t>
  </si>
  <si>
    <t>Luis Giovanni Coronado Vasquez</t>
  </si>
  <si>
    <t>Luis Pedro Herrera España</t>
  </si>
  <si>
    <t>Luis Rene Morales Lopez</t>
  </si>
  <si>
    <t>Luis Tito Rene Esquivel Yancor</t>
  </si>
  <si>
    <t>Luisa Fernanda Castro Garcia</t>
  </si>
  <si>
    <t>Lupita Genesis Samanta Granados Valenzuela</t>
  </si>
  <si>
    <t>Lusi Angelica Coyoy Hernandez</t>
  </si>
  <si>
    <t>Madelin Raquel Garcia Punay</t>
  </si>
  <si>
    <t>Madelyn Estefany Vega Velasquez</t>
  </si>
  <si>
    <t>Madelyn Siomara Mazul De Leon</t>
  </si>
  <si>
    <t>Madelyn Virginia Lopez Ortega</t>
  </si>
  <si>
    <t>Magda Beatriz Galvez Fernandez</t>
  </si>
  <si>
    <t>Magda Corina Gutierrez Yool</t>
  </si>
  <si>
    <t>Magda Danira Catalan Paz</t>
  </si>
  <si>
    <t>Mahely Elva Maria Franco Gualim</t>
  </si>
  <si>
    <t>Manfredo Alexander Castillo Quex</t>
  </si>
  <si>
    <t>Manfredo Isaias Orozco Perez</t>
  </si>
  <si>
    <t>Manlio Alcides Godinez Yanez</t>
  </si>
  <si>
    <t>Manuel Enrique Espinoza Cermeño</t>
  </si>
  <si>
    <t>Manuel Estuardo Arriaga Garcia</t>
  </si>
  <si>
    <t>Marbin Yobani Calderon Vicente</t>
  </si>
  <si>
    <t>Marcela Isabel Medrano Ajquiy</t>
  </si>
  <si>
    <t>Marco Antonio Tejada Herrera</t>
  </si>
  <si>
    <t>Marcos Avilio Santizo Roman</t>
  </si>
  <si>
    <t>Marcos Daniel Miranda Ordoñez</t>
  </si>
  <si>
    <t>Marenda Mishel Galeano Lopez</t>
  </si>
  <si>
    <t>Maria Alejandra Estrada Morales</t>
  </si>
  <si>
    <t>Maria Alejandra Lanuza Perez</t>
  </si>
  <si>
    <t>Maria Alejandra Perez Martinez</t>
  </si>
  <si>
    <t>Maria De La Luz Masaya Moreno</t>
  </si>
  <si>
    <t>Maria De Los Angeles Hernandez Oliva</t>
  </si>
  <si>
    <t>Maria Del Rosario De Leon Puac</t>
  </si>
  <si>
    <t>Maria Del Rosario Sion Calel</t>
  </si>
  <si>
    <t>Maria Elizabeth Recinos Villagran</t>
  </si>
  <si>
    <t>Maria Eugenia Alvarez Lopez</t>
  </si>
  <si>
    <t>Maria Fernanda Aldana Fernandez</t>
  </si>
  <si>
    <t>Maria Fernanda Duran Barrera De De De Leon</t>
  </si>
  <si>
    <t>Maria Fernanda García Patzán</t>
  </si>
  <si>
    <t>Maria Fernanda Reyes Trinidad</t>
  </si>
  <si>
    <t>Maria Fernanda Sanches Yoc</t>
  </si>
  <si>
    <t>Maria Fernanda Tomas</t>
  </si>
  <si>
    <t>Maria Gabriela Giron De Leon</t>
  </si>
  <si>
    <t>Maria Guadalupe Marroquin Camargo</t>
  </si>
  <si>
    <t>Maria Isabel Martinez</t>
  </si>
  <si>
    <t>Maria Isabel Reyes Aguirre</t>
  </si>
  <si>
    <t>Maria Jose Alvarado Lopez De Barrientos</t>
  </si>
  <si>
    <t>Maria Jose Fernandez Melendez</t>
  </si>
  <si>
    <t>Maria Jose Flores Alvarez</t>
  </si>
  <si>
    <t>Maria Jose Gonzalez Orellana</t>
  </si>
  <si>
    <t>Maria Jose Gramajo Garcia De Monzon</t>
  </si>
  <si>
    <t>Maria Jose Meza De Leon</t>
  </si>
  <si>
    <t>Maria Jose Salazar Rueda</t>
  </si>
  <si>
    <t>Maria Josee Morales Vaides</t>
  </si>
  <si>
    <t>Maria Lourdes Ajpuz Julajuj</t>
  </si>
  <si>
    <t>Maria Luisa Ramos Lopez</t>
  </si>
  <si>
    <t>Maria Ruby Tzamol Pacay</t>
  </si>
  <si>
    <t>Maria Teresa Recinos Estrada</t>
  </si>
  <si>
    <t>Maria Vicenta Lopez Mancilla</t>
  </si>
  <si>
    <t>Marian Rebeca Gallardo Alvarez</t>
  </si>
  <si>
    <t>Mariana Del Rosario Escobar Sanchez</t>
  </si>
  <si>
    <t>Mariano Jose Lopez Cojon</t>
  </si>
  <si>
    <t>Mariano Jose Trujillo Baldizon</t>
  </si>
  <si>
    <t>Mariela Alejandra Batz De Leon</t>
  </si>
  <si>
    <t>Marili Cecilia Ramirez Cardona</t>
  </si>
  <si>
    <t>Marilin Melisa Lopez Yoc</t>
  </si>
  <si>
    <t>Marilyn Alexandra Davila Chavez</t>
  </si>
  <si>
    <t>Marilyn Yulissa Alvarez Toscano</t>
  </si>
  <si>
    <t>Marina Elena Giron Roldan</t>
  </si>
  <si>
    <t>Mario David Quilo Hernandez</t>
  </si>
  <si>
    <t>Mario Estuardo Chavez Zelada</t>
  </si>
  <si>
    <t>Mario Guberlindo Gonzalez Velasquez</t>
  </si>
  <si>
    <t>Mario Jose Mejia Escobar</t>
  </si>
  <si>
    <t>Mario Rene Lopez Gudiel</t>
  </si>
  <si>
    <t>Maritza Morales Tzoc</t>
  </si>
  <si>
    <t>Marlen Aida Pelaez Ramirez</t>
  </si>
  <si>
    <t>Marlen Brigitt Rosales De Leon</t>
  </si>
  <si>
    <t>Marlin Yesenia Chacon Garcia</t>
  </si>
  <si>
    <t>Marlon Eduardo Arreaga Escobar</t>
  </si>
  <si>
    <t>Marlon Eduardo Medrano Sandoval</t>
  </si>
  <si>
    <t>Marlon Ivan Dardon Hernandez</t>
  </si>
  <si>
    <t>Marlon Miguelangel Morales Jerez</t>
  </si>
  <si>
    <t>Marolet Patricia Palacios Argueta</t>
  </si>
  <si>
    <t>Marta Emilia Moran Lopez</t>
  </si>
  <si>
    <t>Marta Iris Martinez Sete</t>
  </si>
  <si>
    <t>Martha Julia Shar Velasquez</t>
  </si>
  <si>
    <t>Martin Aroldo Lorenzana Flores</t>
  </si>
  <si>
    <t>Marvin Alejandro Puac Mulul</t>
  </si>
  <si>
    <t>Marvin Alexander Choguix Chex</t>
  </si>
  <si>
    <t>Marvin Andolfo Garcia De Leon</t>
  </si>
  <si>
    <t>Marvin Eduardo Coxaj Sanic</t>
  </si>
  <si>
    <t>Marvin Eleazar Sunun Acuta</t>
  </si>
  <si>
    <t>Marvin Estuardo Xiloj De Leon</t>
  </si>
  <si>
    <t>Marvin Leonel Hernandez Alvarez</t>
  </si>
  <si>
    <t>Marvin Rodolfo Santizo Rosales</t>
  </si>
  <si>
    <t>Mary Isabel Xiloj Tajiboy</t>
  </si>
  <si>
    <t>Maryory Marilu Ramos Reyes</t>
  </si>
  <si>
    <t>Maryury Yasmin Suret Mejia</t>
  </si>
  <si>
    <t>Mauro Gilberto Rax Suc</t>
  </si>
  <si>
    <t>Maviela Bibianeth Castillo Avila</t>
  </si>
  <si>
    <t>Mavilin Griselda Jacome Molina</t>
  </si>
  <si>
    <t>Mayki Waleska Alvarez Guzman</t>
  </si>
  <si>
    <t>Maylin Fernanda Cifuentes Guevara</t>
  </si>
  <si>
    <t>Maynor Alexander Chen Franco</t>
  </si>
  <si>
    <t>Maynor David Montufar De La Cruz</t>
  </si>
  <si>
    <t>Mayra Alejandra Perez Cordero</t>
  </si>
  <si>
    <t>Mayra Ester Lopez Gonzalez</t>
  </si>
  <si>
    <t>Mayra Julieta Sincal Coy</t>
  </si>
  <si>
    <t>Mayra Karina Soc Ovalle</t>
  </si>
  <si>
    <t>Mayra Noemi Godoy Carrera</t>
  </si>
  <si>
    <t>Melanie Azucena Choc Garcia</t>
  </si>
  <si>
    <t>Melanie Vanessa Chacon Godoy</t>
  </si>
  <si>
    <t>Melissa Lissette Recinos Massella</t>
  </si>
  <si>
    <t>Melissandra Ruiz Ramirez</t>
  </si>
  <si>
    <t>Melody Arelis Elvira Monterroso</t>
  </si>
  <si>
    <t>Melvin Antonio Hernandez Gutierrez</t>
  </si>
  <si>
    <t>Melvin Everardo Morales Navas</t>
  </si>
  <si>
    <t>Melvin Hermenegildo Yagut Monterroso</t>
  </si>
  <si>
    <t>Merari Abigail Orantes Gonzalez</t>
  </si>
  <si>
    <t>Merari Abigail Veliz Samayoa</t>
  </si>
  <si>
    <t>Merari Madai Arana Erazo</t>
  </si>
  <si>
    <t>Mercy Roxana Galvez Canales</t>
  </si>
  <si>
    <t>Merly Carolina Lopez Laynez</t>
  </si>
  <si>
    <t>Merly Sorayda Ramirez Mendez</t>
  </si>
  <si>
    <t>Miguel Angel Arias Maquin</t>
  </si>
  <si>
    <t>Miguel Angel Moya Cabnal</t>
  </si>
  <si>
    <t>Miguel Angel Vicente Morales</t>
  </si>
  <si>
    <t>Miguel Omar Zuleta Solorzano</t>
  </si>
  <si>
    <t>Miguel Orlando Sebastian Juchan</t>
  </si>
  <si>
    <t>Mildre Fabiola Gomez Barillas</t>
  </si>
  <si>
    <t>Mildred Elizabeth Solis Quevedo</t>
  </si>
  <si>
    <t>Mildred Magaly Ortega Pac</t>
  </si>
  <si>
    <t>Mildred Magaly Sul Lopez</t>
  </si>
  <si>
    <t>Mildred Yaneth Figueroa Garcia</t>
  </si>
  <si>
    <t>Mildred Yanett Cruz Alvarez</t>
  </si>
  <si>
    <t>Milena Maria Mendez Cheguen</t>
  </si>
  <si>
    <t>Milton Enrique Yax Sosa</t>
  </si>
  <si>
    <t>Milton Rene Estrada Coc</t>
  </si>
  <si>
    <t>Milton Roberto Juarez Lemus</t>
  </si>
  <si>
    <t>Milver Moises Maldonado Pelico</t>
  </si>
  <si>
    <t>Milvia Fernanda Talento Urbina</t>
  </si>
  <si>
    <t>Miriam Betsabe Rodas Perez</t>
  </si>
  <si>
    <t>Miriam Elizabeth Pérez Guerra</t>
  </si>
  <si>
    <t>Miriam Judith Cermeño Cetino</t>
  </si>
  <si>
    <t>Miriam Mineidy Moscoso Mayen</t>
  </si>
  <si>
    <t>Miriam Stefanie Hernandez Subuyuj</t>
  </si>
  <si>
    <t>Mirian Del Carmen Guzman Maldonado</t>
  </si>
  <si>
    <t>Mirna Consuelo Muñoz Ordoñez</t>
  </si>
  <si>
    <t>Mirna Elizabeth Zolote Patzan</t>
  </si>
  <si>
    <t>Mirna Violeta Carrillo Gonzalez</t>
  </si>
  <si>
    <t>Mirna Yesenia Umaña Ramos</t>
  </si>
  <si>
    <t>Mirza Johana Cosigua Rabinal</t>
  </si>
  <si>
    <t>Moises Dario Flores Amaya</t>
  </si>
  <si>
    <t>Monica Cecilia Perez Lopez</t>
  </si>
  <si>
    <t>Monica Gabriela Canizales Santos</t>
  </si>
  <si>
    <t>Monica Guadalupe Garcia Rivera</t>
  </si>
  <si>
    <t>Monica Isabel Castillo Avila</t>
  </si>
  <si>
    <t>Monica Laj De La Cruz</t>
  </si>
  <si>
    <t>Monica Lisseth Marroquin Salazar</t>
  </si>
  <si>
    <t>Monica Lizbeth Franco Chacon</t>
  </si>
  <si>
    <t>Monica Michelle Diaz De Leon De Baltazar</t>
  </si>
  <si>
    <t>Monica Mishell Perez Ballesteros</t>
  </si>
  <si>
    <t>Monica Mishell Rendon Gamboa</t>
  </si>
  <si>
    <t>Monica Raquel Palacios Piedrasanta</t>
  </si>
  <si>
    <t>Monica Yulissa Sun Pacay</t>
  </si>
  <si>
    <t>Monica Yulissa Vicente Velasquez</t>
  </si>
  <si>
    <t>Mynor Genaro Salazar Merida</t>
  </si>
  <si>
    <t>Myriam Aracely Rivera Gonzalez</t>
  </si>
  <si>
    <t>Myrka Jessel Rivera Camo</t>
  </si>
  <si>
    <t>Nadia Estefania Gramajo Archila</t>
  </si>
  <si>
    <t>Nanci Magali Noj Santos</t>
  </si>
  <si>
    <t>Nanci Paola Con Morales</t>
  </si>
  <si>
    <t>Nanci Yanira Navas Garcia</t>
  </si>
  <si>
    <t>Nancy Corina Quiñonez Rodriguez</t>
  </si>
  <si>
    <t>Nancy Magaly Izaguirre Galicia</t>
  </si>
  <si>
    <t>Nancy Pahola De Leon Patzan</t>
  </si>
  <si>
    <t>Nancy Paola Jimenez Pamal</t>
  </si>
  <si>
    <t>Nancy Paola Morales Rodriguez</t>
  </si>
  <si>
    <t>Nancy Roxana Chuy Ponce</t>
  </si>
  <si>
    <t>Nancy Yaneth Vasquez Chiguichon</t>
  </si>
  <si>
    <t>Nancy Yessenia Set Iquite</t>
  </si>
  <si>
    <t>Nasly Abigail Cazian Lopez</t>
  </si>
  <si>
    <t>Nataly Pamela Fransheska Aguilar Escobar</t>
  </si>
  <si>
    <t>Neftaly Eliseo Aguilar Hernandez</t>
  </si>
  <si>
    <t>Nelson Aurelio Portillo Martinez</t>
  </si>
  <si>
    <t>Nelson Humberto Caal Güe</t>
  </si>
  <si>
    <t>Nelsy Adali Nova Vivar</t>
  </si>
  <si>
    <t>Nery Daniel Chipin Lindo</t>
  </si>
  <si>
    <t>Nestor Donaldo Xiloj Quiej</t>
  </si>
  <si>
    <t>Nestor Edgardo Gutierrez Lazaro</t>
  </si>
  <si>
    <t>Nestor Enmanuel Retana Castellanos</t>
  </si>
  <si>
    <t>Nestor Orlando Aguilar Santos</t>
  </si>
  <si>
    <t>Nicolas Ajiquichi Ibate</t>
  </si>
  <si>
    <t>Nicolas Walter Toma Zacarias</t>
  </si>
  <si>
    <t>Nicomedes Israel Echeverria Pacheco</t>
  </si>
  <si>
    <t>Nidia Dalila Bantes Segura De Manchame</t>
  </si>
  <si>
    <t>Nidia Lucy Herrera Lopez</t>
  </si>
  <si>
    <t>Nidia Maribel Carpio Roca</t>
  </si>
  <si>
    <t>Nilda Julieta Boror Xuya</t>
  </si>
  <si>
    <t>Noe Amos Marroquin Sicajol</t>
  </si>
  <si>
    <t>Noelia Azucena Garcia Mazariegos</t>
  </si>
  <si>
    <t>Noemi Ruth Hernandez Urrutia</t>
  </si>
  <si>
    <t>Nora Lisseth Lam Sanchez</t>
  </si>
  <si>
    <t>Norman Alessandro Madrid Garcia</t>
  </si>
  <si>
    <t>Odalis Ruby Garcia Siquina</t>
  </si>
  <si>
    <t>Odalys Faviola Reyes Rivera</t>
  </si>
  <si>
    <t>Odiel Armando Guerra Aguirre</t>
  </si>
  <si>
    <t>Odra Arcadia Barduel Sarat</t>
  </si>
  <si>
    <t>Olga Gabriela Lopez Tzic</t>
  </si>
  <si>
    <t>Olga Maricela Guarcas Tol</t>
  </si>
  <si>
    <t>Olinda Juarez Figueno</t>
  </si>
  <si>
    <t>Omar Anibal Barreda Valenzuela</t>
  </si>
  <si>
    <t>Oneida Del Carmen Corzo Morales</t>
  </si>
  <si>
    <t>Oscar Eduardo Xoyon Gomez</t>
  </si>
  <si>
    <t>Oscar Emilio Gomez Orozco</t>
  </si>
  <si>
    <t>Oscar Enrique Garcia Gualip</t>
  </si>
  <si>
    <t>Oscar Estuardo Mancilla Najarro</t>
  </si>
  <si>
    <t>Oscar Geovany Patzan Patzan</t>
  </si>
  <si>
    <t>Oscar Israel Thiel Hidalgo</t>
  </si>
  <si>
    <t>Osman Amilcar Zarate Ixcoy</t>
  </si>
  <si>
    <t>Osman Ivan Boanerges Coc Coronado</t>
  </si>
  <si>
    <t>Osvin Daniel Gomez Gonzalez</t>
  </si>
  <si>
    <t>Oswaldo Marcelino Huix Gomez</t>
  </si>
  <si>
    <t>Otto Alejandro Barahona Lopez</t>
  </si>
  <si>
    <t>Otto Leonel Zavala Rodas</t>
  </si>
  <si>
    <t>Ottoniel Amilcar Gomez Rodriguez</t>
  </si>
  <si>
    <t>Ottoniel De Jesus Castellanos Ordoñez</t>
  </si>
  <si>
    <t>Pablo Jose Barillas Sobalvarro</t>
  </si>
  <si>
    <t>Pablo Raul Calimayor</t>
  </si>
  <si>
    <t>Paola Veronica Cardenas Toscano</t>
  </si>
  <si>
    <t>Paula Eliza Santos Corado</t>
  </si>
  <si>
    <t>Pedro Alexander Sazo Machac</t>
  </si>
  <si>
    <t>Pedro David Ixcoy Chiquin</t>
  </si>
  <si>
    <t>Pedro Karol Gomez Lopez</t>
  </si>
  <si>
    <t>Pedro Natanahel Caxaj Rodriguez</t>
  </si>
  <si>
    <t>Pedro Rene Ramirez Guzman</t>
  </si>
  <si>
    <t>Perla Michelle Giron Galdamez</t>
  </si>
  <si>
    <t>Priscila Merari Sosa Sanabria</t>
  </si>
  <si>
    <t>Rafael Anibal Sut Tucubal</t>
  </si>
  <si>
    <t>Raul Adrian Priego Castellanos</t>
  </si>
  <si>
    <t>Raul Estuardo Roquel Suyuc</t>
  </si>
  <si>
    <t>Raul Geovanny Garcia Fuentes</t>
  </si>
  <si>
    <t>Raul Matias Matias</t>
  </si>
  <si>
    <t>Reina Lorena Canán</t>
  </si>
  <si>
    <t>Remigio Alexander Gonzalez Suchite</t>
  </si>
  <si>
    <t>Reyna Angelica Ba Vega</t>
  </si>
  <si>
    <t>Reyna Floridalma Donis Marroquin</t>
  </si>
  <si>
    <t>Reyna Sebastiana Reyes Zurdo</t>
  </si>
  <si>
    <t>Ricardo Alexander Morales Moran</t>
  </si>
  <si>
    <t>Ricardo Alfonso Chan Lopez</t>
  </si>
  <si>
    <t>Ricardo Antonio Vasquez Meza</t>
  </si>
  <si>
    <t>Ricardo Esau Hernandez Baten</t>
  </si>
  <si>
    <t>Ricky Edson Lux Cassia</t>
  </si>
  <si>
    <t>Roberto Ardon Ramos</t>
  </si>
  <si>
    <t>Roberto Augusto Silva Hernandez</t>
  </si>
  <si>
    <t>Roberto Caal Sente</t>
  </si>
  <si>
    <t>Roderico Simeon Lopez Lopez</t>
  </si>
  <si>
    <t>Rogelio Waldemar Aldana Turcios</t>
  </si>
  <si>
    <t>Rolando Esau Solis Santos</t>
  </si>
  <si>
    <t>Rolman Eliseo Bautista Mazariegos</t>
  </si>
  <si>
    <t>Romario Humberto Perez Us</t>
  </si>
  <si>
    <t>Ronald Arturo Sanchez Mijangos</t>
  </si>
  <si>
    <t>Ronald Erickson Hernandez Bamac</t>
  </si>
  <si>
    <t>Ronald Guillermo Garcia</t>
  </si>
  <si>
    <t>Ronald Ottoniel Ramos Argueta</t>
  </si>
  <si>
    <t>Ronie Ernesto Gonzalez Alvarado</t>
  </si>
  <si>
    <t>Rony David Ruano Vasquez</t>
  </si>
  <si>
    <t>Rony Josue Giron Roca</t>
  </si>
  <si>
    <t>Rony Oswaldo Gonzalez Lemus</t>
  </si>
  <si>
    <t>Rosa Isabel Garcia Menchu De Itzep</t>
  </si>
  <si>
    <t>Rosa Maria Raxtun Estrada</t>
  </si>
  <si>
    <t>Rosa Maribel Par Gutierrez De Parada</t>
  </si>
  <si>
    <t>Rosa Mariela Muñoz Samayoa</t>
  </si>
  <si>
    <t>Rosa Melia Isales Reyes</t>
  </si>
  <si>
    <t>Rosa Yadira Salguero Ceballos</t>
  </si>
  <si>
    <t>Rosalbina Magdali Alvarado Ramirez</t>
  </si>
  <si>
    <t>Rosaura Grisleny Perez Rios</t>
  </si>
  <si>
    <t>Rosmery Ana Lee Cojom Rodriguez</t>
  </si>
  <si>
    <t>Rosmery Figueroa Ramirez</t>
  </si>
  <si>
    <t>Rossana Alejandra Rodas Salguero</t>
  </si>
  <si>
    <t>Rossel Jose Hernandez Oliva</t>
  </si>
  <si>
    <t>Roxana Leticia Avila Villatoro</t>
  </si>
  <si>
    <t>Ruben Dario Peñate Aquino</t>
  </si>
  <si>
    <t>Ruby Alejandra Merida Rivas</t>
  </si>
  <si>
    <t>Rudy Alexander Gramajo Reyes</t>
  </si>
  <si>
    <t>Rudy Fernando Lopez Ajcabal</t>
  </si>
  <si>
    <t>Ruth Betsabe Campos Vargas</t>
  </si>
  <si>
    <t>Ruth Hermelinda Cardona Blanco</t>
  </si>
  <si>
    <t>Ruth Noemi Solis Contreras</t>
  </si>
  <si>
    <t>Ruth Nohemi Contreras Hernandez</t>
  </si>
  <si>
    <t>Ruth Nohemi Perez Esteban</t>
  </si>
  <si>
    <t>Saida Yasmin Garcia Xot</t>
  </si>
  <si>
    <t>Samuel Everardo Garcia Lemus</t>
  </si>
  <si>
    <t>Samuel Nehemias Nuñez Michicoj</t>
  </si>
  <si>
    <t>Sandi Anavela Mejia Alvarado</t>
  </si>
  <si>
    <t>Sandra Esmeralda Martinez Baeza</t>
  </si>
  <si>
    <t>Sandra Jeaneth Ajcuc Garcia</t>
  </si>
  <si>
    <t>Sandra Judith Vasquez Fernandez</t>
  </si>
  <si>
    <t>Sandra Lucrecia Hernandez Aceituno</t>
  </si>
  <si>
    <t>Sandra Maritza Mus Chaman</t>
  </si>
  <si>
    <t>Sandra Mishell Amarilis Gutierrez Palma</t>
  </si>
  <si>
    <t>Sandra Patricia Mejia Raguex</t>
  </si>
  <si>
    <t>Sandra Patricia Ochoa Sanchez</t>
  </si>
  <si>
    <t>Sandy Claribel Barrientos Caal</t>
  </si>
  <si>
    <t>Sandy Jasmyn Gonzalez Catun</t>
  </si>
  <si>
    <t>Sandy Maria Flores</t>
  </si>
  <si>
    <t>Sandy Maribel Herrera Mazariegos</t>
  </si>
  <si>
    <t>Sandy Mariela Batres Orozco</t>
  </si>
  <si>
    <t>Sandy Nohemy Sontay Agueda</t>
  </si>
  <si>
    <t>Sandy Suset Morales Barrientos</t>
  </si>
  <si>
    <t>Santiago Isaias Barreno Rosales</t>
  </si>
  <si>
    <t>Santos Ismael Najera Culajay</t>
  </si>
  <si>
    <t>Santos Valentin Coroy Ruyan</t>
  </si>
  <si>
    <t>Sara Elizabeth Guzman Linares</t>
  </si>
  <si>
    <t>Sarvia Bitia Orellana Ortiz</t>
  </si>
  <si>
    <t>Sayra Elizabeth Reyes Zuñiga</t>
  </si>
  <si>
    <t>Sebastian Geovanny Calel Ixtuc</t>
  </si>
  <si>
    <t>Selvin Adan Garcia Portillo</t>
  </si>
  <si>
    <t>Selvin Geronimo Aguilar</t>
  </si>
  <si>
    <t>Selvin Manolo Montepeque Merida</t>
  </si>
  <si>
    <t>Selvin Rodolfo De La Cruz Contreras</t>
  </si>
  <si>
    <t>Selvyn Ivan Sierra Ramirez</t>
  </si>
  <si>
    <t>Sendy Vanessa Villagran Garcia</t>
  </si>
  <si>
    <t>Sergio Alejandro Aguilar Perez</t>
  </si>
  <si>
    <t>Sergio Estuardo Mejia Lopez</t>
  </si>
  <si>
    <t>Sergio Obdulio Chali Chocojay</t>
  </si>
  <si>
    <t>Sharon Klarivel Santis Najarro</t>
  </si>
  <si>
    <t>Shaury Jazmeny Garcia Arias</t>
  </si>
  <si>
    <t>Sheila Nineth Mendez Lopez</t>
  </si>
  <si>
    <t>Sheily Nahomy Oliva Morales</t>
  </si>
  <si>
    <t>Sheily Raquel Angel Arreaga</t>
  </si>
  <si>
    <t>Shirley Andrea Lopez Lopez</t>
  </si>
  <si>
    <t>Shirley Leticia Lissette Lopez Guzman</t>
  </si>
  <si>
    <t>Silvia Edelmira Garcia Donis</t>
  </si>
  <si>
    <t>Silvia Gabriela Gonzalez Siliezar</t>
  </si>
  <si>
    <t>Silvia Leticia Morales Perez</t>
  </si>
  <si>
    <t>Silvia Lucrecia Gonzalez Char</t>
  </si>
  <si>
    <t>Silvia Marleni Rac Yoc</t>
  </si>
  <si>
    <t>Silvia Noemi Calderon</t>
  </si>
  <si>
    <t>Silvia Patricia Gonzalez Hernandez</t>
  </si>
  <si>
    <t>Simeon Valentin Gomez Flores</t>
  </si>
  <si>
    <t>Sindy Beatriz Perez Sanchez</t>
  </si>
  <si>
    <t>Sindy Carolina Ramirez Pur</t>
  </si>
  <si>
    <t>Sindy Karina Ramirez Lopez</t>
  </si>
  <si>
    <t>Sindy Paola Vargas Calderon</t>
  </si>
  <si>
    <t>Siomara Victoria Valle Sac</t>
  </si>
  <si>
    <t>Slayker Andony Santiago Natareno</t>
  </si>
  <si>
    <t>Smaylin Sarita Villatoro Angel</t>
  </si>
  <si>
    <t>Sofia Etelvina Lopez Perez</t>
  </si>
  <si>
    <t>Sofia Ines Bermudez Avila</t>
  </si>
  <si>
    <t>Stefanny Manuela Azaneth Garcia Garcia</t>
  </si>
  <si>
    <t>Stephanie Abigail De Los Angeles Villalta</t>
  </si>
  <si>
    <t>Sucely Abigail Nerios Rodriguez</t>
  </si>
  <si>
    <t>Sucely Analy Arias Paredes</t>
  </si>
  <si>
    <t>Sucely Paola Godinez Gomez De Perez</t>
  </si>
  <si>
    <t>Sulibeth Estela Ortega Mendez</t>
  </si>
  <si>
    <t>Suri Mireidy Perez Estrada</t>
  </si>
  <si>
    <t>Susan Andrea Perez Lima</t>
  </si>
  <si>
    <t>Susan Maria Jose Rodas Carranza</t>
  </si>
  <si>
    <t>Susana Alvarado Gonzalez</t>
  </si>
  <si>
    <t>Susana Jeanneth Lemus Pineda</t>
  </si>
  <si>
    <t>Tayme Gabriela Uzu Ramirez</t>
  </si>
  <si>
    <t>Telma Esperanza Santos Orantes</t>
  </si>
  <si>
    <t>Telma Sucely Solis Merida</t>
  </si>
  <si>
    <t>Thania Lucia Romero Garcia</t>
  </si>
  <si>
    <t>Thelma Patricia Mena Melchor</t>
  </si>
  <si>
    <t>Thelma Yolanda De Candelaria Garcia Sanchez</t>
  </si>
  <si>
    <t>Tomas Amador Manuel Martin</t>
  </si>
  <si>
    <t>Tomas Xiloj Mejia</t>
  </si>
  <si>
    <t>Treisy Lisbeth Orozco Orozco</t>
  </si>
  <si>
    <t>Urias Samuel Velasquez Ardeano</t>
  </si>
  <si>
    <t>Valeska Paola Rivas Gomez</t>
  </si>
  <si>
    <t>Velvet Sofia Estrada Ruiz</t>
  </si>
  <si>
    <t>Veronica Alejandra Barahona Santa Cruz</t>
  </si>
  <si>
    <t>Veronica Dalila Barrios Hernandez</t>
  </si>
  <si>
    <t>Veronica Sierra Xo</t>
  </si>
  <si>
    <t>Vicky Roxana Lopez Hernandez</t>
  </si>
  <si>
    <t>Victor Adolfo Barrios Monzon</t>
  </si>
  <si>
    <t>Victor Demecio Leon Villeda</t>
  </si>
  <si>
    <t>Victor Otoniel Sebastian Cardona</t>
  </si>
  <si>
    <t>Victoria Maria Llamas Perez</t>
  </si>
  <si>
    <t>Vilma Rossibel Mendez Vasquez</t>
  </si>
  <si>
    <t>Virginia Nohemi Perez Ajtum</t>
  </si>
  <si>
    <t>Virginia Yesenia Merida Lopez De Lopez</t>
  </si>
  <si>
    <t>Vivian Alejandra Ramirez Samayoa</t>
  </si>
  <si>
    <t>Vivian Celeste De Leon Rian</t>
  </si>
  <si>
    <t>Vivian Dinora Fuentes Carrillo</t>
  </si>
  <si>
    <t>Vivian Roxana Piedrasanta Rodriguez</t>
  </si>
  <si>
    <t>Vivian Samara Sanchez Lopez</t>
  </si>
  <si>
    <t>Viviana Isabet Machic Tiño</t>
  </si>
  <si>
    <t>Walkiria Anais Herrera Castillo</t>
  </si>
  <si>
    <t>Walter Daniel Perea Flores</t>
  </si>
  <si>
    <t>Walter David De Leon Gomez</t>
  </si>
  <si>
    <t>Walter Estuardo Guerra López</t>
  </si>
  <si>
    <t>Walter Geovany Hernandez Hernandez</t>
  </si>
  <si>
    <t>Walter Yovany Sequec Lopic</t>
  </si>
  <si>
    <t>Wanda Marisol Cabrera Lemus</t>
  </si>
  <si>
    <t>Wander Andres Grijlava Porras</t>
  </si>
  <si>
    <t>Wendoly Beatriz Morales Cornel</t>
  </si>
  <si>
    <t>Wendy Alejandra Cuyan Alvarez</t>
  </si>
  <si>
    <t>Wendy Alejandra Monzon Lopez</t>
  </si>
  <si>
    <t>Wendy Carolina Lopez Alvizuriz</t>
  </si>
  <si>
    <t>Wendy Corina Najera Vasquez</t>
  </si>
  <si>
    <t>Wendy Jessenia Arredondo Lopez</t>
  </si>
  <si>
    <t>Wendy Mariela Diaz Hernandez</t>
  </si>
  <si>
    <t>Wendy Nineth Perez Roque</t>
  </si>
  <si>
    <t>Wendy Paola Baquiax Cu</t>
  </si>
  <si>
    <t>Wendy Paola De Paz Prado</t>
  </si>
  <si>
    <t>Wendy Paola Rodriguez Gonzalez</t>
  </si>
  <si>
    <t>Wendy Patricia Lopez Gonzalez</t>
  </si>
  <si>
    <t>Wendy Susana Chinchilla Cotill</t>
  </si>
  <si>
    <t>Wendy Victoria Rodriguez Chacon</t>
  </si>
  <si>
    <t>Wensler David Obando Polanco</t>
  </si>
  <si>
    <t>Wilda Yohandra Atz Cruz</t>
  </si>
  <si>
    <t>Wilfido Abraham Cardona Garcia</t>
  </si>
  <si>
    <t>Wilian Aroldo Lucero Cardona</t>
  </si>
  <si>
    <t>William Alexander Tobias Gomez</t>
  </si>
  <si>
    <t>William Eduardo Velasquez Castillo</t>
  </si>
  <si>
    <t>William Rodolfo Yool Tucux</t>
  </si>
  <si>
    <t>Willian Baldemar Castillo Ramirez</t>
  </si>
  <si>
    <t>Wilmer Arnoldo Diaz Martinez</t>
  </si>
  <si>
    <t>Wilmer Benjamin Vasquez Puac</t>
  </si>
  <si>
    <t>Wilmer Esteban Lopez Hernandez</t>
  </si>
  <si>
    <t>Wilmer Estuardo Salama Golon</t>
  </si>
  <si>
    <t>Wilson Arnoldo Lopez Revolorio</t>
  </si>
  <si>
    <t>Wilson Manuel Zuñiga Perez</t>
  </si>
  <si>
    <t>Wuangler Geovane Cal Sucup</t>
  </si>
  <si>
    <t>Wuilson Ottoniel Hernandez Alonzo</t>
  </si>
  <si>
    <t>Xiomara Karina Rendon Peinado</t>
  </si>
  <si>
    <t>Yackelin Maribel Zamora Medina</t>
  </si>
  <si>
    <t>Yajaira Emiliana Reyes Zapet</t>
  </si>
  <si>
    <t>Yakelin Consuelo Zapeta Perez</t>
  </si>
  <si>
    <t>Yaquelin Dinora Xicara Mejia</t>
  </si>
  <si>
    <t>Yaquelin Karina Virula Patzan</t>
  </si>
  <si>
    <t>Yaquelin Yessenia Sapon Gonzalez</t>
  </si>
  <si>
    <t>Yasmin Paola Sicay Marroquin</t>
  </si>
  <si>
    <t>Yefersson Zabala Aviles</t>
  </si>
  <si>
    <t>Yefry Jesus Soto</t>
  </si>
  <si>
    <t>Yeimi Yareli Moscoso Guzman</t>
  </si>
  <si>
    <t>Yener Catarino Chilel Velasquez</t>
  </si>
  <si>
    <t>Yeni Elizabeth Carrillo Barrios</t>
  </si>
  <si>
    <t>Yeni Jannet Morales Sintud</t>
  </si>
  <si>
    <t>Yeni Sabrina Ordonez Gonzalez De Chicas</t>
  </si>
  <si>
    <t>Yenifer Alicia Yessenia Tzib Lemus</t>
  </si>
  <si>
    <t>Yenifer Antonieta Borja Aragon</t>
  </si>
  <si>
    <t>Yenner Antonio Perez Castro</t>
  </si>
  <si>
    <t>Yesenia Noemi Gutierrez Argueta</t>
  </si>
  <si>
    <t>Yesi Lisbet Fuentes Velarde</t>
  </si>
  <si>
    <t>Yesica Elizabet Marroquin Vielman</t>
  </si>
  <si>
    <t>Yessica Paola Perez Poma</t>
  </si>
  <si>
    <t>Yolisma Yaneth Vasquez Najera</t>
  </si>
  <si>
    <t>Yonatan Alexander Perez Scott</t>
  </si>
  <si>
    <t>Yonatan Nazareth Zapeta Gomez</t>
  </si>
  <si>
    <t>Yonathan Neftali Moran Velasquez</t>
  </si>
  <si>
    <t>Yoni Adan Gutierrez Veliz</t>
  </si>
  <si>
    <t>Yoni Yosuen Rodriguez Sosa</t>
  </si>
  <si>
    <t>Yoselin Alejandra Barrios Reyes</t>
  </si>
  <si>
    <t>Yoselin Alejandra Moran Burgos</t>
  </si>
  <si>
    <t>Yoselin Andrea Cipriano Garcia</t>
  </si>
  <si>
    <t>Yoselin Ninet Lopez Quibaja</t>
  </si>
  <si>
    <t>Yubithza Azucena Gamez Agustin De Cordova</t>
  </si>
  <si>
    <t>Yuliana Elizabeth Hernandez Lopez</t>
  </si>
  <si>
    <t>Yuri Madali Cabrera Garcia</t>
  </si>
  <si>
    <t>Yuri Vanessa Bac Caal</t>
  </si>
  <si>
    <t>Yuri Yesenia Beza Ramirez</t>
  </si>
  <si>
    <t>Zacarias Rigoberto Cuc Tiul</t>
  </si>
  <si>
    <t>Zaira Eloiza Orantes Ramirez</t>
  </si>
  <si>
    <t>Zalma Esmeralda Flores Tojin</t>
  </si>
  <si>
    <t>Zoraida Marisol Martinez Perez</t>
  </si>
  <si>
    <t>Zulema Noemy Aristondo Lopez</t>
  </si>
  <si>
    <t>Zulma Damaris Menchu Mendez</t>
  </si>
  <si>
    <t>Zulmy Paola Mateo Salazar</t>
  </si>
  <si>
    <t>Zuly Beatriz De Jesus Lopez Martinez</t>
  </si>
  <si>
    <t>Jency Noeli Estrada Paredes</t>
  </si>
  <si>
    <t>Patricia Alejandra Ramos Velasquez</t>
  </si>
  <si>
    <t>Lesly Sucely Ramirez Maxin</t>
  </si>
  <si>
    <t>Aylin Jiceli Romero Cruz</t>
  </si>
  <si>
    <t>Henry De Jesus Mujo Garcia</t>
  </si>
  <si>
    <t>Zoila Edmunda Pirir Tezen</t>
  </si>
  <si>
    <t>Scarlet Iveth Rosales Rivera</t>
  </si>
  <si>
    <t>Lisbeth Sarai Gutierrez Oscal</t>
  </si>
  <si>
    <t>William Alexander Gonzalez Mendoza</t>
  </si>
  <si>
    <t>Andrea Fernanda Martin Flores</t>
  </si>
  <si>
    <t>Alba Mariana Higueros Micheo</t>
  </si>
  <si>
    <t>Leysly Rubi Panchoy Rivera</t>
  </si>
  <si>
    <t>Claudia Marissa Chuquiej Granados</t>
  </si>
  <si>
    <t>Alvin David Cush Roman</t>
  </si>
  <si>
    <t>Wilson Eli Pineda Argueta</t>
  </si>
  <si>
    <t>Renny Camilo Ixcopal Ramirez</t>
  </si>
  <si>
    <t>Durvin Dayanara Mejicanos Ramos</t>
  </si>
  <si>
    <t>Sergio Alexander Urizar Godínez</t>
  </si>
  <si>
    <t>Dulce Maria Fajardo Ramos</t>
  </si>
  <si>
    <t>Axel Alexander Lemus Ovando</t>
  </si>
  <si>
    <t>Cristofer Melgar Ortega</t>
  </si>
  <si>
    <t>Maria Damaris Noemi Asig Cu</t>
  </si>
  <si>
    <t>Leyvi Diana Morales Garrido</t>
  </si>
  <si>
    <t>Luis Alexsander Barco Ramirez</t>
  </si>
  <si>
    <t>Estuardo Rocael Chivalan Caal</t>
  </si>
  <si>
    <t>Carlos Edmundo Hernandez Miranda</t>
  </si>
  <si>
    <t>Jose Guillermo Ixen Queche</t>
  </si>
  <si>
    <t>Josselyn Fabiola Xunic Taquiej</t>
  </si>
  <si>
    <t>Lesly Araceli Mendez Gonzalez</t>
  </si>
  <si>
    <t>Luis Miguel Camaja Recinos</t>
  </si>
  <si>
    <t>Wilson Estuardo Vicente Tzun</t>
  </si>
  <si>
    <t>Yenifer Magali Arana Tezen</t>
  </si>
  <si>
    <t>Favio Juan Manuel Citalan Gomez</t>
  </si>
  <si>
    <t>Katherine Maria Pereira Estacuy</t>
  </si>
  <si>
    <t>Maria Teresa Hom Guit</t>
  </si>
  <si>
    <t>Alex Jose Bamaca Baltazar</t>
  </si>
  <si>
    <t>Esmeralda Claribel Velasquez Hernandez</t>
  </si>
  <si>
    <t>Nancy Rocio Maldonado Lopez</t>
  </si>
  <si>
    <t>Milka Patricia Merida Muñoz</t>
  </si>
  <si>
    <t>Luis Fernando Ramos Reynoso</t>
  </si>
  <si>
    <t>Astrid Anybeth Ochoa Sac</t>
  </si>
  <si>
    <t>Ana Gabriela Garcia Ajanel</t>
  </si>
  <si>
    <t>Dallynn Eunice Perez Herrera</t>
  </si>
  <si>
    <t>Saul Rodrigo Monterroso Belteton</t>
  </si>
  <si>
    <t>Sugey Alejandrina Ramirez Zepeda</t>
  </si>
  <si>
    <t>Josselyn Jasmin Asencio Revolorio De Lopez</t>
  </si>
  <si>
    <t>Mayra Leticia Diaz Armas</t>
  </si>
  <si>
    <t>Andrea Stephany Villeda Bran</t>
  </si>
  <si>
    <t>Alexandra Stefania Estrada Flores</t>
  </si>
  <si>
    <t>Jose Luis Landaverry Arana</t>
  </si>
  <si>
    <t>Maria Teresa Barrientos Perdomo</t>
  </si>
  <si>
    <t>Zenia Estefania Alvarado Alvarado</t>
  </si>
  <si>
    <t>Iris Marleny Alvarado Barrios</t>
  </si>
  <si>
    <t>Diana Violeta Yaguas Carin</t>
  </si>
  <si>
    <t>Astrid Gabriela Carin Castillo</t>
  </si>
  <si>
    <t>Luis Fernando Cuque Marquez</t>
  </si>
  <si>
    <t>Jennifer Jeaneth Patzan Urizar</t>
  </si>
  <si>
    <t>Saul Alexander Sicay Ramirez</t>
  </si>
  <si>
    <t>Ana Ruth Garcia Garcia</t>
  </si>
  <si>
    <t>Valerie Andrea Rivas Del Valle</t>
  </si>
  <si>
    <t>Brandon Steven Quiñonez Garcia</t>
  </si>
  <si>
    <t>Bryan Daniel Donado Ortiz</t>
  </si>
  <si>
    <t>Lourdes Yamileth Escobar Recinos</t>
  </si>
  <si>
    <t>Daniel Antonio Gonzalez Del Cid</t>
  </si>
  <si>
    <t>Jose Danilo Chacar Saguach</t>
  </si>
  <si>
    <t>Karen Melissa Munoz Guevara</t>
  </si>
  <si>
    <t>Mario Eduardo Reyes Argueta</t>
  </si>
  <si>
    <t>Diego Rodrigo Morales Camacho</t>
  </si>
  <si>
    <t>Irvin Lizardo Miranda Guzman</t>
  </si>
  <si>
    <t>Yesenia Nataly Alvarado Sarpec</t>
  </si>
  <si>
    <t xml:space="preserve">Ludwin Oscar David Chavez </t>
  </si>
  <si>
    <t>Heidy Azucena Martinez Garcia</t>
  </si>
  <si>
    <t>Manuel Eduardo Garcia Diaz</t>
  </si>
  <si>
    <t>Dayana Mishell Mazariegos Gomez</t>
  </si>
  <si>
    <t>Vilma Lizeth Caal Yantuche</t>
  </si>
  <si>
    <t>Oscar Javier Veliz Galvez</t>
  </si>
  <si>
    <t>Evelyn Rebeca Lopez Socoy</t>
  </si>
  <si>
    <t>Jonathan Renato Chete Urias</t>
  </si>
  <si>
    <t>Dina Nohemi Solano Juarez</t>
  </si>
  <si>
    <t>Melany Nohemi Velasquez Solorzano</t>
  </si>
  <si>
    <t>Cindy Abigail Patzan Perez</t>
  </si>
  <si>
    <t>Merlyn Esther Pérez Girón</t>
  </si>
  <si>
    <t>Bryan Roberto Sanchez Echeverria</t>
  </si>
  <si>
    <t>Andrea Eunice Velasquez Mazariegos</t>
  </si>
  <si>
    <t>Yolanda Genoveva Lopez Bamaca</t>
  </si>
  <si>
    <t>Edson Romeo Maldonado Reyes</t>
  </si>
  <si>
    <t>Suceli Isamar Orozco Fuentes</t>
  </si>
  <si>
    <t>Karen Gabriela Uz Shalix</t>
  </si>
  <si>
    <t>Mario Jose Herrera De Leon</t>
  </si>
  <si>
    <t>Rogelia Emperatriz Ortiz Alcantara</t>
  </si>
  <si>
    <t>Yeison Lemuel Lopez Vasquez</t>
  </si>
  <si>
    <t>Danny Johana Perez Reyes</t>
  </si>
  <si>
    <t>Pedro Jose Castañeda Velasquez</t>
  </si>
  <si>
    <t>Jamileth Andreina Arreaga Quin</t>
  </si>
  <si>
    <t>Ventura Rivera, Rhode Esperanza</t>
  </si>
  <si>
    <t>Ruiz Castillo, Maria Antonia</t>
  </si>
  <si>
    <t>Cordova Newbery, Allison Alejandra</t>
  </si>
  <si>
    <t>Castanon Lopez, Brandon Eliberto</t>
  </si>
  <si>
    <t>Diaz Calderon, Josue Noe</t>
  </si>
  <si>
    <t>Rucuch Choguaj, Miguel</t>
  </si>
  <si>
    <t>Zavala Soto, Alisson Yisel</t>
  </si>
  <si>
    <t xml:space="preserve">Otto Alejandro Barahona López </t>
  </si>
  <si>
    <t>Alexandra Carolina Valdez Vasquez</t>
  </si>
  <si>
    <t>Aura Marleny Perez Ventura</t>
  </si>
  <si>
    <t>Carlos Enrique Saenz Cardona</t>
  </si>
  <si>
    <t>Celeste Azucena Estrada Salvador De Estrada</t>
  </si>
  <si>
    <t>Escarlet Liliana Molina Herrera De Bolaños</t>
  </si>
  <si>
    <t>Heidy Celeste San Jose Diaz</t>
  </si>
  <si>
    <t>Jhoseline Esmeralda Medina Rivas</t>
  </si>
  <si>
    <t>Karen Elizabeth Roman Castellanos</t>
  </si>
  <si>
    <t>Karin Zulema Molina Fonseca</t>
  </si>
  <si>
    <t>Katherine Lucia Carranza Ortega</t>
  </si>
  <si>
    <t>Lilian Jose Lopez Quevedo</t>
  </si>
  <si>
    <t>Luis Alberto Perez Barrios</t>
  </si>
  <si>
    <t>Luz Mariela Donis Gonzalez</t>
  </si>
  <si>
    <t>Maria Andree Gonzalez</t>
  </si>
  <si>
    <t>Maria Gabriela Coloma Morales</t>
  </si>
  <si>
    <t>Marvin Alfredo Asturias Mendez</t>
  </si>
  <si>
    <t>Monica Carolina Pappa Dominguez</t>
  </si>
  <si>
    <t>Pablo Cesar Oliva Lopez</t>
  </si>
  <si>
    <t>Rosmeri Elizabeth Alvarez Lopez De Corado</t>
  </si>
  <si>
    <t>Sergio Vinicio Natareno Paredes</t>
  </si>
  <si>
    <t>Sindy Elizabeth Chavez Guzman</t>
  </si>
  <si>
    <t>Victor Hugo Turriz Flores</t>
  </si>
  <si>
    <t>Ana Melisa Giron Gonzalez</t>
  </si>
  <si>
    <t>Maria Magdalena Solis Carrera</t>
  </si>
  <si>
    <t>Mynor Arturo Barrios Reyes</t>
  </si>
  <si>
    <t>Marvin Alejandro Lopez Solis</t>
  </si>
  <si>
    <t>Victor Alfonso Ortega Torres</t>
  </si>
  <si>
    <t>Heidi Marleny Fajardo Ortiz De Cojon</t>
  </si>
  <si>
    <t>Magda Karina Mendoza Hernandez</t>
  </si>
  <si>
    <t>Ana Bertha Guzman Yaggi</t>
  </si>
  <si>
    <t>Evelin Gicela Burgos Franco</t>
  </si>
  <si>
    <t>Jose Luis Chay Machic</t>
  </si>
  <si>
    <t>Liliam Lisseth Santizo Mejia De Cordova</t>
  </si>
  <si>
    <t>Lisbeth Noemi Hernandez Giron</t>
  </si>
  <si>
    <t>Maritza Isabel Hernandez Cruz</t>
  </si>
  <si>
    <t>Jony Estuardo Gamarro Chinchilla</t>
  </si>
  <si>
    <t>Kevin Josue Moscoso Espino</t>
  </si>
  <si>
    <t>Oscar Rene Zacarias Jordan</t>
  </si>
  <si>
    <t>Edgar Estuardo Guerra Romero</t>
  </si>
  <si>
    <t>Karla Paola Martinez Salazar</t>
  </si>
  <si>
    <t>Ursula Deyanira Molina Mendoza</t>
  </si>
  <si>
    <t>Habraham Cesar Torres Alfaro</t>
  </si>
  <si>
    <t>Hilda Janina Diaz</t>
  </si>
  <si>
    <t>Jose Alejandro Carrera Tecun</t>
  </si>
  <si>
    <t>Karim Yaneth Mendez Hidalgo</t>
  </si>
  <si>
    <t>Edith Carolina Rojas Moreno</t>
  </si>
  <si>
    <t>Juan Jose Sarceño Siquiej</t>
  </si>
  <si>
    <t>Juan Pablo Marroquin Franco</t>
  </si>
  <si>
    <t>Elmer Josue Chinchilla Mendoza</t>
  </si>
  <si>
    <t>Luis Rodrigo Polanco Marroquin</t>
  </si>
  <si>
    <t>Linda Garcia          </t>
  </si>
  <si>
    <t xml:space="preserve">Shirley Guadalupe Munguia Gil </t>
  </si>
  <si>
    <t xml:space="preserve">Yesenia Guadalupe Ajcu Castillo </t>
  </si>
  <si>
    <t>Herman Gabriel Mendez Castellanos</t>
  </si>
  <si>
    <t xml:space="preserve"> Erick Estuardo Gonzalez Culajay</t>
  </si>
  <si>
    <t xml:space="preserve"> Evelin Johana Perez Fajardo De Estayul</t>
  </si>
  <si>
    <t xml:space="preserve"> Gabriela Poitan Ordoñez De Garcia</t>
  </si>
  <si>
    <t xml:space="preserve"> Jenny Betzabel Solis De Hernandez</t>
  </si>
  <si>
    <t xml:space="preserve"> Juan Francisco Lara Villavicencio</t>
  </si>
  <si>
    <t xml:space="preserve"> Julia Mariela Lourdette Gonzalez Rosales</t>
  </si>
  <si>
    <t xml:space="preserve"> Julio Roberto Castellanos Ordoñez</t>
  </si>
  <si>
    <t xml:space="preserve"> Linda Aracely Garcia Beteta De Cuxulic</t>
  </si>
  <si>
    <t xml:space="preserve"> Mailyn Anely Chavez Gonzalez</t>
  </si>
  <si>
    <t xml:space="preserve"> Mario Adolfo Telon Pedroza</t>
  </si>
  <si>
    <t xml:space="preserve"> Marlon Aroldo De Leon Juarez</t>
  </si>
  <si>
    <t xml:space="preserve"> Mayra Judith Marroquin Guevara De Melendez</t>
  </si>
  <si>
    <t xml:space="preserve"> Nancy Mariela Estrada Calel De Samayoa</t>
  </si>
  <si>
    <t xml:space="preserve"> Sindy Yesenia Fuentes Alvarez De Flores</t>
  </si>
  <si>
    <t xml:space="preserve"> Wendy Carolina Flores Garcia</t>
  </si>
  <si>
    <t>Adrian Emanuel Turcios Azurdia</t>
  </si>
  <si>
    <t>Ana Ruth Wong Mejia</t>
  </si>
  <si>
    <t>Brenda Yaneth Perez Lucas</t>
  </si>
  <si>
    <t>Carlos Enrique Dighero Lopez</t>
  </si>
  <si>
    <t>Edith Veranice Palacios</t>
  </si>
  <si>
    <t>Hersson Eduardo Leal Garcia</t>
  </si>
  <si>
    <t>Jasminia Sarai Cotzajay Peñate</t>
  </si>
  <si>
    <t>Jonathan Rene Villavicencio Soto</t>
  </si>
  <si>
    <t>Jorge Alfonso Hernandez Chinchilla</t>
  </si>
  <si>
    <t xml:space="preserve">Jorge Francisco Saban Lopez </t>
  </si>
  <si>
    <t xml:space="preserve">Jose Albino Albeño Galicia </t>
  </si>
  <si>
    <t>Jose Emilio Yuman Roche</t>
  </si>
  <si>
    <t>Jose Miguel Silva Contreras</t>
  </si>
  <si>
    <t>Lester Onelio Lopez Rosales</t>
  </si>
  <si>
    <t>Luis Fernando Roche Valenzuela</t>
  </si>
  <si>
    <t>Luisa Fernanda Marroquin Tiguila</t>
  </si>
  <si>
    <t>Marco Antonio Salazar Alinzo</t>
  </si>
  <si>
    <t>Maynor Alexander Perez Surque</t>
  </si>
  <si>
    <t>Melani Mishell Vasquez Castillo</t>
  </si>
  <si>
    <t>Nancy Elizabeth Lopez Perez</t>
  </si>
  <si>
    <t>Olga Roxana Gomez</t>
  </si>
  <si>
    <t>Rubeldi Ajaniel Roblero Gonzales</t>
  </si>
  <si>
    <t>Abel Eduardo Lopez Lopez</t>
  </si>
  <si>
    <t>Ana Gabriela Samayoa Lopez</t>
  </si>
  <si>
    <t>Elements</t>
  </si>
  <si>
    <t xml:space="preserve">Carlos Alberto Roque </t>
  </si>
  <si>
    <t xml:space="preserve">Carlos David Ajmac </t>
  </si>
  <si>
    <t>Carlos Roberto Hernandez Gonzalez</t>
  </si>
  <si>
    <t>Cristal Estephania Juarroz Muñoz</t>
  </si>
  <si>
    <t>Cristian Orlando Monzon De Leon</t>
  </si>
  <si>
    <t>Gabriela Elizabeth Alvarez Mix</t>
  </si>
  <si>
    <t xml:space="preserve">Gladis Morales Cutzal </t>
  </si>
  <si>
    <t>Herbert Wellington Rodriguez Ramirez</t>
  </si>
  <si>
    <t>Espartanos</t>
  </si>
  <si>
    <t>Jadurani Devi Dasi Archila Lool</t>
  </si>
  <si>
    <t>Jenifer Lucerito Sique Mayorga</t>
  </si>
  <si>
    <t>Johana Vidalia Chach Ixcoy</t>
  </si>
  <si>
    <t>Jonnathan Josue Rodas Florian</t>
  </si>
  <si>
    <t>Jorge Eduardo Fonseca Palacios</t>
  </si>
  <si>
    <t>Jose Geovanni Castañeda Galindo</t>
  </si>
  <si>
    <t>Juan Manuel Gomez Sampuel</t>
  </si>
  <si>
    <t xml:space="preserve">Mario Enrique Morales Escobar </t>
  </si>
  <si>
    <t xml:space="preserve">Mijail Erick Joaquín Morales Ortiz </t>
  </si>
  <si>
    <t>Nancy Pahola Arevalo Yuman</t>
  </si>
  <si>
    <t>Norman Scott Castillo Rivera</t>
  </si>
  <si>
    <t>Rusbelindo  Miguel Lopez</t>
  </si>
  <si>
    <t>Ana Lucia Veliz Solares</t>
  </si>
  <si>
    <t>Andy Oswaldo Pineda Arriola</t>
  </si>
  <si>
    <t>Cindy Julissa Herrera</t>
  </si>
  <si>
    <t>Elmer Eduardo Castillo</t>
  </si>
  <si>
    <t>Freddy Reynaldo Velarde Valenzuela</t>
  </si>
  <si>
    <t>Gustavo Ernesto Altan Gonzalez</t>
  </si>
  <si>
    <t>Irene Beatriz Pena Orellana</t>
  </si>
  <si>
    <t>Juan Pedro Tiney Cax</t>
  </si>
  <si>
    <t>Lester Juan Jose Arevalo Reynoso</t>
  </si>
  <si>
    <t>Marlon Enrique Del Cid Roque</t>
  </si>
  <si>
    <t>Miriam Eugenia Santizo Montenegro</t>
  </si>
  <si>
    <t>Roberto Alejandro Alvarez Abularach</t>
  </si>
  <si>
    <t>Sergio David Gonzalez Perez</t>
  </si>
  <si>
    <t>Sergio Javier Cortez Tunchez</t>
  </si>
  <si>
    <t>Sharon Dayana Ninoshka López Márquez</t>
  </si>
  <si>
    <t xml:space="preserve"> Abner Eli Gonzalez Gonzalez</t>
  </si>
  <si>
    <t xml:space="preserve"> Ana Ester Cuyan Aguilar De Dominguez</t>
  </si>
  <si>
    <t xml:space="preserve"> Christyan Stuardo Ronquillo Saravia</t>
  </si>
  <si>
    <t xml:space="preserve"> David Estuardo Rosales Corado</t>
  </si>
  <si>
    <t xml:space="preserve"> De Leon Cach Roberto Carlos</t>
  </si>
  <si>
    <t xml:space="preserve"> Elda Luzbina Valdez Guerra De Fuentes</t>
  </si>
  <si>
    <t xml:space="preserve"> Jennifer Leticia Gonzalez Pineda</t>
  </si>
  <si>
    <t xml:space="preserve"> Jocelyn Sucel Yantuche Chin</t>
  </si>
  <si>
    <t xml:space="preserve"> Jose Rigoberto Osorio Abarca</t>
  </si>
  <si>
    <t xml:space="preserve"> Kevin Alejandro Corado Estrada</t>
  </si>
  <si>
    <t xml:space="preserve"> Lotar Robson Araujo Perez</t>
  </si>
  <si>
    <t xml:space="preserve"> Luis Fernando Lopez Vasquez</t>
  </si>
  <si>
    <t xml:space="preserve"> Marlon Estuardo Hernandez</t>
  </si>
  <si>
    <t xml:space="preserve"> Rudy Fernando Orozco Tejeda</t>
  </si>
  <si>
    <t xml:space="preserve"> Vivian Pamela Rodas Lopez</t>
  </si>
  <si>
    <t xml:space="preserve">Brandon Steve Juarez Arrazola </t>
  </si>
  <si>
    <t>Addy Aida Cifuentes Coronado</t>
  </si>
  <si>
    <t>Alex Humberto Montezuma</t>
  </si>
  <si>
    <t>Angel Arturo Mauricio Ayapan</t>
  </si>
  <si>
    <t>Armando Andree Quiñonez Flores</t>
  </si>
  <si>
    <t>Cesar Haroldo Ixcayau Castro</t>
  </si>
  <si>
    <t>Claudia Maria Orozco Garcia</t>
  </si>
  <si>
    <t>Cristian David Urizar Canteo</t>
  </si>
  <si>
    <t>Guillermo Alejandro Pirir</t>
  </si>
  <si>
    <t>Joaquin Alonso Murillo Perez</t>
  </si>
  <si>
    <t>Johanna Amarilis Hernandez Perez</t>
  </si>
  <si>
    <t>Jose Anibal Reyes Sandoval</t>
  </si>
  <si>
    <t>Joselyn Manuela Sandoval De Leon</t>
  </si>
  <si>
    <t>Karen Jamara Luna Menendez</t>
  </si>
  <si>
    <t>Luis Alfredo Ruben Castillo Mejia</t>
  </si>
  <si>
    <t>Marliz Irene Bonifaz Lopez</t>
  </si>
  <si>
    <t>Mildred Mazciel Almazan Lemus Codigo</t>
  </si>
  <si>
    <t>Orellana Alvarez, Nestor Giovanni</t>
  </si>
  <si>
    <t>Oscar Oswaldo Ramirez Tahuite</t>
  </si>
  <si>
    <t>Sandra Marisol Ramirez Solis</t>
  </si>
  <si>
    <t>Alvaro Oswaldo De La Rosa Hernandez</t>
  </si>
  <si>
    <t>Antonio Carlos Alvarenga Diaz</t>
  </si>
  <si>
    <t>Edi Ibander Osoy Lopez</t>
  </si>
  <si>
    <t>Eswin Leonel Fernandez Diaz</t>
  </si>
  <si>
    <t>Gabriel Antonio Mucur Arriaga</t>
  </si>
  <si>
    <t>Gabriela Melissa Arias Ovando</t>
  </si>
  <si>
    <t>Hernan Antonio Castro Guzman</t>
  </si>
  <si>
    <t>Jennifer Karla Maria De Leon Yoc</t>
  </si>
  <si>
    <t>Jennifer Veronica Flores Pineda</t>
  </si>
  <si>
    <t>Jimmy Alfredo Coronado Cabrera</t>
  </si>
  <si>
    <t>Jose Luis Quisquinay Inay</t>
  </si>
  <si>
    <t>Juan Fernando Alvarez Argueta</t>
  </si>
  <si>
    <t>Luis Arturo Fuentes Jerez</t>
  </si>
  <si>
    <t>Maria Fernanda Ambrocio Reyes</t>
  </si>
  <si>
    <t>Marlin Argelia Herrera Claveria</t>
  </si>
  <si>
    <t>Miguel Estuardo Marín</t>
  </si>
  <si>
    <t>Ricardo Antonio Ruiz Orozco</t>
  </si>
  <si>
    <t>Ruth Liliana Reyes Rivas</t>
  </si>
  <si>
    <t>Sergio Alejandro Estrada Velasco</t>
  </si>
  <si>
    <t xml:space="preserve"> Edgar Marco Tulio Sanchez Ochoa</t>
  </si>
  <si>
    <t xml:space="preserve"> Elcira Livduvina Perez Lopez De Merlos</t>
  </si>
  <si>
    <t xml:space="preserve"> Juan Toma Torrez</t>
  </si>
  <si>
    <t xml:space="preserve"> Luis Eduardo Garcia Gomez</t>
  </si>
  <si>
    <t xml:space="preserve"> Nori Liseth Bautista</t>
  </si>
  <si>
    <t xml:space="preserve"> Oscar Javier Galvez</t>
  </si>
  <si>
    <t xml:space="preserve"> Pedro Chas Morales</t>
  </si>
  <si>
    <t>Virginia Del Rosario Matilde Garcia Ico</t>
  </si>
  <si>
    <t xml:space="preserve"> Yenifer Alejandra Ordoñez</t>
  </si>
  <si>
    <t>Alex Eduardo Gil Paniagua</t>
  </si>
  <si>
    <t>Allan Kenneth Chiguichon Solis</t>
  </si>
  <si>
    <t xml:space="preserve">Anderson Noe Chunix Morales </t>
  </si>
  <si>
    <t>Andres Simon Sunun</t>
  </si>
  <si>
    <t>Angel Estuardo Perez Veliz</t>
  </si>
  <si>
    <t xml:space="preserve">Bobadilla Romero Alan Gonzalo </t>
  </si>
  <si>
    <t>Bryan Leonardo Lopez</t>
  </si>
  <si>
    <t xml:space="preserve">Cindy Damaris Villagran Castellano </t>
  </si>
  <si>
    <t>Cristian Ottoniel Lopez Alvarado</t>
  </si>
  <si>
    <t xml:space="preserve">Donel Omar Landaverry Solis </t>
  </si>
  <si>
    <t>Edgar Francisco Yanes Carrera</t>
  </si>
  <si>
    <t>Esvin David De Jesus Calanche</t>
  </si>
  <si>
    <t>Ginni Andrea Gramajo Lucas</t>
  </si>
  <si>
    <t>Herberth Ivan Garcia Davila</t>
  </si>
  <si>
    <t xml:space="preserve">Hernandez Andrea Yoselin Cristina </t>
  </si>
  <si>
    <t xml:space="preserve">Ingrid Leticia Paredes Pulido    </t>
  </si>
  <si>
    <t xml:space="preserve">Jairo Noel Linarez Gomez </t>
  </si>
  <si>
    <t>Jorge Luis Hernandez Juarez</t>
  </si>
  <si>
    <t>Juan Humberto Barrios Escobar</t>
  </si>
  <si>
    <t xml:space="preserve">Juan Manuel Macario Reyna </t>
  </si>
  <si>
    <t>Kevin Samuel Guamuch Guardado</t>
  </si>
  <si>
    <t>Lopez Morales, Andrea Lucia</t>
  </si>
  <si>
    <t>Mayra Azucena Perez Guzman</t>
  </si>
  <si>
    <t xml:space="preserve">Milton Hardany Dominguez Martinez </t>
  </si>
  <si>
    <t xml:space="preserve">Mirna Lorena Argueta Ayala </t>
  </si>
  <si>
    <t xml:space="preserve">Noe Rubell Garcia Cerna </t>
  </si>
  <si>
    <t>Reyna Elizabeth Panadero</t>
  </si>
  <si>
    <t>Sebastian Quino Morales</t>
  </si>
  <si>
    <t xml:space="preserve"> Ana Vilma Bamaca Cardona</t>
  </si>
  <si>
    <t xml:space="preserve"> Angel Emilio De Jesus Morales Ramirez</t>
  </si>
  <si>
    <t xml:space="preserve"> Astrid Marlene Diaz</t>
  </si>
  <si>
    <t xml:space="preserve"> Brenda Maribel Orozco Mendoza</t>
  </si>
  <si>
    <t xml:space="preserve"> Dora Lissette Higueros Trejo</t>
  </si>
  <si>
    <t xml:space="preserve"> Heber Antonio Olivares Alvarado</t>
  </si>
  <si>
    <t xml:space="preserve"> Isaias Ramirez Jimenez</t>
  </si>
  <si>
    <t xml:space="preserve"> Karina Del Rosario Castro Lopez De Guzman</t>
  </si>
  <si>
    <t xml:space="preserve"> Lorena Alexandra Lopez Yax</t>
  </si>
  <si>
    <t xml:space="preserve"> Sandra Beatriz Ardiano De Leon</t>
  </si>
  <si>
    <t>Berta Elizabeth Rodas Rosales</t>
  </si>
  <si>
    <t>Cristian Rene Contreras Sales</t>
  </si>
  <si>
    <t>Damaris Judith Rivas Benitez</t>
  </si>
  <si>
    <t>Janz Vincent Tunche</t>
  </si>
  <si>
    <t>Jose Carlos Puluc</t>
  </si>
  <si>
    <t>Juan Aquino Rac</t>
  </si>
  <si>
    <t>Juan Ramon Guerra Martinez</t>
  </si>
  <si>
    <t>Luis Fernando Rodas Pineda</t>
  </si>
  <si>
    <t>Magdalena Noemi Leonardo Ventura</t>
  </si>
  <si>
    <t>Mildred Elizabeth Rivera Tenas</t>
  </si>
  <si>
    <t>Miriam Leticia Romero Torres</t>
  </si>
  <si>
    <t xml:space="preserve">Mirna Janeth Ordoñez </t>
  </si>
  <si>
    <t>Victor Abraham Alvarado De La Cruz</t>
  </si>
  <si>
    <t>Wilson Moises Carias Santos</t>
  </si>
  <si>
    <t xml:space="preserve"> Amalia Cifuentes Gramajo</t>
  </si>
  <si>
    <t xml:space="preserve"> Amparo Janet Cardona Linares</t>
  </si>
  <si>
    <t xml:space="preserve"> Carlos Alberto Roque Galicia</t>
  </si>
  <si>
    <t xml:space="preserve"> David Gilberto Perez Mayorga</t>
  </si>
  <si>
    <t xml:space="preserve"> Elias Perez Sequen</t>
  </si>
  <si>
    <t xml:space="preserve"> Francisca Yesenia Aceytuno Quevedo</t>
  </si>
  <si>
    <t xml:space="preserve"> Heidi Natali Chacon De La Rosa De Diaz</t>
  </si>
  <si>
    <t xml:space="preserve"> Jose Esteban Diaz Montufar</t>
  </si>
  <si>
    <t xml:space="preserve"> Marilin Janeth Sanchez De Rodriguez</t>
  </si>
  <si>
    <t xml:space="preserve"> Milton Orlando Lopez</t>
  </si>
  <si>
    <t xml:space="preserve"> Oscar Amilcar Najera Segura</t>
  </si>
  <si>
    <t xml:space="preserve"> Susan Jackelinne Cristal Sanchez</t>
  </si>
  <si>
    <t xml:space="preserve"> Wilfredo Noe Tobar Valenzuela</t>
  </si>
  <si>
    <t>Angelica Lorena Garcia Gonzalez</t>
  </si>
  <si>
    <t xml:space="preserve">Cinthia Irene Paz Caal   </t>
  </si>
  <si>
    <t>Cristian Omar Cruz Mata</t>
  </si>
  <si>
    <t>Daninyer Alfonso Orellana Madrid</t>
  </si>
  <si>
    <t>Edgar Emilio Gomez Bobadilla</t>
  </si>
  <si>
    <t>Edna Helenin Benitez Guzman De Altan</t>
  </si>
  <si>
    <t>Edvin Orlando Tuis Guerra</t>
  </si>
  <si>
    <t>Francisco Antonio Davila Morales</t>
  </si>
  <si>
    <t>Fredy Joel Lopez Santiago</t>
  </si>
  <si>
    <t>Henry Gustavo Vasquez Robledo</t>
  </si>
  <si>
    <t>Hugo David Monroy Pichola</t>
  </si>
  <si>
    <t>Jorge Alberto Buch Patzan</t>
  </si>
  <si>
    <t>Maria Fernanda Del Rosario Orellana Lima De Orellana</t>
  </si>
  <si>
    <t>Marlon Estuardo Hernandez Moreira</t>
  </si>
  <si>
    <t>Milvia Alejandra Lopez Marroquin</t>
  </si>
  <si>
    <t>Miriam Marilisa Herrera Perez</t>
  </si>
  <si>
    <t>Nancy Paola Ramirez Garcia</t>
  </si>
  <si>
    <t>Walter Josue Corona Barrera</t>
  </si>
  <si>
    <t xml:space="preserve"> Arnoldo Coque Hernandez</t>
  </si>
  <si>
    <t xml:space="preserve"> Carlos Alfredo Cuc Cuxe</t>
  </si>
  <si>
    <t xml:space="preserve"> Edgar Enrique Garcia Cortave</t>
  </si>
  <si>
    <t xml:space="preserve"> Gandy Baygesus Sanchez Estrada</t>
  </si>
  <si>
    <t xml:space="preserve"> Gerber Estuardo Albizures Archila</t>
  </si>
  <si>
    <t xml:space="preserve"> Henry Samuel De Leon Menchu</t>
  </si>
  <si>
    <t xml:space="preserve"> Jania Nataly De Leon Ramirez De Suret</t>
  </si>
  <si>
    <t xml:space="preserve"> Marvin Saul Sical Ventura</t>
  </si>
  <si>
    <t xml:space="preserve"> Sandra Patricia Baran Avila</t>
  </si>
  <si>
    <t xml:space="preserve"> Selvyn David Payola Ayala</t>
  </si>
  <si>
    <t xml:space="preserve"> Susana Rodriguez Cordova</t>
  </si>
  <si>
    <t>Alex Fernando Garcia De Leon</t>
  </si>
  <si>
    <t>Amed Carlos Eduardo Matheu Cabrera</t>
  </si>
  <si>
    <t>Carmen Arely Perez Escobar</t>
  </si>
  <si>
    <t>Celia Mariela Castillo Beteta</t>
  </si>
  <si>
    <t>Darwin Ruben Martinez Ramirez</t>
  </si>
  <si>
    <t>Diego Armando Contreras Flores</t>
  </si>
  <si>
    <t>Edward Josue Cortez Belloso</t>
  </si>
  <si>
    <t>Erick Dionicio Alvarez Flores</t>
  </si>
  <si>
    <t>Francisco Roman Aceytuno Ramos</t>
  </si>
  <si>
    <t>Jose Orlando Lopez Matzar</t>
  </si>
  <si>
    <t>Juan Luis Soyos Tzoy</t>
  </si>
  <si>
    <t>Laiza Marleny Gomez Garcia De Gomez</t>
  </si>
  <si>
    <t>Mario Ernesto Alvarado Molina</t>
  </si>
  <si>
    <t>Mario Raul Monroy Monroy</t>
  </si>
  <si>
    <t>Mario Ricardo Gabriel Monterroso</t>
  </si>
  <si>
    <t xml:space="preserve">Marlyn Carolina Hernandez Escobar De Dubon </t>
  </si>
  <si>
    <t>Miguel David Boch Cifuentes</t>
  </si>
  <si>
    <t xml:space="preserve">Mildred Alejandra Sapon Ruano   </t>
  </si>
  <si>
    <t>Shirley Mariana Lopez Natarengo</t>
  </si>
  <si>
    <t>Viviana Maribel Ortiz Barrios</t>
  </si>
  <si>
    <t xml:space="preserve"> Carla Noemi Irias Alvarez</t>
  </si>
  <si>
    <t xml:space="preserve"> Celedonia Isabel Chan Batz De Iscaya</t>
  </si>
  <si>
    <t xml:space="preserve"> Enmanuel Antonio Ochoa Hernandez</t>
  </si>
  <si>
    <t xml:space="preserve"> Estephanie Michelle Mendez Cano De Rivera</t>
  </si>
  <si>
    <t xml:space="preserve"> Giovanni Noel Valdez Rodriguez</t>
  </si>
  <si>
    <t xml:space="preserve"> Gloria Estefanilla Espinoza Garcia</t>
  </si>
  <si>
    <t xml:space="preserve"> Laura Ninoshka Mogollon Galvez De Ortiz</t>
  </si>
  <si>
    <t xml:space="preserve"> Ludbind Alexander Noriega Chavez</t>
  </si>
  <si>
    <t xml:space="preserve"> Rony Armando Choche Perez</t>
  </si>
  <si>
    <t xml:space="preserve"> Sarah Noemy Sandoval Poggio</t>
  </si>
  <si>
    <t xml:space="preserve"> Victoria Aracely Gomez Ochoa</t>
  </si>
  <si>
    <t xml:space="preserve">Angel Israel Perez Perez </t>
  </si>
  <si>
    <t>Argentina Frisdy Juarez Lopez</t>
  </si>
  <si>
    <t>Billy Giovanny Avalos Castillo</t>
  </si>
  <si>
    <t>Edgar Estuardo Moran Lopez</t>
  </si>
  <si>
    <t>Elida Bertilia Donis Aguilar</t>
  </si>
  <si>
    <t>Evelyn Karina Lorenzana Gomez</t>
  </si>
  <si>
    <t>Francisco Roberto Contreras Bernardino</t>
  </si>
  <si>
    <t>Geydi Yanira Roque Esquivel</t>
  </si>
  <si>
    <t>Greyci Yulissa Aliñado Rodriguez</t>
  </si>
  <si>
    <t>Heber Adiel Dardon Batres</t>
  </si>
  <si>
    <t xml:space="preserve">Jose Manuel Molina Gaitan </t>
  </si>
  <si>
    <t xml:space="preserve">Josue Omar Rosas Vasquez </t>
  </si>
  <si>
    <t>Juan Antonio Juarez Recinos</t>
  </si>
  <si>
    <t>Juan Humberto Castillo Garcia</t>
  </si>
  <si>
    <t>Maria Fernanda Palencia Campo</t>
  </si>
  <si>
    <t>Maria Fernandez Perez Rangel</t>
  </si>
  <si>
    <t>Mario Rene Garcia Paredes</t>
  </si>
  <si>
    <t>Melani Andrea Salcedo Acevedo</t>
  </si>
  <si>
    <t>Nancy Johana Flores Barrera</t>
  </si>
  <si>
    <t>Rainer Daniel Melgar Chajon</t>
  </si>
  <si>
    <t>Walter Josue Ampudia Martinez</t>
  </si>
  <si>
    <t xml:space="preserve">Yeni Amarilis Ruano </t>
  </si>
  <si>
    <t>Camelia Bocel Tun</t>
  </si>
  <si>
    <t>Donald Jacshon Abac Velasquez</t>
  </si>
  <si>
    <t>Jose Armando Valdez Juarez</t>
  </si>
  <si>
    <t>Jose Gabriel Armas Sandoval</t>
  </si>
  <si>
    <t xml:space="preserve">Edy Alexander Gonzalez Ramos </t>
  </si>
  <si>
    <t xml:space="preserve">Etson Samuel Villatoro Saballos </t>
  </si>
  <si>
    <t>Horacio Rafael Molina Avila</t>
  </si>
  <si>
    <t xml:space="preserve">Keitlin Anahi Martinez Castillo </t>
  </si>
  <si>
    <t xml:space="preserve">Milthon Yobany Castillo Martinez </t>
  </si>
  <si>
    <t xml:space="preserve">Milvia Fabiola Velasquez </t>
  </si>
  <si>
    <t>Eneas Valdez Colop</t>
  </si>
  <si>
    <t>Teylor Cuyuch</t>
  </si>
  <si>
    <t>Jose Carlos Morales</t>
  </si>
  <si>
    <t>Maria Alejandra Mazariegos</t>
  </si>
  <si>
    <t>Maryury De Los Angeles Garcia Romero</t>
  </si>
  <si>
    <t>Etson Eduardo Hernandez Campos</t>
  </si>
  <si>
    <t>Flora Anabella Yaxcal Fernandez</t>
  </si>
  <si>
    <t xml:space="preserve">Jaqueline Paola Santizo Roman </t>
  </si>
  <si>
    <t>Mijail Erick Joaquin Morales Ortiz</t>
  </si>
  <si>
    <t>Brenda Lucrecia Velasquez Cifuentes</t>
  </si>
  <si>
    <t>Emmanuel Gonzalez</t>
  </si>
  <si>
    <t>UN</t>
  </si>
  <si>
    <t>CLAUDIA ELIZABETH CARRERA MARROQUIN</t>
  </si>
  <si>
    <t>SINDY AMARILIS SANCHEZ MONTERROSO</t>
  </si>
  <si>
    <t>JAIME RENE JUAREZ SANCHEZ</t>
  </si>
  <si>
    <t>KEILA PAOLA CALDERON LOPEZ</t>
  </si>
  <si>
    <t>HECTOR LEONEL MEJICANOS CRUZ</t>
  </si>
  <si>
    <t>YEFRI ESTUARDO LOPEZ VELASQUEZ</t>
  </si>
  <si>
    <t>MARIA DE LOS ANGELES MURALLES MURALLES</t>
  </si>
  <si>
    <t>SAYDA ROCIO JUAREZ SANJAY</t>
  </si>
  <si>
    <t>RANDALL  AREVALO RUIZ</t>
  </si>
  <si>
    <t>Jose David Jimenez Valle</t>
  </si>
  <si>
    <t>YENIFFER GUADALUPE CHIQUIN CARBONELL</t>
  </si>
  <si>
    <t>JOSE LEON CHOGUAJ TOJIN</t>
  </si>
  <si>
    <t>KELVYN AMERICO SOSA OCHOA</t>
  </si>
  <si>
    <t>barbara asibinac</t>
  </si>
  <si>
    <t>Ana Victoria Noj Galindo</t>
  </si>
  <si>
    <t>Douglas Armando Flores Mendoza</t>
  </si>
  <si>
    <t>Reina Elizabeth Chacon Vasquez</t>
  </si>
  <si>
    <t>Edgar Jhonatan Contreras Garcia</t>
  </si>
  <si>
    <t>Marlen Erendida Rivas Gonzalez</t>
  </si>
  <si>
    <t>jefferson jose antonio interano solis</t>
  </si>
  <si>
    <t>HERLY SARAI GONZALEZ VELASQUEZ</t>
  </si>
  <si>
    <t>JACQUELINE ESTER PATZAN TZUNUN</t>
  </si>
  <si>
    <t>CHRISTIN ANDREA CASTILLO CALDERON</t>
  </si>
  <si>
    <t>JOSE DAVID BAMACA</t>
  </si>
  <si>
    <t>JACKELINE SUSANA HERRARTE BOCHE</t>
  </si>
  <si>
    <t xml:space="preserve">ADY MICHELLE LOPEZ QUEL </t>
  </si>
  <si>
    <t>EDUARDO ISAIAS HERNANDEZ AMBROCIO</t>
  </si>
  <si>
    <t>DEYVID SAUL OSORIO COLIN</t>
  </si>
  <si>
    <t xml:space="preserve">BRYAN ALEXANDER LAINES MARROQUIN </t>
  </si>
  <si>
    <t>ERICK JOSUE PINEDA CACEROS</t>
  </si>
  <si>
    <t>JOSE MANUEL MELLADO ESQUIBEL</t>
  </si>
  <si>
    <t xml:space="preserve">JENNIFER YESSENIA PEREZ MORALES </t>
  </si>
  <si>
    <t>Cesar David Perez Garrido</t>
  </si>
  <si>
    <t xml:space="preserve">Karen Dayana Xiquin Sanchez </t>
  </si>
  <si>
    <t xml:space="preserve"> MANUEL ADAN SURUY JIMENEZ</t>
  </si>
  <si>
    <t xml:space="preserve">JORGE MARIO SIC </t>
  </si>
  <si>
    <t>WENDY DANIELA CAMEY MATEO</t>
  </si>
  <si>
    <t>Jonatan Mauricio Padilla Marroquin</t>
  </si>
  <si>
    <t>Gualfer Orlando Dieguez Ibanez</t>
  </si>
  <si>
    <t>Edwin Wilfredo Pineda Giron</t>
  </si>
  <si>
    <t>Edgar Omar de Jesus Andrade Monterroso</t>
  </si>
  <si>
    <t>FRANCISCO DANIEL ARGUETA RAMIREZ</t>
  </si>
  <si>
    <t>LEYCER ULICES CANA ANDRADE</t>
  </si>
  <si>
    <t>Maria de Lourdes Leb Nij</t>
  </si>
  <si>
    <t>ROSA ANGELICA ZURDO GONZALEZ</t>
  </si>
  <si>
    <t>LUCIO MOISES CHAVEZ CHAVEZ</t>
  </si>
  <si>
    <t>ASTRID SUCELY VELIZ CAAL</t>
  </si>
  <si>
    <t>ROGELIO ARMANDO ACEITUNO HERRERA</t>
  </si>
  <si>
    <t>Jennifer Celeste Delgado Garcia</t>
  </si>
  <si>
    <t>MARIA DEL ROSARIO ESPINOZA CRUZ</t>
  </si>
  <si>
    <t>Kevin Steve Barrera Galicia</t>
  </si>
  <si>
    <t>DULCE MARINA LOPEZ SOLIS</t>
  </si>
  <si>
    <t>KARLA ALEJANDRA CHAVEZ PEÑA</t>
  </si>
  <si>
    <t>ANGELA XIOMARA PONCIANO GONZALEZ</t>
  </si>
  <si>
    <t>URIAS VENANCIO LOPEZ COTON</t>
  </si>
  <si>
    <t>ENRIQUE ALFONSO LOPEZ RAMREZ</t>
  </si>
  <si>
    <t>Yenica Limni López Sebastian</t>
  </si>
  <si>
    <t>RUTH ANAI GOMEZ RAMIREZ</t>
  </si>
  <si>
    <t>ALLAN ESMAYLIN CABRERA PEREZ</t>
  </si>
  <si>
    <t>WALTER EDUARDO RODAS RIOS</t>
  </si>
  <si>
    <t>KEVIN MAUEL PEREZ OROZCO</t>
  </si>
  <si>
    <t>LUIS FERNANDO LOPEZ VASQUEZ</t>
  </si>
  <si>
    <t>MIGUEL ANGEL MENDEZ JUAREZ</t>
  </si>
  <si>
    <t>CARLOS ENRIQUE SOSA HERNANDEZ</t>
  </si>
  <si>
    <t>LISBETH VICTORIA GARCIA</t>
  </si>
  <si>
    <t>Katerin Mishel Acosta Lobos</t>
  </si>
  <si>
    <t>Carmen Fernanda Ramos Jimenez</t>
  </si>
  <si>
    <t>Lesly Alejandra Urbina Chojolan</t>
  </si>
  <si>
    <t>KARLA ROSARIO MARTINEZ SOTO</t>
  </si>
  <si>
    <t>WILMER GUILLERMO PEREZ CHAY</t>
  </si>
  <si>
    <t>ANDERSON NOE MORALES MARROQUIN</t>
  </si>
  <si>
    <t>OBED DANIEL RAMIREZ FUENTES</t>
  </si>
  <si>
    <t>Lorenzo Antonio Herrera Tobar</t>
  </si>
  <si>
    <t>Melane Alejandra Contreras Sicajan</t>
  </si>
  <si>
    <t>Daniel Uvaldo Barreno Meneses</t>
  </si>
  <si>
    <t>Lusvin Ariel Villacinda Flores</t>
  </si>
  <si>
    <t>N/A</t>
  </si>
  <si>
    <t>MARIO EMANUEL DE JESUS MENDOZA</t>
  </si>
  <si>
    <t>MONICA ILDUARA LIMA</t>
  </si>
  <si>
    <t>PERLA ESPERANZA ORDONEZ ZULETA</t>
  </si>
  <si>
    <t>MONICA CAROLINA LIMA CIFUENTES</t>
  </si>
  <si>
    <t>ANGEL JOEL CASTRO COSAJAY</t>
  </si>
  <si>
    <t>SANDRA MARIELA LÓPEZ MARROQUÍN</t>
  </si>
  <si>
    <t xml:space="preserve">HELEN YADIRA DE LEON QUIÑONEZ </t>
  </si>
  <si>
    <t>MANUEL MEJIA AYERDI</t>
  </si>
  <si>
    <t>Williams Jose Galvez Jordan</t>
  </si>
  <si>
    <t>DINA ELIZABETH GARRIDO ALVAREZ</t>
  </si>
  <si>
    <t>Marilin Yasmin Godoy Morataya</t>
  </si>
  <si>
    <t>JASON ALBERTO BOLAÑOS GUTIERREZ</t>
  </si>
  <si>
    <t>MIRELLI RAMIREZ GARCIA</t>
  </si>
  <si>
    <t>DIEGO ALEJANDRO DONIS JUAREZ</t>
  </si>
  <si>
    <t>ERLIN ROBERTO XEC ANGULO</t>
  </si>
  <si>
    <t xml:space="preserve">ADOLFO RAFAEL SEGOVIA QUEZADA </t>
  </si>
  <si>
    <t>HELEN JASSMIN REYES PALACIOS</t>
  </si>
  <si>
    <t>Laura Angelica Lux Tzunun</t>
  </si>
  <si>
    <t>SORAYDA BETZAI CHAVEZ</t>
  </si>
  <si>
    <t xml:space="preserve">ERICKA SANDOVAL </t>
  </si>
  <si>
    <t>PAULY MARTINA TOJ</t>
  </si>
  <si>
    <t>GERBER ALEXANDER SAGUACHE BENITO</t>
  </si>
  <si>
    <t>SHIRLEY DAYANA RAMIREZ GALLARDO</t>
  </si>
  <si>
    <t>ASHLY ANABELLA RAYMUNDO GONZALEZ</t>
  </si>
  <si>
    <t>JULISSA CRISTIANY ESCOBAR ACEITUNO</t>
  </si>
  <si>
    <t>ANA LUISA JIMENEZ CORADO</t>
  </si>
  <si>
    <t>TERESA CAROLINA PRIMERO JALAL</t>
  </si>
  <si>
    <t>MARIA ANGELICA TRUJILLO CORONADO DE ANDRADE</t>
  </si>
  <si>
    <t>JOSTHYN RAUL PARDO OBREGON</t>
  </si>
  <si>
    <t>LESBIA ROXANA ROJAS CASTRO</t>
  </si>
  <si>
    <t>Alba Andrea Perez Hernandez</t>
  </si>
  <si>
    <t xml:space="preserve">
Brandon Steve Juarez Arrazola </t>
  </si>
  <si>
    <t>ANA LETICIA PAAU OXOM</t>
  </si>
  <si>
    <t>PEDRO ELIAS POP CAAL</t>
  </si>
  <si>
    <t>Laura Yessenia Trabanino Interiano</t>
  </si>
  <si>
    <t>MARIA DOLORES VICTORIA TZOC BEB</t>
  </si>
  <si>
    <t>WENDY MISHEL CONTRERAS MARTINEZ</t>
  </si>
  <si>
    <t>CAREN ANTONIA SOTO JIMENEZ</t>
  </si>
  <si>
    <t>HENRY DAVID CORONADO GOMEZ</t>
  </si>
  <si>
    <t>SENDER YANEZ</t>
  </si>
  <si>
    <t>MARLON SAUL CAAL GIRON</t>
  </si>
  <si>
    <t>JUAN CARLOS EMANUEL CRUZ CO</t>
  </si>
  <si>
    <t>FEDERICO ANTONIO COC CHOC</t>
  </si>
  <si>
    <t>MIGUEL EUDILIO SABAN LOPEZ</t>
  </si>
  <si>
    <t>EUFEMIA MAZARIEGOS SANCHEZ</t>
  </si>
  <si>
    <t>RODOLFO ANTONIO CHIQUIN REYES</t>
  </si>
  <si>
    <t>RANDY ALEXIS TUT CUNIL</t>
  </si>
  <si>
    <t>Candy Mayerli Salazar Rodriguez</t>
  </si>
  <si>
    <t>Gewerson Josias Caal Coc</t>
  </si>
  <si>
    <t>Claudia Liliana Munoz Jimenez</t>
  </si>
  <si>
    <t>JOSUE FELIPE LOPEZ TOJIN</t>
  </si>
  <si>
    <t>LOURDES MAYARI RAMIREZ RAMIREZ</t>
  </si>
  <si>
    <t>VIVIAN RODRIGUEZ</t>
  </si>
  <si>
    <t>Yosselin Baleska Garcia Valdez</t>
  </si>
  <si>
    <t xml:space="preserve">KARLA LISBETT REYES PEREZ </t>
  </si>
  <si>
    <t>GONZALO PEREZ MIGUEL</t>
  </si>
  <si>
    <t xml:space="preserve">JACKELINE NAYELI MIGUEL DIAZ </t>
  </si>
  <si>
    <t>YENIFER DEL CARMEN PEREZ ALDANA</t>
  </si>
  <si>
    <t>HEILYN EUNICE RAMIREZ FLORIAN</t>
  </si>
  <si>
    <t>ANGELICA ISABELVELASQUEZ QUINTANILLA</t>
  </si>
  <si>
    <t>JASON RODOLFO JUAREZ BARRERA</t>
  </si>
  <si>
    <t>AURA CECILIA GREGORIO ASENCIO</t>
  </si>
  <si>
    <t xml:space="preserve">DANIEL HUMBERTO MORALES CERVANTES </t>
  </si>
  <si>
    <t>VICTOR MANUEL DE LA CRUZ XITUMUL</t>
  </si>
  <si>
    <t xml:space="preserve">MARVELI BEBERLIN LOPEZ PEREZ </t>
  </si>
  <si>
    <t>VIDALIA VANESSA MORALES PLEITEZ</t>
  </si>
  <si>
    <t>MAGDA MO</t>
  </si>
  <si>
    <t>YOSELIN PAOLA CASTILLO GUE</t>
  </si>
  <si>
    <t>ELIAS ISAAC GUEVARA HERNANDEZ</t>
  </si>
  <si>
    <t xml:space="preserve">KAROL MELINA MONTERROSO MARTIN </t>
  </si>
  <si>
    <t>LESTER MAURICIO PEREZ MARTINEZ</t>
  </si>
  <si>
    <t>CLAUDIA ROXANA BEB AC</t>
  </si>
  <si>
    <t>ALIDA ELIZABETH CAJ AMALEM</t>
  </si>
  <si>
    <t>SILVIA ARACELY TZIU POP</t>
  </si>
  <si>
    <t>Daniel Alberto Alaya Guzman</t>
  </si>
  <si>
    <t>Andrea Georgina Orellana Oliva</t>
  </si>
  <si>
    <t xml:space="preserve">IRMA MICHEL TOBAR NAJARRO </t>
  </si>
  <si>
    <t xml:space="preserve">EDVIN ESTUARDO REVOLORIO MARROQUIN </t>
  </si>
  <si>
    <t>BENITO ABAD JIMENEZ CARRILLO</t>
  </si>
  <si>
    <t>KATHERINE MARIA JOSE ECHEVERRIA ERAZO</t>
  </si>
  <si>
    <t>ABNER ELIAS PEC ICAL</t>
  </si>
  <si>
    <t>BRENDA YESENIA MONROY AMADO</t>
  </si>
  <si>
    <t>GABRIELA FERNANDA RUIZ CERVANTES</t>
  </si>
  <si>
    <t>JAZMIN ESTEFANIE RIOS FLORES</t>
  </si>
  <si>
    <t>SINDY GABRIELA RIVAS OCHOA</t>
  </si>
  <si>
    <t xml:space="preserve">INGRID JENIFER RECINOS RAMIREZ </t>
  </si>
  <si>
    <t>ONEIDA MARISELA REYES CUC</t>
  </si>
  <si>
    <t>ROBIN DANIEL NIMACACHI TERET</t>
  </si>
  <si>
    <t>JOSE LEONEL ABAC ORELLANA</t>
  </si>
  <si>
    <t>Dulce Flor Jor Rax</t>
  </si>
  <si>
    <t>ANGEL ALFONSO PEREZ VELASQUEZ</t>
  </si>
  <si>
    <t xml:space="preserve">JONATAN MAREL GUERRA GUERRA </t>
  </si>
  <si>
    <t xml:space="preserve">DENIS RAFAEL TUT CUCUL </t>
  </si>
  <si>
    <t xml:space="preserve">FRANCISCO MIGUEL JORDAN LOPEZ </t>
  </si>
  <si>
    <t>Merlin Areli Gomez Sagastume</t>
  </si>
  <si>
    <t xml:space="preserve">LEIDY NATALIA HERNANDEZ LOPEZ </t>
  </si>
  <si>
    <t>MIGDAEL JOSUE LOPEZ PINTO</t>
  </si>
  <si>
    <t>Cinthia Andreina Valenzuela Lima</t>
  </si>
  <si>
    <t>MAYLIN GUERRA</t>
  </si>
  <si>
    <t>LESTER ALAIN ALVARADO MORALES</t>
  </si>
  <si>
    <t>MARLENE RUBY SIERRA GONZALEZ</t>
  </si>
  <si>
    <t>Vivian Vanessa Sintuj Giron</t>
  </si>
  <si>
    <t>Marilyn Anayanci Gonzalez James</t>
  </si>
  <si>
    <t>Estefany Melissa Gutierrez Franco</t>
  </si>
  <si>
    <t>MARILYN AMELY CU QUIB</t>
  </si>
  <si>
    <t>VANESSA MARIA LILI MIGUEL INTERIANO</t>
  </si>
  <si>
    <t>MARIA DEL CARMEN ICAL PUTUL</t>
  </si>
  <si>
    <t>OSVIN ARIEL RAMRIREZ COY</t>
  </si>
  <si>
    <t>DAILY TATIANA GODOY AGUILAR</t>
  </si>
  <si>
    <t>MORELIA ESPERANZA PAAU MELENDEZ</t>
  </si>
  <si>
    <t>SANDRA MARISOL CASTRO ORTIZ</t>
  </si>
  <si>
    <t>ZONIA ESPERANZA CHOC REYES</t>
  </si>
  <si>
    <t>JOSELYN FABIOLA LUCERO VANEGAS</t>
  </si>
  <si>
    <t xml:space="preserve">JORGE DANIEL NERIO REYES </t>
  </si>
  <si>
    <t>ANDREA CAMILA MAYORGA MARTINEZ</t>
  </si>
  <si>
    <t>PAOLA NOELI AX CU</t>
  </si>
  <si>
    <t>ROSA EMILSI TEO SALAZAR</t>
  </si>
  <si>
    <t xml:space="preserve">MONICA LAJ DE LA CRUZ </t>
  </si>
  <si>
    <t>LIBNI MADAI LOPEZ GOMEZ</t>
  </si>
  <si>
    <t>Emely Raquel Reyes Bremer</t>
  </si>
  <si>
    <t>ERICKA CAROLINA DIAZ HERNANDEZ</t>
  </si>
  <si>
    <t xml:space="preserve">DEILY NOELI RAMIREZ VILLELA </t>
  </si>
  <si>
    <t>BRYAN SLEYTER COY TERCERO</t>
  </si>
  <si>
    <t>MIGUEL RODRIGO GONZALEZ RAMIREZ</t>
  </si>
  <si>
    <t>Erlin Roberto Xec Angulo</t>
  </si>
  <si>
    <t>VALERIA LUCIA ESCOBAR MAZARIEGOS</t>
  </si>
  <si>
    <t>MIRELLI RAMIREZ</t>
  </si>
  <si>
    <t>LUIS CARLOS ROBERTO MORALES LOPEZ</t>
  </si>
  <si>
    <t>WILLIAMS JOSE GALVEZ JORDAN</t>
  </si>
  <si>
    <t>NICOLAS CHUC GARCIA</t>
  </si>
  <si>
    <t xml:space="preserve">LESLY JULISA CORDON MUJO </t>
  </si>
  <si>
    <t xml:space="preserve">ANGEL JOEL CASTRO COSAJAY </t>
  </si>
  <si>
    <t>RUBEN ESTUARDO DONIS CHACON</t>
  </si>
  <si>
    <t>PERLA ESPERANZA ORDOÑEZ ZULETA</t>
  </si>
  <si>
    <t>Stacy Guadalupe Ramirez Mendoza</t>
  </si>
  <si>
    <t>MIRZA KARINA PALMA MARROQUIN</t>
  </si>
  <si>
    <t>YOSELIN YESENIA PEREZ JIMENEZ</t>
  </si>
  <si>
    <t xml:space="preserve">ERICKA ESPERANZA SANDOVAL HERNANDEZ </t>
  </si>
  <si>
    <t>ADOLFO RAFAEL SEGOVIA QUEZADA</t>
  </si>
  <si>
    <t xml:space="preserve">MÓNICA CAROLINA LIMA CIFUENTES </t>
  </si>
  <si>
    <t>GABBY MARIETT PAMELA BAUTISTA BAUTISTA</t>
  </si>
  <si>
    <t xml:space="preserve">VICTOR HUGO FUENTES ORTIZ </t>
  </si>
  <si>
    <t>CRISTOPHER JOSUE CHANQUI FLORES</t>
  </si>
  <si>
    <t>PABLO JAVIER REINOSA FUENTES</t>
  </si>
  <si>
    <t>Diana Ivon Aguilar Gonzalez</t>
  </si>
  <si>
    <t>ELISEO CARRILLO MACARIO</t>
  </si>
  <si>
    <t>ASHLEY MELISSA MEDINA RODRIGUEZ</t>
  </si>
  <si>
    <t>FERNANDO RENE GIL DE LEON</t>
  </si>
  <si>
    <t>HUGO EZEQUIEL GUEVARA GÓMEZ</t>
  </si>
  <si>
    <t xml:space="preserve">CINDY MAYROBY OSCAL QUIÑONEZ </t>
  </si>
  <si>
    <t>JEISSY DARIELA CASTELLANOS HERNANDEZ</t>
  </si>
  <si>
    <t>JONATHAN FERNANDO GOMEZ VILLATORO</t>
  </si>
  <si>
    <t>XAVIER ALEJANDRO RAMIREZ DIAZ</t>
  </si>
  <si>
    <t>MARIA VICTORIA MONTENEGRO SARPEC</t>
  </si>
  <si>
    <t>MAURICIO LEON RUANO</t>
  </si>
  <si>
    <t>Antony Steven Cabrera Muñoz</t>
  </si>
  <si>
    <t>Josue Antonio Avila Cuxe</t>
  </si>
  <si>
    <t xml:space="preserve">ALICIA MICHELLE ESTRADA REVOLORIO </t>
  </si>
  <si>
    <t>DULCE MISHELL ALVARADO TOVAR</t>
  </si>
  <si>
    <t>JENNIE JULIECITA GONZALEZ SANCHEZ</t>
  </si>
  <si>
    <t>Walter Alberto Gomez Ojot</t>
  </si>
  <si>
    <t xml:space="preserve">JOSELIN GABRIELA VASQUEZ VIVAS </t>
  </si>
  <si>
    <t>JOSE FERNANDO HERNANDEZ ELIAS</t>
  </si>
  <si>
    <t>NORMAN ALEXANDER CHINCHILLA OLMEDO</t>
  </si>
  <si>
    <t>KATHERYN ELIZABETH BLANCO ECHEVERRIA</t>
  </si>
  <si>
    <t>SANDRA MARICELA HERNANDEZ AVAL</t>
  </si>
  <si>
    <t>AXEL JONATHAN CASH MENDEZ</t>
  </si>
  <si>
    <t>MARVIN ROLANDO FUENTES AGUILAR</t>
  </si>
  <si>
    <t>Doris Yanali Cancinos Mejia</t>
  </si>
  <si>
    <t>ALEXIS FRANCISCO MARTINEZ QUEME</t>
  </si>
  <si>
    <t>DAILY YAMILETH DEL CID VASQUEZ</t>
  </si>
  <si>
    <t>WENDY ARACELY MARROQUIN ARIAS</t>
  </si>
  <si>
    <t>KAREN JAZMIN RUBIO GALVEZ</t>
  </si>
  <si>
    <t>SINTHIA SARAI ACEITUNO GUERRERO</t>
  </si>
  <si>
    <t>EVELYN PAOLA ESTEBAN BENITO</t>
  </si>
  <si>
    <t>AMANDA MAGALY MORALES PEREZ</t>
  </si>
  <si>
    <t>YURI ELIZABETH GONON PRETZANZIN</t>
  </si>
  <si>
    <t xml:space="preserve">DALIA RACHEL FIGUEROA ELIAS </t>
  </si>
  <si>
    <t>KAREN CELESTE SILVA SALOMON</t>
  </si>
  <si>
    <t>Rivaldo Tucubal Benites</t>
  </si>
  <si>
    <t>ANALLELY ALEXANDRA CAMPOS HERNANDEZ</t>
  </si>
  <si>
    <t>JOSEFA PACAY RAMIREZ</t>
  </si>
  <si>
    <t>Edson Fernando Segura Chocop</t>
  </si>
  <si>
    <t>JOSE RAFAEL GARCIA RAMIREZ</t>
  </si>
  <si>
    <t>MIRZA ROCIO GALICIA CASIMIRO</t>
  </si>
  <si>
    <t>ANGEL JOSE FIGUEROA GARCIA</t>
  </si>
  <si>
    <t>PAOLA ALEJANDRA MONZON PANIAGUA</t>
  </si>
  <si>
    <t>ILSY PAULINA CALDERON MAZARIEGOS</t>
  </si>
  <si>
    <t>HECTOR ENRIQUE LAVARREDA VASQUEZ</t>
  </si>
  <si>
    <t xml:space="preserve">CARLOS ANTONIO JUL COC </t>
  </si>
  <si>
    <t>NESTOR RENE SAGASTUME RODAS</t>
  </si>
  <si>
    <t>ERICKA NOEMI MAZARIEGOS PINEDA</t>
  </si>
  <si>
    <t>ALEXIS ELIAZAR LUIS LOPEZ</t>
  </si>
  <si>
    <t>Astrid Michelle Regil Peralta</t>
  </si>
  <si>
    <t>ELDER FRANCISCO JIMENEZ MITA</t>
  </si>
  <si>
    <t>MYNOR ADELSO AJBAC TOÑO</t>
  </si>
  <si>
    <t>Kimberly Isabel Mazariegos González</t>
  </si>
  <si>
    <t>Ashlin Alejandra de Leon Calderon</t>
  </si>
  <si>
    <t>KIMBERLY ISABEL MAZARIEGOS GONZALEZ</t>
  </si>
  <si>
    <t xml:space="preserve">OFNY JOSELITO FUENTES </t>
  </si>
  <si>
    <t>Edgar Francisco Garcia</t>
  </si>
  <si>
    <t>MARICRUZ MENDEZ LOPEZ</t>
  </si>
  <si>
    <t>GEREMY ARMANDO HERNANDEZ CAMACHO</t>
  </si>
  <si>
    <t>Angela Josefina Ramírez Chang</t>
  </si>
  <si>
    <t>Kevin Antonio Orozco Ramírez</t>
  </si>
  <si>
    <t>MEGLY KARINA LOPEZ DE LEON</t>
  </si>
  <si>
    <t>SANDRA PATRICIA DE LEON ALVARADO</t>
  </si>
  <si>
    <t>CARLOS MANUEL AMARRA MATEO</t>
  </si>
  <si>
    <t>Edison Alexis Manuel Fuentes Alonzo</t>
  </si>
  <si>
    <t xml:space="preserve">EDYN IVAN MARTINEZ LOPEZ </t>
  </si>
  <si>
    <t>HENRY ANTONIO TOMAS MIRANDA</t>
  </si>
  <si>
    <t>MAYBELI MARILI ORDONEZ</t>
  </si>
  <si>
    <t>GLADYS VICENTE TIZOL</t>
  </si>
  <si>
    <t xml:space="preserve">EDNA GABRIELA RAMIREZ </t>
  </si>
  <si>
    <t>HENRY WILFREDO IXCAQUIC XUM</t>
  </si>
  <si>
    <t>NESTOR XILOJ</t>
  </si>
  <si>
    <t>ANDERSON JOSUE OXLAJ BAMACA</t>
  </si>
  <si>
    <t>SHAROL OSLEYDY DHARARA PATZAN YOS</t>
  </si>
  <si>
    <t>Kevin Geovani Coyoy López</t>
  </si>
  <si>
    <t>ELISEO GUZMAN</t>
  </si>
  <si>
    <t>LUIS EDUARDO CARRANZA GUZMAN</t>
  </si>
  <si>
    <t xml:space="preserve">Mario Roberto Yoc de Leon </t>
  </si>
  <si>
    <t>Patricia Florinda Garcia Gutierrez</t>
  </si>
  <si>
    <t>JUANA CANDELARIA LORENZO MATEO</t>
  </si>
  <si>
    <t>FRANDI MAZARIEGOS</t>
  </si>
  <si>
    <t>AMALLY SAMANTHA VEGA OROZCO</t>
  </si>
  <si>
    <t>KARLA DANIELA VIELMAN GIRON</t>
  </si>
  <si>
    <t>KAREN JASMIN PEREZ CORONADO</t>
  </si>
  <si>
    <t>FRANCIS JOSUE TOMAS ESCALANTE</t>
  </si>
  <si>
    <t xml:space="preserve">ALEXANDRA JENNYFER MATIAS GALINDO </t>
  </si>
  <si>
    <t>CRISTIAN ANDRE GONZALEZ FUENTES</t>
  </si>
  <si>
    <t>ERICK JACOB ESTRADA BARRIOS</t>
  </si>
  <si>
    <t>Erickson Eliezer Matzar Cululen</t>
  </si>
  <si>
    <t>EDY DIONISIO FUENTES MARTINEZ</t>
  </si>
  <si>
    <t>CESIA IXTETELA YATAZ</t>
  </si>
  <si>
    <t>Brayan Odwaldo Escobar Rodriguez</t>
  </si>
  <si>
    <t>MARIA EULISSA ADAMARY XUTUC VILLATORO</t>
  </si>
  <si>
    <t>EMERSON ENRIQUE VASQUEZ GARCIA</t>
  </si>
  <si>
    <t>SILVIA PATRICIA MENDOZA GOMEZ</t>
  </si>
  <si>
    <t>Diana Francisca Matias Rivas</t>
  </si>
  <si>
    <t>LINDA LLUSELY SARAT CORDOVA</t>
  </si>
  <si>
    <t>SEPHORA ABIGAIL SANCHEZ HERDOCIA</t>
  </si>
  <si>
    <t>REINA NOHEMI PASCUAL</t>
  </si>
  <si>
    <t>Lourdes de Jesus Ramirez Merida</t>
  </si>
  <si>
    <t>AXEL YONELDIS GASPAR JUAREZ</t>
  </si>
  <si>
    <t>GERBER ELIAS VASQUEZ MEZA</t>
  </si>
  <si>
    <t>FRAYAN ROBERTO MERIDA ESCOBEDO</t>
  </si>
  <si>
    <t>JORGE MARIO CASTAÑEDA RAMOS</t>
  </si>
  <si>
    <t xml:space="preserve">Reyna Isabel Martinez Gonzalez </t>
  </si>
  <si>
    <t xml:space="preserve">Juan Jose Zelada Vega </t>
  </si>
  <si>
    <t>GRISELDA LORENA CARDONA ESTRADA</t>
  </si>
  <si>
    <t>ERNESTO DAVID DOMINGUEZ CLEMENTE</t>
  </si>
  <si>
    <t>LUISA FERNANDA PANIAGUA JACOBO</t>
  </si>
  <si>
    <t>SANDRA PATRICIA IXTABALAN SANCHEZ </t>
  </si>
  <si>
    <t>JOSIAS ANTONIO CABRERA TIRADO</t>
  </si>
  <si>
    <t>Megly Karina Lopez de León</t>
  </si>
  <si>
    <t xml:space="preserve">MARVIN DANILO CASTILLO CASTILLO </t>
  </si>
  <si>
    <t>JHONATAN ISAMEL MERIDA CAXAJ</t>
  </si>
  <si>
    <t>Wilmer Ovando Mejia Godínez</t>
  </si>
  <si>
    <t>SILVIA MICHICOJ CHUN</t>
  </si>
  <si>
    <t>ANGELA YANETH CHILEL GONZALEZ</t>
  </si>
  <si>
    <t>Randy Antonio Lopez Huinac</t>
  </si>
  <si>
    <t xml:space="preserve">AURA MARIAN MEJIA REYES </t>
  </si>
  <si>
    <t>MANUELA LUCRECIA SALVADOR SICAL</t>
  </si>
  <si>
    <t>ANGEL DAVID BAMAC ORELLANA</t>
  </si>
  <si>
    <t>GERSON NOE MARTIN RAMIREZ</t>
  </si>
  <si>
    <t>ALMA DINORA MACARIO RIXTUN</t>
  </si>
  <si>
    <t xml:space="preserve">FRANCISCA CARINA SANCHEZ MACHIC </t>
  </si>
  <si>
    <t>Cristopher Gabriel Paxtor Barrios</t>
  </si>
  <si>
    <t>LEIDY LORENA GUOX AJANEL</t>
  </si>
  <si>
    <t>CLAUDIA ANGELICA PACHECO OSORIO</t>
  </si>
  <si>
    <t>Brandon Alexander Velasquez Acabal</t>
  </si>
  <si>
    <t>ILDER DENILSON GALICIA TOBAR</t>
  </si>
  <si>
    <t xml:space="preserve">SARAI ALEXANDRA LOPEZ DE LEON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</si>
</sst>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yy;@"/>
    <numFmt numFmtId="165" formatCode="_-&quot;Q&quot;* #,##0.00_-;\-&quot;Q&quot;* #,##0.00_-;_-&quot;Q&quot;* &quot;-&quot;??_-;_-@_-"/>
    <numFmt numFmtId="166" formatCode="_-&quot;Q&quot;* #,##0_-;\-&quot;Q&quot;* #,##0_-;_-&quot;Q&quot;* &quot;-&quot;??_-;_-@_-"/>
    <numFmt numFmtId="167" formatCode="&quot;Q&quot;#,##0"/>
    <numFmt numFmtId="168" formatCode="_(* #,##0_);_(* \(#,##0\);_(* &quot;-&quot;_);_(@_)"/>
    <numFmt numFmtId="169" formatCode="&quot;Q&quot;#,##0.0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Arial"/>
      <family val="2"/>
    </font>
    <font>
      <b/>
      <sz val="9"/>
      <color rgb="FF666366"/>
      <name val="Arial"/>
      <family val="2"/>
    </font>
    <font>
      <sz val="11"/>
      <color rgb="FF000000"/>
      <name val="Aptos"/>
      <family val="2"/>
    </font>
    <font>
      <sz val="11"/>
      <color rgb="FF000000"/>
      <name val="Aptos Narrow"/>
      <family val="2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3"/>
      <name val="Aptos Narrow"/>
      <family val="2"/>
      <scheme val="minor"/>
    </font>
    <font>
      <sz val="11"/>
      <color theme="1"/>
      <name val="Aptos"/>
      <family val="2"/>
    </font>
    <font>
      <sz val="12"/>
      <color rgb="FF000000"/>
      <name val="Calibri"/>
      <family val="2"/>
    </font>
    <font>
      <sz val="11"/>
      <color theme="1"/>
      <name val="Calibri"/>
      <family val="2"/>
      <charset val="1"/>
    </font>
    <font>
      <b/>
      <sz val="8"/>
      <color theme="0"/>
      <name val="Arial"/>
      <family val="2"/>
    </font>
    <font>
      <b/>
      <i/>
      <sz val="11"/>
      <color theme="1"/>
      <name val="Aptos Narrow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Times New Roman"/>
      <family val="1"/>
    </font>
    <font>
      <sz val="12"/>
      <color rgb="FF000000"/>
      <name val="Aptos Narrow"/>
      <family val="2"/>
      <scheme val="minor"/>
    </font>
    <font>
      <sz val="12"/>
      <color theme="1"/>
      <name val="Aptos"/>
      <family val="2"/>
    </font>
  </fonts>
  <fills count="21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BE2D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0" fontId="6" fillId="0" borderId="0">
      <alignment vertical="top"/>
    </xf>
    <xf numFmtId="0" fontId="1" fillId="0" borderId="0"/>
    <xf numFmtId="0" fontId="19" fillId="0" borderId="0" applyNumberFormat="0" applyFill="0" applyBorder="0" applyAlignment="0" applyProtection="0">
      <alignment vertical="top"/>
    </xf>
  </cellStyleXfs>
  <cellXfs count="12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65" fontId="2" fillId="6" borderId="0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7" borderId="0" xfId="0" applyFill="1" applyAlignment="1">
      <alignment horizontal="center" vertical="center"/>
    </xf>
    <xf numFmtId="166" fontId="0" fillId="8" borderId="0" xfId="1" applyNumberFormat="1" applyFont="1" applyFill="1" applyBorder="1" applyAlignment="1">
      <alignment horizontal="center" vertical="center"/>
    </xf>
    <xf numFmtId="167" fontId="0" fillId="0" borderId="0" xfId="0" applyNumberFormat="1"/>
    <xf numFmtId="0" fontId="0" fillId="9" borderId="0" xfId="0" applyFill="1" applyAlignment="1">
      <alignment horizontal="center"/>
    </xf>
    <xf numFmtId="0" fontId="6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67" fontId="0" fillId="0" borderId="0" xfId="0" applyNumberFormat="1" applyAlignment="1">
      <alignment horizontal="center"/>
    </xf>
    <xf numFmtId="0" fontId="6" fillId="11" borderId="0" xfId="0" applyFont="1" applyFill="1" applyAlignment="1">
      <alignment horizontal="center" vertical="center"/>
    </xf>
    <xf numFmtId="164" fontId="0" fillId="10" borderId="0" xfId="0" applyNumberFormat="1" applyFill="1" applyAlignment="1">
      <alignment horizontal="center"/>
    </xf>
    <xf numFmtId="0" fontId="0" fillId="0" borderId="0" xfId="0" applyAlignment="1" applyProtection="1">
      <alignment horizontal="center"/>
      <protection locked="0"/>
    </xf>
    <xf numFmtId="164" fontId="6" fillId="0" borderId="0" xfId="0" applyNumberFormat="1" applyFont="1" applyAlignment="1">
      <alignment horizontal="center"/>
    </xf>
    <xf numFmtId="0" fontId="0" fillId="0" borderId="0" xfId="0" applyAlignment="1">
      <alignment horizontal="left" indent="2"/>
    </xf>
    <xf numFmtId="0" fontId="0" fillId="0" borderId="0" xfId="0" quotePrefix="1" applyAlignment="1">
      <alignment horizontal="center" vertical="center"/>
    </xf>
    <xf numFmtId="164" fontId="0" fillId="10" borderId="0" xfId="0" applyNumberFormat="1" applyFill="1"/>
    <xf numFmtId="0" fontId="0" fillId="10" borderId="0" xfId="0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9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horizontal="left" vertical="center" indent="1"/>
    </xf>
    <xf numFmtId="0" fontId="6" fillId="13" borderId="0" xfId="0" applyFont="1" applyFill="1" applyAlignment="1">
      <alignment horizontal="center"/>
    </xf>
    <xf numFmtId="0" fontId="0" fillId="0" borderId="0" xfId="0" applyAlignment="1" applyProtection="1">
      <alignment horizontal="left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right"/>
      <protection locked="0"/>
    </xf>
    <xf numFmtId="14" fontId="6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10" fillId="0" borderId="0" xfId="0" applyFont="1" applyAlignment="1">
      <alignment horizontal="center"/>
    </xf>
    <xf numFmtId="167" fontId="10" fillId="0" borderId="0" xfId="0" applyNumberFormat="1" applyFont="1"/>
    <xf numFmtId="0" fontId="10" fillId="0" borderId="0" xfId="0" applyFont="1"/>
    <xf numFmtId="0" fontId="0" fillId="0" borderId="0" xfId="0" applyAlignment="1" applyProtection="1">
      <alignment horizontal="right" vertic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167" fontId="3" fillId="0" borderId="0" xfId="0" applyNumberFormat="1" applyFont="1"/>
    <xf numFmtId="0" fontId="3" fillId="0" borderId="0" xfId="0" applyFont="1"/>
    <xf numFmtId="0" fontId="11" fillId="0" borderId="0" xfId="0" applyFont="1" applyAlignment="1">
      <alignment horizontal="center" vertical="center"/>
    </xf>
    <xf numFmtId="164" fontId="0" fillId="9" borderId="0" xfId="0" applyNumberForma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166" fontId="12" fillId="8" borderId="0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1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9" fillId="0" borderId="0" xfId="0" applyFont="1" applyAlignment="1" applyProtection="1">
      <alignment horizontal="center"/>
      <protection locked="0"/>
    </xf>
    <xf numFmtId="164" fontId="11" fillId="0" borderId="0" xfId="0" applyNumberFormat="1" applyFont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0" fontId="1" fillId="0" borderId="0" xfId="1" applyNumberFormat="1" applyFont="1" applyFill="1" applyBorder="1" applyAlignment="1">
      <alignment horizontal="center" vertical="center"/>
    </xf>
    <xf numFmtId="165" fontId="1" fillId="0" borderId="0" xfId="1" applyFont="1" applyFill="1" applyBorder="1" applyAlignment="1">
      <alignment horizontal="center" vertical="center"/>
    </xf>
    <xf numFmtId="168" fontId="16" fillId="14" borderId="2" xfId="2" applyNumberFormat="1" applyFont="1" applyFill="1" applyBorder="1" applyAlignment="1">
      <alignment horizontal="center" vertical="center" wrapText="1"/>
    </xf>
    <xf numFmtId="0" fontId="17" fillId="15" borderId="1" xfId="0" quotePrefix="1" applyFont="1" applyFill="1" applyBorder="1" applyAlignment="1">
      <alignment horizontal="center" vertical="center" wrapText="1"/>
    </xf>
    <xf numFmtId="0" fontId="2" fillId="16" borderId="0" xfId="0" applyFont="1" applyFill="1" applyAlignment="1">
      <alignment horizontal="center" vertical="center" wrapText="1"/>
    </xf>
    <xf numFmtId="0" fontId="18" fillId="0" borderId="2" xfId="3" applyFont="1" applyBorder="1" applyAlignment="1">
      <alignment vertical="center" readingOrder="1"/>
    </xf>
    <xf numFmtId="0" fontId="18" fillId="0" borderId="2" xfId="4" applyFont="1" applyFill="1" applyBorder="1" applyAlignment="1">
      <alignment horizontal="left" vertical="center"/>
    </xf>
    <xf numFmtId="0" fontId="4" fillId="0" borderId="1" xfId="0" quotePrefix="1" applyFont="1" applyBorder="1" applyAlignment="1">
      <alignment horizontal="center"/>
    </xf>
    <xf numFmtId="169" fontId="0" fillId="0" borderId="0" xfId="0" applyNumberFormat="1"/>
    <xf numFmtId="0" fontId="0" fillId="17" borderId="0" xfId="0" applyFill="1"/>
    <xf numFmtId="0" fontId="18" fillId="18" borderId="2" xfId="3" applyFont="1" applyFill="1" applyBorder="1" applyAlignment="1">
      <alignment vertical="center" readingOrder="1"/>
    </xf>
    <xf numFmtId="0" fontId="18" fillId="0" borderId="3" xfId="3" applyFont="1" applyBorder="1" applyAlignment="1">
      <alignment vertical="center" readingOrder="1"/>
    </xf>
    <xf numFmtId="0" fontId="18" fillId="0" borderId="3" xfId="4" applyFont="1" applyFill="1" applyBorder="1" applyAlignment="1">
      <alignment horizontal="left" vertical="center"/>
    </xf>
    <xf numFmtId="14" fontId="0" fillId="0" borderId="0" xfId="0" applyNumberFormat="1"/>
    <xf numFmtId="0" fontId="4" fillId="19" borderId="1" xfId="0" applyFont="1" applyFill="1" applyBorder="1" applyAlignment="1">
      <alignment horizontal="center"/>
    </xf>
    <xf numFmtId="0" fontId="18" fillId="0" borderId="2" xfId="3" applyFont="1" applyBorder="1" applyAlignment="1">
      <alignment horizontal="center" vertical="center"/>
    </xf>
    <xf numFmtId="0" fontId="18" fillId="10" borderId="2" xfId="4" applyFont="1" applyFill="1" applyBorder="1" applyAlignment="1">
      <alignment horizontal="left" vertical="center"/>
    </xf>
    <xf numFmtId="0" fontId="18" fillId="10" borderId="2" xfId="3" applyFont="1" applyFill="1" applyBorder="1" applyAlignment="1">
      <alignment vertical="center" readingOrder="1"/>
    </xf>
    <xf numFmtId="0" fontId="18" fillId="9" borderId="2" xfId="3" applyFont="1" applyFill="1" applyBorder="1" applyAlignment="1">
      <alignment horizontal="center" vertical="center"/>
    </xf>
    <xf numFmtId="0" fontId="18" fillId="0" borderId="3" xfId="3" applyFont="1" applyBorder="1" applyAlignment="1">
      <alignment horizontal="center" vertical="center"/>
    </xf>
    <xf numFmtId="0" fontId="18" fillId="0" borderId="0" xfId="3" applyFont="1" applyAlignment="1">
      <alignment vertical="center" readingOrder="1"/>
    </xf>
    <xf numFmtId="0" fontId="6" fillId="0" borderId="0" xfId="0" applyFont="1" applyAlignment="1" applyProtection="1">
      <alignment vertical="center"/>
      <protection locked="0"/>
    </xf>
    <xf numFmtId="0" fontId="20" fillId="0" borderId="0" xfId="0" applyFont="1"/>
    <xf numFmtId="0" fontId="0" fillId="0" borderId="0" xfId="0" applyAlignment="1">
      <alignment horizontal="left"/>
    </xf>
    <xf numFmtId="0" fontId="21" fillId="0" borderId="0" xfId="0" applyFont="1"/>
    <xf numFmtId="0" fontId="13" fillId="0" borderId="0" xfId="0" applyFont="1"/>
    <xf numFmtId="0" fontId="22" fillId="0" borderId="0" xfId="0" applyFont="1"/>
    <xf numFmtId="0" fontId="0" fillId="7" borderId="0" xfId="0" applyFill="1" applyAlignment="1">
      <alignment horizontal="center"/>
    </xf>
    <xf numFmtId="0" fontId="6" fillId="0" borderId="0" xfId="0" applyFont="1"/>
    <xf numFmtId="0" fontId="13" fillId="0" borderId="0" xfId="0" applyFont="1" applyAlignment="1">
      <alignment horizontal="center"/>
    </xf>
    <xf numFmtId="0" fontId="22" fillId="0" borderId="0" xfId="0" applyFont="1" applyAlignment="1">
      <alignment vertical="center"/>
    </xf>
    <xf numFmtId="0" fontId="0" fillId="0" borderId="0" xfId="0" applyAlignment="1">
      <alignment horizontal="center" indent="1"/>
    </xf>
    <xf numFmtId="0" fontId="8" fillId="0" borderId="0" xfId="0" applyFont="1"/>
    <xf numFmtId="0" fontId="0" fillId="10" borderId="0" xfId="0" applyFill="1" applyAlignment="1">
      <alignment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vertical="top"/>
    </xf>
    <xf numFmtId="0" fontId="0" fillId="7" borderId="0" xfId="0" applyFill="1" applyAlignment="1">
      <alignment vertical="top"/>
    </xf>
    <xf numFmtId="0" fontId="6" fillId="0" borderId="0" xfId="0" applyFont="1" applyAlignment="1">
      <alignment vertical="top"/>
    </xf>
    <xf numFmtId="0" fontId="18" fillId="0" borderId="5" xfId="3" applyFont="1" applyBorder="1" applyAlignment="1">
      <alignment horizontal="center" vertical="center"/>
    </xf>
    <xf numFmtId="0" fontId="18" fillId="0" borderId="5" xfId="3" applyFont="1" applyBorder="1" applyAlignment="1">
      <alignment horizontal="center" vertical="center" readingOrder="1"/>
    </xf>
    <xf numFmtId="0" fontId="8" fillId="20" borderId="0" xfId="0" applyFont="1" applyFill="1" applyAlignment="1">
      <alignment horizontal="center" vertical="center"/>
    </xf>
  </cellXfs>
  <cellStyles count="5">
    <cellStyle name="Moneda 2" xfId="1" xr:uid="{F5BAF792-FAE7-4655-A756-D3C050FA8A17}"/>
    <cellStyle name="NivelCol_1" xfId="4" builtinId="2" iLevel="0"/>
    <cellStyle name="Normal" xfId="0" builtinId="0"/>
    <cellStyle name="Normal 6 10 4" xfId="3" xr:uid="{2803AA91-951B-40EF-9C67-6ED1D7E73388}"/>
    <cellStyle name="Normal_Hoja1" xfId="2" xr:uid="{D5F114BF-CE0D-4C6B-A909-A9A49DC5649A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ancolombia-my.sharepoint.com/C:/Users/iroca/AppData/Local/Microsoft/Windows/INetCache/Content.Outlook/JXP3P4XL/Ejecuci&#243;n%20BS%20Unidad%20de%20negocios%20al%2027-10-2024.xlsx" TargetMode="External"/><Relationship Id="rId1" Type="http://schemas.openxmlformats.org/officeDocument/2006/relationships/externalLinkPath" Target="https://bancolombia-my.sharepoint.com/Users/iroca/AppData/Local/Microsoft/Windows/INetCache/Content.Outlook/JXP3P4XL/Ejecuci&#243;n%20BS%20Unidad%20de%20negocios%20al%2027-10-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ancolombia-my.sharepoint.com/C:/Users/iroca/Desktop/ESCRITORIO/FORMATO%20POLIZAS%20ANUALIZADAS/REPORTES%202024/Formato%20de%20ingresos%20DICIEMBRE%202024%20ORIENTE.xlsx" TargetMode="External"/><Relationship Id="rId1" Type="http://schemas.openxmlformats.org/officeDocument/2006/relationships/externalLinkPath" Target="https://bancolombia-my.sharepoint.com/Users/iroca/Desktop/ESCRITORIO/FORMATO%20POLIZAS%20ANUALIZADAS/REPORTES%202024/Formato%20de%20ingresos%20DICIEMBRE%202024%20ORIENTE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kiylopez/AppData/Local/Microsoft/Windows/INetCache/Content.Outlook/23ZC5IEX/INGRESOS%20BS%20NUEVAS%20TARIFAS%20-%20AG%20227%202026............._.xlsx" TargetMode="External"/><Relationship Id="rId2" Type="http://schemas.openxmlformats.org/officeDocument/2006/relationships/externalLinkPath" Target="file:///C:\Users\kiylopez\AppData\Local\Microsoft\Windows\INetCache\Content.Outlook\23ZC5IEX\INGRESOS%20BS%20NUEVAS%20TARIFAS%20-%20AG%20227%202026............._.xlsx" TargetMode="External"/><Relationship Id="rId1" Type="http://schemas.openxmlformats.org/officeDocument/2006/relationships/externalLinkPath" Target="/Users/kiylopez/AppData/Local/Microsoft/Windows/INetCache/Content.Outlook/23ZC5IEX/INGRESOS%20BS%20NUEVAS%20TARIFAS%20-%20AG%20227%202026............._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ancolombia-my.sharepoint.com/C:/Users/iroca/AppData/Local/Microsoft/Windows/INetCache/Content.Outlook/JXP3P4XL/Formato%20de%20POLIZAS%20MARZO-2025-%20(3).xlsx" TargetMode="External"/><Relationship Id="rId1" Type="http://schemas.openxmlformats.org/officeDocument/2006/relationships/externalLinkPath" Target="https://bancolombia-my.sharepoint.com/Users/iroca/AppData/Local/Microsoft/Windows/INetCache/Content.Outlook/JXP3P4XL/Formato%20de%20POLIZAS%20MARZO-2025-%20(3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ROCA\AppData\Local\Microsoft\Windows\INetCache\Content.Outlook\FAPEBZ0X\FORMATO%20DE%20REPORTE%20DE%20POLIZAS.xlsx" TargetMode="External"/><Relationship Id="rId1" Type="http://schemas.openxmlformats.org/officeDocument/2006/relationships/externalLinkPath" Target="https://bancolombia-my.sharepoint.com/Users/IROCA/AppData/Local/Microsoft/Windows/INetCache/Content.Outlook/FAPEBZ0X/FORMATO%20DE%20REPORTE%20DE%20POLIZA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iylopez\AppData\Local\Microsoft\Windows\INetCache\Content.Outlook\23ZC5IEX\FORMATO%20DE%20INGRESOS%20NUEVAS%20TARIFAS%20-MAYO%202026.xlsx" TargetMode="External"/><Relationship Id="rId1" Type="http://schemas.openxmlformats.org/officeDocument/2006/relationships/externalLinkPath" Target="https://bancolombia-my.sharepoint.com/Users/kiylopez/AppData/Local/Microsoft/Windows/INetCache/Content.Outlook/23ZC5IEX/FORMATO%20DE%20INGRESOS%20NUEVAS%20TARIFAS%20-MAYO%202026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kiylopez/AppData/Local/Microsoft/Windows/INetCache/Content.Outlook/23ZC5IEX/FORMATO%20DE%20INGRESOS%20BANCASEGUROS%20NUEVAS%20TARIFAS%20(002).xlsx" TargetMode="External"/><Relationship Id="rId2" Type="http://schemas.openxmlformats.org/officeDocument/2006/relationships/externalLinkPath" Target="file:///C:\Users\kiylopez\AppData\Local\Microsoft\Windows\INetCache\Content.Outlook\23ZC5IEX\FORMATO%20DE%20INGRESOS%20BANCASEGUROS%20NUEVAS%20TARIFAS%20(002).xlsx" TargetMode="External"/><Relationship Id="rId1" Type="http://schemas.openxmlformats.org/officeDocument/2006/relationships/externalLinkPath" Target="/Users/kiylopez/AppData/Local/Microsoft/Windows/INetCache/Content.Outlook/23ZC5IEX/FORMATO%20DE%20INGRESOS%20BANCASEGUROS%20NUEVAS%20TARIFAS%20(002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alex.ramirez\Desktop\Fenix\Proyecto%20Metas%202016%20Asesores%20Comerciales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 2022"/>
      <sheetName val="Equipos Unidad de Negocios"/>
      <sheetName val="INDIVIDUAL UN"/>
    </sheetNames>
    <sheetDataSet>
      <sheetData sheetId="0" refreshError="1"/>
      <sheetData sheetId="1" refreshError="1"/>
      <sheetData sheetId="2" refreshError="1">
        <row r="6">
          <cell r="C6">
            <v>312053</v>
          </cell>
          <cell r="D6" t="str">
            <v xml:space="preserve"> ERICK ESTUARDO GONZALEZ CULAJAY</v>
          </cell>
          <cell r="E6">
            <v>93</v>
          </cell>
          <cell r="F6" t="str">
            <v>AGUILAS</v>
          </cell>
        </row>
        <row r="7">
          <cell r="C7">
            <v>309795</v>
          </cell>
          <cell r="D7" t="str">
            <v xml:space="preserve"> EVELIN JOHANA PEREZ FAJARDO DE ESTAYUL</v>
          </cell>
          <cell r="E7">
            <v>93</v>
          </cell>
          <cell r="F7" t="str">
            <v>AGUILAS</v>
          </cell>
        </row>
        <row r="8">
          <cell r="C8">
            <v>311195</v>
          </cell>
          <cell r="D8" t="str">
            <v xml:space="preserve"> JULIA MARIELA LOURDETTE GONZALEZ ROSALES</v>
          </cell>
          <cell r="E8">
            <v>93</v>
          </cell>
          <cell r="F8" t="str">
            <v>AGUILAS</v>
          </cell>
        </row>
        <row r="9">
          <cell r="C9">
            <v>311236</v>
          </cell>
          <cell r="D9" t="str">
            <v xml:space="preserve"> MARLON AROLDO DE LEON JUAREZ</v>
          </cell>
          <cell r="E9">
            <v>93</v>
          </cell>
          <cell r="F9" t="str">
            <v>AGUILAS</v>
          </cell>
        </row>
        <row r="10">
          <cell r="C10">
            <v>304620</v>
          </cell>
          <cell r="D10" t="str">
            <v xml:space="preserve"> MAYRA JUDITH MARROQUIN GUEVARA DE MELENDEZ</v>
          </cell>
          <cell r="E10">
            <v>93</v>
          </cell>
          <cell r="F10" t="str">
            <v>AGUILAS</v>
          </cell>
        </row>
        <row r="11">
          <cell r="C11">
            <v>311196</v>
          </cell>
          <cell r="D11" t="str">
            <v xml:space="preserve"> NANCY MARIELA ESTRADA CALEL DE SAMAYOA</v>
          </cell>
          <cell r="E11">
            <v>93</v>
          </cell>
          <cell r="F11" t="str">
            <v>AGUILAS</v>
          </cell>
        </row>
        <row r="12">
          <cell r="C12">
            <v>313885</v>
          </cell>
          <cell r="D12" t="str">
            <v>ADRIAN EMANUEL TURCIOS AZURDIA</v>
          </cell>
          <cell r="E12">
            <v>93</v>
          </cell>
          <cell r="F12" t="str">
            <v>AGUILAS</v>
          </cell>
        </row>
        <row r="13">
          <cell r="C13">
            <v>314304</v>
          </cell>
          <cell r="D13" t="str">
            <v>BRENDA YANETH PEREZ LUCAS</v>
          </cell>
          <cell r="E13">
            <v>93</v>
          </cell>
          <cell r="F13" t="str">
            <v>AGUILAS</v>
          </cell>
        </row>
        <row r="14">
          <cell r="C14">
            <v>311901</v>
          </cell>
          <cell r="D14" t="str">
            <v>EDITH VERANICE PALACIOS</v>
          </cell>
          <cell r="E14">
            <v>93</v>
          </cell>
          <cell r="F14" t="str">
            <v>AGUILAS</v>
          </cell>
        </row>
        <row r="15">
          <cell r="C15">
            <v>314436</v>
          </cell>
          <cell r="D15" t="str">
            <v xml:space="preserve">JORGE FRANCISCO SABAN LOPEZ </v>
          </cell>
          <cell r="E15">
            <v>93</v>
          </cell>
          <cell r="F15" t="str">
            <v>AGUILAS</v>
          </cell>
        </row>
        <row r="16">
          <cell r="C16">
            <v>313114</v>
          </cell>
          <cell r="D16" t="str">
            <v xml:space="preserve">JOSE ALBINO ALBEÑO GALICIA </v>
          </cell>
          <cell r="E16">
            <v>93</v>
          </cell>
          <cell r="F16" t="str">
            <v>AGUILAS</v>
          </cell>
        </row>
        <row r="17">
          <cell r="C17">
            <v>308558</v>
          </cell>
          <cell r="D17" t="str">
            <v>JOSE EMILIO YUMAN ROCHE</v>
          </cell>
          <cell r="E17">
            <v>93</v>
          </cell>
          <cell r="F17" t="str">
            <v>AGUILAS</v>
          </cell>
        </row>
        <row r="18">
          <cell r="C18">
            <v>315361</v>
          </cell>
          <cell r="D18" t="str">
            <v>Luis Fernando Roche Valenzuela</v>
          </cell>
          <cell r="E18">
            <v>93</v>
          </cell>
          <cell r="F18" t="str">
            <v>AGUILAS</v>
          </cell>
        </row>
        <row r="19">
          <cell r="C19">
            <v>314103</v>
          </cell>
          <cell r="D19" t="str">
            <v>LUISA FERNANDA MARROQUIN TIGUILA</v>
          </cell>
          <cell r="E19">
            <v>93</v>
          </cell>
          <cell r="F19" t="str">
            <v>AGUILAS</v>
          </cell>
        </row>
        <row r="20">
          <cell r="C20">
            <v>313680</v>
          </cell>
          <cell r="D20" t="str">
            <v>MARCO ANTONIO SALAZAR ALINZO</v>
          </cell>
          <cell r="E20">
            <v>93</v>
          </cell>
          <cell r="F20" t="str">
            <v>AGUILAS</v>
          </cell>
        </row>
        <row r="21">
          <cell r="C21">
            <v>314359</v>
          </cell>
          <cell r="D21" t="str">
            <v>MAYNOR ALEXANDER PEREZ SURQUE</v>
          </cell>
          <cell r="E21">
            <v>93</v>
          </cell>
          <cell r="F21" t="str">
            <v>AGUILAS</v>
          </cell>
        </row>
        <row r="22">
          <cell r="C22">
            <v>314370</v>
          </cell>
          <cell r="D22" t="str">
            <v>OLGA ROXANA GOMEZ</v>
          </cell>
          <cell r="E22">
            <v>93</v>
          </cell>
          <cell r="F22" t="str">
            <v>AGUILAS</v>
          </cell>
        </row>
        <row r="23">
          <cell r="C23">
            <v>315419</v>
          </cell>
          <cell r="D23" t="str">
            <v>Rubeldi Ajaniel Roblero Gonzales</v>
          </cell>
          <cell r="E23">
            <v>93</v>
          </cell>
          <cell r="F23" t="str">
            <v>AGUILAS</v>
          </cell>
        </row>
        <row r="24">
          <cell r="C24">
            <v>314769</v>
          </cell>
          <cell r="D24" t="str">
            <v>ABEL EDUARDO LOPEZ LOPEZ</v>
          </cell>
          <cell r="E24">
            <v>93</v>
          </cell>
          <cell r="F24" t="str">
            <v>Alfa</v>
          </cell>
        </row>
        <row r="25">
          <cell r="C25">
            <v>314839</v>
          </cell>
          <cell r="D25" t="str">
            <v>ANA GABRIELA SAMAYOA LOPEZ</v>
          </cell>
          <cell r="E25">
            <v>93</v>
          </cell>
          <cell r="F25" t="str">
            <v>Alfa</v>
          </cell>
        </row>
        <row r="26">
          <cell r="C26">
            <v>315422</v>
          </cell>
          <cell r="D26" t="str">
            <v xml:space="preserve">Carlos Alberto Roque </v>
          </cell>
          <cell r="E26">
            <v>93</v>
          </cell>
          <cell r="F26" t="str">
            <v>Alfa</v>
          </cell>
        </row>
        <row r="27">
          <cell r="C27">
            <v>314836</v>
          </cell>
          <cell r="D27" t="str">
            <v xml:space="preserve">CARLOS DAVID AJMAC </v>
          </cell>
          <cell r="E27">
            <v>93</v>
          </cell>
          <cell r="F27" t="str">
            <v>Alfa</v>
          </cell>
        </row>
        <row r="28">
          <cell r="C28">
            <v>314759</v>
          </cell>
          <cell r="D28" t="str">
            <v>CARLOS ROBERTO HERNANDEZ GONZALEZ</v>
          </cell>
          <cell r="E28">
            <v>93</v>
          </cell>
          <cell r="F28" t="str">
            <v>Alfa</v>
          </cell>
        </row>
        <row r="29">
          <cell r="C29">
            <v>314817</v>
          </cell>
          <cell r="D29" t="str">
            <v>CRISTIAN ORLANDO MONZON DE LEON</v>
          </cell>
          <cell r="E29">
            <v>93</v>
          </cell>
          <cell r="F29" t="str">
            <v>Alfa</v>
          </cell>
        </row>
        <row r="30">
          <cell r="C30">
            <v>314815</v>
          </cell>
          <cell r="D30" t="str">
            <v>GABRIELA ELIZABETH ALVAREZ MIX</v>
          </cell>
          <cell r="E30">
            <v>93</v>
          </cell>
          <cell r="F30" t="str">
            <v>optimos</v>
          </cell>
        </row>
        <row r="31">
          <cell r="C31">
            <v>315421</v>
          </cell>
          <cell r="D31" t="str">
            <v xml:space="preserve">Gladis Morales Cutzal </v>
          </cell>
          <cell r="E31">
            <v>93</v>
          </cell>
          <cell r="F31" t="str">
            <v>Phoenix</v>
          </cell>
        </row>
        <row r="32">
          <cell r="C32">
            <v>314794</v>
          </cell>
          <cell r="D32" t="str">
            <v>HERBERT WELLINGTON RODRIGUEZ RAMIREZ</v>
          </cell>
          <cell r="E32">
            <v>93</v>
          </cell>
          <cell r="F32" t="str">
            <v>Espartanos</v>
          </cell>
        </row>
        <row r="33">
          <cell r="C33">
            <v>314838</v>
          </cell>
          <cell r="D33" t="str">
            <v>JENIFER LUCERITO SIQUE MAYORGA</v>
          </cell>
          <cell r="E33">
            <v>93</v>
          </cell>
          <cell r="F33" t="str">
            <v>Alfa</v>
          </cell>
        </row>
        <row r="34">
          <cell r="C34">
            <v>314790</v>
          </cell>
          <cell r="D34" t="str">
            <v>JOHANA VIDALIA CHACH IXCOY</v>
          </cell>
          <cell r="E34">
            <v>93</v>
          </cell>
          <cell r="F34" t="str">
            <v>Alfa</v>
          </cell>
        </row>
        <row r="35">
          <cell r="C35">
            <v>314761</v>
          </cell>
          <cell r="D35" t="str">
            <v>JORGE EDUARDO FONSECA PALACIOS</v>
          </cell>
          <cell r="E35">
            <v>93</v>
          </cell>
          <cell r="F35" t="str">
            <v>Alfa</v>
          </cell>
        </row>
        <row r="36">
          <cell r="C36">
            <v>314756</v>
          </cell>
          <cell r="D36" t="str">
            <v>JUAN MANUEL GOMEZ SAMPUEL</v>
          </cell>
          <cell r="E36">
            <v>93</v>
          </cell>
          <cell r="F36" t="str">
            <v>Alfa</v>
          </cell>
        </row>
        <row r="37">
          <cell r="C37">
            <v>315366</v>
          </cell>
          <cell r="D37" t="str">
            <v xml:space="preserve">Mario Enrique Morales Escobar </v>
          </cell>
          <cell r="E37">
            <v>93</v>
          </cell>
          <cell r="F37" t="str">
            <v>Alfa</v>
          </cell>
        </row>
        <row r="38">
          <cell r="C38">
            <v>315392</v>
          </cell>
          <cell r="D38" t="str">
            <v xml:space="preserve">Mijail Erick Joaquín Morales Ortiz </v>
          </cell>
          <cell r="E38">
            <v>93</v>
          </cell>
          <cell r="F38" t="str">
            <v>Alfa</v>
          </cell>
        </row>
        <row r="39">
          <cell r="C39">
            <v>314751</v>
          </cell>
          <cell r="D39" t="str">
            <v>ANA LUCIA VELIZ SOLARES</v>
          </cell>
          <cell r="E39">
            <v>93</v>
          </cell>
          <cell r="F39" t="str">
            <v>Champions</v>
          </cell>
        </row>
        <row r="40">
          <cell r="C40">
            <v>314903</v>
          </cell>
          <cell r="D40" t="str">
            <v>CINDY JULISSA HERRERA</v>
          </cell>
          <cell r="E40">
            <v>93</v>
          </cell>
          <cell r="F40" t="str">
            <v>Champions</v>
          </cell>
        </row>
        <row r="41">
          <cell r="C41">
            <v>314800</v>
          </cell>
          <cell r="D41" t="str">
            <v>ELMER EDUARDO CASTILLO</v>
          </cell>
          <cell r="E41">
            <v>93</v>
          </cell>
          <cell r="F41" t="str">
            <v>Champions</v>
          </cell>
        </row>
        <row r="42">
          <cell r="C42">
            <v>314748</v>
          </cell>
          <cell r="D42" t="str">
            <v>FREDDY REYNALDO VELARDE VALENZUELA</v>
          </cell>
          <cell r="E42">
            <v>93</v>
          </cell>
          <cell r="F42" t="str">
            <v>Champions</v>
          </cell>
        </row>
        <row r="43">
          <cell r="C43">
            <v>315148</v>
          </cell>
          <cell r="D43" t="str">
            <v>Irene Beatriz Pena Orellana</v>
          </cell>
          <cell r="E43">
            <v>93</v>
          </cell>
          <cell r="F43" t="str">
            <v>Champions</v>
          </cell>
        </row>
        <row r="44">
          <cell r="C44">
            <v>314906</v>
          </cell>
          <cell r="D44" t="str">
            <v>JUAN PEDRO TINEY CAX</v>
          </cell>
          <cell r="E44">
            <v>93</v>
          </cell>
          <cell r="F44" t="str">
            <v>Champions</v>
          </cell>
        </row>
        <row r="45">
          <cell r="C45">
            <v>315322</v>
          </cell>
          <cell r="D45" t="str">
            <v>Lester Juan Jose Arevalo Reynoso</v>
          </cell>
          <cell r="E45">
            <v>93</v>
          </cell>
          <cell r="F45" t="str">
            <v>Champions</v>
          </cell>
        </row>
        <row r="46">
          <cell r="C46">
            <v>315093</v>
          </cell>
          <cell r="D46" t="str">
            <v>Miriam Eugenia Santizo Montenegro</v>
          </cell>
          <cell r="E46">
            <v>93</v>
          </cell>
          <cell r="F46" t="str">
            <v>Champions</v>
          </cell>
        </row>
        <row r="47">
          <cell r="C47">
            <v>314755</v>
          </cell>
          <cell r="D47" t="str">
            <v>SERGIO DAVID GONZALEZ PEREZ</v>
          </cell>
          <cell r="E47">
            <v>93</v>
          </cell>
          <cell r="F47" t="str">
            <v>Champions</v>
          </cell>
        </row>
        <row r="48">
          <cell r="C48">
            <v>314968</v>
          </cell>
          <cell r="D48" t="str">
            <v>Sharon Dayana Ninoshka López Márquez</v>
          </cell>
          <cell r="E48">
            <v>93</v>
          </cell>
          <cell r="F48" t="str">
            <v>Champions</v>
          </cell>
        </row>
        <row r="49">
          <cell r="C49">
            <v>311188</v>
          </cell>
          <cell r="D49" t="str">
            <v xml:space="preserve"> ANA ESTER CUYAN AGUILAR DE DOMINGUEZ</v>
          </cell>
          <cell r="E49">
            <v>93</v>
          </cell>
          <cell r="F49" t="str">
            <v>Elements</v>
          </cell>
        </row>
        <row r="50">
          <cell r="C50">
            <v>311894</v>
          </cell>
          <cell r="D50" t="str">
            <v xml:space="preserve"> CHRISTYAN STUARDO RONQUILLO SARAVIA</v>
          </cell>
          <cell r="E50">
            <v>93</v>
          </cell>
          <cell r="F50" t="str">
            <v>Elements</v>
          </cell>
        </row>
        <row r="51">
          <cell r="C51">
            <v>310331</v>
          </cell>
          <cell r="D51" t="str">
            <v xml:space="preserve"> ELDA LUZBINA VALDEZ GUERRA DE FUENTES</v>
          </cell>
          <cell r="E51">
            <v>93</v>
          </cell>
          <cell r="F51" t="str">
            <v>Elements</v>
          </cell>
        </row>
        <row r="52">
          <cell r="C52">
            <v>310822</v>
          </cell>
          <cell r="D52" t="str">
            <v xml:space="preserve"> JENNIFER LETICIA GONZALEZ PINEDA</v>
          </cell>
          <cell r="E52">
            <v>93</v>
          </cell>
          <cell r="F52" t="str">
            <v>Elements</v>
          </cell>
        </row>
        <row r="53">
          <cell r="C53">
            <v>312160</v>
          </cell>
          <cell r="D53" t="str">
            <v xml:space="preserve"> JOSE RIGOBERTO OSORIO ABARCA</v>
          </cell>
          <cell r="E53">
            <v>93</v>
          </cell>
          <cell r="F53" t="str">
            <v>Elements</v>
          </cell>
        </row>
        <row r="54">
          <cell r="C54">
            <v>310214</v>
          </cell>
          <cell r="D54" t="str">
            <v xml:space="preserve"> VIVIAN PAMELA RODAS LOPEZ</v>
          </cell>
          <cell r="E54">
            <v>93</v>
          </cell>
          <cell r="F54" t="str">
            <v>Elements</v>
          </cell>
        </row>
        <row r="55">
          <cell r="C55">
            <v>314928</v>
          </cell>
          <cell r="D55" t="str">
            <v>BRANDON STEVE JUAREZ ARRAZOLA</v>
          </cell>
          <cell r="E55">
            <v>93</v>
          </cell>
          <cell r="F55" t="str">
            <v>Elements</v>
          </cell>
        </row>
        <row r="56">
          <cell r="C56">
            <v>314323</v>
          </cell>
          <cell r="D56" t="str">
            <v>ANGEL ARTURO MAURICIO AYAPAN</v>
          </cell>
          <cell r="E56">
            <v>93</v>
          </cell>
          <cell r="F56" t="str">
            <v>Elements</v>
          </cell>
        </row>
        <row r="57">
          <cell r="C57">
            <v>313840</v>
          </cell>
          <cell r="D57" t="str">
            <v>CLAUDIA MARIA OROZCO GARCIA</v>
          </cell>
          <cell r="E57">
            <v>93</v>
          </cell>
          <cell r="F57" t="str">
            <v>Elements</v>
          </cell>
        </row>
        <row r="58">
          <cell r="C58">
            <v>313539</v>
          </cell>
          <cell r="D58" t="str">
            <v>JOAQUIN ALONSO MURILLO PEREZ</v>
          </cell>
          <cell r="E58">
            <v>93</v>
          </cell>
          <cell r="F58" t="str">
            <v>Elements</v>
          </cell>
        </row>
        <row r="59">
          <cell r="C59">
            <v>312489</v>
          </cell>
          <cell r="D59" t="str">
            <v>MARLIZ IRENE BONIFAZ LOPEZ</v>
          </cell>
          <cell r="E59">
            <v>93</v>
          </cell>
          <cell r="F59" t="str">
            <v>Elements</v>
          </cell>
        </row>
        <row r="60">
          <cell r="C60">
            <v>312476</v>
          </cell>
          <cell r="D60" t="str">
            <v>OSCAR OSWALDO RAMIREZ TAHUITE</v>
          </cell>
          <cell r="E60">
            <v>93</v>
          </cell>
          <cell r="F60" t="str">
            <v>Elements</v>
          </cell>
        </row>
        <row r="61">
          <cell r="C61">
            <v>315101</v>
          </cell>
          <cell r="D61" t="str">
            <v>ALVARO OSWALDO DE LA ROSA HERNANDEZ</v>
          </cell>
          <cell r="E61">
            <v>93</v>
          </cell>
          <cell r="F61" t="str">
            <v>ELITE</v>
          </cell>
        </row>
        <row r="62">
          <cell r="C62">
            <v>314905</v>
          </cell>
          <cell r="D62" t="str">
            <v>ANTONIO CARLOS ALVARENGA DIAZ</v>
          </cell>
          <cell r="E62">
            <v>93</v>
          </cell>
          <cell r="F62" t="str">
            <v>ELITE</v>
          </cell>
        </row>
        <row r="63">
          <cell r="C63">
            <v>314885</v>
          </cell>
          <cell r="D63" t="str">
            <v>EDI IBANDER OSOY LOPEZ</v>
          </cell>
          <cell r="E63">
            <v>93</v>
          </cell>
          <cell r="F63" t="str">
            <v>ELITE</v>
          </cell>
        </row>
        <row r="64">
          <cell r="C64">
            <v>315318</v>
          </cell>
          <cell r="D64" t="str">
            <v>GABRIELA MELISSA ARIAS OVANDO</v>
          </cell>
          <cell r="E64">
            <v>93</v>
          </cell>
          <cell r="F64" t="str">
            <v>ELITE</v>
          </cell>
        </row>
        <row r="65">
          <cell r="C65">
            <v>315164</v>
          </cell>
          <cell r="D65" t="str">
            <v>HERNAN ANTONIO CASTRO GUZMAN</v>
          </cell>
          <cell r="E65">
            <v>93</v>
          </cell>
          <cell r="F65" t="str">
            <v>ELITE</v>
          </cell>
        </row>
        <row r="66">
          <cell r="C66">
            <v>315149</v>
          </cell>
          <cell r="D66" t="str">
            <v>JENNIFER KARLA MARIA DE LEON YOC</v>
          </cell>
          <cell r="E66">
            <v>93</v>
          </cell>
          <cell r="F66" t="str">
            <v>ELITE</v>
          </cell>
        </row>
        <row r="67">
          <cell r="C67">
            <v>315065</v>
          </cell>
          <cell r="D67" t="str">
            <v>JENNIFER VERONICA FLORES PINEDA</v>
          </cell>
          <cell r="E67">
            <v>93</v>
          </cell>
          <cell r="F67" t="str">
            <v>ELITE</v>
          </cell>
        </row>
        <row r="68">
          <cell r="C68">
            <v>314797</v>
          </cell>
          <cell r="D68" t="str">
            <v>JIMMY ALFREDO CORONADO CABRERA</v>
          </cell>
          <cell r="E68">
            <v>93</v>
          </cell>
          <cell r="F68" t="str">
            <v>ELITE</v>
          </cell>
        </row>
        <row r="69">
          <cell r="C69">
            <v>314990</v>
          </cell>
          <cell r="D69" t="str">
            <v>MARIA FERNANDA AMBROCIO REYES</v>
          </cell>
          <cell r="E69">
            <v>93</v>
          </cell>
          <cell r="F69" t="str">
            <v>ELITE</v>
          </cell>
        </row>
        <row r="70">
          <cell r="C70">
            <v>314796</v>
          </cell>
          <cell r="D70" t="str">
            <v>RICARDO ANTONIO RUIZ OROZCO</v>
          </cell>
          <cell r="E70">
            <v>93</v>
          </cell>
          <cell r="F70" t="str">
            <v>ELITE</v>
          </cell>
        </row>
        <row r="71">
          <cell r="C71">
            <v>312283</v>
          </cell>
          <cell r="D71" t="str">
            <v xml:space="preserve"> OSCAR JAVIER GALVEZ</v>
          </cell>
          <cell r="E71">
            <v>93</v>
          </cell>
          <cell r="F71" t="str">
            <v>Espartanos</v>
          </cell>
        </row>
        <row r="72">
          <cell r="C72">
            <v>311190</v>
          </cell>
          <cell r="D72" t="str">
            <v xml:space="preserve"> PEDRO CHAS MORALES</v>
          </cell>
          <cell r="E72">
            <v>93</v>
          </cell>
          <cell r="F72" t="str">
            <v>Espartanos</v>
          </cell>
        </row>
        <row r="73">
          <cell r="C73">
            <v>311632</v>
          </cell>
          <cell r="D73" t="str">
            <v xml:space="preserve"> VIRGINIA DEL ROSARIO MATILDE GARCIA ICO</v>
          </cell>
          <cell r="E73">
            <v>93</v>
          </cell>
          <cell r="F73" t="str">
            <v>Espartanos</v>
          </cell>
        </row>
        <row r="74">
          <cell r="C74">
            <v>311906</v>
          </cell>
          <cell r="D74" t="str">
            <v xml:space="preserve"> YENIFER ALEJANDRA ORDOÑEZ</v>
          </cell>
          <cell r="E74">
            <v>93</v>
          </cell>
          <cell r="F74" t="str">
            <v>Espartanos</v>
          </cell>
        </row>
        <row r="75">
          <cell r="C75">
            <v>314704</v>
          </cell>
          <cell r="D75" t="str">
            <v xml:space="preserve">Cindy Damaris Villagran Castellano </v>
          </cell>
          <cell r="E75">
            <v>93</v>
          </cell>
          <cell r="F75" t="str">
            <v>Espartanos</v>
          </cell>
        </row>
        <row r="76">
          <cell r="C76">
            <v>314085</v>
          </cell>
          <cell r="D76" t="str">
            <v>Cristian Ottoniel Lopez Alvarado</v>
          </cell>
          <cell r="E76">
            <v>93</v>
          </cell>
          <cell r="F76" t="str">
            <v>Espartanos</v>
          </cell>
        </row>
        <row r="77">
          <cell r="C77">
            <v>315056</v>
          </cell>
          <cell r="D77" t="str">
            <v>Esvin David de Jesus Calanche</v>
          </cell>
          <cell r="E77">
            <v>93</v>
          </cell>
          <cell r="F77" t="str">
            <v>Espartanos</v>
          </cell>
        </row>
        <row r="78">
          <cell r="C78">
            <v>314118</v>
          </cell>
          <cell r="D78" t="str">
            <v>Ginni Andrea Gramajo Lucas</v>
          </cell>
          <cell r="E78">
            <v>93</v>
          </cell>
          <cell r="F78" t="str">
            <v>Espartanos</v>
          </cell>
        </row>
        <row r="79">
          <cell r="C79">
            <v>314299</v>
          </cell>
          <cell r="D79" t="str">
            <v>LOPEZ MORALES, ANDREA LUCIA</v>
          </cell>
          <cell r="E79">
            <v>93</v>
          </cell>
          <cell r="F79" t="str">
            <v>Espartanos</v>
          </cell>
        </row>
        <row r="80">
          <cell r="C80">
            <v>314747</v>
          </cell>
          <cell r="D80" t="str">
            <v>MAYRA AZUCENA PEREZ GUZMAN</v>
          </cell>
          <cell r="E80">
            <v>93</v>
          </cell>
          <cell r="F80" t="str">
            <v>Espartanos</v>
          </cell>
        </row>
        <row r="81">
          <cell r="C81">
            <v>313284</v>
          </cell>
          <cell r="D81" t="str">
            <v>SEBASTIAN QUINO MORALES</v>
          </cell>
          <cell r="E81">
            <v>93</v>
          </cell>
          <cell r="F81" t="str">
            <v>Espartanos</v>
          </cell>
        </row>
        <row r="82">
          <cell r="C82">
            <v>311460</v>
          </cell>
          <cell r="D82" t="str">
            <v xml:space="preserve"> ANA VILMA BAMACA CARDONA</v>
          </cell>
          <cell r="E82">
            <v>93</v>
          </cell>
          <cell r="F82" t="str">
            <v>Alfa</v>
          </cell>
        </row>
        <row r="83">
          <cell r="C83">
            <v>311234</v>
          </cell>
          <cell r="D83" t="str">
            <v xml:space="preserve"> ASTRID MARLENE DIAZ</v>
          </cell>
          <cell r="E83">
            <v>93</v>
          </cell>
          <cell r="F83" t="str">
            <v>optimos</v>
          </cell>
        </row>
        <row r="84">
          <cell r="C84">
            <v>308361</v>
          </cell>
          <cell r="D84" t="str">
            <v xml:space="preserve"> BRENDA MARIBEL OROZCO MENDOZA</v>
          </cell>
          <cell r="E84">
            <v>93</v>
          </cell>
          <cell r="F84" t="str">
            <v>optimos</v>
          </cell>
        </row>
        <row r="85">
          <cell r="C85">
            <v>305555</v>
          </cell>
          <cell r="D85" t="str">
            <v xml:space="preserve"> HEBER ANTONIO OLIVARES ALVARADO</v>
          </cell>
          <cell r="E85">
            <v>93</v>
          </cell>
          <cell r="F85" t="str">
            <v>Jireh</v>
          </cell>
        </row>
        <row r="86">
          <cell r="C86">
            <v>310790</v>
          </cell>
          <cell r="D86" t="str">
            <v xml:space="preserve"> KARINA DEL ROSARIO CASTRO LOPEZ DE GUZMAN</v>
          </cell>
          <cell r="E86">
            <v>93</v>
          </cell>
          <cell r="F86" t="str">
            <v>Alfa</v>
          </cell>
        </row>
        <row r="87">
          <cell r="C87">
            <v>309544</v>
          </cell>
          <cell r="D87" t="str">
            <v xml:space="preserve"> LORENA ALEXANDRA LOPEZ YAX</v>
          </cell>
          <cell r="E87">
            <v>93</v>
          </cell>
          <cell r="F87" t="str">
            <v>optimos</v>
          </cell>
        </row>
        <row r="88">
          <cell r="C88">
            <v>312483</v>
          </cell>
          <cell r="D88" t="str">
            <v>BERTA ELIZABETH RODAS ROSALES</v>
          </cell>
          <cell r="E88">
            <v>93</v>
          </cell>
          <cell r="F88" t="str">
            <v>optimos</v>
          </cell>
        </row>
        <row r="89">
          <cell r="C89">
            <v>307394</v>
          </cell>
          <cell r="D89" t="str">
            <v>DAMARIS JUDITH RIVAS BENITEZ</v>
          </cell>
          <cell r="E89">
            <v>93</v>
          </cell>
          <cell r="F89" t="str">
            <v>optimos</v>
          </cell>
        </row>
        <row r="90">
          <cell r="C90">
            <v>311082</v>
          </cell>
          <cell r="D90" t="str">
            <v>JANZ VINCENT TUNCHE</v>
          </cell>
          <cell r="E90">
            <v>93</v>
          </cell>
          <cell r="F90" t="str">
            <v>Jireh</v>
          </cell>
        </row>
        <row r="91">
          <cell r="C91">
            <v>308405</v>
          </cell>
          <cell r="D91" t="str">
            <v>JUAN AQUINO RAC</v>
          </cell>
          <cell r="E91">
            <v>93</v>
          </cell>
          <cell r="F91" t="str">
            <v>optimos</v>
          </cell>
        </row>
        <row r="92">
          <cell r="C92">
            <v>312481</v>
          </cell>
          <cell r="D92" t="str">
            <v>MAGDALENA NOEMI LEONARDO VENTURA</v>
          </cell>
          <cell r="E92">
            <v>93</v>
          </cell>
          <cell r="F92" t="str">
            <v>Jireh</v>
          </cell>
        </row>
        <row r="93">
          <cell r="C93">
            <v>312482</v>
          </cell>
          <cell r="D93" t="str">
            <v>MILDRED ELIZABETH RIVERA TENAS</v>
          </cell>
          <cell r="E93">
            <v>93</v>
          </cell>
          <cell r="F93" t="str">
            <v>Jireh</v>
          </cell>
        </row>
        <row r="94">
          <cell r="C94">
            <v>307005</v>
          </cell>
          <cell r="D94" t="str">
            <v>MIRIAM LETICIA ROMERO TORRES</v>
          </cell>
          <cell r="E94">
            <v>93</v>
          </cell>
          <cell r="F94" t="str">
            <v>Phoenix</v>
          </cell>
        </row>
        <row r="95">
          <cell r="C95">
            <v>314227</v>
          </cell>
          <cell r="D95" t="str">
            <v xml:space="preserve">MIRNA JANETH ORDOÑEZ </v>
          </cell>
          <cell r="E95">
            <v>93</v>
          </cell>
          <cell r="F95" t="str">
            <v>optimos</v>
          </cell>
        </row>
        <row r="96">
          <cell r="C96">
            <v>308201</v>
          </cell>
          <cell r="D96" t="str">
            <v xml:space="preserve"> AMPARO JANET CARDONA LINARES</v>
          </cell>
          <cell r="E96">
            <v>93</v>
          </cell>
          <cell r="F96" t="str">
            <v>Guerreros</v>
          </cell>
        </row>
        <row r="97">
          <cell r="C97">
            <v>305796</v>
          </cell>
          <cell r="D97" t="str">
            <v xml:space="preserve"> ELIAS PEREZ SEQUEN</v>
          </cell>
          <cell r="E97">
            <v>93</v>
          </cell>
          <cell r="F97" t="str">
            <v>Guerreros</v>
          </cell>
        </row>
        <row r="98">
          <cell r="C98">
            <v>310823</v>
          </cell>
          <cell r="D98" t="str">
            <v xml:space="preserve"> FRANCISCA YESENIA ACEYTUNO QUEVEDO</v>
          </cell>
          <cell r="E98">
            <v>93</v>
          </cell>
          <cell r="F98" t="str">
            <v>Guerreros</v>
          </cell>
        </row>
        <row r="99">
          <cell r="C99">
            <v>311152</v>
          </cell>
          <cell r="D99" t="str">
            <v xml:space="preserve"> HEIDI NATALI CHACON DE LA ROSA DE DIAZ</v>
          </cell>
          <cell r="E99">
            <v>93</v>
          </cell>
          <cell r="F99" t="str">
            <v>Guerreros</v>
          </cell>
        </row>
        <row r="100">
          <cell r="C100">
            <v>309785</v>
          </cell>
          <cell r="D100" t="str">
            <v xml:space="preserve"> JOSE ESTEBAN DIAZ MONTUFAR</v>
          </cell>
          <cell r="E100">
            <v>93</v>
          </cell>
          <cell r="F100" t="str">
            <v>Guerreros</v>
          </cell>
        </row>
        <row r="101">
          <cell r="C101">
            <v>310787</v>
          </cell>
          <cell r="D101" t="str">
            <v xml:space="preserve"> MARILIN JANETH SANCHEZ DE RODRIGUEZ</v>
          </cell>
          <cell r="E101">
            <v>93</v>
          </cell>
          <cell r="F101" t="str">
            <v>Guerreros</v>
          </cell>
        </row>
        <row r="102">
          <cell r="C102">
            <v>305520</v>
          </cell>
          <cell r="D102" t="str">
            <v xml:space="preserve"> MILTON ORLANDO LOPEZ</v>
          </cell>
          <cell r="E102">
            <v>93</v>
          </cell>
          <cell r="F102" t="str">
            <v>Guerreros</v>
          </cell>
        </row>
        <row r="103">
          <cell r="C103">
            <v>311776</v>
          </cell>
          <cell r="D103" t="str">
            <v xml:space="preserve"> SUSAN JACKELINNE CRISTAL SANCHEZ</v>
          </cell>
          <cell r="E103">
            <v>93</v>
          </cell>
          <cell r="F103" t="str">
            <v>Guerreros</v>
          </cell>
        </row>
        <row r="104">
          <cell r="C104">
            <v>315589</v>
          </cell>
          <cell r="D104" t="str">
            <v xml:space="preserve"> WILFREDO NOE TOBAR VALENZUELA</v>
          </cell>
          <cell r="E104">
            <v>93</v>
          </cell>
          <cell r="F104" t="str">
            <v>ALFA</v>
          </cell>
        </row>
        <row r="105">
          <cell r="C105">
            <v>314741</v>
          </cell>
          <cell r="D105" t="str">
            <v>ANGELICA LORENA GARCIA GONZALEZ</v>
          </cell>
          <cell r="E105">
            <v>93</v>
          </cell>
          <cell r="F105" t="str">
            <v>Guerreros</v>
          </cell>
        </row>
        <row r="106">
          <cell r="C106">
            <v>314546</v>
          </cell>
          <cell r="D106" t="str">
            <v xml:space="preserve">CINTHIA IRENE PAZ CAAL   </v>
          </cell>
          <cell r="E106">
            <v>93</v>
          </cell>
          <cell r="F106" t="str">
            <v>Guerreros</v>
          </cell>
        </row>
        <row r="107">
          <cell r="C107">
            <v>313746</v>
          </cell>
          <cell r="D107" t="str">
            <v>CRISTIAN OMAR CRUZ MATA</v>
          </cell>
          <cell r="E107">
            <v>93</v>
          </cell>
          <cell r="F107" t="str">
            <v>Guerreros</v>
          </cell>
        </row>
        <row r="108">
          <cell r="C108">
            <v>315327</v>
          </cell>
          <cell r="D108" t="str">
            <v>DANINYER ALFONSO ORELLANA MADRID</v>
          </cell>
          <cell r="E108">
            <v>93</v>
          </cell>
          <cell r="F108" t="str">
            <v>Guerreros</v>
          </cell>
        </row>
        <row r="109">
          <cell r="C109">
            <v>313195</v>
          </cell>
          <cell r="D109" t="str">
            <v>EDNA HELENIN BENITEZ GUZMAN DE ALTAN</v>
          </cell>
          <cell r="E109">
            <v>93</v>
          </cell>
          <cell r="F109" t="str">
            <v>Guerreros</v>
          </cell>
        </row>
        <row r="110">
          <cell r="C110">
            <v>314524</v>
          </cell>
          <cell r="D110" t="str">
            <v>FRANCISCO ANTONIO DAVILA MORALES</v>
          </cell>
          <cell r="E110">
            <v>93</v>
          </cell>
          <cell r="F110" t="str">
            <v>Guerreros</v>
          </cell>
        </row>
        <row r="111">
          <cell r="C111">
            <v>314329</v>
          </cell>
          <cell r="D111" t="str">
            <v>FREDY JOEL LOPEZ SANTIAGO</v>
          </cell>
          <cell r="E111">
            <v>93</v>
          </cell>
          <cell r="F111" t="str">
            <v>Guerreros</v>
          </cell>
        </row>
        <row r="112">
          <cell r="C112">
            <v>313745</v>
          </cell>
          <cell r="D112" t="str">
            <v>MILVIA ALEJANDRA LOPEZ MARROQUIN</v>
          </cell>
          <cell r="E112">
            <v>93</v>
          </cell>
          <cell r="F112" t="str">
            <v>Guerreros</v>
          </cell>
        </row>
        <row r="113">
          <cell r="C113">
            <v>312288</v>
          </cell>
          <cell r="D113" t="str">
            <v>MIRIAM MARILISA HERRERA PEREZ</v>
          </cell>
          <cell r="E113">
            <v>93</v>
          </cell>
          <cell r="F113" t="str">
            <v>Guerreros</v>
          </cell>
        </row>
        <row r="114">
          <cell r="C114">
            <v>313756</v>
          </cell>
          <cell r="D114" t="str">
            <v>WALTER JOSUE CORONA BARRERA</v>
          </cell>
          <cell r="E114">
            <v>93</v>
          </cell>
          <cell r="F114" t="str">
            <v>Guerreros</v>
          </cell>
        </row>
        <row r="115">
          <cell r="C115">
            <v>312284</v>
          </cell>
          <cell r="D115" t="str">
            <v xml:space="preserve"> ARNOLDO COQUE HERNANDEZ</v>
          </cell>
          <cell r="E115">
            <v>93</v>
          </cell>
          <cell r="F115" t="str">
            <v>optimos</v>
          </cell>
        </row>
        <row r="116">
          <cell r="C116">
            <v>303585</v>
          </cell>
          <cell r="D116" t="str">
            <v xml:space="preserve"> GERBER ESTUARDO ALBIZURES ARCHILA</v>
          </cell>
          <cell r="E116">
            <v>93</v>
          </cell>
          <cell r="F116" t="str">
            <v>optimos</v>
          </cell>
        </row>
        <row r="117">
          <cell r="C117">
            <v>307846</v>
          </cell>
          <cell r="D117" t="str">
            <v xml:space="preserve"> SANDRA PATRICIA BARAN AVILA</v>
          </cell>
          <cell r="E117">
            <v>93</v>
          </cell>
          <cell r="F117" t="str">
            <v>optimos</v>
          </cell>
        </row>
        <row r="118">
          <cell r="C118">
            <v>307962</v>
          </cell>
          <cell r="D118" t="str">
            <v xml:space="preserve"> SELVYN DAVID PAYOLA AYALA</v>
          </cell>
          <cell r="E118">
            <v>93</v>
          </cell>
          <cell r="F118" t="str">
            <v>Alfa</v>
          </cell>
        </row>
        <row r="119">
          <cell r="C119">
            <v>307891</v>
          </cell>
          <cell r="D119" t="str">
            <v xml:space="preserve"> SUSANA RODRIGUEZ CORDOVA</v>
          </cell>
          <cell r="E119">
            <v>93</v>
          </cell>
          <cell r="F119" t="str">
            <v>Alfa</v>
          </cell>
        </row>
        <row r="120">
          <cell r="C120">
            <v>314413</v>
          </cell>
          <cell r="D120" t="str">
            <v>CARMEN ARELY PEREZ ESCOBAR</v>
          </cell>
          <cell r="E120">
            <v>93</v>
          </cell>
          <cell r="F120" t="str">
            <v>optimos</v>
          </cell>
        </row>
        <row r="121">
          <cell r="C121">
            <v>315237</v>
          </cell>
          <cell r="D121" t="str">
            <v>CELIA MARIELA CASTILLO BETETA</v>
          </cell>
          <cell r="E121">
            <v>93</v>
          </cell>
          <cell r="F121" t="str">
            <v>optimos</v>
          </cell>
        </row>
        <row r="122">
          <cell r="C122">
            <v>313451</v>
          </cell>
          <cell r="D122" t="str">
            <v>ERICK DIONICIO ALVAREZ FLORES</v>
          </cell>
          <cell r="E122">
            <v>93</v>
          </cell>
          <cell r="F122" t="str">
            <v>Alfa</v>
          </cell>
        </row>
        <row r="123">
          <cell r="C123">
            <v>313583</v>
          </cell>
          <cell r="D123" t="str">
            <v>LAIZA MARLENY GOMEZ GARCIA DE GOMEZ</v>
          </cell>
          <cell r="E123">
            <v>93</v>
          </cell>
          <cell r="F123" t="str">
            <v>optimos</v>
          </cell>
        </row>
        <row r="124">
          <cell r="C124">
            <v>311902</v>
          </cell>
          <cell r="D124" t="str">
            <v>MARIO RAUL MONROY MONROY</v>
          </cell>
          <cell r="E124">
            <v>93</v>
          </cell>
          <cell r="F124" t="str">
            <v>optimos</v>
          </cell>
        </row>
        <row r="125">
          <cell r="C125">
            <v>313261</v>
          </cell>
          <cell r="D125" t="str">
            <v>VIVIANA MARIBEL ORTIZ BARRIOS</v>
          </cell>
          <cell r="E125">
            <v>93</v>
          </cell>
          <cell r="F125" t="str">
            <v>optimos</v>
          </cell>
        </row>
        <row r="126">
          <cell r="C126">
            <v>309678</v>
          </cell>
          <cell r="D126" t="str">
            <v xml:space="preserve"> CARLA NOEMI IRIAS ALVAREZ</v>
          </cell>
          <cell r="E126">
            <v>93</v>
          </cell>
          <cell r="F126" t="str">
            <v>Phoenix</v>
          </cell>
        </row>
        <row r="127">
          <cell r="C127">
            <v>311704</v>
          </cell>
          <cell r="D127" t="str">
            <v xml:space="preserve"> CELEDONIA ISABEL CHAN BATZ DE ISCAYA</v>
          </cell>
          <cell r="E127">
            <v>93</v>
          </cell>
          <cell r="F127" t="str">
            <v>Phoenix</v>
          </cell>
        </row>
        <row r="128">
          <cell r="C128">
            <v>311963</v>
          </cell>
          <cell r="D128" t="str">
            <v xml:space="preserve"> GIOVANNI NOEL VALDEZ RODRIGUEZ</v>
          </cell>
          <cell r="E128">
            <v>93</v>
          </cell>
          <cell r="F128" t="str">
            <v>Phoenix</v>
          </cell>
        </row>
        <row r="129">
          <cell r="C129">
            <v>308771</v>
          </cell>
          <cell r="D129" t="str">
            <v xml:space="preserve"> GLORIA ESTEFANILLA ESPINOZA GARCIA</v>
          </cell>
          <cell r="E129">
            <v>93</v>
          </cell>
          <cell r="F129" t="str">
            <v>Phoenix</v>
          </cell>
        </row>
        <row r="130">
          <cell r="C130">
            <v>311838</v>
          </cell>
          <cell r="D130" t="str">
            <v xml:space="preserve"> SARAH NOEMY SANDOVAL POGGIO</v>
          </cell>
          <cell r="E130">
            <v>93</v>
          </cell>
          <cell r="F130" t="str">
            <v>Phoenix</v>
          </cell>
        </row>
        <row r="131">
          <cell r="C131">
            <v>315129</v>
          </cell>
          <cell r="D131" t="str">
            <v xml:space="preserve">Angel Israel Perez Perez </v>
          </cell>
          <cell r="E131">
            <v>93</v>
          </cell>
          <cell r="F131" t="str">
            <v>Phoenix</v>
          </cell>
        </row>
        <row r="132">
          <cell r="C132">
            <v>311595</v>
          </cell>
          <cell r="D132" t="str">
            <v>BILLY GIOVANNY AVALOS CASTILLO</v>
          </cell>
          <cell r="E132">
            <v>93</v>
          </cell>
          <cell r="F132" t="str">
            <v>Phoenix</v>
          </cell>
        </row>
        <row r="133">
          <cell r="C133">
            <v>313108</v>
          </cell>
          <cell r="D133" t="str">
            <v>EVELYN KARINA LORENZANA GOMEZ</v>
          </cell>
          <cell r="E133">
            <v>93</v>
          </cell>
          <cell r="F133" t="str">
            <v>Phoenix</v>
          </cell>
        </row>
        <row r="134">
          <cell r="C134">
            <v>309122</v>
          </cell>
          <cell r="D134" t="str">
            <v>GREYCI YULISSA ALIÑADO RODRIGUEZ</v>
          </cell>
          <cell r="E134">
            <v>93</v>
          </cell>
          <cell r="F134" t="str">
            <v>Phoenix</v>
          </cell>
        </row>
        <row r="135">
          <cell r="C135">
            <v>312848</v>
          </cell>
          <cell r="D135" t="str">
            <v>JUAN HUMBERTO CASTILLO GARCIA</v>
          </cell>
          <cell r="E135">
            <v>93</v>
          </cell>
          <cell r="F135" t="str">
            <v>Phoenix</v>
          </cell>
        </row>
        <row r="136">
          <cell r="C136">
            <v>315406</v>
          </cell>
          <cell r="D136" t="str">
            <v>Maria Fernandez Perez Rangel</v>
          </cell>
          <cell r="E136">
            <v>93</v>
          </cell>
          <cell r="F136" t="str">
            <v>Phoenix</v>
          </cell>
        </row>
        <row r="137">
          <cell r="C137">
            <v>314302</v>
          </cell>
          <cell r="D137" t="str">
            <v>MARIO RENE GARCIA PAREDES</v>
          </cell>
          <cell r="E137">
            <v>93</v>
          </cell>
          <cell r="F137" t="str">
            <v>Phoenix</v>
          </cell>
        </row>
        <row r="138">
          <cell r="C138">
            <v>313758</v>
          </cell>
          <cell r="D138" t="str">
            <v>MELANI ANDREA SALCEDO ACEVEDO</v>
          </cell>
          <cell r="E138">
            <v>93</v>
          </cell>
          <cell r="F138" t="str">
            <v>Phoenix</v>
          </cell>
        </row>
        <row r="139">
          <cell r="C139">
            <v>315200</v>
          </cell>
          <cell r="D139" t="str">
            <v xml:space="preserve">Yeni Amarilis Ruano </v>
          </cell>
          <cell r="E139">
            <v>93</v>
          </cell>
          <cell r="F139" t="str">
            <v>Phoenix</v>
          </cell>
        </row>
        <row r="140">
          <cell r="C140">
            <v>315593</v>
          </cell>
          <cell r="D140" t="str">
            <v>FLORA ANABELLA YAXCAL FERNANDEZ</v>
          </cell>
          <cell r="E140">
            <v>93</v>
          </cell>
          <cell r="F140" t="str">
            <v>AGUILAS</v>
          </cell>
        </row>
        <row r="141">
          <cell r="C141">
            <v>315595</v>
          </cell>
          <cell r="D141" t="str">
            <v xml:space="preserve">JAQUELINE PAOLA SANTIZO ROMAN </v>
          </cell>
          <cell r="E141">
            <v>93</v>
          </cell>
          <cell r="F141" t="str">
            <v>Alfa</v>
          </cell>
        </row>
        <row r="142">
          <cell r="C142">
            <v>315292</v>
          </cell>
          <cell r="D142" t="str">
            <v>MIJAIL ERICK JOAQUIN MORALES ORTIZ</v>
          </cell>
          <cell r="E142">
            <v>93</v>
          </cell>
          <cell r="F142" t="str">
            <v>ALFA</v>
          </cell>
        </row>
        <row r="143">
          <cell r="C143">
            <v>315657</v>
          </cell>
          <cell r="D143" t="str">
            <v>HUGO EZEQUIEL GUEVARA GOMEZ</v>
          </cell>
          <cell r="E143">
            <v>93</v>
          </cell>
          <cell r="F143" t="str">
            <v>ALFA</v>
          </cell>
        </row>
        <row r="144">
          <cell r="C144">
            <v>315555</v>
          </cell>
          <cell r="D144" t="str">
            <v>ELISEO MACARIO CARRILLO</v>
          </cell>
          <cell r="E144">
            <v>93</v>
          </cell>
          <cell r="F144" t="str">
            <v>ALFA</v>
          </cell>
        </row>
        <row r="145">
          <cell r="C145">
            <v>315575</v>
          </cell>
          <cell r="D145" t="str">
            <v>Judith Sarai Medrano Orellana</v>
          </cell>
          <cell r="E145">
            <v>93</v>
          </cell>
          <cell r="F145" t="str">
            <v>Champions</v>
          </cell>
        </row>
        <row r="146">
          <cell r="C146">
            <v>315653</v>
          </cell>
          <cell r="D146" t="str">
            <v>Edgar Danilo Monterroso Mendez</v>
          </cell>
          <cell r="E146">
            <v>93</v>
          </cell>
          <cell r="F146" t="str">
            <v>Champions</v>
          </cell>
        </row>
        <row r="147">
          <cell r="C147">
            <v>315666</v>
          </cell>
          <cell r="D147" t="str">
            <v>sindy sanchez</v>
          </cell>
          <cell r="E147">
            <v>93</v>
          </cell>
          <cell r="F147" t="str">
            <v>Elements</v>
          </cell>
        </row>
        <row r="148">
          <cell r="C148">
            <v>315847</v>
          </cell>
          <cell r="D148" t="str">
            <v>YEFRI ESTUARDO LOPEZ VELASQUEZ</v>
          </cell>
          <cell r="E148">
            <v>93</v>
          </cell>
          <cell r="F148" t="str">
            <v>Espartanos</v>
          </cell>
        </row>
        <row r="149">
          <cell r="C149">
            <v>315814</v>
          </cell>
          <cell r="D149" t="str">
            <v xml:space="preserve">Jorge Alejandro Paz </v>
          </cell>
          <cell r="E149">
            <v>93</v>
          </cell>
          <cell r="F149" t="str">
            <v>ALFA</v>
          </cell>
        </row>
        <row r="150">
          <cell r="C150">
            <v>315986</v>
          </cell>
          <cell r="D150" t="str">
            <v>KELVIN AMERICO SOSA OCHOA</v>
          </cell>
          <cell r="E150">
            <v>93</v>
          </cell>
          <cell r="F150" t="str">
            <v>Espartanos</v>
          </cell>
        </row>
        <row r="151">
          <cell r="C151">
            <v>315916</v>
          </cell>
          <cell r="D151" t="str">
            <v xml:space="preserve">Maria Alejandra Garcia Lara </v>
          </cell>
          <cell r="E151">
            <v>93</v>
          </cell>
          <cell r="F151" t="str">
            <v>AGUILAS</v>
          </cell>
        </row>
        <row r="152">
          <cell r="C152">
            <v>315841</v>
          </cell>
          <cell r="D152" t="str">
            <v>Lesbia Roxana Rojas Castro</v>
          </cell>
          <cell r="E152">
            <v>93</v>
          </cell>
          <cell r="F152" t="str">
            <v>optimos</v>
          </cell>
        </row>
        <row r="153">
          <cell r="C153">
            <v>315925</v>
          </cell>
          <cell r="D153" t="str">
            <v>JOSTHYN RAUL PARDO OBREGON</v>
          </cell>
          <cell r="E153">
            <v>93</v>
          </cell>
          <cell r="F153" t="str">
            <v>optimos</v>
          </cell>
        </row>
        <row r="154">
          <cell r="C154">
            <v>315998</v>
          </cell>
          <cell r="D154" t="str">
            <v>JAIRO OMAR FLORES CHITAY</v>
          </cell>
          <cell r="E154">
            <v>93</v>
          </cell>
          <cell r="F154" t="str">
            <v>ELITE</v>
          </cell>
        </row>
        <row r="155">
          <cell r="C155">
            <v>316035</v>
          </cell>
          <cell r="D155" t="str">
            <v xml:space="preserve">Abner Antonio Dávila de Paz                    </v>
          </cell>
          <cell r="E155">
            <v>93</v>
          </cell>
          <cell r="F155" t="str">
            <v>optimos</v>
          </cell>
        </row>
        <row r="156">
          <cell r="C156">
            <v>316021</v>
          </cell>
          <cell r="D156" t="str">
            <v xml:space="preserve">Dulce Maricela Torres Castillo                 </v>
          </cell>
          <cell r="E156">
            <v>93</v>
          </cell>
          <cell r="F156" t="str">
            <v>optimos</v>
          </cell>
        </row>
        <row r="157">
          <cell r="C157">
            <v>316023</v>
          </cell>
          <cell r="D157" t="str">
            <v xml:space="preserve">María Angelica Trujillo Coronado            </v>
          </cell>
          <cell r="E157">
            <v>93</v>
          </cell>
          <cell r="F157" t="str">
            <v>Elements</v>
          </cell>
        </row>
        <row r="158">
          <cell r="C158">
            <v>315997</v>
          </cell>
          <cell r="D158" t="str">
            <v>Sindy Melissa Duarte Colindres</v>
          </cell>
          <cell r="E158">
            <v>93</v>
          </cell>
          <cell r="F158" t="str">
            <v>Champions</v>
          </cell>
        </row>
        <row r="159">
          <cell r="C159">
            <v>314921</v>
          </cell>
          <cell r="D159" t="str">
            <v>JOSSELINE AMARILIZ MARROQUIN MERIDA</v>
          </cell>
          <cell r="E159">
            <v>93</v>
          </cell>
          <cell r="F159" t="str">
            <v>alfa</v>
          </cell>
        </row>
        <row r="160">
          <cell r="C160">
            <v>316125</v>
          </cell>
          <cell r="D160" t="str">
            <v>MALCKY JASMIN HERRERA HERNANDEZ</v>
          </cell>
          <cell r="E160">
            <v>93</v>
          </cell>
          <cell r="F160" t="str">
            <v>Guerreros</v>
          </cell>
        </row>
        <row r="161">
          <cell r="C161">
            <v>316293</v>
          </cell>
          <cell r="D161" t="str">
            <v>LUCIO OMAR CHAVEZ CHAVEZ</v>
          </cell>
          <cell r="E161">
            <v>93</v>
          </cell>
          <cell r="F161" t="str">
            <v>Espartanos</v>
          </cell>
        </row>
        <row r="162">
          <cell r="C162">
            <v>316263</v>
          </cell>
          <cell r="D162" t="str">
            <v xml:space="preserve">Luis Fernando Lopez Vasquez </v>
          </cell>
          <cell r="E162">
            <v>93</v>
          </cell>
          <cell r="F162" t="str">
            <v>Elements</v>
          </cell>
        </row>
        <row r="163">
          <cell r="C163">
            <v>316378</v>
          </cell>
          <cell r="D163" t="str">
            <v>Elisa Bravo</v>
          </cell>
          <cell r="E163">
            <v>93</v>
          </cell>
          <cell r="F163" t="str">
            <v>Champions</v>
          </cell>
        </row>
        <row r="164">
          <cell r="C164">
            <v>316385</v>
          </cell>
          <cell r="D164" t="str">
            <v>LINDA ARACELY GARCIA BETETA</v>
          </cell>
          <cell r="E164">
            <v>93</v>
          </cell>
          <cell r="F164" t="str">
            <v>Guerreros</v>
          </cell>
        </row>
        <row r="165">
          <cell r="C165">
            <v>312588</v>
          </cell>
          <cell r="D165" t="str">
            <v>HECTOR MANUEL POJOY BERDUO</v>
          </cell>
          <cell r="E165">
            <v>93</v>
          </cell>
          <cell r="F165" t="str">
            <v>Phoenix</v>
          </cell>
        </row>
        <row r="166">
          <cell r="C166">
            <v>315983</v>
          </cell>
          <cell r="D166" t="str">
            <v>JUAN CARLOS ALVAREZ CHINCHILLA</v>
          </cell>
          <cell r="E166">
            <v>93</v>
          </cell>
          <cell r="F166" t="str">
            <v>ELITE</v>
          </cell>
        </row>
        <row r="167">
          <cell r="C167">
            <v>316486</v>
          </cell>
          <cell r="D167" t="str">
            <v>MIGUEL RODRIGO GONZALEZ RAMIREZ</v>
          </cell>
          <cell r="E167">
            <v>93</v>
          </cell>
          <cell r="F167" t="str">
            <v>optimos</v>
          </cell>
        </row>
        <row r="168">
          <cell r="C168">
            <v>316488</v>
          </cell>
          <cell r="D168" t="str">
            <v>LUIS ANGEL PEÑALONZO MUÑOS</v>
          </cell>
          <cell r="E168">
            <v>93</v>
          </cell>
          <cell r="F168" t="str">
            <v>ELITE</v>
          </cell>
        </row>
        <row r="169">
          <cell r="C169">
            <v>90009437</v>
          </cell>
          <cell r="D169" t="str">
            <v>LESTER MANFREDO GONZALEZ DE PAZ</v>
          </cell>
          <cell r="E169">
            <v>93</v>
          </cell>
          <cell r="F169" t="str">
            <v>ELITE</v>
          </cell>
        </row>
        <row r="170">
          <cell r="C170">
            <v>90009397</v>
          </cell>
          <cell r="D170" t="str">
            <v>Luis Rodolfo Carranza</v>
          </cell>
          <cell r="E170">
            <v>93</v>
          </cell>
          <cell r="F170" t="str">
            <v>Champions</v>
          </cell>
        </row>
        <row r="171">
          <cell r="C171">
            <v>316489</v>
          </cell>
          <cell r="D171" t="str">
            <v>YUSLENI DORALI ANZUETO VASQUEZ</v>
          </cell>
          <cell r="E171">
            <v>93</v>
          </cell>
          <cell r="F171" t="str">
            <v>ELITE</v>
          </cell>
        </row>
        <row r="172">
          <cell r="C172">
            <v>90012228</v>
          </cell>
          <cell r="D172" t="str">
            <v xml:space="preserve">Sandra Elizabeth Citalan Hernandez </v>
          </cell>
          <cell r="E172">
            <v>93</v>
          </cell>
          <cell r="F172" t="str">
            <v>ELITE</v>
          </cell>
        </row>
        <row r="173">
          <cell r="C173">
            <v>90015631</v>
          </cell>
          <cell r="D173" t="str">
            <v xml:space="preserve">Jeissy Dariela Castellanos Hernandez     </v>
          </cell>
          <cell r="E173">
            <v>93</v>
          </cell>
          <cell r="F173" t="str">
            <v>optimos</v>
          </cell>
        </row>
        <row r="174">
          <cell r="C174">
            <v>90015630</v>
          </cell>
          <cell r="D174" t="str">
            <v xml:space="preserve">Mauricio León Ruano                                </v>
          </cell>
          <cell r="E174">
            <v>93</v>
          </cell>
          <cell r="F174" t="str">
            <v>optimos</v>
          </cell>
        </row>
        <row r="175">
          <cell r="C175">
            <v>90009250</v>
          </cell>
          <cell r="D175" t="str">
            <v>YOSELIN YESENIA PEREZ JIMENEZ</v>
          </cell>
          <cell r="E175">
            <v>93</v>
          </cell>
          <cell r="F175" t="str">
            <v>Alfa</v>
          </cell>
        </row>
        <row r="176">
          <cell r="C176">
            <v>90012180</v>
          </cell>
          <cell r="D176" t="str">
            <v>CINDY MAYROBY OSCAL QUIÑONEZ</v>
          </cell>
          <cell r="E176">
            <v>93</v>
          </cell>
          <cell r="F176" t="str">
            <v>optimos</v>
          </cell>
        </row>
        <row r="177">
          <cell r="C177">
            <v>90016106</v>
          </cell>
          <cell r="D177" t="str">
            <v>HUBER RANDOLFO ALAY Y ALAY</v>
          </cell>
          <cell r="E177">
            <v>93</v>
          </cell>
          <cell r="F177" t="str">
            <v>Jireh</v>
          </cell>
        </row>
        <row r="178">
          <cell r="C178">
            <v>90018997</v>
          </cell>
          <cell r="D178" t="str">
            <v>Daniel Uvaldo Barreno Meneses</v>
          </cell>
          <cell r="E178">
            <v>93</v>
          </cell>
          <cell r="F178" t="str">
            <v>Elements</v>
          </cell>
        </row>
        <row r="179">
          <cell r="C179">
            <v>90019689</v>
          </cell>
          <cell r="D179" t="str">
            <v xml:space="preserve">HELEN YADIRA DE LEON QUIÑONEZ </v>
          </cell>
          <cell r="E179">
            <v>93</v>
          </cell>
          <cell r="F179" t="str">
            <v>Phoenix</v>
          </cell>
        </row>
        <row r="180">
          <cell r="C180">
            <v>90024021</v>
          </cell>
          <cell r="D180" t="str">
            <v xml:space="preserve">Manuel Estuardo Mejia Ayerdi </v>
          </cell>
          <cell r="E180">
            <v>93</v>
          </cell>
          <cell r="F180" t="str">
            <v>Espartanos</v>
          </cell>
        </row>
        <row r="181">
          <cell r="C181">
            <v>90023811</v>
          </cell>
          <cell r="D181" t="str">
            <v xml:space="preserve">Odeira Odet Juarez Morales                    </v>
          </cell>
          <cell r="E181">
            <v>93</v>
          </cell>
          <cell r="F181" t="str">
            <v>Phoenix</v>
          </cell>
        </row>
        <row r="182">
          <cell r="C182">
            <v>90023868</v>
          </cell>
          <cell r="D182" t="str">
            <v xml:space="preserve">Fernando René Gil de León                      </v>
          </cell>
          <cell r="E182">
            <v>93</v>
          </cell>
          <cell r="F182" t="str">
            <v>optimos</v>
          </cell>
        </row>
        <row r="183">
          <cell r="C183">
            <v>90024683</v>
          </cell>
          <cell r="D183" t="str">
            <v>JOSIAS MISAEL LOPEZ LEMUS</v>
          </cell>
          <cell r="E183">
            <v>93</v>
          </cell>
          <cell r="F183" t="str">
            <v>Champions</v>
          </cell>
        </row>
        <row r="184">
          <cell r="C184">
            <v>313694</v>
          </cell>
          <cell r="D184" t="str">
            <v>ALEX HUMBERTO MONTEZUMA</v>
          </cell>
          <cell r="E184">
            <v>93</v>
          </cell>
          <cell r="F184" t="str">
            <v>optimos</v>
          </cell>
        </row>
        <row r="185">
          <cell r="C185">
            <v>90024719</v>
          </cell>
          <cell r="D185" t="str">
            <v>Cristopher Josue Chanquin Flores</v>
          </cell>
          <cell r="E185">
            <v>93</v>
          </cell>
          <cell r="F185" t="str">
            <v>Alfa</v>
          </cell>
        </row>
        <row r="186">
          <cell r="C186">
            <v>90025289</v>
          </cell>
          <cell r="D186" t="str">
            <v>DIEGO ALEJANDRO DONIS JUAREZ</v>
          </cell>
          <cell r="E186">
            <v>93</v>
          </cell>
          <cell r="F186" t="str">
            <v>Elements</v>
          </cell>
        </row>
        <row r="187">
          <cell r="C187">
            <v>90034878</v>
          </cell>
          <cell r="D187" t="str">
            <v xml:space="preserve">Wilmer Alexander Hernandez Santos </v>
          </cell>
          <cell r="E187">
            <v>93</v>
          </cell>
          <cell r="F187" t="str">
            <v>Elite</v>
          </cell>
        </row>
        <row r="188">
          <cell r="C188">
            <v>90034705</v>
          </cell>
          <cell r="D188" t="str">
            <v xml:space="preserve">Alexander Josue Hurtado Palencia </v>
          </cell>
          <cell r="E188">
            <v>93</v>
          </cell>
          <cell r="F188" t="str">
            <v>Champions</v>
          </cell>
        </row>
        <row r="189">
          <cell r="C189">
            <v>90034745</v>
          </cell>
          <cell r="D189" t="str">
            <v>Marco Tulio Godoy Garcia</v>
          </cell>
          <cell r="E189">
            <v>93</v>
          </cell>
          <cell r="F189" t="str">
            <v>Champions</v>
          </cell>
        </row>
        <row r="190">
          <cell r="C190">
            <v>90034730</v>
          </cell>
          <cell r="D190" t="str">
            <v>Jose Angel Choguix Peren</v>
          </cell>
          <cell r="E190">
            <v>93</v>
          </cell>
          <cell r="F190" t="str">
            <v>Champions</v>
          </cell>
        </row>
        <row r="191">
          <cell r="C191">
            <v>90038303</v>
          </cell>
          <cell r="D191" t="str">
            <v xml:space="preserve">Victor Manuel Perez Salazar </v>
          </cell>
          <cell r="E191">
            <v>93</v>
          </cell>
          <cell r="F191" t="str">
            <v>Phoenix</v>
          </cell>
        </row>
        <row r="192">
          <cell r="C192">
            <v>90039301</v>
          </cell>
          <cell r="D192" t="str">
            <v xml:space="preserve">GABBY MARIETT BAUTISTA BAUTISTA           </v>
          </cell>
          <cell r="E192">
            <v>93</v>
          </cell>
          <cell r="F192" t="str">
            <v>optimos</v>
          </cell>
        </row>
        <row r="193">
          <cell r="C193">
            <v>90038829</v>
          </cell>
          <cell r="D193" t="str">
            <v>LESLY ALEJANDRA ZETO PEREZ</v>
          </cell>
          <cell r="E193">
            <v>93</v>
          </cell>
          <cell r="F193" t="str">
            <v>Phoenix</v>
          </cell>
        </row>
        <row r="194">
          <cell r="C194">
            <v>90039124</v>
          </cell>
          <cell r="D194" t="str">
            <v>PABLO JAVIER REINOSA FUENTES</v>
          </cell>
          <cell r="E194">
            <v>93</v>
          </cell>
          <cell r="F194" t="str">
            <v>ALFA</v>
          </cell>
        </row>
        <row r="195">
          <cell r="C195">
            <v>90039302</v>
          </cell>
          <cell r="D195" t="str">
            <v>DENNIS ALEXANDER ESQUIVEL GALEANO</v>
          </cell>
          <cell r="E195">
            <v>93</v>
          </cell>
          <cell r="F195" t="str">
            <v>Champions</v>
          </cell>
        </row>
        <row r="196">
          <cell r="C196">
            <v>90040434</v>
          </cell>
          <cell r="D196" t="str">
            <v xml:space="preserve">Elvis Armando Perez Urizar </v>
          </cell>
          <cell r="E196">
            <v>93</v>
          </cell>
          <cell r="F196" t="str">
            <v>Champions</v>
          </cell>
        </row>
        <row r="197">
          <cell r="C197">
            <v>90039317</v>
          </cell>
          <cell r="D197" t="str">
            <v>JOSUE MIGUEL PEREZ DONIS</v>
          </cell>
          <cell r="E197">
            <v>93</v>
          </cell>
          <cell r="F197" t="str">
            <v>ELEMENTS</v>
          </cell>
        </row>
        <row r="198">
          <cell r="C198">
            <v>90039521</v>
          </cell>
          <cell r="D198" t="str">
            <v>VILA LUCRECIA VANEGAS MORALES</v>
          </cell>
          <cell r="E198">
            <v>93</v>
          </cell>
          <cell r="F198" t="str">
            <v>ELEMENTS</v>
          </cell>
        </row>
        <row r="199">
          <cell r="C199">
            <v>90039498</v>
          </cell>
          <cell r="D199" t="str">
            <v>JESUS ALBERTO LIMA DIAZ</v>
          </cell>
          <cell r="E199">
            <v>93</v>
          </cell>
          <cell r="F199" t="str">
            <v>ESPARTANOS</v>
          </cell>
        </row>
        <row r="200">
          <cell r="C200">
            <v>90039514</v>
          </cell>
          <cell r="D200" t="str">
            <v>MADELIN IBETT CHACON YAT</v>
          </cell>
          <cell r="E200">
            <v>93</v>
          </cell>
          <cell r="F200" t="str">
            <v>ESPARTANOS</v>
          </cell>
        </row>
        <row r="201">
          <cell r="C201">
            <v>90039668</v>
          </cell>
          <cell r="D201" t="str">
            <v>DEISY LIZET PEREZ OLIVA</v>
          </cell>
          <cell r="E201">
            <v>93</v>
          </cell>
          <cell r="F201" t="str">
            <v>ESPARTANOS</v>
          </cell>
        </row>
        <row r="202">
          <cell r="C202">
            <v>90039690</v>
          </cell>
          <cell r="D202" t="str">
            <v>SUSANA MARILETH JUAREZ GALO</v>
          </cell>
          <cell r="E202">
            <v>93</v>
          </cell>
          <cell r="F202" t="str">
            <v>ESPARTANOS</v>
          </cell>
        </row>
        <row r="203">
          <cell r="C203">
            <v>90039821</v>
          </cell>
          <cell r="D203" t="str">
            <v>BRANDON ALEXIS ALVARADO MORALES</v>
          </cell>
          <cell r="E203">
            <v>93</v>
          </cell>
          <cell r="F203" t="str">
            <v>ESPARTANOS</v>
          </cell>
        </row>
        <row r="204">
          <cell r="C204">
            <v>90039908</v>
          </cell>
          <cell r="D204" t="str">
            <v>MAYRA ALEJANDRA CARRETO BONILLA</v>
          </cell>
          <cell r="E204">
            <v>93</v>
          </cell>
          <cell r="F204" t="str">
            <v>ESPARTANOS</v>
          </cell>
        </row>
        <row r="205">
          <cell r="C205">
            <v>90039956</v>
          </cell>
          <cell r="D205" t="str">
            <v>JAQUELINE ADRIANA DIAZ MONTERROSO</v>
          </cell>
          <cell r="E205">
            <v>93</v>
          </cell>
          <cell r="F205" t="str">
            <v>ESPARTANOS</v>
          </cell>
        </row>
        <row r="206">
          <cell r="C206">
            <v>90039750</v>
          </cell>
          <cell r="D206" t="str">
            <v>ERIK BAUDILIO BETETA</v>
          </cell>
          <cell r="E206">
            <v>93</v>
          </cell>
          <cell r="F206" t="str">
            <v>ESPARTANOS</v>
          </cell>
        </row>
        <row r="207">
          <cell r="C207">
            <v>90039872</v>
          </cell>
          <cell r="D207" t="str">
            <v>GLENDA DE JESUS MEJIA RAMIREZ</v>
          </cell>
          <cell r="E207">
            <v>93</v>
          </cell>
          <cell r="F207" t="str">
            <v>ESPARTANOS</v>
          </cell>
        </row>
        <row r="208">
          <cell r="C208">
            <v>90040156</v>
          </cell>
          <cell r="D208" t="str">
            <v>EVA ISABEL LOPEZ GUTIERREZ</v>
          </cell>
          <cell r="E208">
            <v>93</v>
          </cell>
          <cell r="F208" t="str">
            <v>ESPARTANOS</v>
          </cell>
        </row>
        <row r="209">
          <cell r="C209">
            <v>90039873</v>
          </cell>
          <cell r="D209" t="str">
            <v>CARLOS FERNANDO OCHOA CONTRERAS</v>
          </cell>
          <cell r="E209">
            <v>93</v>
          </cell>
          <cell r="F209" t="str">
            <v>ESPARTANOS</v>
          </cell>
        </row>
        <row r="210">
          <cell r="C210">
            <v>90040461</v>
          </cell>
          <cell r="D210" t="str">
            <v xml:space="preserve">JONATHAN FERNANDO GOMEZ VILLATORO          </v>
          </cell>
          <cell r="E210">
            <v>93</v>
          </cell>
          <cell r="F210" t="str">
            <v>ALFA</v>
          </cell>
        </row>
        <row r="211">
          <cell r="C211">
            <v>90034639</v>
          </cell>
          <cell r="D211" t="str">
            <v>JONATHAN JOSE CAJINA MONTERROSO</v>
          </cell>
          <cell r="E211">
            <v>93</v>
          </cell>
          <cell r="F211" t="str">
            <v>PHOENIX</v>
          </cell>
        </row>
        <row r="212">
          <cell r="C212">
            <v>90040153</v>
          </cell>
          <cell r="D212" t="str">
            <v>FRANKLIN ALEXANDER GOMEZ URIZAR</v>
          </cell>
          <cell r="E212">
            <v>93</v>
          </cell>
          <cell r="F212" t="str">
            <v>ESPARTANOS</v>
          </cell>
        </row>
        <row r="213">
          <cell r="C213">
            <v>90039988</v>
          </cell>
          <cell r="D213" t="str">
            <v>STEFANIE ROCIO NAJERA MARQUEZ</v>
          </cell>
          <cell r="E213">
            <v>93</v>
          </cell>
          <cell r="F213" t="str">
            <v>ESPARTANOS</v>
          </cell>
        </row>
        <row r="214">
          <cell r="C214">
            <v>90040350</v>
          </cell>
          <cell r="D214" t="str">
            <v>HEIDY MARIA PAMELA BARRIENTOS MELGAR</v>
          </cell>
          <cell r="E214">
            <v>93</v>
          </cell>
          <cell r="F214" t="str">
            <v>ESPARTANOS</v>
          </cell>
        </row>
        <row r="215">
          <cell r="C215">
            <v>90040281</v>
          </cell>
          <cell r="D215" t="str">
            <v>CARLOS ANTONIO JUL COC</v>
          </cell>
          <cell r="E215">
            <v>93</v>
          </cell>
          <cell r="F215" t="str">
            <v>ESPARTANOS</v>
          </cell>
        </row>
        <row r="216">
          <cell r="C216">
            <v>90040530</v>
          </cell>
          <cell r="D216" t="str">
            <v>CARLOS EDUARDO HERNANDEZ GARCIA</v>
          </cell>
          <cell r="E216">
            <v>93</v>
          </cell>
          <cell r="F216" t="str">
            <v>ESPARTANOS</v>
          </cell>
        </row>
        <row r="217">
          <cell r="C217">
            <v>90040631</v>
          </cell>
          <cell r="D217" t="str">
            <v>CINDY PAOLA AGUILAR JOLON</v>
          </cell>
          <cell r="E217">
            <v>93</v>
          </cell>
          <cell r="F217" t="str">
            <v>ESPARTANOS</v>
          </cell>
        </row>
        <row r="218">
          <cell r="C218">
            <v>316227</v>
          </cell>
          <cell r="D218" t="str">
            <v>ALLISON MIRELLA SALGUERO LOPEZ</v>
          </cell>
          <cell r="E218">
            <v>93</v>
          </cell>
          <cell r="F218" t="str">
            <v>Champions</v>
          </cell>
        </row>
        <row r="219">
          <cell r="C219">
            <v>90046255</v>
          </cell>
          <cell r="D219" t="str">
            <v>VICTOR HUGO FUENTES ORTIZ</v>
          </cell>
          <cell r="E219">
            <v>93</v>
          </cell>
          <cell r="F219" t="str">
            <v>OPTIMOS</v>
          </cell>
        </row>
        <row r="220">
          <cell r="C220">
            <v>90041342</v>
          </cell>
          <cell r="D220" t="str">
            <v>LESTER AARON LOPEZ ORANTES</v>
          </cell>
          <cell r="E220">
            <v>93</v>
          </cell>
          <cell r="F220" t="str">
            <v>PHOENIX</v>
          </cell>
        </row>
        <row r="221">
          <cell r="C221">
            <v>90041399</v>
          </cell>
          <cell r="D221" t="str">
            <v>EDGAR ALEXANDER TOC DEL AGUILA</v>
          </cell>
          <cell r="E221">
            <v>93</v>
          </cell>
          <cell r="F221" t="str">
            <v>ESPARTANOS</v>
          </cell>
        </row>
        <row r="222">
          <cell r="C222">
            <v>90047663</v>
          </cell>
          <cell r="D222" t="str">
            <v>SENDER MARGARITO RIVERA HERNANDEZ</v>
          </cell>
          <cell r="E222">
            <v>93</v>
          </cell>
          <cell r="F222" t="str">
            <v>ELITE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CIEMBREE 2024"/>
      <sheetName val="Datos"/>
      <sheetName val="DEV"/>
    </sheetNames>
    <sheetDataSet>
      <sheetData sheetId="0">
        <row r="51">
          <cell r="G51" t="str">
            <v>JOSE DE LA CRUZ BURGOS SUCHITE</v>
          </cell>
          <cell r="M51">
            <v>315570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japita 2026"/>
      <sheetName val="Datos"/>
    </sheetNames>
    <sheetDataSet>
      <sheetData sheetId="0" refreshError="1"/>
      <sheetData sheetId="1">
        <row r="1">
          <cell r="F1" t="str">
            <v>Codigo Empleado</v>
          </cell>
          <cell r="G1" t="str">
            <v>Nombre Empleado</v>
          </cell>
        </row>
        <row r="2">
          <cell r="F2">
            <v>314692</v>
          </cell>
          <cell r="G2" t="str">
            <v>Abi Susana Santos Alvarado</v>
          </cell>
        </row>
        <row r="3">
          <cell r="F3">
            <v>313537</v>
          </cell>
          <cell r="G3" t="str">
            <v>Abigail Nohemi Letona Lopez</v>
          </cell>
        </row>
        <row r="4">
          <cell r="F4">
            <v>314163</v>
          </cell>
          <cell r="G4" t="str">
            <v>Abner Amilcar Miguel Pedro</v>
          </cell>
        </row>
        <row r="5">
          <cell r="F5">
            <v>300544</v>
          </cell>
          <cell r="G5" t="str">
            <v>Abner Enmanuel Perez Rodriguez</v>
          </cell>
        </row>
        <row r="6">
          <cell r="F6">
            <v>315208</v>
          </cell>
          <cell r="G6" t="str">
            <v>Abner Juan Alexander Menchu Tiu</v>
          </cell>
        </row>
        <row r="7">
          <cell r="F7">
            <v>315069</v>
          </cell>
          <cell r="G7" t="str">
            <v>Abner Rocael Sosa Escobar</v>
          </cell>
        </row>
        <row r="8">
          <cell r="F8">
            <v>310864</v>
          </cell>
          <cell r="G8" t="str">
            <v>Adelaida Garcia Hernandez</v>
          </cell>
        </row>
        <row r="9">
          <cell r="F9">
            <v>314604</v>
          </cell>
          <cell r="G9" t="str">
            <v>Adieny Moren Ramirez Gamboa</v>
          </cell>
        </row>
        <row r="10">
          <cell r="F10">
            <v>311687</v>
          </cell>
          <cell r="G10" t="str">
            <v>Aida Gabriela De Leon Carrascoza</v>
          </cell>
        </row>
        <row r="11">
          <cell r="F11">
            <v>315221</v>
          </cell>
          <cell r="G11" t="str">
            <v>Alan David Perez Muyus</v>
          </cell>
        </row>
        <row r="12">
          <cell r="F12">
            <v>311950</v>
          </cell>
          <cell r="G12" t="str">
            <v>Alan Javier Castillo Ordoñez</v>
          </cell>
        </row>
        <row r="13">
          <cell r="F13">
            <v>313765</v>
          </cell>
          <cell r="G13" t="str">
            <v>Alan Ricardo Flores Diaz</v>
          </cell>
        </row>
        <row r="14">
          <cell r="F14">
            <v>312686</v>
          </cell>
          <cell r="G14" t="str">
            <v>Alba Azucena Santeliz Marin</v>
          </cell>
        </row>
        <row r="15">
          <cell r="F15">
            <v>313531</v>
          </cell>
          <cell r="G15" t="str">
            <v>Alejandra Gramajo Marroquin</v>
          </cell>
        </row>
        <row r="16">
          <cell r="F16">
            <v>313714</v>
          </cell>
          <cell r="G16" t="str">
            <v>Alejandra Julissa Solis Aguilar</v>
          </cell>
        </row>
        <row r="17">
          <cell r="F17">
            <v>313994</v>
          </cell>
          <cell r="G17" t="str">
            <v>Alejandra Naime Muñoz Letona</v>
          </cell>
        </row>
        <row r="18">
          <cell r="F18">
            <v>314849</v>
          </cell>
          <cell r="G18" t="str">
            <v>Alejandro Enrique Mejicanos Ramos</v>
          </cell>
        </row>
        <row r="19">
          <cell r="F19">
            <v>315220</v>
          </cell>
          <cell r="G19" t="str">
            <v>Alejandro Jose Mont Diaz</v>
          </cell>
        </row>
        <row r="20">
          <cell r="F20">
            <v>311810</v>
          </cell>
          <cell r="G20" t="str">
            <v>Alexander Macario Gonzalez Monterroso</v>
          </cell>
        </row>
        <row r="21">
          <cell r="F21">
            <v>300907</v>
          </cell>
          <cell r="G21" t="str">
            <v>Alexangel Quan Urrutia</v>
          </cell>
        </row>
        <row r="22">
          <cell r="F22">
            <v>312962</v>
          </cell>
          <cell r="G22" t="str">
            <v>Alexia Paola Marroquin Lopez</v>
          </cell>
        </row>
        <row r="23">
          <cell r="F23">
            <v>314671</v>
          </cell>
          <cell r="G23" t="str">
            <v>Alexsandra Daniela Cano Garcia</v>
          </cell>
        </row>
        <row r="24">
          <cell r="F24">
            <v>311103</v>
          </cell>
          <cell r="G24" t="str">
            <v>Alfredo Chiyal Bocel</v>
          </cell>
        </row>
        <row r="25">
          <cell r="F25">
            <v>311576</v>
          </cell>
          <cell r="G25" t="str">
            <v>Alfredo Gomez Lancerio</v>
          </cell>
        </row>
        <row r="26">
          <cell r="F26">
            <v>313014</v>
          </cell>
          <cell r="G26" t="str">
            <v>Alfredo Monsanto Santos</v>
          </cell>
        </row>
        <row r="27">
          <cell r="F27">
            <v>315223</v>
          </cell>
          <cell r="G27" t="str">
            <v>Alicia Magaly Juarez Quiacain</v>
          </cell>
        </row>
        <row r="28">
          <cell r="F28">
            <v>314035</v>
          </cell>
          <cell r="G28" t="str">
            <v>Alisson Andrea Jacobo Castro</v>
          </cell>
        </row>
        <row r="29">
          <cell r="F29">
            <v>315214</v>
          </cell>
          <cell r="G29" t="str">
            <v>Allan David Galdamez De Leon</v>
          </cell>
        </row>
        <row r="30">
          <cell r="F30">
            <v>306902</v>
          </cell>
          <cell r="G30" t="str">
            <v>Allan Kalleb Garcia Cahuex</v>
          </cell>
        </row>
        <row r="31">
          <cell r="F31">
            <v>315434</v>
          </cell>
          <cell r="G31" t="str">
            <v>Alma Carolina Herrera Pirir</v>
          </cell>
        </row>
        <row r="32">
          <cell r="F32">
            <v>315280</v>
          </cell>
          <cell r="G32" t="str">
            <v>Alma Rosa Valle Blandon</v>
          </cell>
        </row>
        <row r="33">
          <cell r="F33">
            <v>302247</v>
          </cell>
          <cell r="G33" t="str">
            <v>Alma Yecenia Ramon Oroxon</v>
          </cell>
        </row>
        <row r="34">
          <cell r="F34">
            <v>310433</v>
          </cell>
          <cell r="G34" t="str">
            <v>Alma Zucely Sarceño Peralta</v>
          </cell>
        </row>
        <row r="35">
          <cell r="F35">
            <v>313286</v>
          </cell>
          <cell r="G35" t="str">
            <v>Alvaro Fernando Acte Mérida</v>
          </cell>
        </row>
        <row r="36">
          <cell r="F36">
            <v>313119</v>
          </cell>
          <cell r="G36" t="str">
            <v>Alvaro Luis Carias Gonzalez</v>
          </cell>
        </row>
        <row r="37">
          <cell r="F37">
            <v>313528</v>
          </cell>
          <cell r="G37" t="str">
            <v>Amairani Lilibeth Escobar Maquin</v>
          </cell>
        </row>
        <row r="38">
          <cell r="F38">
            <v>309338</v>
          </cell>
          <cell r="G38" t="str">
            <v>Amalia Rebeca Son Juarez</v>
          </cell>
        </row>
        <row r="39">
          <cell r="F39">
            <v>309664</v>
          </cell>
          <cell r="G39" t="str">
            <v>Amarilis Sarita Ajtun Lopez</v>
          </cell>
        </row>
        <row r="40">
          <cell r="F40">
            <v>309337</v>
          </cell>
          <cell r="G40" t="str">
            <v>Amauri Santillano Catalan</v>
          </cell>
        </row>
        <row r="41">
          <cell r="F41">
            <v>315553</v>
          </cell>
          <cell r="G41" t="str">
            <v>Amed Isram Rodas Garcia</v>
          </cell>
        </row>
        <row r="42">
          <cell r="F42">
            <v>301503</v>
          </cell>
          <cell r="G42" t="str">
            <v>America Romilia Martinez Ramirez</v>
          </cell>
        </row>
        <row r="43">
          <cell r="F43">
            <v>311055</v>
          </cell>
          <cell r="G43" t="str">
            <v>Amram Dodanim Lopez Cahuec</v>
          </cell>
        </row>
        <row r="44">
          <cell r="F44">
            <v>307790</v>
          </cell>
          <cell r="G44" t="str">
            <v>Ana Cecilia Navichoc Chiquival</v>
          </cell>
        </row>
        <row r="45">
          <cell r="F45">
            <v>315044</v>
          </cell>
          <cell r="G45" t="str">
            <v>Ana Celeste Garcia Garcia</v>
          </cell>
        </row>
        <row r="46">
          <cell r="F46">
            <v>309527</v>
          </cell>
          <cell r="G46" t="str">
            <v>Ana Gabriela Caal Cruz</v>
          </cell>
        </row>
        <row r="47">
          <cell r="F47">
            <v>313217</v>
          </cell>
          <cell r="G47" t="str">
            <v>Ana Gabriela Damian Ixbalan</v>
          </cell>
        </row>
        <row r="48">
          <cell r="F48">
            <v>305932</v>
          </cell>
          <cell r="G48" t="str">
            <v>Ana Gabriela De La Cruz Aguilar</v>
          </cell>
        </row>
        <row r="49">
          <cell r="F49">
            <v>314984</v>
          </cell>
          <cell r="G49" t="str">
            <v>Ana Gabriela Equite Diaz</v>
          </cell>
        </row>
        <row r="50">
          <cell r="F50">
            <v>307751</v>
          </cell>
          <cell r="G50" t="str">
            <v>Ana Gabriela Gonzalez Herrera</v>
          </cell>
        </row>
        <row r="51">
          <cell r="F51">
            <v>310329</v>
          </cell>
          <cell r="G51" t="str">
            <v>Ana Leticia Lux Say</v>
          </cell>
        </row>
        <row r="52">
          <cell r="F52">
            <v>311761</v>
          </cell>
          <cell r="G52" t="str">
            <v>Ana Lourdes Muñoz Pensamiento</v>
          </cell>
        </row>
        <row r="53">
          <cell r="F53">
            <v>311111</v>
          </cell>
          <cell r="G53" t="str">
            <v>Ana Lucia Donis Franco</v>
          </cell>
        </row>
        <row r="54">
          <cell r="F54">
            <v>313991</v>
          </cell>
          <cell r="G54" t="str">
            <v>Ana Lucia Gudiel Vasquez</v>
          </cell>
        </row>
        <row r="55">
          <cell r="F55">
            <v>307442</v>
          </cell>
          <cell r="G55" t="str">
            <v>Ana Lucia Ramirez Aquino</v>
          </cell>
        </row>
        <row r="56">
          <cell r="F56">
            <v>306767</v>
          </cell>
          <cell r="G56" t="str">
            <v>Ana Marcela Castillo Rodriguez</v>
          </cell>
        </row>
        <row r="57">
          <cell r="F57">
            <v>312249</v>
          </cell>
          <cell r="G57" t="str">
            <v>Ana Margarita Barrera Estrada</v>
          </cell>
        </row>
        <row r="58">
          <cell r="F58">
            <v>202795</v>
          </cell>
          <cell r="G58" t="str">
            <v>Ana Maria Barrios Alejos</v>
          </cell>
        </row>
        <row r="59">
          <cell r="F59">
            <v>315474</v>
          </cell>
          <cell r="G59" t="str">
            <v>Ana Merced Arriola Gomez</v>
          </cell>
        </row>
        <row r="60">
          <cell r="F60">
            <v>308129</v>
          </cell>
          <cell r="G60" t="str">
            <v>Ana Mercedes Tiul Caal</v>
          </cell>
        </row>
        <row r="61">
          <cell r="F61">
            <v>314191</v>
          </cell>
          <cell r="G61" t="str">
            <v>Ana Patricia Escobar Cardona</v>
          </cell>
        </row>
        <row r="62">
          <cell r="F62">
            <v>310191</v>
          </cell>
          <cell r="G62" t="str">
            <v>Ana Paulina Macario Del Cid</v>
          </cell>
        </row>
        <row r="63">
          <cell r="F63">
            <v>310728</v>
          </cell>
          <cell r="G63" t="str">
            <v>Ana Rita Morales Mata</v>
          </cell>
        </row>
        <row r="64">
          <cell r="F64">
            <v>314469</v>
          </cell>
          <cell r="G64" t="str">
            <v>Ana Sofia Castillo Armas</v>
          </cell>
        </row>
        <row r="65">
          <cell r="F65">
            <v>312945</v>
          </cell>
          <cell r="G65" t="str">
            <v>Ana Victoria Gonzalez Garcia</v>
          </cell>
        </row>
        <row r="66">
          <cell r="F66">
            <v>314019</v>
          </cell>
          <cell r="G66" t="str">
            <v>Anali Guadalupe Salazar Rodriguez</v>
          </cell>
        </row>
        <row r="67">
          <cell r="F67">
            <v>315372</v>
          </cell>
          <cell r="G67" t="str">
            <v>Andrea Ayalett Ochoa Lopez</v>
          </cell>
        </row>
        <row r="68">
          <cell r="F68">
            <v>311505</v>
          </cell>
          <cell r="G68" t="str">
            <v>Andrea Dayana Ordoñez Mendez</v>
          </cell>
        </row>
        <row r="69">
          <cell r="F69">
            <v>315215</v>
          </cell>
          <cell r="G69" t="str">
            <v>Andrea Fernanda Villela Hernandez</v>
          </cell>
        </row>
        <row r="70">
          <cell r="F70">
            <v>311380</v>
          </cell>
          <cell r="G70" t="str">
            <v>Andrea Lisbeth Ruiz Rodas</v>
          </cell>
        </row>
        <row r="71">
          <cell r="F71">
            <v>311137</v>
          </cell>
          <cell r="G71" t="str">
            <v>Andrea Lucia Lopez Ajin</v>
          </cell>
        </row>
        <row r="72">
          <cell r="F72">
            <v>303012</v>
          </cell>
          <cell r="G72" t="str">
            <v>Andrea Marbely Letran Juarez</v>
          </cell>
        </row>
        <row r="73">
          <cell r="F73">
            <v>315264</v>
          </cell>
          <cell r="G73" t="str">
            <v>Andrea Margarita Gomez Morales</v>
          </cell>
        </row>
        <row r="74">
          <cell r="F74">
            <v>302630</v>
          </cell>
          <cell r="G74" t="str">
            <v>Andrea Maria Alvarez Calderon</v>
          </cell>
        </row>
        <row r="75">
          <cell r="F75">
            <v>314057</v>
          </cell>
          <cell r="G75" t="str">
            <v>Andrea Michelle Urbina Solorzano</v>
          </cell>
        </row>
        <row r="76">
          <cell r="F76">
            <v>312310</v>
          </cell>
          <cell r="G76" t="str">
            <v>Andrea Paola Santisteban Per</v>
          </cell>
        </row>
        <row r="77">
          <cell r="F77">
            <v>311079</v>
          </cell>
          <cell r="G77" t="str">
            <v>Andrea Sucely Ortiz Villavicencio</v>
          </cell>
        </row>
        <row r="78">
          <cell r="F78">
            <v>311759</v>
          </cell>
          <cell r="G78" t="str">
            <v>Andrea Yesenia Carpio Ramirez</v>
          </cell>
        </row>
        <row r="79">
          <cell r="F79">
            <v>313301</v>
          </cell>
          <cell r="G79" t="str">
            <v>Andreina Antonieta Velasquez Fuentes</v>
          </cell>
        </row>
        <row r="80">
          <cell r="F80">
            <v>315450</v>
          </cell>
          <cell r="G80" t="str">
            <v>Andreina Nataly Canahui Ochoa</v>
          </cell>
        </row>
        <row r="81">
          <cell r="F81">
            <v>314933</v>
          </cell>
          <cell r="G81" t="str">
            <v>Angel Eliu Humberto Caal Lopez</v>
          </cell>
        </row>
        <row r="82">
          <cell r="F82">
            <v>306471</v>
          </cell>
          <cell r="G82" t="str">
            <v>Angel Enmanuel Quim Macz</v>
          </cell>
        </row>
        <row r="83">
          <cell r="F83">
            <v>309415</v>
          </cell>
          <cell r="G83" t="str">
            <v>Angel Jose Figueroa Garcia</v>
          </cell>
        </row>
        <row r="84">
          <cell r="F84">
            <v>315312</v>
          </cell>
          <cell r="G84" t="str">
            <v>Angel Josue Ortiz De Leon</v>
          </cell>
        </row>
        <row r="85">
          <cell r="F85">
            <v>305814</v>
          </cell>
          <cell r="G85" t="str">
            <v>Angel Josue Perez Rivera</v>
          </cell>
        </row>
        <row r="86">
          <cell r="F86">
            <v>314564</v>
          </cell>
          <cell r="G86" t="str">
            <v>Angel Raderyk Vasquez Ovando</v>
          </cell>
        </row>
        <row r="87">
          <cell r="F87">
            <v>312055</v>
          </cell>
          <cell r="G87" t="str">
            <v>Angela Daniela Mazariegos Herrera</v>
          </cell>
        </row>
        <row r="88">
          <cell r="F88">
            <v>311086</v>
          </cell>
          <cell r="G88" t="str">
            <v>Angela Esmeralda Reyes Arriaza</v>
          </cell>
        </row>
        <row r="89">
          <cell r="F89">
            <v>309859</v>
          </cell>
          <cell r="G89" t="str">
            <v>Angela Ester Gramajo Galicia</v>
          </cell>
        </row>
        <row r="90">
          <cell r="F90">
            <v>315026</v>
          </cell>
          <cell r="G90" t="str">
            <v>Angela Marizol Ramon Escobar</v>
          </cell>
        </row>
        <row r="91">
          <cell r="F91">
            <v>314696</v>
          </cell>
          <cell r="G91" t="str">
            <v>Angelica Sol Ortiz</v>
          </cell>
        </row>
        <row r="92">
          <cell r="F92">
            <v>311699</v>
          </cell>
          <cell r="G92" t="str">
            <v>Anika Beira Domingo Escobar</v>
          </cell>
        </row>
        <row r="93">
          <cell r="F93">
            <v>315556</v>
          </cell>
          <cell r="G93" t="str">
            <v>Anthony Enrique Castellanos Perez</v>
          </cell>
        </row>
        <row r="94">
          <cell r="F94">
            <v>315121</v>
          </cell>
          <cell r="G94" t="str">
            <v>Antoni Alexis Del Cid Sian</v>
          </cell>
        </row>
        <row r="95">
          <cell r="F95">
            <v>311557</v>
          </cell>
          <cell r="G95" t="str">
            <v>Aracely Nohemy Fuentes Alonzo</v>
          </cell>
        </row>
        <row r="96">
          <cell r="F96">
            <v>102256</v>
          </cell>
          <cell r="G96" t="str">
            <v>Arelis Noemi Gonzalez Vivar</v>
          </cell>
        </row>
        <row r="97">
          <cell r="F97">
            <v>315150</v>
          </cell>
          <cell r="G97" t="str">
            <v>Arely Maoly Aguilar Y Aguilar</v>
          </cell>
        </row>
        <row r="98">
          <cell r="F98">
            <v>309908</v>
          </cell>
          <cell r="G98" t="str">
            <v>Arleth Julissa Paredez Ramirez</v>
          </cell>
        </row>
        <row r="99">
          <cell r="F99">
            <v>315532</v>
          </cell>
          <cell r="G99" t="str">
            <v>Ashley Dayana Franco Sandoval</v>
          </cell>
        </row>
        <row r="100">
          <cell r="F100">
            <v>315493</v>
          </cell>
          <cell r="G100" t="str">
            <v>Astrid Carolina Lopez Lopez</v>
          </cell>
        </row>
        <row r="101">
          <cell r="F101">
            <v>310020</v>
          </cell>
          <cell r="G101" t="str">
            <v>Astrid Elena Alvarado Lopez</v>
          </cell>
        </row>
        <row r="102">
          <cell r="F102">
            <v>315277</v>
          </cell>
          <cell r="G102" t="str">
            <v>Astrid Guadalupe Fernandez Perez</v>
          </cell>
        </row>
        <row r="103">
          <cell r="F103">
            <v>310483</v>
          </cell>
          <cell r="G103" t="str">
            <v>Astrid Ivone Hernandez</v>
          </cell>
        </row>
        <row r="104">
          <cell r="F104">
            <v>309804</v>
          </cell>
          <cell r="G104" t="str">
            <v>Astrid Leonela Barrios Velasquez</v>
          </cell>
        </row>
        <row r="105">
          <cell r="F105">
            <v>312146</v>
          </cell>
          <cell r="G105" t="str">
            <v>Astrid Lisbeth Morales Morales</v>
          </cell>
        </row>
        <row r="106">
          <cell r="F106">
            <v>310967</v>
          </cell>
          <cell r="G106" t="str">
            <v>Astrid Marielena Mendez Garcia</v>
          </cell>
        </row>
        <row r="107">
          <cell r="F107">
            <v>311328</v>
          </cell>
          <cell r="G107" t="str">
            <v>Astrid Yohana Escobar Oliva</v>
          </cell>
        </row>
        <row r="108">
          <cell r="F108">
            <v>314277</v>
          </cell>
          <cell r="G108" t="str">
            <v>Aura Josefina Coy Tiul</v>
          </cell>
        </row>
        <row r="109">
          <cell r="F109">
            <v>202265</v>
          </cell>
          <cell r="G109" t="str">
            <v>Aura Leticia Aparicio Marin</v>
          </cell>
        </row>
        <row r="110">
          <cell r="F110">
            <v>314986</v>
          </cell>
          <cell r="G110" t="str">
            <v>Aura Lourdes Garcia Gomez</v>
          </cell>
        </row>
        <row r="111">
          <cell r="F111">
            <v>314350</v>
          </cell>
          <cell r="G111" t="str">
            <v>Aura Mirthala Castillo Castillo</v>
          </cell>
        </row>
        <row r="112">
          <cell r="F112">
            <v>313666</v>
          </cell>
          <cell r="G112" t="str">
            <v>Avner Josue Merida Molina</v>
          </cell>
        </row>
        <row r="113">
          <cell r="F113">
            <v>315388</v>
          </cell>
          <cell r="G113" t="str">
            <v>Axel Anderson Montufar Roca</v>
          </cell>
        </row>
        <row r="114">
          <cell r="F114">
            <v>314730</v>
          </cell>
          <cell r="G114" t="str">
            <v>Axel Denilson Hernandez Tocay</v>
          </cell>
        </row>
        <row r="115">
          <cell r="F115">
            <v>315271</v>
          </cell>
          <cell r="G115" t="str">
            <v>Axel Roberto Guzman Coro</v>
          </cell>
        </row>
        <row r="116">
          <cell r="F116">
            <v>308798</v>
          </cell>
          <cell r="G116" t="str">
            <v>Axel Wilfredo Caal Coy</v>
          </cell>
        </row>
        <row r="117">
          <cell r="F117">
            <v>307068</v>
          </cell>
          <cell r="G117" t="str">
            <v>Azucena Raquel Luis Perez</v>
          </cell>
        </row>
        <row r="118">
          <cell r="F118">
            <v>313706</v>
          </cell>
          <cell r="G118" t="str">
            <v>Barbara Alejandra Toj Romero</v>
          </cell>
        </row>
        <row r="119">
          <cell r="F119">
            <v>311943</v>
          </cell>
          <cell r="G119" t="str">
            <v>Beberli Yuceli Gomez Davila</v>
          </cell>
        </row>
        <row r="120">
          <cell r="F120">
            <v>311141</v>
          </cell>
          <cell r="G120" t="str">
            <v>Beberlin Dayana Veron Garcia</v>
          </cell>
        </row>
        <row r="121">
          <cell r="F121">
            <v>312544</v>
          </cell>
          <cell r="G121" t="str">
            <v>Beberly Angeaneth Gonzalez Ruiz</v>
          </cell>
        </row>
        <row r="122">
          <cell r="F122">
            <v>309965</v>
          </cell>
          <cell r="G122" t="str">
            <v>Beberly Karina Ramirez Ismatul</v>
          </cell>
        </row>
        <row r="123">
          <cell r="F123">
            <v>313675</v>
          </cell>
          <cell r="G123" t="str">
            <v>Beberly Salvador Zuñiga</v>
          </cell>
        </row>
        <row r="124">
          <cell r="F124">
            <v>311623</v>
          </cell>
          <cell r="G124" t="str">
            <v>Belgica Lizeth Can Guitz</v>
          </cell>
        </row>
        <row r="125">
          <cell r="F125">
            <v>314219</v>
          </cell>
          <cell r="G125" t="str">
            <v>Berta Leticia Yapan Pelen</v>
          </cell>
        </row>
        <row r="126">
          <cell r="F126">
            <v>314495</v>
          </cell>
          <cell r="G126" t="str">
            <v>Bertha Lidia Morataya Diaz</v>
          </cell>
        </row>
        <row r="127">
          <cell r="F127">
            <v>310116</v>
          </cell>
          <cell r="G127" t="str">
            <v>Bertha Rosalba Gabriel Vasquez</v>
          </cell>
        </row>
        <row r="128">
          <cell r="F128">
            <v>312164</v>
          </cell>
          <cell r="G128" t="str">
            <v>Betzy Dayana Gutierrez Chon</v>
          </cell>
        </row>
        <row r="129">
          <cell r="F129">
            <v>314695</v>
          </cell>
          <cell r="G129" t="str">
            <v>Beverly Jeanette Panjoj Tiriquiz</v>
          </cell>
        </row>
        <row r="130">
          <cell r="F130">
            <v>305070</v>
          </cell>
          <cell r="G130" t="str">
            <v>Beverly Walesca Morales Ibarra</v>
          </cell>
        </row>
        <row r="131">
          <cell r="F131">
            <v>314496</v>
          </cell>
          <cell r="G131" t="str">
            <v>Blanca Cristina Saquic Ac</v>
          </cell>
        </row>
        <row r="132">
          <cell r="F132">
            <v>310463</v>
          </cell>
          <cell r="G132" t="str">
            <v>Blanca Olinda Quintanilla Godoy</v>
          </cell>
        </row>
        <row r="133">
          <cell r="F133">
            <v>315542</v>
          </cell>
          <cell r="G133" t="str">
            <v>Brandon Alberto Jerez Cajas</v>
          </cell>
        </row>
        <row r="134">
          <cell r="F134">
            <v>313655</v>
          </cell>
          <cell r="G134" t="str">
            <v>Brandon Antonio Alvarez Lopez</v>
          </cell>
        </row>
        <row r="135">
          <cell r="F135">
            <v>311035</v>
          </cell>
          <cell r="G135" t="str">
            <v>Brandon Ivan De Mata Monzon</v>
          </cell>
        </row>
        <row r="136">
          <cell r="F136">
            <v>315227</v>
          </cell>
          <cell r="G136" t="str">
            <v>Brayan Alexander Lopez Garcia</v>
          </cell>
        </row>
        <row r="137">
          <cell r="F137">
            <v>311689</v>
          </cell>
          <cell r="G137" t="str">
            <v>Brayan Alexander Recancoy Ramos</v>
          </cell>
        </row>
        <row r="138">
          <cell r="F138">
            <v>314853</v>
          </cell>
          <cell r="G138" t="str">
            <v>Brayan Dennis Lopez Puac</v>
          </cell>
        </row>
        <row r="139">
          <cell r="F139">
            <v>310812</v>
          </cell>
          <cell r="G139" t="str">
            <v>Brayan Franklin Lopez Alvarez</v>
          </cell>
        </row>
        <row r="140">
          <cell r="F140">
            <v>308857</v>
          </cell>
          <cell r="G140" t="str">
            <v>Brenda Elizabeth Sanchez Barrientos</v>
          </cell>
        </row>
        <row r="141">
          <cell r="F141">
            <v>305633</v>
          </cell>
          <cell r="G141" t="str">
            <v>Brenda Esmeralda Alvarado Pascual</v>
          </cell>
        </row>
        <row r="142">
          <cell r="F142">
            <v>311220</v>
          </cell>
          <cell r="G142" t="str">
            <v>Brenda Karina Coxaj Peinado</v>
          </cell>
        </row>
        <row r="143">
          <cell r="F143">
            <v>314642</v>
          </cell>
          <cell r="G143" t="str">
            <v>Brenda Liseth Ixcoy Tulujan</v>
          </cell>
        </row>
        <row r="144">
          <cell r="F144">
            <v>304427</v>
          </cell>
          <cell r="G144" t="str">
            <v>Brenda Lucrecia Lopez Gonzalez</v>
          </cell>
        </row>
        <row r="145">
          <cell r="F145">
            <v>315536</v>
          </cell>
          <cell r="G145" t="str">
            <v>Brenda Lucrecia Ruiz Sanchez</v>
          </cell>
        </row>
        <row r="146">
          <cell r="F146">
            <v>310019</v>
          </cell>
          <cell r="G146" t="str">
            <v>Brenda Maribel Montenegro Reyes</v>
          </cell>
        </row>
        <row r="147">
          <cell r="F147">
            <v>301074</v>
          </cell>
          <cell r="G147" t="str">
            <v>Brenda Marisol Aguilar Patzan</v>
          </cell>
        </row>
        <row r="148">
          <cell r="F148">
            <v>313843</v>
          </cell>
          <cell r="G148" t="str">
            <v>Brenda Marisol Sanchez Chivalan</v>
          </cell>
        </row>
        <row r="149">
          <cell r="F149">
            <v>309042</v>
          </cell>
          <cell r="G149" t="str">
            <v>Brenda Perez Morales</v>
          </cell>
        </row>
        <row r="150">
          <cell r="F150">
            <v>306259</v>
          </cell>
          <cell r="G150" t="str">
            <v>Brenda Raquel Ramirez Sanchez</v>
          </cell>
        </row>
        <row r="151">
          <cell r="F151">
            <v>315398</v>
          </cell>
          <cell r="G151" t="str">
            <v>Bretany Celeste Ramirez Monroy</v>
          </cell>
        </row>
        <row r="152">
          <cell r="F152">
            <v>313436</v>
          </cell>
          <cell r="G152" t="str">
            <v>Brian Baudilio Orozco Perez</v>
          </cell>
        </row>
        <row r="153">
          <cell r="F153">
            <v>310691</v>
          </cell>
          <cell r="G153" t="str">
            <v>Brisley Cristina Ortiz Zelada</v>
          </cell>
        </row>
        <row r="154">
          <cell r="F154">
            <v>314290</v>
          </cell>
          <cell r="G154" t="str">
            <v>Bryan Alexander Emanuel Orozco Lancerio</v>
          </cell>
        </row>
        <row r="155">
          <cell r="F155">
            <v>315133</v>
          </cell>
          <cell r="G155" t="str">
            <v>Bryan Daniel Milián De Leon</v>
          </cell>
        </row>
        <row r="156">
          <cell r="F156">
            <v>307335</v>
          </cell>
          <cell r="G156" t="str">
            <v>Bryllan Armando Sierra Sierra</v>
          </cell>
        </row>
        <row r="157">
          <cell r="F157">
            <v>314864</v>
          </cell>
          <cell r="G157" t="str">
            <v>Byron Estuardo Paredes Villela</v>
          </cell>
        </row>
        <row r="158">
          <cell r="F158">
            <v>313648</v>
          </cell>
          <cell r="G158" t="str">
            <v>Byron Giovanni Veliz Vasquez</v>
          </cell>
        </row>
        <row r="159">
          <cell r="F159">
            <v>303766</v>
          </cell>
          <cell r="G159" t="str">
            <v>Byron Josue Moscoso Vega</v>
          </cell>
        </row>
        <row r="160">
          <cell r="F160">
            <v>313985</v>
          </cell>
          <cell r="G160" t="str">
            <v>Byron Mauricio Amezquita Rivas</v>
          </cell>
        </row>
        <row r="161">
          <cell r="F161">
            <v>315267</v>
          </cell>
          <cell r="G161" t="str">
            <v>Carla Esmeralda Candido Gonzalez</v>
          </cell>
        </row>
        <row r="162">
          <cell r="F162">
            <v>314451</v>
          </cell>
          <cell r="G162" t="str">
            <v>Carla Fernanda Fernandez Lopez</v>
          </cell>
        </row>
        <row r="163">
          <cell r="F163">
            <v>312153</v>
          </cell>
          <cell r="G163" t="str">
            <v>Carlos Adalberto Diaz Escobar</v>
          </cell>
        </row>
        <row r="164">
          <cell r="F164">
            <v>315125</v>
          </cell>
          <cell r="G164" t="str">
            <v>Carlos Alberto Galvez Hernandez</v>
          </cell>
        </row>
        <row r="165">
          <cell r="F165">
            <v>314135</v>
          </cell>
          <cell r="G165" t="str">
            <v>Carlos Alberto Guzman Hernandez</v>
          </cell>
        </row>
        <row r="166">
          <cell r="F166">
            <v>315051</v>
          </cell>
          <cell r="G166" t="str">
            <v>Carlos Alfredo Catun Rax</v>
          </cell>
        </row>
        <row r="167">
          <cell r="F167">
            <v>309822</v>
          </cell>
          <cell r="G167" t="str">
            <v>Carlos Anibal Caal Tux</v>
          </cell>
        </row>
        <row r="168">
          <cell r="F168">
            <v>302371</v>
          </cell>
          <cell r="G168" t="str">
            <v>Carlos Arturo Straube Lopez</v>
          </cell>
        </row>
        <row r="169">
          <cell r="F169">
            <v>314738</v>
          </cell>
          <cell r="G169" t="str">
            <v>Carlos David Castillo Gamboa</v>
          </cell>
        </row>
        <row r="170">
          <cell r="F170">
            <v>315158</v>
          </cell>
          <cell r="G170" t="str">
            <v>Carlos Emilio Cumez Chenol</v>
          </cell>
        </row>
        <row r="171">
          <cell r="F171">
            <v>312533</v>
          </cell>
          <cell r="G171" t="str">
            <v>Carlos Enrique Coz Toc</v>
          </cell>
        </row>
        <row r="172">
          <cell r="F172">
            <v>314773</v>
          </cell>
          <cell r="G172" t="str">
            <v>Carlos Enrique Ramirez Lopez</v>
          </cell>
        </row>
        <row r="173">
          <cell r="F173">
            <v>313303</v>
          </cell>
          <cell r="G173" t="str">
            <v>Carlos Enrique Vasquez Esteban</v>
          </cell>
        </row>
        <row r="174">
          <cell r="F174">
            <v>314841</v>
          </cell>
          <cell r="G174" t="str">
            <v>Carlos Estuardo Campos Asig</v>
          </cell>
        </row>
        <row r="175">
          <cell r="F175">
            <v>308075</v>
          </cell>
          <cell r="G175" t="str">
            <v>Carlos Humberto De Paz Paiz</v>
          </cell>
        </row>
        <row r="176">
          <cell r="F176">
            <v>314441</v>
          </cell>
          <cell r="G176" t="str">
            <v>Carlos Josue Perez Garcia</v>
          </cell>
        </row>
        <row r="177">
          <cell r="F177">
            <v>202153</v>
          </cell>
          <cell r="G177" t="str">
            <v>Carlos Leonel Corado Sosa</v>
          </cell>
        </row>
        <row r="178">
          <cell r="F178">
            <v>313324</v>
          </cell>
          <cell r="G178" t="str">
            <v>Carlos Miguel Carrillo Perez</v>
          </cell>
        </row>
        <row r="179">
          <cell r="F179">
            <v>310535</v>
          </cell>
          <cell r="G179" t="str">
            <v>Carlos Oliverio Ortiz Villalobos</v>
          </cell>
        </row>
        <row r="180">
          <cell r="F180">
            <v>315501</v>
          </cell>
          <cell r="G180" t="str">
            <v>Carlos Onofre Sierra Vasquez</v>
          </cell>
        </row>
        <row r="181">
          <cell r="F181">
            <v>313844</v>
          </cell>
          <cell r="G181" t="str">
            <v>Carlos Raul Pedroza Lopez</v>
          </cell>
        </row>
        <row r="182">
          <cell r="F182">
            <v>315111</v>
          </cell>
          <cell r="G182" t="str">
            <v>Carlos Roberto Arana Garcia</v>
          </cell>
        </row>
        <row r="183">
          <cell r="F183">
            <v>304522</v>
          </cell>
          <cell r="G183" t="str">
            <v>Carlos Saul Santizo Lopez</v>
          </cell>
        </row>
        <row r="184">
          <cell r="F184">
            <v>315182</v>
          </cell>
          <cell r="G184" t="str">
            <v>Carmen Amalia Macario Rixtun</v>
          </cell>
        </row>
        <row r="185">
          <cell r="F185">
            <v>311800</v>
          </cell>
          <cell r="G185" t="str">
            <v>Carmen Elizabeth Vargas Tun</v>
          </cell>
        </row>
        <row r="186">
          <cell r="F186">
            <v>312849</v>
          </cell>
          <cell r="G186" t="str">
            <v>Carmen Liliana Subuyuj Ordoñez</v>
          </cell>
        </row>
        <row r="187">
          <cell r="F187">
            <v>315498</v>
          </cell>
          <cell r="G187" t="str">
            <v>Carolina Azucena Lima Contreras</v>
          </cell>
        </row>
        <row r="188">
          <cell r="F188">
            <v>312692</v>
          </cell>
          <cell r="G188" t="str">
            <v>Catarina Del Rosario Lopez Taquiej</v>
          </cell>
        </row>
        <row r="189">
          <cell r="F189">
            <v>314287</v>
          </cell>
          <cell r="G189" t="str">
            <v>Caterin Berenise Cayax Atz</v>
          </cell>
        </row>
        <row r="190">
          <cell r="F190">
            <v>313662</v>
          </cell>
          <cell r="G190" t="str">
            <v>Catirin Marbella Juarez Garcia</v>
          </cell>
        </row>
        <row r="191">
          <cell r="F191">
            <v>307766</v>
          </cell>
          <cell r="G191" t="str">
            <v>Cecia Amabil Lopez Valencia</v>
          </cell>
        </row>
        <row r="192">
          <cell r="F192">
            <v>311730</v>
          </cell>
          <cell r="G192" t="str">
            <v>Cecilia Margoth Lopez Raymundo</v>
          </cell>
        </row>
        <row r="193">
          <cell r="F193">
            <v>314955</v>
          </cell>
          <cell r="G193" t="str">
            <v>Celia Esperanza Arroyo Chiche</v>
          </cell>
        </row>
        <row r="194">
          <cell r="F194">
            <v>310950</v>
          </cell>
          <cell r="G194" t="str">
            <v>Cendy Regina Axulen Gonzalez</v>
          </cell>
        </row>
        <row r="195">
          <cell r="F195">
            <v>314640</v>
          </cell>
          <cell r="G195" t="str">
            <v>Cesar Estuardo Perez Monterroso</v>
          </cell>
        </row>
        <row r="196">
          <cell r="F196">
            <v>300192</v>
          </cell>
          <cell r="G196" t="str">
            <v>Cesar Fernando Reyna Almengor</v>
          </cell>
        </row>
        <row r="197">
          <cell r="F197">
            <v>313484</v>
          </cell>
          <cell r="G197" t="str">
            <v>Cesar Geovanni Tuc Sum</v>
          </cell>
        </row>
        <row r="198">
          <cell r="F198">
            <v>303330</v>
          </cell>
          <cell r="G198" t="str">
            <v>Cesar Geovanny De Leon Palacios</v>
          </cell>
        </row>
        <row r="199">
          <cell r="F199">
            <v>314446</v>
          </cell>
          <cell r="G199" t="str">
            <v>Cesar Humberto Cazun Hernandez</v>
          </cell>
        </row>
        <row r="200">
          <cell r="F200">
            <v>314900</v>
          </cell>
          <cell r="G200" t="str">
            <v>Cesar Oliverio Orozco Flores</v>
          </cell>
        </row>
        <row r="201">
          <cell r="F201">
            <v>311692</v>
          </cell>
          <cell r="G201" t="str">
            <v>Cesia Paola Marroquin Sanchez</v>
          </cell>
        </row>
        <row r="202">
          <cell r="F202">
            <v>315401</v>
          </cell>
          <cell r="G202" t="str">
            <v>Christa Maria Belen Barrera Mazariegos</v>
          </cell>
        </row>
        <row r="203">
          <cell r="F203">
            <v>315509</v>
          </cell>
          <cell r="G203" t="str">
            <v>Christiam Daniel Arroyo Cisneros</v>
          </cell>
        </row>
        <row r="204">
          <cell r="F204">
            <v>310362</v>
          </cell>
          <cell r="G204" t="str">
            <v>Christian Alejandro Tistoj Lopez</v>
          </cell>
        </row>
        <row r="205">
          <cell r="F205">
            <v>315525</v>
          </cell>
          <cell r="G205" t="str">
            <v>Christian Bladimir Panjoj Mejia</v>
          </cell>
        </row>
        <row r="206">
          <cell r="F206">
            <v>314565</v>
          </cell>
          <cell r="G206" t="str">
            <v>Christian Eduardo Celada Orellana</v>
          </cell>
        </row>
        <row r="207">
          <cell r="F207">
            <v>309907</v>
          </cell>
          <cell r="G207" t="str">
            <v>Christofer Antonio Chali Bacajol</v>
          </cell>
        </row>
        <row r="208">
          <cell r="F208">
            <v>312703</v>
          </cell>
          <cell r="G208" t="str">
            <v>Cindy Aracely Ruano Can</v>
          </cell>
        </row>
        <row r="209">
          <cell r="F209">
            <v>307760</v>
          </cell>
          <cell r="G209" t="str">
            <v>Cindy Beatriz Reyes De Leon</v>
          </cell>
        </row>
        <row r="210">
          <cell r="F210">
            <v>312950</v>
          </cell>
          <cell r="G210" t="str">
            <v>Cindy Carolina Sandoval Ruiz</v>
          </cell>
        </row>
        <row r="211">
          <cell r="F211">
            <v>312302</v>
          </cell>
          <cell r="G211" t="str">
            <v>Cindy Gabriela Chanchavac Mejia</v>
          </cell>
        </row>
        <row r="212">
          <cell r="F212">
            <v>315484</v>
          </cell>
          <cell r="G212" t="str">
            <v>Cindy Gabriela Perez</v>
          </cell>
        </row>
        <row r="213">
          <cell r="F213">
            <v>312872</v>
          </cell>
          <cell r="G213" t="str">
            <v>Cindy Judith Urizar Davila</v>
          </cell>
        </row>
        <row r="214">
          <cell r="F214">
            <v>312532</v>
          </cell>
          <cell r="G214" t="str">
            <v>Cindy Melissa Cordon Alfaro</v>
          </cell>
        </row>
        <row r="215">
          <cell r="F215">
            <v>314028</v>
          </cell>
          <cell r="G215" t="str">
            <v>Cindy Paola Garcia Monroy</v>
          </cell>
        </row>
        <row r="216">
          <cell r="F216">
            <v>314689</v>
          </cell>
          <cell r="G216" t="str">
            <v>Cindy Veronica Bran Polanco</v>
          </cell>
        </row>
        <row r="217">
          <cell r="F217">
            <v>314409</v>
          </cell>
          <cell r="G217" t="str">
            <v>Cindy Yenibeth Cano Claudio</v>
          </cell>
        </row>
        <row r="218">
          <cell r="F218">
            <v>310946</v>
          </cell>
          <cell r="G218" t="str">
            <v>Cindy Yesenia Morales Quevedo De Abril</v>
          </cell>
        </row>
        <row r="219">
          <cell r="F219">
            <v>312831</v>
          </cell>
          <cell r="G219" t="str">
            <v>Cindy Yojana Mendoza Cajas</v>
          </cell>
        </row>
        <row r="220">
          <cell r="F220">
            <v>312181</v>
          </cell>
          <cell r="G220" t="str">
            <v>Clara Elizabeth Joge Torres</v>
          </cell>
        </row>
        <row r="221">
          <cell r="F221">
            <v>310768</v>
          </cell>
          <cell r="G221" t="str">
            <v>Clara Lorena Perez Hernandez</v>
          </cell>
        </row>
        <row r="222">
          <cell r="F222">
            <v>315453</v>
          </cell>
          <cell r="G222" t="str">
            <v>Claudia Analy Argueta Matias</v>
          </cell>
        </row>
        <row r="223">
          <cell r="F223">
            <v>306444</v>
          </cell>
          <cell r="G223" t="str">
            <v>Claudia Dolores Barcenas Guillen</v>
          </cell>
        </row>
        <row r="224">
          <cell r="F224">
            <v>301809</v>
          </cell>
          <cell r="G224" t="str">
            <v>Claudia Eugenia Chavarria Ramos</v>
          </cell>
        </row>
        <row r="225">
          <cell r="F225">
            <v>311808</v>
          </cell>
          <cell r="G225" t="str">
            <v>Claudia Lorena Quino Isaguirre</v>
          </cell>
        </row>
        <row r="226">
          <cell r="F226">
            <v>314574</v>
          </cell>
          <cell r="G226" t="str">
            <v>Claudia Marisol Esquivel Ramirez</v>
          </cell>
        </row>
        <row r="227">
          <cell r="F227">
            <v>313613</v>
          </cell>
          <cell r="G227" t="str">
            <v>Claudia Noemi Marroquin Perez</v>
          </cell>
        </row>
        <row r="228">
          <cell r="F228">
            <v>306569</v>
          </cell>
          <cell r="G228" t="str">
            <v>Claudia Susana Garcia</v>
          </cell>
        </row>
        <row r="229">
          <cell r="F229">
            <v>311441</v>
          </cell>
          <cell r="G229" t="str">
            <v>Claudia Yaneth Hidalgo Gonzalez</v>
          </cell>
        </row>
        <row r="230">
          <cell r="F230">
            <v>303265</v>
          </cell>
          <cell r="G230" t="str">
            <v>Claudia Yesenia Pinto Picen</v>
          </cell>
        </row>
        <row r="231">
          <cell r="F231">
            <v>313318</v>
          </cell>
          <cell r="G231" t="str">
            <v>Claudia Yesenia Ramos Perez</v>
          </cell>
        </row>
        <row r="232">
          <cell r="F232">
            <v>309535</v>
          </cell>
          <cell r="G232" t="str">
            <v>Coralia Brenda Judith Ruano Hernandez</v>
          </cell>
        </row>
        <row r="233">
          <cell r="F233">
            <v>310711</v>
          </cell>
          <cell r="G233" t="str">
            <v>Cristian Alfredo Jimenez Quino</v>
          </cell>
        </row>
        <row r="234">
          <cell r="F234">
            <v>312995</v>
          </cell>
          <cell r="G234" t="str">
            <v>Cristian Esleiter Zuleta Batres</v>
          </cell>
        </row>
        <row r="235">
          <cell r="F235">
            <v>314701</v>
          </cell>
          <cell r="G235" t="str">
            <v>Cristian Orlando Leonardo Cortez</v>
          </cell>
        </row>
        <row r="236">
          <cell r="F236">
            <v>314612</v>
          </cell>
          <cell r="G236" t="str">
            <v>Cristian Romulo Rolando Cojulun Barrera</v>
          </cell>
        </row>
        <row r="237">
          <cell r="F237">
            <v>314468</v>
          </cell>
          <cell r="G237" t="str">
            <v>Cristian Salvador Perez Quiroa</v>
          </cell>
        </row>
        <row r="238">
          <cell r="F238">
            <v>314670</v>
          </cell>
          <cell r="G238" t="str">
            <v>Cristian Tomas Chuc Perez</v>
          </cell>
        </row>
        <row r="239">
          <cell r="F239">
            <v>315578</v>
          </cell>
          <cell r="G239" t="str">
            <v>Cristian Ubaldo De Leon Ramirez</v>
          </cell>
        </row>
        <row r="240">
          <cell r="F240">
            <v>307449</v>
          </cell>
          <cell r="G240" t="str">
            <v>Cristina De Jesus Hernandez Macajola</v>
          </cell>
        </row>
        <row r="241">
          <cell r="F241">
            <v>306823</v>
          </cell>
          <cell r="G241" t="str">
            <v>Cristina Mariela Sapon Morales</v>
          </cell>
        </row>
        <row r="242">
          <cell r="F242">
            <v>313589</v>
          </cell>
          <cell r="G242" t="str">
            <v>Cristobal Vinicio Chacon Rosana</v>
          </cell>
        </row>
        <row r="243">
          <cell r="F243">
            <v>310386</v>
          </cell>
          <cell r="G243" t="str">
            <v>Cristy Charito Bran Guerra</v>
          </cell>
        </row>
        <row r="244">
          <cell r="F244">
            <v>314883</v>
          </cell>
          <cell r="G244" t="str">
            <v>Cynthia Guisela Samayoa Aldana</v>
          </cell>
        </row>
        <row r="245">
          <cell r="F245">
            <v>313709</v>
          </cell>
          <cell r="G245" t="str">
            <v>Cynthia Marisol Gonzalez Vargas</v>
          </cell>
        </row>
        <row r="246">
          <cell r="F246">
            <v>314097</v>
          </cell>
          <cell r="G246" t="str">
            <v>Cynthia Rosaura Cruz Cosajay</v>
          </cell>
        </row>
        <row r="247">
          <cell r="F247">
            <v>314981</v>
          </cell>
          <cell r="G247" t="str">
            <v>Dalila Marisol Ramos Galan</v>
          </cell>
        </row>
        <row r="248">
          <cell r="F248">
            <v>308765</v>
          </cell>
          <cell r="G248" t="str">
            <v>Damaris Abigail Garcia Perez</v>
          </cell>
        </row>
        <row r="249">
          <cell r="F249">
            <v>315256</v>
          </cell>
          <cell r="G249" t="str">
            <v>Damaris Abigail Urizar Martinez</v>
          </cell>
        </row>
        <row r="250">
          <cell r="F250">
            <v>312949</v>
          </cell>
          <cell r="G250" t="str">
            <v>Damaris Liseth Sagastume Pinto</v>
          </cell>
        </row>
        <row r="251">
          <cell r="F251">
            <v>314411</v>
          </cell>
          <cell r="G251" t="str">
            <v>Damaris Paola Gonzalez Gallardo</v>
          </cell>
        </row>
        <row r="252">
          <cell r="F252">
            <v>314179</v>
          </cell>
          <cell r="G252" t="str">
            <v>Damaris Sucely Mendez Roche</v>
          </cell>
        </row>
        <row r="253">
          <cell r="F253">
            <v>314276</v>
          </cell>
          <cell r="G253" t="str">
            <v>Damaris Violeta Gonzalez Miguel</v>
          </cell>
        </row>
        <row r="254">
          <cell r="F254">
            <v>313514</v>
          </cell>
          <cell r="G254" t="str">
            <v>Danae Melissa Xitumul Ruiz</v>
          </cell>
        </row>
        <row r="255">
          <cell r="F255">
            <v>313868</v>
          </cell>
          <cell r="G255" t="str">
            <v>Danely Arleth Rubin Escobar</v>
          </cell>
        </row>
        <row r="256">
          <cell r="F256">
            <v>315480</v>
          </cell>
          <cell r="G256" t="str">
            <v>Daneylie Abigalie Dardon Gomez</v>
          </cell>
        </row>
        <row r="257">
          <cell r="F257">
            <v>314406</v>
          </cell>
          <cell r="G257" t="str">
            <v>Daniel Abrahan Castillo Hernandez</v>
          </cell>
        </row>
        <row r="258">
          <cell r="F258">
            <v>314646</v>
          </cell>
          <cell r="G258" t="str">
            <v>Daniel Alfredo Aguirre Marroquin</v>
          </cell>
        </row>
        <row r="259">
          <cell r="F259">
            <v>305521</v>
          </cell>
          <cell r="G259" t="str">
            <v>Daniel Antonio Aceituno Paredes</v>
          </cell>
        </row>
        <row r="260">
          <cell r="F260">
            <v>315568</v>
          </cell>
          <cell r="G260" t="str">
            <v>Daniel Isai Moran Lima</v>
          </cell>
        </row>
        <row r="261">
          <cell r="F261">
            <v>310374</v>
          </cell>
          <cell r="G261" t="str">
            <v>Daniela Amarilis Davila Juarez</v>
          </cell>
        </row>
        <row r="262">
          <cell r="F262">
            <v>315104</v>
          </cell>
          <cell r="G262" t="str">
            <v>Dany Adalberto Choc Bac</v>
          </cell>
        </row>
        <row r="263">
          <cell r="F263">
            <v>314807</v>
          </cell>
          <cell r="G263" t="str">
            <v>Daomi Mishel Larios Morales</v>
          </cell>
        </row>
        <row r="264">
          <cell r="F264">
            <v>312391</v>
          </cell>
          <cell r="G264" t="str">
            <v>Daphne Pamela Lopez Rodriguez</v>
          </cell>
        </row>
        <row r="265">
          <cell r="F265">
            <v>312172</v>
          </cell>
          <cell r="G265" t="str">
            <v>Darbin Alejandro Soto Rodriguez</v>
          </cell>
        </row>
        <row r="266">
          <cell r="F266">
            <v>314845</v>
          </cell>
          <cell r="G266" t="str">
            <v>Darissa Anahi Galindo Monzon</v>
          </cell>
        </row>
        <row r="267">
          <cell r="F267">
            <v>312419</v>
          </cell>
          <cell r="G267" t="str">
            <v>Darli Asuceli Florian Garcia</v>
          </cell>
        </row>
        <row r="268">
          <cell r="F268">
            <v>312836</v>
          </cell>
          <cell r="G268" t="str">
            <v>Darlin Estefany Coyoy Rivas</v>
          </cell>
        </row>
        <row r="269">
          <cell r="F269">
            <v>312077</v>
          </cell>
          <cell r="G269" t="str">
            <v>Darlin Pamela Aguilar De La Cruz</v>
          </cell>
        </row>
        <row r="270">
          <cell r="F270">
            <v>314775</v>
          </cell>
          <cell r="G270" t="str">
            <v>Darlyn Dayanara Cortez Ramirez</v>
          </cell>
        </row>
        <row r="271">
          <cell r="F271">
            <v>312223</v>
          </cell>
          <cell r="G271" t="str">
            <v>Darlyn Guadalupe Barrios Yax</v>
          </cell>
        </row>
        <row r="272">
          <cell r="F272">
            <v>309926</v>
          </cell>
          <cell r="G272" t="str">
            <v>Darwin Alexis Ponciano Cruz</v>
          </cell>
        </row>
        <row r="273">
          <cell r="F273">
            <v>315167</v>
          </cell>
          <cell r="G273" t="str">
            <v>Darwin Omar Cabrera Cheguen</v>
          </cell>
        </row>
        <row r="274">
          <cell r="F274">
            <v>310390</v>
          </cell>
          <cell r="G274" t="str">
            <v>Dauris Yomira Tellechea Lopez</v>
          </cell>
        </row>
        <row r="275">
          <cell r="F275">
            <v>202076</v>
          </cell>
          <cell r="G275" t="str">
            <v>David De Jesus Quel Orozco</v>
          </cell>
        </row>
        <row r="276">
          <cell r="F276">
            <v>314891</v>
          </cell>
          <cell r="G276" t="str">
            <v>David Emanuel Cachin Morales</v>
          </cell>
        </row>
        <row r="277">
          <cell r="F277">
            <v>309831</v>
          </cell>
          <cell r="G277" t="str">
            <v>David Mejia Vicente</v>
          </cell>
        </row>
        <row r="278">
          <cell r="F278">
            <v>315533</v>
          </cell>
          <cell r="G278" t="str">
            <v>Dayana Paola Lopez Bolanos</v>
          </cell>
        </row>
        <row r="279">
          <cell r="F279">
            <v>314017</v>
          </cell>
          <cell r="G279" t="str">
            <v>Dayanna Beatriz Cachupe Chavac</v>
          </cell>
        </row>
        <row r="280">
          <cell r="F280">
            <v>314852</v>
          </cell>
          <cell r="G280" t="str">
            <v>Daylin Ambrocia Cruz Lopez</v>
          </cell>
        </row>
        <row r="281">
          <cell r="F281">
            <v>313408</v>
          </cell>
          <cell r="G281" t="str">
            <v>Dayne Dalu Sanchez Hernandez</v>
          </cell>
        </row>
        <row r="282">
          <cell r="F282">
            <v>315552</v>
          </cell>
          <cell r="G282" t="str">
            <v>Debora Eunice Tzay Chuluc</v>
          </cell>
        </row>
        <row r="283">
          <cell r="F283">
            <v>313629</v>
          </cell>
          <cell r="G283" t="str">
            <v>Debora Madahi Escobar Gomez</v>
          </cell>
        </row>
        <row r="284">
          <cell r="F284">
            <v>315270</v>
          </cell>
          <cell r="G284" t="str">
            <v>Debora Paola Sepez Cuc</v>
          </cell>
        </row>
        <row r="285">
          <cell r="F285">
            <v>314353</v>
          </cell>
          <cell r="G285" t="str">
            <v>Deisy Gabriela Pineda Paiz</v>
          </cell>
        </row>
        <row r="286">
          <cell r="F286">
            <v>302751</v>
          </cell>
          <cell r="G286" t="str">
            <v>Delia Virginia Piedrasanta Parra</v>
          </cell>
        </row>
        <row r="287">
          <cell r="F287">
            <v>201031</v>
          </cell>
          <cell r="G287" t="str">
            <v>Delio Maynor Lopez Barrios</v>
          </cell>
        </row>
        <row r="288">
          <cell r="F288">
            <v>311758</v>
          </cell>
          <cell r="G288" t="str">
            <v>Delmy Fabiola Orellana Barrientos</v>
          </cell>
        </row>
        <row r="289">
          <cell r="F289">
            <v>307870</v>
          </cell>
          <cell r="G289" t="str">
            <v>Delmy Francisca Lopez Perez</v>
          </cell>
        </row>
        <row r="290">
          <cell r="F290">
            <v>314901</v>
          </cell>
          <cell r="G290" t="str">
            <v>Delmy Vanesa Morales Ramirez</v>
          </cell>
        </row>
        <row r="291">
          <cell r="F291">
            <v>306256</v>
          </cell>
          <cell r="G291" t="str">
            <v>Delwin Leonel Vasquez Barrera</v>
          </cell>
        </row>
        <row r="292">
          <cell r="F292">
            <v>314540</v>
          </cell>
          <cell r="G292" t="str">
            <v>Denilson Laureano De Paz Galdamez</v>
          </cell>
        </row>
        <row r="293">
          <cell r="F293">
            <v>312158</v>
          </cell>
          <cell r="G293" t="str">
            <v>Derick Juan David Coti Camas</v>
          </cell>
        </row>
        <row r="294">
          <cell r="F294">
            <v>315437</v>
          </cell>
          <cell r="G294" t="str">
            <v>Deysi Liliana Caal Oxom</v>
          </cell>
        </row>
        <row r="295">
          <cell r="F295">
            <v>309692</v>
          </cell>
          <cell r="G295" t="str">
            <v>Deysi Margoth Lopez Monroy</v>
          </cell>
        </row>
        <row r="296">
          <cell r="F296">
            <v>309418</v>
          </cell>
          <cell r="G296" t="str">
            <v>Deysi Noemi Aranoli Carias Pimentel</v>
          </cell>
        </row>
        <row r="297">
          <cell r="F297">
            <v>313797</v>
          </cell>
          <cell r="G297" t="str">
            <v>Deysi Paola Lopez Yanes De Conde</v>
          </cell>
        </row>
        <row r="298">
          <cell r="F298">
            <v>312166</v>
          </cell>
          <cell r="G298" t="str">
            <v>Deysi Roxana Pablo Ramirez</v>
          </cell>
        </row>
        <row r="299">
          <cell r="F299">
            <v>313856</v>
          </cell>
          <cell r="G299" t="str">
            <v>Diana Andrea Castillo Mejia</v>
          </cell>
        </row>
        <row r="300">
          <cell r="F300">
            <v>310411</v>
          </cell>
          <cell r="G300" t="str">
            <v>Diana Elizabeth Ayfan Del Cid</v>
          </cell>
        </row>
        <row r="301">
          <cell r="F301">
            <v>315070</v>
          </cell>
          <cell r="G301" t="str">
            <v>Diana Guisela Satey De Leon</v>
          </cell>
        </row>
        <row r="302">
          <cell r="F302">
            <v>315089</v>
          </cell>
          <cell r="G302" t="str">
            <v>Diana Lizeth Acabal Pansay</v>
          </cell>
        </row>
        <row r="303">
          <cell r="F303">
            <v>315209</v>
          </cell>
          <cell r="G303" t="str">
            <v>Diana Mishel Perez Flores</v>
          </cell>
        </row>
        <row r="304">
          <cell r="F304">
            <v>314964</v>
          </cell>
          <cell r="G304" t="str">
            <v>Diana Priscila Reyes Bran</v>
          </cell>
        </row>
        <row r="305">
          <cell r="F305">
            <v>315545</v>
          </cell>
          <cell r="G305" t="str">
            <v>Diego Alejandro Monroy Barillas</v>
          </cell>
        </row>
        <row r="306">
          <cell r="F306">
            <v>314603</v>
          </cell>
          <cell r="G306" t="str">
            <v>Diego Antonio Dubon Suyen</v>
          </cell>
        </row>
        <row r="307">
          <cell r="F307">
            <v>314912</v>
          </cell>
          <cell r="G307" t="str">
            <v>Diego Ezequiel Samayoa Toledo</v>
          </cell>
        </row>
        <row r="308">
          <cell r="F308">
            <v>314021</v>
          </cell>
          <cell r="G308" t="str">
            <v>Diego Josue David Dieguez Vivar</v>
          </cell>
        </row>
        <row r="309">
          <cell r="F309">
            <v>314609</v>
          </cell>
          <cell r="G309" t="str">
            <v>Dilma Carolina Zetino Zepeda</v>
          </cell>
        </row>
        <row r="310">
          <cell r="F310">
            <v>315393</v>
          </cell>
          <cell r="G310" t="str">
            <v>Dina Azucena Ortiz Crispin</v>
          </cell>
        </row>
        <row r="311">
          <cell r="F311">
            <v>301534</v>
          </cell>
          <cell r="G311" t="str">
            <v>Donald Alejandro Mendez Mayen</v>
          </cell>
        </row>
        <row r="312">
          <cell r="F312">
            <v>314070</v>
          </cell>
          <cell r="G312" t="str">
            <v>Donetta Diaz Oroman</v>
          </cell>
        </row>
        <row r="313">
          <cell r="F313">
            <v>313316</v>
          </cell>
          <cell r="G313" t="str">
            <v>Dora Estefany Garcia Zetino</v>
          </cell>
        </row>
        <row r="314">
          <cell r="F314">
            <v>308707</v>
          </cell>
          <cell r="G314" t="str">
            <v>Dorcas Raquel Palacios Reyes</v>
          </cell>
        </row>
        <row r="315">
          <cell r="F315">
            <v>308921</v>
          </cell>
          <cell r="G315" t="str">
            <v>Doris Elizabeth Sandoval Gonzalez</v>
          </cell>
        </row>
        <row r="316">
          <cell r="F316">
            <v>315057</v>
          </cell>
          <cell r="G316" t="str">
            <v>Dorman Fernando Gomez Perez</v>
          </cell>
        </row>
        <row r="317">
          <cell r="F317">
            <v>312651</v>
          </cell>
          <cell r="G317" t="str">
            <v>Douglas Alberto Luna</v>
          </cell>
        </row>
        <row r="318">
          <cell r="F318">
            <v>314635</v>
          </cell>
          <cell r="G318" t="str">
            <v>Douglas Armando Garcia Machic</v>
          </cell>
        </row>
        <row r="319">
          <cell r="F319">
            <v>313351</v>
          </cell>
          <cell r="G319" t="str">
            <v>Douglas Nehemias Paz Agustin</v>
          </cell>
        </row>
        <row r="320">
          <cell r="F320">
            <v>309154</v>
          </cell>
          <cell r="G320" t="str">
            <v>Duglas Alexander Ramirez</v>
          </cell>
        </row>
        <row r="321">
          <cell r="F321">
            <v>310593</v>
          </cell>
          <cell r="G321" t="str">
            <v>Dulce Estrellita Boche Pineda</v>
          </cell>
        </row>
        <row r="322">
          <cell r="F322">
            <v>312578</v>
          </cell>
          <cell r="G322" t="str">
            <v>Dulce Fabiola Cabrera Alvarado</v>
          </cell>
        </row>
        <row r="323">
          <cell r="F323">
            <v>314977</v>
          </cell>
          <cell r="G323" t="str">
            <v>Dulce Gollin Garcia</v>
          </cell>
        </row>
        <row r="324">
          <cell r="F324">
            <v>315028</v>
          </cell>
          <cell r="G324" t="str">
            <v>Dulce Maria Barillas Pineda</v>
          </cell>
        </row>
        <row r="325">
          <cell r="F325">
            <v>314016</v>
          </cell>
          <cell r="G325" t="str">
            <v>Dulce Maria De Los Angeles Carranza Poitan</v>
          </cell>
        </row>
        <row r="326">
          <cell r="F326">
            <v>314338</v>
          </cell>
          <cell r="G326" t="str">
            <v>Dulce Maria Sican Galicia</v>
          </cell>
        </row>
        <row r="327">
          <cell r="F327">
            <v>301052</v>
          </cell>
          <cell r="G327" t="str">
            <v>Dulsse Gabriela Muñoz Giordano</v>
          </cell>
        </row>
        <row r="328">
          <cell r="F328">
            <v>313406</v>
          </cell>
          <cell r="G328" t="str">
            <v>Duncan Vladimir Fuentes Marroquin</v>
          </cell>
        </row>
        <row r="329">
          <cell r="F329">
            <v>315551</v>
          </cell>
          <cell r="G329" t="str">
            <v>Dylan Anderson Rodriguez Paredes</v>
          </cell>
        </row>
        <row r="330">
          <cell r="F330">
            <v>301579</v>
          </cell>
          <cell r="G330" t="str">
            <v>Eber Manuel Valdes Samayoa</v>
          </cell>
        </row>
        <row r="331">
          <cell r="F331">
            <v>314077</v>
          </cell>
          <cell r="G331" t="str">
            <v>Eddy Estuardo Lool Calderon</v>
          </cell>
        </row>
        <row r="332">
          <cell r="F332">
            <v>304630</v>
          </cell>
          <cell r="G332" t="str">
            <v>Eddy Jose Cabrera Rivas</v>
          </cell>
        </row>
        <row r="333">
          <cell r="F333">
            <v>315163</v>
          </cell>
          <cell r="G333" t="str">
            <v>Edgar Alejandro Alvarado Juarez</v>
          </cell>
        </row>
        <row r="334">
          <cell r="F334">
            <v>314231</v>
          </cell>
          <cell r="G334" t="str">
            <v>Edgar Alfonso Escoto Asig</v>
          </cell>
        </row>
        <row r="335">
          <cell r="F335">
            <v>312910</v>
          </cell>
          <cell r="G335" t="str">
            <v>Edgar Augusto Lara Joachin</v>
          </cell>
        </row>
        <row r="336">
          <cell r="F336">
            <v>314531</v>
          </cell>
          <cell r="G336" t="str">
            <v>Edgar Josue Lopez Cahuec</v>
          </cell>
        </row>
        <row r="337">
          <cell r="F337">
            <v>309428</v>
          </cell>
          <cell r="G337" t="str">
            <v>Edgar Manrique Flores Sanchez</v>
          </cell>
        </row>
        <row r="338">
          <cell r="F338">
            <v>313559</v>
          </cell>
          <cell r="G338" t="str">
            <v>Edgar Ricardo Lopez Valenzuela</v>
          </cell>
        </row>
        <row r="339">
          <cell r="F339">
            <v>314916</v>
          </cell>
          <cell r="G339" t="str">
            <v>Edgar Samuel Chavez Garcia</v>
          </cell>
        </row>
        <row r="340">
          <cell r="F340">
            <v>313861</v>
          </cell>
          <cell r="G340" t="str">
            <v>Edith Guadalupe Del Cid Orellana</v>
          </cell>
        </row>
        <row r="341">
          <cell r="F341">
            <v>304240</v>
          </cell>
          <cell r="G341" t="str">
            <v>Edna Fabiola Miranda Nufio</v>
          </cell>
        </row>
        <row r="342">
          <cell r="F342">
            <v>313770</v>
          </cell>
          <cell r="G342" t="str">
            <v>Edna Rubi Hernandez Retana</v>
          </cell>
        </row>
        <row r="343">
          <cell r="F343">
            <v>308533</v>
          </cell>
          <cell r="G343" t="str">
            <v>Eduardo Antonio Sotoj Zepeda</v>
          </cell>
        </row>
        <row r="344">
          <cell r="F344">
            <v>315502</v>
          </cell>
          <cell r="G344" t="str">
            <v>Eduardo Eliu Camey Coyoy</v>
          </cell>
        </row>
        <row r="345">
          <cell r="F345">
            <v>315483</v>
          </cell>
          <cell r="G345" t="str">
            <v>Eduardo Jose Perez Pichilla</v>
          </cell>
        </row>
        <row r="346">
          <cell r="F346">
            <v>306695</v>
          </cell>
          <cell r="G346" t="str">
            <v>Eduvina Lisbeth Chilel Garcia</v>
          </cell>
        </row>
        <row r="347">
          <cell r="F347">
            <v>313804</v>
          </cell>
          <cell r="G347" t="str">
            <v>Edvin Daniel Compa Oroxom</v>
          </cell>
        </row>
        <row r="348">
          <cell r="F348">
            <v>305736</v>
          </cell>
          <cell r="G348" t="str">
            <v>Edvin Estuardo Ordoñez Gonzalez</v>
          </cell>
        </row>
        <row r="349">
          <cell r="F349">
            <v>313327</v>
          </cell>
          <cell r="G349" t="str">
            <v>Edvin Raul Chavez Monroy</v>
          </cell>
        </row>
        <row r="350">
          <cell r="F350">
            <v>309209</v>
          </cell>
          <cell r="G350" t="str">
            <v>Edward Andoni Alvarez Agueda</v>
          </cell>
        </row>
        <row r="351">
          <cell r="F351">
            <v>311219</v>
          </cell>
          <cell r="G351" t="str">
            <v>Edward Oswaldo Mo Macz</v>
          </cell>
        </row>
        <row r="352">
          <cell r="F352">
            <v>315174</v>
          </cell>
          <cell r="G352" t="str">
            <v>Edwin Adolfo Soberanis Mazariegos</v>
          </cell>
        </row>
        <row r="353">
          <cell r="F353">
            <v>312540</v>
          </cell>
          <cell r="G353" t="str">
            <v>Edwin Alexander Davila Xitumul</v>
          </cell>
        </row>
        <row r="354">
          <cell r="F354">
            <v>313701</v>
          </cell>
          <cell r="G354" t="str">
            <v>Edwin Ernesto Sut Chinol</v>
          </cell>
        </row>
        <row r="355">
          <cell r="F355">
            <v>312557</v>
          </cell>
          <cell r="G355" t="str">
            <v>Edwin Romeo Eleazar Ochoa Lopez</v>
          </cell>
        </row>
        <row r="356">
          <cell r="F356">
            <v>311167</v>
          </cell>
          <cell r="G356" t="str">
            <v>Edy Giancarlo Moreno Pineda</v>
          </cell>
        </row>
        <row r="357">
          <cell r="F357">
            <v>312542</v>
          </cell>
          <cell r="G357" t="str">
            <v>Elba Eulalia Esquite Lemus</v>
          </cell>
        </row>
        <row r="358">
          <cell r="F358">
            <v>303412</v>
          </cell>
          <cell r="G358" t="str">
            <v>Elder Antonio Mendez Tobar</v>
          </cell>
        </row>
        <row r="359">
          <cell r="F359">
            <v>315436</v>
          </cell>
          <cell r="G359" t="str">
            <v>Elder Frankiln Cax Dionicio</v>
          </cell>
        </row>
        <row r="360">
          <cell r="F360">
            <v>311891</v>
          </cell>
          <cell r="G360" t="str">
            <v>Elder Uzias Jordan Perez</v>
          </cell>
        </row>
        <row r="361">
          <cell r="F361">
            <v>309812</v>
          </cell>
          <cell r="G361" t="str">
            <v>Elena Yazmin Valdez Gallegos</v>
          </cell>
        </row>
        <row r="362">
          <cell r="F362">
            <v>314275</v>
          </cell>
          <cell r="G362" t="str">
            <v>Elias Jose Daniel Estrada Nufio</v>
          </cell>
        </row>
        <row r="363">
          <cell r="F363">
            <v>307588</v>
          </cell>
          <cell r="G363" t="str">
            <v>Elida Noemi Monroy Ortega</v>
          </cell>
        </row>
        <row r="364">
          <cell r="F364">
            <v>315463</v>
          </cell>
          <cell r="G364" t="str">
            <v>Elin Magali Gallardo Velasquez</v>
          </cell>
        </row>
        <row r="365">
          <cell r="F365">
            <v>310755</v>
          </cell>
          <cell r="G365" t="str">
            <v>Elisa Clementina Mazariegos Andrade</v>
          </cell>
        </row>
        <row r="366">
          <cell r="F366">
            <v>314466</v>
          </cell>
          <cell r="G366" t="str">
            <v>Eliseo Gonzalez De Leon</v>
          </cell>
        </row>
        <row r="367">
          <cell r="F367">
            <v>310043</v>
          </cell>
          <cell r="G367" t="str">
            <v>Elizangela Jazmin Barillas Ramirez</v>
          </cell>
        </row>
        <row r="368">
          <cell r="F368">
            <v>314443</v>
          </cell>
          <cell r="G368" t="str">
            <v>Elmer Antonio Muñoz Alvarez</v>
          </cell>
        </row>
        <row r="369">
          <cell r="F369">
            <v>314763</v>
          </cell>
          <cell r="G369" t="str">
            <v>Elsa Edith Alixjandra Morales Cordon</v>
          </cell>
        </row>
        <row r="370">
          <cell r="F370">
            <v>311227</v>
          </cell>
          <cell r="G370" t="str">
            <v>Elsa Karina Siquibache Perez</v>
          </cell>
        </row>
        <row r="371">
          <cell r="F371">
            <v>308968</v>
          </cell>
          <cell r="G371" t="str">
            <v>Eluizer Amadeus De Leon De Leon</v>
          </cell>
        </row>
        <row r="372">
          <cell r="F372">
            <v>314871</v>
          </cell>
          <cell r="G372" t="str">
            <v>Elvis Ariel Juarez Solis</v>
          </cell>
        </row>
        <row r="373">
          <cell r="F373">
            <v>313368</v>
          </cell>
          <cell r="G373" t="str">
            <v>Elvis Orlando Lopez Marroquin</v>
          </cell>
        </row>
        <row r="374">
          <cell r="F374">
            <v>314342</v>
          </cell>
          <cell r="G374" t="str">
            <v>Emanuel Perez Garnillo</v>
          </cell>
        </row>
        <row r="375">
          <cell r="F375">
            <v>312736</v>
          </cell>
          <cell r="G375" t="str">
            <v>Emely Johanna Urbina Beltran</v>
          </cell>
        </row>
        <row r="376">
          <cell r="F376">
            <v>312762</v>
          </cell>
          <cell r="G376" t="str">
            <v>Emerson Ezequiel Giron Lopez</v>
          </cell>
        </row>
        <row r="377">
          <cell r="F377">
            <v>303591</v>
          </cell>
          <cell r="G377" t="str">
            <v>Emerson Josue Lopez Hernandez</v>
          </cell>
        </row>
        <row r="378">
          <cell r="F378">
            <v>312165</v>
          </cell>
          <cell r="G378" t="str">
            <v>Emily Jisselle Rosales Paz</v>
          </cell>
        </row>
        <row r="379">
          <cell r="F379">
            <v>313560</v>
          </cell>
          <cell r="G379" t="str">
            <v>Emy Noemi Vicente Herrera</v>
          </cell>
        </row>
        <row r="380">
          <cell r="F380">
            <v>315047</v>
          </cell>
          <cell r="G380" t="str">
            <v>Erick Adolfo Orellana Lopez</v>
          </cell>
        </row>
        <row r="381">
          <cell r="F381">
            <v>311598</v>
          </cell>
          <cell r="G381" t="str">
            <v>Erick Antonio Perez Perez</v>
          </cell>
        </row>
        <row r="382">
          <cell r="F382">
            <v>311742</v>
          </cell>
          <cell r="G382" t="str">
            <v>Erick Estuardo Morales Samayoa</v>
          </cell>
        </row>
        <row r="383">
          <cell r="F383">
            <v>308758</v>
          </cell>
          <cell r="G383" t="str">
            <v>Erick Gamaliel Pineda Mendez</v>
          </cell>
        </row>
        <row r="384">
          <cell r="F384">
            <v>314371</v>
          </cell>
          <cell r="G384" t="str">
            <v>Erick Guillermo Sierra Escobar</v>
          </cell>
        </row>
        <row r="385">
          <cell r="F385">
            <v>314095</v>
          </cell>
          <cell r="G385" t="str">
            <v>Erick Joel Diaz Barrera</v>
          </cell>
        </row>
        <row r="386">
          <cell r="F386">
            <v>314408</v>
          </cell>
          <cell r="G386" t="str">
            <v>Erick Josue Martinez Pineda</v>
          </cell>
        </row>
        <row r="387">
          <cell r="F387">
            <v>312434</v>
          </cell>
          <cell r="G387" t="str">
            <v>Erick Manuel Umul Quiej</v>
          </cell>
        </row>
        <row r="388">
          <cell r="F388">
            <v>202410</v>
          </cell>
          <cell r="G388" t="str">
            <v>Erick Oswaldo Aguilar Santiago</v>
          </cell>
        </row>
        <row r="389">
          <cell r="F389">
            <v>310750</v>
          </cell>
          <cell r="G389" t="str">
            <v>Erick Uriel Sandoval Herrera</v>
          </cell>
        </row>
        <row r="390">
          <cell r="F390">
            <v>304557</v>
          </cell>
          <cell r="G390" t="str">
            <v>Ericka Arceli Gonzalez Astorga</v>
          </cell>
        </row>
        <row r="391">
          <cell r="F391">
            <v>308593</v>
          </cell>
          <cell r="G391" t="str">
            <v>Ericka Beatriz Tiu Arriola</v>
          </cell>
        </row>
        <row r="392">
          <cell r="F392">
            <v>310893</v>
          </cell>
          <cell r="G392" t="str">
            <v>Ericka Florentina Hernandez Bermudes</v>
          </cell>
        </row>
        <row r="393">
          <cell r="F393">
            <v>310845</v>
          </cell>
          <cell r="G393" t="str">
            <v>Ericka Gricelda Beatriz Calderon Lopez</v>
          </cell>
        </row>
        <row r="394">
          <cell r="F394">
            <v>313654</v>
          </cell>
          <cell r="G394" t="str">
            <v>Ericka Mabel Choc Vasquez</v>
          </cell>
        </row>
        <row r="395">
          <cell r="F395">
            <v>308152</v>
          </cell>
          <cell r="G395" t="str">
            <v>Ericka Nathali Huitz Ortega</v>
          </cell>
        </row>
        <row r="396">
          <cell r="F396">
            <v>313812</v>
          </cell>
          <cell r="G396" t="str">
            <v>Erickson Amilcar Vasquez Garrido</v>
          </cell>
        </row>
        <row r="397">
          <cell r="F397">
            <v>303616</v>
          </cell>
          <cell r="G397" t="str">
            <v>Erik Leonel Alva</v>
          </cell>
        </row>
        <row r="398">
          <cell r="F398">
            <v>310011</v>
          </cell>
          <cell r="G398" t="str">
            <v>Erika Alejandra Hernandez Vega</v>
          </cell>
        </row>
        <row r="399">
          <cell r="F399">
            <v>314808</v>
          </cell>
          <cell r="G399" t="str">
            <v>Erika Carolina Lopez Chiroy</v>
          </cell>
        </row>
        <row r="400">
          <cell r="F400">
            <v>306497</v>
          </cell>
          <cell r="G400" t="str">
            <v>Erika Ixtan Canil</v>
          </cell>
        </row>
        <row r="401">
          <cell r="F401">
            <v>314703</v>
          </cell>
          <cell r="G401" t="str">
            <v>Erlinda Elizabeth Cabrera</v>
          </cell>
        </row>
        <row r="402">
          <cell r="F402">
            <v>315535</v>
          </cell>
          <cell r="G402" t="str">
            <v>Ernesto Perez Tecun</v>
          </cell>
        </row>
        <row r="403">
          <cell r="F403">
            <v>313727</v>
          </cell>
          <cell r="G403" t="str">
            <v>Erwin Antonio Lorenzo Zamora</v>
          </cell>
        </row>
        <row r="404">
          <cell r="F404">
            <v>315123</v>
          </cell>
          <cell r="G404" t="str">
            <v>Esdras Daniel Pablo Solis</v>
          </cell>
        </row>
        <row r="405">
          <cell r="F405">
            <v>315491</v>
          </cell>
          <cell r="G405" t="str">
            <v>Esdras Eduardo Hernadez Morales</v>
          </cell>
        </row>
        <row r="406">
          <cell r="F406">
            <v>314068</v>
          </cell>
          <cell r="G406" t="str">
            <v>Esdras Manases Vasquez Vasquez</v>
          </cell>
        </row>
        <row r="407">
          <cell r="F407">
            <v>313871</v>
          </cell>
          <cell r="G407" t="str">
            <v>Eskarleth Julieta Coloma Camey</v>
          </cell>
        </row>
        <row r="408">
          <cell r="F408">
            <v>312554</v>
          </cell>
          <cell r="G408" t="str">
            <v>Esmaylin Alexis Melchor Lopez</v>
          </cell>
        </row>
        <row r="409">
          <cell r="F409">
            <v>315510</v>
          </cell>
          <cell r="G409" t="str">
            <v>Esteban Alfonso Gonzalez Osuna</v>
          </cell>
        </row>
        <row r="410">
          <cell r="F410">
            <v>313644</v>
          </cell>
          <cell r="G410" t="str">
            <v>Estefani Elizabeth Tzul Macario</v>
          </cell>
        </row>
        <row r="411">
          <cell r="F411">
            <v>312323</v>
          </cell>
          <cell r="G411" t="str">
            <v>Estefani Mishel Carpio Alvarado</v>
          </cell>
        </row>
        <row r="412">
          <cell r="F412">
            <v>313428</v>
          </cell>
          <cell r="G412" t="str">
            <v>Estefany Catalina Suazo Garcia</v>
          </cell>
        </row>
        <row r="413">
          <cell r="F413">
            <v>311094</v>
          </cell>
          <cell r="G413" t="str">
            <v>Estefany Virginia Perez Leiva</v>
          </cell>
        </row>
        <row r="414">
          <cell r="F414">
            <v>313151</v>
          </cell>
          <cell r="G414" t="str">
            <v>Ester Yulissa Salazar Sanches</v>
          </cell>
        </row>
        <row r="415">
          <cell r="F415">
            <v>308702</v>
          </cell>
          <cell r="G415" t="str">
            <v>Estuardo Alejandro Us Chanchavac</v>
          </cell>
        </row>
        <row r="416">
          <cell r="F416">
            <v>315564</v>
          </cell>
          <cell r="G416" t="str">
            <v>Esvin Rolando Orozco Mulul</v>
          </cell>
        </row>
        <row r="417">
          <cell r="F417">
            <v>314285</v>
          </cell>
          <cell r="G417" t="str">
            <v>Eswin Antonio Carrillo Barrera</v>
          </cell>
        </row>
        <row r="418">
          <cell r="F418">
            <v>311882</v>
          </cell>
          <cell r="G418" t="str">
            <v>Eswin Aroldo Ordoñez Robles</v>
          </cell>
        </row>
        <row r="419">
          <cell r="F419">
            <v>315041</v>
          </cell>
          <cell r="G419" t="str">
            <v>Eugenia Azucely Lopez De De Aguirre</v>
          </cell>
        </row>
        <row r="420">
          <cell r="F420">
            <v>313219</v>
          </cell>
          <cell r="G420" t="str">
            <v>Eunice Alejandrina Simon Gonzalez</v>
          </cell>
        </row>
        <row r="421">
          <cell r="F421">
            <v>314553</v>
          </cell>
          <cell r="G421" t="str">
            <v>Eva Argentina Ramirez Perez</v>
          </cell>
        </row>
        <row r="422">
          <cell r="F422">
            <v>313803</v>
          </cell>
          <cell r="G422" t="str">
            <v>Eva Yustinia Lopez Zuñiga</v>
          </cell>
        </row>
        <row r="423">
          <cell r="F423">
            <v>314445</v>
          </cell>
          <cell r="G423" t="str">
            <v>Evelin Lorena Noguera García</v>
          </cell>
        </row>
        <row r="424">
          <cell r="F424">
            <v>314320</v>
          </cell>
          <cell r="G424" t="str">
            <v>Evelin Maria Padilla Garcia</v>
          </cell>
        </row>
        <row r="425">
          <cell r="F425">
            <v>313699</v>
          </cell>
          <cell r="G425" t="str">
            <v>Evelin Yulissa Lopez Villar</v>
          </cell>
        </row>
        <row r="426">
          <cell r="F426">
            <v>307498</v>
          </cell>
          <cell r="G426" t="str">
            <v>Evelyn Julieta Lopez Peralta</v>
          </cell>
        </row>
        <row r="427">
          <cell r="F427">
            <v>312811</v>
          </cell>
          <cell r="G427" t="str">
            <v>Evelyn Maritza Chumil Monroy</v>
          </cell>
        </row>
        <row r="428">
          <cell r="F428">
            <v>313353</v>
          </cell>
          <cell r="G428" t="str">
            <v>Evelyn Marleny Rosales Cutz</v>
          </cell>
        </row>
        <row r="429">
          <cell r="F429">
            <v>313264</v>
          </cell>
          <cell r="G429" t="str">
            <v>Evelyn Mishell Catalan Pixtun</v>
          </cell>
        </row>
        <row r="430">
          <cell r="F430">
            <v>314528</v>
          </cell>
          <cell r="G430" t="str">
            <v>Evelyn Nohemi Morales Lopez</v>
          </cell>
        </row>
        <row r="431">
          <cell r="F431">
            <v>311933</v>
          </cell>
          <cell r="G431" t="str">
            <v>Evelyn Rocio Chiquival Piquic</v>
          </cell>
        </row>
        <row r="432">
          <cell r="F432">
            <v>315213</v>
          </cell>
          <cell r="G432" t="str">
            <v>Evelyn Susana Hernandez Ambrosio</v>
          </cell>
        </row>
        <row r="433">
          <cell r="F433">
            <v>311721</v>
          </cell>
          <cell r="G433" t="str">
            <v>Evelyn Yaneth Aceituno Lara</v>
          </cell>
        </row>
        <row r="434">
          <cell r="F434">
            <v>313016</v>
          </cell>
          <cell r="G434" t="str">
            <v>Ever Josue Del Valle Rivera</v>
          </cell>
        </row>
        <row r="435">
          <cell r="F435">
            <v>313552</v>
          </cell>
          <cell r="G435" t="str">
            <v>Everilda Choc Caal</v>
          </cell>
        </row>
        <row r="436">
          <cell r="F436">
            <v>313091</v>
          </cell>
          <cell r="G436" t="str">
            <v>Fabian De Jesus Ramirez Icute</v>
          </cell>
        </row>
        <row r="437">
          <cell r="F437">
            <v>312169</v>
          </cell>
          <cell r="G437" t="str">
            <v>Fabiola Hernandez Bartolon</v>
          </cell>
        </row>
        <row r="438">
          <cell r="F438">
            <v>308284</v>
          </cell>
          <cell r="G438" t="str">
            <v>Fabiola Ninett Beteta Barillas</v>
          </cell>
        </row>
        <row r="439">
          <cell r="F439">
            <v>312293</v>
          </cell>
          <cell r="G439" t="str">
            <v>Fabricio Daniel Cajas Cifuentes</v>
          </cell>
        </row>
        <row r="440">
          <cell r="F440">
            <v>315582</v>
          </cell>
          <cell r="G440" t="str">
            <v>Fatima Mercedes Montes Quezada</v>
          </cell>
        </row>
        <row r="441">
          <cell r="F441">
            <v>314263</v>
          </cell>
          <cell r="G441" t="str">
            <v>Feliciana Isabel Ramirez Raymundo</v>
          </cell>
        </row>
        <row r="442">
          <cell r="F442">
            <v>314012</v>
          </cell>
          <cell r="G442" t="str">
            <v>Felix Rodolfo Alvarado Jimenez</v>
          </cell>
        </row>
        <row r="443">
          <cell r="F443">
            <v>314349</v>
          </cell>
          <cell r="G443" t="str">
            <v>Fernanda Lucia Lopez Estrada</v>
          </cell>
        </row>
        <row r="444">
          <cell r="F444">
            <v>312409</v>
          </cell>
          <cell r="G444" t="str">
            <v>Fernanda Rene Villatoro Guarcas</v>
          </cell>
        </row>
        <row r="445">
          <cell r="F445">
            <v>314934</v>
          </cell>
          <cell r="G445" t="str">
            <v>Fernando Jose Monzon Castañeda</v>
          </cell>
        </row>
        <row r="446">
          <cell r="F446">
            <v>315303</v>
          </cell>
          <cell r="G446" t="str">
            <v>Flavio Ernesto Monzón Rummler</v>
          </cell>
        </row>
        <row r="447">
          <cell r="F447">
            <v>315309</v>
          </cell>
          <cell r="G447" t="str">
            <v>Flor De Maria Lopez Garcia</v>
          </cell>
        </row>
        <row r="448">
          <cell r="F448">
            <v>307917</v>
          </cell>
          <cell r="G448" t="str">
            <v>Flor De Maria Mux Ramos</v>
          </cell>
        </row>
        <row r="449">
          <cell r="F449">
            <v>315038</v>
          </cell>
          <cell r="G449" t="str">
            <v>Flor Sylvestre Orellana Gonzalez</v>
          </cell>
        </row>
        <row r="450">
          <cell r="F450">
            <v>101729</v>
          </cell>
          <cell r="G450" t="str">
            <v>Florencio Monterroso Estrada</v>
          </cell>
        </row>
        <row r="451">
          <cell r="F451">
            <v>314230</v>
          </cell>
          <cell r="G451" t="str">
            <v>Floridalma Leticia Lopez Ramirez</v>
          </cell>
        </row>
        <row r="452">
          <cell r="F452">
            <v>314093</v>
          </cell>
          <cell r="G452" t="str">
            <v>Floridalma Nicolas Yos</v>
          </cell>
        </row>
        <row r="453">
          <cell r="F453">
            <v>312717</v>
          </cell>
          <cell r="G453" t="str">
            <v>Florita Reyes Roblero Morales</v>
          </cell>
        </row>
        <row r="454">
          <cell r="F454">
            <v>314785</v>
          </cell>
          <cell r="G454" t="str">
            <v>Flory Azucena De Leon Ventura</v>
          </cell>
        </row>
        <row r="455">
          <cell r="F455">
            <v>310144</v>
          </cell>
          <cell r="G455" t="str">
            <v>Francisco Javier Diaz Avila</v>
          </cell>
        </row>
        <row r="456">
          <cell r="F456">
            <v>315457</v>
          </cell>
          <cell r="G456" t="str">
            <v>Francisco Joel Gomez Rodriguez</v>
          </cell>
        </row>
        <row r="457">
          <cell r="F457">
            <v>311612</v>
          </cell>
          <cell r="G457" t="str">
            <v>Franklin Alexander Perez Paiz</v>
          </cell>
        </row>
        <row r="458">
          <cell r="F458">
            <v>315204</v>
          </cell>
          <cell r="G458" t="str">
            <v>Gabriel Antonio Rodas Domingo</v>
          </cell>
        </row>
        <row r="459">
          <cell r="F459">
            <v>311548</v>
          </cell>
          <cell r="G459" t="str">
            <v>Gabriela Alejandra Estrada Aroche</v>
          </cell>
        </row>
        <row r="460">
          <cell r="F460">
            <v>306667</v>
          </cell>
          <cell r="G460" t="str">
            <v>Gabriela Elizabeth Flores Santos</v>
          </cell>
        </row>
        <row r="461">
          <cell r="F461">
            <v>314533</v>
          </cell>
          <cell r="G461" t="str">
            <v>Gabriela Liseth Perez Monzon</v>
          </cell>
        </row>
        <row r="462">
          <cell r="F462">
            <v>311817</v>
          </cell>
          <cell r="G462" t="str">
            <v>Gabriela Paola Macario Lopez</v>
          </cell>
        </row>
        <row r="463">
          <cell r="F463">
            <v>301309</v>
          </cell>
          <cell r="G463" t="str">
            <v>Gabriela Pelaez Gonzalez</v>
          </cell>
        </row>
        <row r="464">
          <cell r="F464">
            <v>315530</v>
          </cell>
          <cell r="G464" t="str">
            <v>Gabriela Raquel Pixtun Trujillo</v>
          </cell>
        </row>
        <row r="465">
          <cell r="F465">
            <v>315343</v>
          </cell>
          <cell r="G465" t="str">
            <v>Gabriela Valeska Lemus Cotuc</v>
          </cell>
        </row>
        <row r="466">
          <cell r="F466">
            <v>309911</v>
          </cell>
          <cell r="G466" t="str">
            <v>Gaby Beatriz Lopez Lopez</v>
          </cell>
        </row>
        <row r="467">
          <cell r="F467">
            <v>315485</v>
          </cell>
          <cell r="G467" t="str">
            <v>Geraldy Daleska Cuyan Giron</v>
          </cell>
        </row>
        <row r="468">
          <cell r="F468">
            <v>307104</v>
          </cell>
          <cell r="G468" t="str">
            <v>Gerber Ariel De Leon Elias</v>
          </cell>
        </row>
        <row r="469">
          <cell r="F469">
            <v>312975</v>
          </cell>
          <cell r="G469" t="str">
            <v>Gerberth Aridmendi Arevalo Zepeda</v>
          </cell>
        </row>
        <row r="470">
          <cell r="F470">
            <v>306654</v>
          </cell>
          <cell r="G470" t="str">
            <v>Gerson Arcadio Hernandez Barrios</v>
          </cell>
        </row>
        <row r="471">
          <cell r="F471">
            <v>315035</v>
          </cell>
          <cell r="G471" t="str">
            <v>Gerson David Ortega Soto</v>
          </cell>
        </row>
        <row r="472">
          <cell r="F472">
            <v>315255</v>
          </cell>
          <cell r="G472" t="str">
            <v>Gerson Rene Galicia Alvarez</v>
          </cell>
        </row>
        <row r="473">
          <cell r="F473">
            <v>313730</v>
          </cell>
          <cell r="G473" t="str">
            <v>Gerson Rolando Alcantara Gonzalez</v>
          </cell>
        </row>
        <row r="474">
          <cell r="F474">
            <v>315273</v>
          </cell>
          <cell r="G474" t="str">
            <v>Gladis Guadalupe Tuyuc Ramirez</v>
          </cell>
        </row>
        <row r="475">
          <cell r="F475">
            <v>309429</v>
          </cell>
          <cell r="G475" t="str">
            <v>Gladis Mishel Aguilar Garcia</v>
          </cell>
        </row>
        <row r="476">
          <cell r="F476">
            <v>315265</v>
          </cell>
          <cell r="G476" t="str">
            <v>Gladis Nohemi Noj Hernandez De De Leon</v>
          </cell>
        </row>
        <row r="477">
          <cell r="F477">
            <v>301514</v>
          </cell>
          <cell r="G477" t="str">
            <v>Gladiz Maricela Guamuch Caracun De Lopez</v>
          </cell>
        </row>
        <row r="478">
          <cell r="F478">
            <v>309950</v>
          </cell>
          <cell r="G478" t="str">
            <v>Gladys Maribel Chamale Cotzajay</v>
          </cell>
        </row>
        <row r="479">
          <cell r="F479">
            <v>315349</v>
          </cell>
          <cell r="G479" t="str">
            <v>Gladys Marleny Rodriguez Tzoc</v>
          </cell>
        </row>
        <row r="480">
          <cell r="F480">
            <v>306248</v>
          </cell>
          <cell r="G480" t="str">
            <v>Gladys Susana Marin De Leon</v>
          </cell>
        </row>
        <row r="481">
          <cell r="F481">
            <v>310719</v>
          </cell>
          <cell r="G481" t="str">
            <v>Gladyz Ninett Sanchez Perez</v>
          </cell>
        </row>
        <row r="482">
          <cell r="F482">
            <v>309945</v>
          </cell>
          <cell r="G482" t="str">
            <v>Glenda Flor De Maria Caal</v>
          </cell>
        </row>
        <row r="483">
          <cell r="F483">
            <v>314619</v>
          </cell>
          <cell r="G483" t="str">
            <v>Glenda Isabel Perez Velasquez</v>
          </cell>
        </row>
        <row r="484">
          <cell r="F484">
            <v>315263</v>
          </cell>
          <cell r="G484" t="str">
            <v>Glendy Aracely Arevalo Estrada</v>
          </cell>
        </row>
        <row r="485">
          <cell r="F485">
            <v>312140</v>
          </cell>
          <cell r="G485" t="str">
            <v>Glendy Elizabeth Aspuac Xunux</v>
          </cell>
        </row>
        <row r="486">
          <cell r="F486">
            <v>304949</v>
          </cell>
          <cell r="G486" t="str">
            <v>Glendy Modesta Orellana Sanabria</v>
          </cell>
        </row>
        <row r="487">
          <cell r="F487">
            <v>314189</v>
          </cell>
          <cell r="G487" t="str">
            <v>Gloria Angelica Torres Franco</v>
          </cell>
        </row>
        <row r="488">
          <cell r="F488">
            <v>304943</v>
          </cell>
          <cell r="G488" t="str">
            <v>Gloria Hernandez Reyes</v>
          </cell>
        </row>
        <row r="489">
          <cell r="F489">
            <v>314569</v>
          </cell>
          <cell r="G489" t="str">
            <v>Gonzalo Danilo Castillo Miche</v>
          </cell>
        </row>
        <row r="490">
          <cell r="F490">
            <v>310114</v>
          </cell>
          <cell r="G490" t="str">
            <v>Guadalupe Marroquin Mayen</v>
          </cell>
        </row>
        <row r="491">
          <cell r="F491">
            <v>313710</v>
          </cell>
          <cell r="G491" t="str">
            <v>Gustavo Adolfo Mixtun Sunun</v>
          </cell>
        </row>
        <row r="492">
          <cell r="F492">
            <v>314863</v>
          </cell>
          <cell r="G492" t="str">
            <v>Gustavo Manuel Cifuentes De Mata</v>
          </cell>
        </row>
        <row r="493">
          <cell r="F493">
            <v>315412</v>
          </cell>
          <cell r="G493" t="str">
            <v>Hairo Andre Contreras Paz</v>
          </cell>
        </row>
        <row r="494">
          <cell r="F494">
            <v>311419</v>
          </cell>
          <cell r="G494" t="str">
            <v>Hallari Michel Orozco Chapen</v>
          </cell>
        </row>
        <row r="495">
          <cell r="F495">
            <v>312961</v>
          </cell>
          <cell r="G495" t="str">
            <v>Hans Estuard Milian Alarcon</v>
          </cell>
        </row>
        <row r="496">
          <cell r="F496">
            <v>315569</v>
          </cell>
          <cell r="G496" t="str">
            <v>Heber Benjamin Gomez Ramirez</v>
          </cell>
        </row>
        <row r="497">
          <cell r="F497">
            <v>315175</v>
          </cell>
          <cell r="G497" t="str">
            <v>Heber Nehemias Velasquez Lorenzo</v>
          </cell>
        </row>
        <row r="498">
          <cell r="F498">
            <v>315576</v>
          </cell>
          <cell r="G498" t="str">
            <v>Heber Uziel Ruiz Escobar</v>
          </cell>
        </row>
        <row r="499">
          <cell r="F499">
            <v>315154</v>
          </cell>
          <cell r="G499" t="str">
            <v>Hector Estuardo Velasquez Carvajal</v>
          </cell>
        </row>
        <row r="500">
          <cell r="F500">
            <v>312588</v>
          </cell>
          <cell r="G500" t="str">
            <v>Hector Manuel Pojoy Berduo</v>
          </cell>
        </row>
        <row r="501">
          <cell r="F501">
            <v>309925</v>
          </cell>
          <cell r="G501" t="str">
            <v>Hector Marco Tulio Torres Garcia</v>
          </cell>
        </row>
        <row r="502">
          <cell r="F502">
            <v>312114</v>
          </cell>
          <cell r="G502" t="str">
            <v>Hegner Aquino Mateo Recinos</v>
          </cell>
        </row>
        <row r="503">
          <cell r="F503">
            <v>310694</v>
          </cell>
          <cell r="G503" t="str">
            <v>Heidy Carolina Monterroso Monterroso</v>
          </cell>
        </row>
        <row r="504">
          <cell r="F504">
            <v>315300</v>
          </cell>
          <cell r="G504" t="str">
            <v>Heidy Karina Gil Quinti</v>
          </cell>
        </row>
        <row r="505">
          <cell r="F505">
            <v>314029</v>
          </cell>
          <cell r="G505" t="str">
            <v>Heidy Noely Yupe Hernandez</v>
          </cell>
        </row>
        <row r="506">
          <cell r="F506">
            <v>313510</v>
          </cell>
          <cell r="G506" t="str">
            <v>Heidy Patricia Santizo López</v>
          </cell>
        </row>
        <row r="507">
          <cell r="F507">
            <v>308951</v>
          </cell>
          <cell r="G507" t="str">
            <v>Heidy Sucely Boc Monroy</v>
          </cell>
        </row>
        <row r="508">
          <cell r="F508">
            <v>301847</v>
          </cell>
          <cell r="G508" t="str">
            <v>Heidy Yanet Reyes Presencin</v>
          </cell>
        </row>
        <row r="509">
          <cell r="F509">
            <v>314009</v>
          </cell>
          <cell r="G509" t="str">
            <v>Heily Marie Taracena Diaz</v>
          </cell>
        </row>
        <row r="510">
          <cell r="F510">
            <v>303959</v>
          </cell>
          <cell r="G510" t="str">
            <v>Helen Editt Solorzano Estrada</v>
          </cell>
        </row>
        <row r="511">
          <cell r="F511">
            <v>308028</v>
          </cell>
          <cell r="G511" t="str">
            <v>Helen Eunice Hernandez Recinos</v>
          </cell>
        </row>
        <row r="512">
          <cell r="F512">
            <v>302479</v>
          </cell>
          <cell r="G512" t="str">
            <v>Helen Xiomara Roldan Sagastume</v>
          </cell>
        </row>
        <row r="513">
          <cell r="F513">
            <v>313041</v>
          </cell>
          <cell r="G513" t="str">
            <v>Hellen Marisol Velasquez Ciprian</v>
          </cell>
        </row>
        <row r="514">
          <cell r="F514">
            <v>313729</v>
          </cell>
          <cell r="G514" t="str">
            <v>Henry David Lopez Perez</v>
          </cell>
        </row>
        <row r="515">
          <cell r="F515">
            <v>307713</v>
          </cell>
          <cell r="G515" t="str">
            <v>Henry Donaldo Rodriguez Perez</v>
          </cell>
        </row>
        <row r="516">
          <cell r="F516">
            <v>315304</v>
          </cell>
          <cell r="G516" t="str">
            <v>Henry Gabriel Morales Chinchilla</v>
          </cell>
        </row>
        <row r="517">
          <cell r="F517">
            <v>314630</v>
          </cell>
          <cell r="G517" t="str">
            <v>Henry Misael Serech Ramon</v>
          </cell>
        </row>
        <row r="518">
          <cell r="F518">
            <v>312139</v>
          </cell>
          <cell r="G518" t="str">
            <v>Herber Ardany Lucho Samayoa</v>
          </cell>
        </row>
        <row r="519">
          <cell r="F519">
            <v>310725</v>
          </cell>
          <cell r="G519" t="str">
            <v>Herber Humberto Cax Gonzales</v>
          </cell>
        </row>
        <row r="520">
          <cell r="F520">
            <v>309034</v>
          </cell>
          <cell r="G520" t="str">
            <v>Herbert Josue Mucia Garcia</v>
          </cell>
        </row>
        <row r="521">
          <cell r="F521">
            <v>315218</v>
          </cell>
          <cell r="G521" t="str">
            <v>Herberth Alberto Barrios Perez</v>
          </cell>
        </row>
        <row r="522">
          <cell r="F522">
            <v>315050</v>
          </cell>
          <cell r="G522" t="str">
            <v>Hercy Dayana Hidalgo Romero</v>
          </cell>
        </row>
        <row r="523">
          <cell r="F523">
            <v>312377</v>
          </cell>
          <cell r="G523" t="str">
            <v>Hesler Jonathan Quevedo De La Cruz</v>
          </cell>
        </row>
        <row r="524">
          <cell r="F524">
            <v>315495</v>
          </cell>
          <cell r="G524" t="str">
            <v>Heydee Johana Marisol Cho Del Valle</v>
          </cell>
        </row>
        <row r="525">
          <cell r="F525">
            <v>302285</v>
          </cell>
          <cell r="G525" t="str">
            <v>Heydi Yaneth Sales Mazariegos</v>
          </cell>
        </row>
        <row r="526">
          <cell r="F526">
            <v>309528</v>
          </cell>
          <cell r="G526" t="str">
            <v>Heydi Zuleyma Gue Cac</v>
          </cell>
        </row>
        <row r="527">
          <cell r="F527">
            <v>310612</v>
          </cell>
          <cell r="G527" t="str">
            <v>Heydy Mariela Santiago Armas</v>
          </cell>
        </row>
        <row r="528">
          <cell r="F528">
            <v>301649</v>
          </cell>
          <cell r="G528" t="str">
            <v>Hilda Paola Lopez Cano</v>
          </cell>
        </row>
        <row r="529">
          <cell r="F529">
            <v>306404</v>
          </cell>
          <cell r="G529" t="str">
            <v>Hugo Leonel Tahual Ramos</v>
          </cell>
        </row>
        <row r="530">
          <cell r="F530">
            <v>313743</v>
          </cell>
          <cell r="G530" t="str">
            <v>Hugo Rolando Ruiz Alquijay</v>
          </cell>
        </row>
        <row r="531">
          <cell r="F531">
            <v>310888</v>
          </cell>
          <cell r="G531" t="str">
            <v>Hugo Vinicio Chavez Barrios</v>
          </cell>
        </row>
        <row r="532">
          <cell r="F532">
            <v>302261</v>
          </cell>
          <cell r="G532" t="str">
            <v>Idalia Ester Espino Lopez</v>
          </cell>
        </row>
        <row r="533">
          <cell r="F533">
            <v>304392</v>
          </cell>
          <cell r="G533" t="str">
            <v>Ilda Gricelda Garcia Zacarias</v>
          </cell>
        </row>
        <row r="534">
          <cell r="F534">
            <v>313703</v>
          </cell>
          <cell r="G534" t="str">
            <v>Ilda Magnolia Lopez Ramirez</v>
          </cell>
        </row>
        <row r="535">
          <cell r="F535">
            <v>310432</v>
          </cell>
          <cell r="G535" t="str">
            <v>Ilda Merary Calachij Mendez</v>
          </cell>
        </row>
        <row r="536">
          <cell r="F536">
            <v>309389</v>
          </cell>
          <cell r="G536" t="str">
            <v>Ilsy Meliza Matzir Lebon</v>
          </cell>
        </row>
        <row r="537">
          <cell r="F537">
            <v>303674</v>
          </cell>
          <cell r="G537" t="str">
            <v>Imelda Elizabeth Castro Rodas</v>
          </cell>
        </row>
        <row r="538">
          <cell r="F538">
            <v>301644</v>
          </cell>
          <cell r="G538" t="str">
            <v>Imelda Eugenia Recinos Martinez</v>
          </cell>
        </row>
        <row r="539">
          <cell r="F539">
            <v>307030</v>
          </cell>
          <cell r="G539" t="str">
            <v>Ingrid Alejandra Juarez Yanes</v>
          </cell>
        </row>
        <row r="540">
          <cell r="F540">
            <v>315503</v>
          </cell>
          <cell r="G540" t="str">
            <v>Ingrid Benita Tojin Chuc</v>
          </cell>
        </row>
        <row r="541">
          <cell r="F541">
            <v>312398</v>
          </cell>
          <cell r="G541" t="str">
            <v>Ingrid Esteffany Salazar Sosa</v>
          </cell>
        </row>
        <row r="542">
          <cell r="F542">
            <v>301199</v>
          </cell>
          <cell r="G542" t="str">
            <v>Ingrid Haydee Minchez Monzon</v>
          </cell>
        </row>
        <row r="543">
          <cell r="F543">
            <v>304317</v>
          </cell>
          <cell r="G543" t="str">
            <v>Ingrid Johana Muñoz Choc</v>
          </cell>
        </row>
        <row r="544">
          <cell r="F544">
            <v>311286</v>
          </cell>
          <cell r="G544" t="str">
            <v>Ingrid Lorena Anleu Morales</v>
          </cell>
        </row>
        <row r="545">
          <cell r="F545">
            <v>311133</v>
          </cell>
          <cell r="G545" t="str">
            <v>Ingrid Mariela Maldonado Tubac</v>
          </cell>
        </row>
        <row r="546">
          <cell r="F546">
            <v>313304</v>
          </cell>
          <cell r="G546" t="str">
            <v>Ingrid Yojana Ramos Sacalxot</v>
          </cell>
        </row>
        <row r="547">
          <cell r="F547">
            <v>311997</v>
          </cell>
          <cell r="G547" t="str">
            <v>Irene Lizbeth Rodas Cuc</v>
          </cell>
        </row>
        <row r="548">
          <cell r="F548">
            <v>313128</v>
          </cell>
          <cell r="G548" t="str">
            <v>Iris Elizabeth Cardona Gonzalez</v>
          </cell>
        </row>
        <row r="549">
          <cell r="F549">
            <v>314232</v>
          </cell>
          <cell r="G549" t="str">
            <v>Iris Yulisa Camposeco Funes</v>
          </cell>
        </row>
        <row r="550">
          <cell r="F550">
            <v>312920</v>
          </cell>
          <cell r="G550" t="str">
            <v>Irma Leticia Raquec Yos</v>
          </cell>
        </row>
        <row r="551">
          <cell r="F551">
            <v>314336</v>
          </cell>
          <cell r="G551" t="str">
            <v>Isaac David Ismael Calderon Socop</v>
          </cell>
        </row>
        <row r="552">
          <cell r="F552">
            <v>315186</v>
          </cell>
          <cell r="G552" t="str">
            <v>Isabelita Retana Zepeda</v>
          </cell>
        </row>
        <row r="553">
          <cell r="F553">
            <v>311913</v>
          </cell>
          <cell r="G553" t="str">
            <v>Isai Bernabe Quiroa Alvarez</v>
          </cell>
        </row>
        <row r="554">
          <cell r="F554">
            <v>315302</v>
          </cell>
          <cell r="G554" t="str">
            <v>Isai De Jesus Cabrera Tirado</v>
          </cell>
        </row>
        <row r="555">
          <cell r="F555">
            <v>314983</v>
          </cell>
          <cell r="G555" t="str">
            <v>Ismael Josafat Barrios</v>
          </cell>
        </row>
        <row r="556">
          <cell r="F556">
            <v>313569</v>
          </cell>
          <cell r="G556" t="str">
            <v>Ismar Manfredo Gomez Batres</v>
          </cell>
        </row>
        <row r="557">
          <cell r="F557">
            <v>315034</v>
          </cell>
          <cell r="G557" t="str">
            <v>Jackeline Andrea Yancor Wilhelm</v>
          </cell>
        </row>
        <row r="558">
          <cell r="F558">
            <v>315352</v>
          </cell>
          <cell r="G558" t="str">
            <v>Jackeline Ester Vasquez Pernillo</v>
          </cell>
        </row>
        <row r="559">
          <cell r="F559">
            <v>100717</v>
          </cell>
          <cell r="G559" t="str">
            <v>Jackeline Larisa De Leon Roldan</v>
          </cell>
        </row>
        <row r="560">
          <cell r="F560">
            <v>313656</v>
          </cell>
          <cell r="G560" t="str">
            <v>Jackelinne Judith Paz Morales</v>
          </cell>
        </row>
        <row r="561">
          <cell r="F561">
            <v>312255</v>
          </cell>
          <cell r="G561" t="str">
            <v>Jacqueline Mercedes Portuguez Simaj</v>
          </cell>
        </row>
        <row r="562">
          <cell r="F562">
            <v>314780</v>
          </cell>
          <cell r="G562" t="str">
            <v>Jacqueline Michell Arroyo Mendoza</v>
          </cell>
        </row>
        <row r="563">
          <cell r="F563">
            <v>301265</v>
          </cell>
          <cell r="G563" t="str">
            <v>Jaime Estuardo Gonzalez Lopez</v>
          </cell>
        </row>
        <row r="564">
          <cell r="F564">
            <v>314552</v>
          </cell>
          <cell r="G564" t="str">
            <v>Jaime Ottoniel Del Aguila Pineda</v>
          </cell>
        </row>
        <row r="565">
          <cell r="F565">
            <v>301608</v>
          </cell>
          <cell r="G565" t="str">
            <v>Jaime Rene Guzman Muy</v>
          </cell>
        </row>
        <row r="566">
          <cell r="F566">
            <v>314866</v>
          </cell>
          <cell r="G566" t="str">
            <v>Jaime Wilfredo Chub Coc</v>
          </cell>
        </row>
        <row r="567">
          <cell r="F567">
            <v>314935</v>
          </cell>
          <cell r="G567" t="str">
            <v>Jairo Anibal Veliz Carrera</v>
          </cell>
        </row>
        <row r="568">
          <cell r="F568">
            <v>313086</v>
          </cell>
          <cell r="G568" t="str">
            <v>Jairo Onesimo Aguilar Cabrera</v>
          </cell>
        </row>
        <row r="569">
          <cell r="F569">
            <v>314146</v>
          </cell>
          <cell r="G569" t="str">
            <v>Jairo Saul Lopez Quinteros</v>
          </cell>
        </row>
        <row r="570">
          <cell r="F570">
            <v>315130</v>
          </cell>
          <cell r="G570" t="str">
            <v>Jakelyn Estrella Erazo Asencio</v>
          </cell>
        </row>
        <row r="571">
          <cell r="F571">
            <v>315546</v>
          </cell>
          <cell r="G571" t="str">
            <v>James Alexander Marquez Salazar</v>
          </cell>
        </row>
        <row r="572">
          <cell r="F572">
            <v>314261</v>
          </cell>
          <cell r="G572" t="str">
            <v>Jannely Darlene Telon Giron</v>
          </cell>
        </row>
        <row r="573">
          <cell r="F573">
            <v>313187</v>
          </cell>
          <cell r="G573" t="str">
            <v>Janyer Violeta Aguirre Alvarez</v>
          </cell>
        </row>
        <row r="574">
          <cell r="F574">
            <v>308525</v>
          </cell>
          <cell r="G574" t="str">
            <v>Jaquelin Paola Lopez Bocel</v>
          </cell>
        </row>
        <row r="575">
          <cell r="F575">
            <v>308189</v>
          </cell>
          <cell r="G575" t="str">
            <v>Jaquelin Rocxana Cantey De Leon</v>
          </cell>
        </row>
        <row r="576">
          <cell r="F576">
            <v>312758</v>
          </cell>
          <cell r="G576" t="str">
            <v>Jaqueline Gabriela Vasquez Icute De Padilla</v>
          </cell>
        </row>
        <row r="577">
          <cell r="F577">
            <v>301462</v>
          </cell>
          <cell r="G577" t="str">
            <v>Jaqueline Johana Hernandez Masaya</v>
          </cell>
        </row>
        <row r="578">
          <cell r="F578">
            <v>310027</v>
          </cell>
          <cell r="G578" t="str">
            <v>Jaqueline Mishel Zetino Culan</v>
          </cell>
        </row>
        <row r="579">
          <cell r="F579">
            <v>313663</v>
          </cell>
          <cell r="G579" t="str">
            <v>Jaqueline Mishell Perez Sanic</v>
          </cell>
        </row>
        <row r="580">
          <cell r="F580">
            <v>314697</v>
          </cell>
          <cell r="G580" t="str">
            <v>Jaqueline Noemi Cojon Franco</v>
          </cell>
        </row>
        <row r="581">
          <cell r="F581">
            <v>314526</v>
          </cell>
          <cell r="G581" t="str">
            <v>Jaqueline Sarai Reynoso Perez</v>
          </cell>
        </row>
        <row r="582">
          <cell r="F582">
            <v>314952</v>
          </cell>
          <cell r="G582" t="str">
            <v>Jaqueline Stephanie Espinoza Espinoza</v>
          </cell>
        </row>
        <row r="583">
          <cell r="F583">
            <v>315467</v>
          </cell>
          <cell r="G583" t="str">
            <v>Jaqueline Vanessa Cardona Del Cid</v>
          </cell>
        </row>
        <row r="584">
          <cell r="F584">
            <v>314066</v>
          </cell>
          <cell r="G584" t="str">
            <v>Jaquelyn Marleny Fernandez</v>
          </cell>
        </row>
        <row r="585">
          <cell r="F585">
            <v>314639</v>
          </cell>
          <cell r="G585" t="str">
            <v>Jarod Emanuel Prado Sanchez</v>
          </cell>
        </row>
        <row r="586">
          <cell r="F586">
            <v>311320</v>
          </cell>
          <cell r="G586" t="str">
            <v>Jasly Elisama Escobar Mayen</v>
          </cell>
        </row>
        <row r="587">
          <cell r="F587">
            <v>304531</v>
          </cell>
          <cell r="G587" t="str">
            <v>Jasmin Cristabel Rosales</v>
          </cell>
        </row>
        <row r="588">
          <cell r="F588">
            <v>315500</v>
          </cell>
          <cell r="G588" t="str">
            <v>Jasson Daniel Morales Garcia</v>
          </cell>
        </row>
        <row r="589">
          <cell r="F589">
            <v>315383</v>
          </cell>
          <cell r="G589" t="str">
            <v>Javier Estuardo Calderon Caceres</v>
          </cell>
        </row>
        <row r="590">
          <cell r="F590">
            <v>307598</v>
          </cell>
          <cell r="G590" t="str">
            <v>Javier Ignacio Monzon Leon</v>
          </cell>
        </row>
        <row r="591">
          <cell r="F591">
            <v>312743</v>
          </cell>
          <cell r="G591" t="str">
            <v>Jayro Vinicio Alvarado Rodriguez</v>
          </cell>
        </row>
        <row r="592">
          <cell r="F592">
            <v>313435</v>
          </cell>
          <cell r="G592" t="str">
            <v>Jefferson Marvin Baudilio Aldana Lozano</v>
          </cell>
        </row>
        <row r="593">
          <cell r="F593">
            <v>310987</v>
          </cell>
          <cell r="G593" t="str">
            <v>Jeffrey Donely Alvarez Garcia</v>
          </cell>
        </row>
        <row r="594">
          <cell r="F594">
            <v>315307</v>
          </cell>
          <cell r="G594" t="str">
            <v>Jeicob Manrique Argueta Ovalle</v>
          </cell>
        </row>
        <row r="595">
          <cell r="F595">
            <v>313167</v>
          </cell>
          <cell r="G595" t="str">
            <v>Jency Julissa Chavarria Garcia</v>
          </cell>
        </row>
        <row r="596">
          <cell r="F596">
            <v>309592</v>
          </cell>
          <cell r="G596" t="str">
            <v>Jenifer Estrella Alvarez Cruz</v>
          </cell>
        </row>
        <row r="597">
          <cell r="F597">
            <v>308871</v>
          </cell>
          <cell r="G597" t="str">
            <v>Jenifer Lisset Chicol Solis</v>
          </cell>
        </row>
        <row r="598">
          <cell r="F598">
            <v>310744</v>
          </cell>
          <cell r="G598" t="str">
            <v>Jenifer Lucrecia Herrera Gonzalez</v>
          </cell>
        </row>
        <row r="599">
          <cell r="F599">
            <v>312022</v>
          </cell>
          <cell r="G599" t="str">
            <v>Jenifer Maria Lopez Jimenez</v>
          </cell>
        </row>
        <row r="600">
          <cell r="F600">
            <v>311998</v>
          </cell>
          <cell r="G600" t="str">
            <v>Jenifer Patricia Ruano Camo</v>
          </cell>
        </row>
        <row r="601">
          <cell r="F601">
            <v>314393</v>
          </cell>
          <cell r="G601" t="str">
            <v>Jeniffer Yadaris Villegas Montepeque</v>
          </cell>
        </row>
        <row r="602">
          <cell r="F602">
            <v>312144</v>
          </cell>
          <cell r="G602" t="str">
            <v>Jennie Beatriz Aguilar Gonzalez</v>
          </cell>
        </row>
        <row r="603">
          <cell r="F603">
            <v>310751</v>
          </cell>
          <cell r="G603" t="str">
            <v>Jennifer Alejandra Escobar De Leon</v>
          </cell>
        </row>
        <row r="604">
          <cell r="F604">
            <v>311804</v>
          </cell>
          <cell r="G604" t="str">
            <v>Jennifer Carolina Xitimul Aguilar</v>
          </cell>
        </row>
        <row r="605">
          <cell r="F605">
            <v>315185</v>
          </cell>
          <cell r="G605" t="str">
            <v>Jennifer Estefany Argueta De Leon</v>
          </cell>
        </row>
        <row r="606">
          <cell r="F606">
            <v>313611</v>
          </cell>
          <cell r="G606" t="str">
            <v>Jennifer Mishel Reyes Solis</v>
          </cell>
        </row>
        <row r="607">
          <cell r="F607">
            <v>314306</v>
          </cell>
          <cell r="G607" t="str">
            <v>Jennifer Noemi Soch Castro</v>
          </cell>
        </row>
        <row r="608">
          <cell r="F608">
            <v>312876</v>
          </cell>
          <cell r="G608" t="str">
            <v>Jennifer Pahola Calderon Lopez</v>
          </cell>
        </row>
        <row r="609">
          <cell r="F609">
            <v>311421</v>
          </cell>
          <cell r="G609" t="str">
            <v>Jennifer Scarlett Garcia Perez</v>
          </cell>
        </row>
        <row r="610">
          <cell r="F610">
            <v>312270</v>
          </cell>
          <cell r="G610" t="str">
            <v>Jennifer Vanessa Rodriguez Hernandez</v>
          </cell>
        </row>
        <row r="611">
          <cell r="F611">
            <v>313387</v>
          </cell>
          <cell r="G611" t="str">
            <v>Jennifer Waleska Arévalo Barrios</v>
          </cell>
        </row>
        <row r="612">
          <cell r="F612">
            <v>312117</v>
          </cell>
          <cell r="G612" t="str">
            <v>Jenniffer Jazmin Ramos Madriles</v>
          </cell>
        </row>
        <row r="613">
          <cell r="F613">
            <v>310238</v>
          </cell>
          <cell r="G613" t="str">
            <v>Jennyfer Cristina Zamora Rosales</v>
          </cell>
        </row>
        <row r="614">
          <cell r="F614">
            <v>312732</v>
          </cell>
          <cell r="G614" t="str">
            <v>Jerson Herminio Melchor Vasquez</v>
          </cell>
        </row>
        <row r="615">
          <cell r="F615">
            <v>314962</v>
          </cell>
          <cell r="G615" t="str">
            <v>Jessica Alejandra Castillo Alvarado</v>
          </cell>
        </row>
        <row r="616">
          <cell r="F616">
            <v>314100</v>
          </cell>
          <cell r="G616" t="str">
            <v>Jessica Elizabeth Perez Noriega</v>
          </cell>
        </row>
        <row r="617">
          <cell r="F617">
            <v>311601</v>
          </cell>
          <cell r="G617" t="str">
            <v>Jessica Haydee Garcia Cuyuche</v>
          </cell>
        </row>
        <row r="618">
          <cell r="F618">
            <v>314620</v>
          </cell>
          <cell r="G618" t="str">
            <v>Jessica Jasmin Baltazar Fuentes</v>
          </cell>
        </row>
        <row r="619">
          <cell r="F619">
            <v>302841</v>
          </cell>
          <cell r="G619" t="str">
            <v>Jessica Maria Jose Santizo Guzman</v>
          </cell>
        </row>
        <row r="620">
          <cell r="F620">
            <v>306420</v>
          </cell>
          <cell r="G620" t="str">
            <v>Jessica Paola Espinoza Solares</v>
          </cell>
        </row>
        <row r="621">
          <cell r="F621">
            <v>313826</v>
          </cell>
          <cell r="G621" t="str">
            <v>Jesus Alberto Vasquez</v>
          </cell>
        </row>
        <row r="622">
          <cell r="F622">
            <v>314641</v>
          </cell>
          <cell r="G622" t="str">
            <v>Jesus Emanuel Ramos Perez</v>
          </cell>
        </row>
        <row r="623">
          <cell r="F623">
            <v>314554</v>
          </cell>
          <cell r="G623" t="str">
            <v>Jhonatan Alexis Ramos Tecun</v>
          </cell>
        </row>
        <row r="624">
          <cell r="F624">
            <v>309115</v>
          </cell>
          <cell r="G624" t="str">
            <v>Jhony Ivan Perez Castillo</v>
          </cell>
        </row>
        <row r="625">
          <cell r="F625">
            <v>311171</v>
          </cell>
          <cell r="G625" t="str">
            <v>Jhoselyn Guadalupe Aquino Maldonado</v>
          </cell>
        </row>
        <row r="626">
          <cell r="F626">
            <v>311987</v>
          </cell>
          <cell r="G626" t="str">
            <v>Jhosseline Stefanie Zermeño Ayala</v>
          </cell>
        </row>
        <row r="627">
          <cell r="F627">
            <v>315116</v>
          </cell>
          <cell r="G627" t="str">
            <v>Jocelyn Fabiola Negro Vasquez</v>
          </cell>
        </row>
        <row r="628">
          <cell r="F628">
            <v>314644</v>
          </cell>
          <cell r="G628" t="str">
            <v>Joel Bernardino Pu Vicente</v>
          </cell>
        </row>
        <row r="629">
          <cell r="F629">
            <v>314368</v>
          </cell>
          <cell r="G629" t="str">
            <v>Johanna Cecilia Hernandez Ixtecoc</v>
          </cell>
        </row>
        <row r="630">
          <cell r="F630">
            <v>314339</v>
          </cell>
          <cell r="G630" t="str">
            <v>Jonatan Estuardo Lopez Gonzalez</v>
          </cell>
        </row>
        <row r="631">
          <cell r="F631">
            <v>313157</v>
          </cell>
          <cell r="G631" t="str">
            <v>Jonatan Guillermo Soto Urbina</v>
          </cell>
        </row>
        <row r="632">
          <cell r="F632">
            <v>315492</v>
          </cell>
          <cell r="G632" t="str">
            <v>Jonathan Daniel Perez Marroquin</v>
          </cell>
        </row>
        <row r="633">
          <cell r="F633">
            <v>315156</v>
          </cell>
          <cell r="G633" t="str">
            <v>Jonathan Donely Sandoval Soch</v>
          </cell>
        </row>
        <row r="634">
          <cell r="F634">
            <v>315451</v>
          </cell>
          <cell r="G634" t="str">
            <v>Jonathan Estuardo Boteo Hernandez</v>
          </cell>
        </row>
        <row r="635">
          <cell r="F635">
            <v>314228</v>
          </cell>
          <cell r="G635" t="str">
            <v>Jordi Alexander Yuman Ramos</v>
          </cell>
        </row>
        <row r="636">
          <cell r="F636">
            <v>305955</v>
          </cell>
          <cell r="G636" t="str">
            <v>Jorge Alfredo Gutierrez Rodriguez</v>
          </cell>
        </row>
        <row r="637">
          <cell r="F637">
            <v>309695</v>
          </cell>
          <cell r="G637" t="str">
            <v>Jorge Andres Sunum Sacul</v>
          </cell>
        </row>
        <row r="638">
          <cell r="F638">
            <v>310641</v>
          </cell>
          <cell r="G638" t="str">
            <v>Jorge Antonio Ramirez Sicay</v>
          </cell>
        </row>
        <row r="639">
          <cell r="F639">
            <v>300150</v>
          </cell>
          <cell r="G639" t="str">
            <v>Jorge Ckristian Murga</v>
          </cell>
        </row>
        <row r="640">
          <cell r="F640">
            <v>315114</v>
          </cell>
          <cell r="G640" t="str">
            <v>Jorge Enrique Tzic Cruz</v>
          </cell>
        </row>
        <row r="641">
          <cell r="F641">
            <v>300590</v>
          </cell>
          <cell r="G641" t="str">
            <v>Jorge Luis Hernandez Corado</v>
          </cell>
        </row>
        <row r="642">
          <cell r="F642">
            <v>315173</v>
          </cell>
          <cell r="G642" t="str">
            <v>Jorge Luis Morales Lopez</v>
          </cell>
        </row>
        <row r="643">
          <cell r="F643">
            <v>315067</v>
          </cell>
          <cell r="G643" t="str">
            <v>Jorge Luis Rizo Melgar</v>
          </cell>
        </row>
        <row r="644">
          <cell r="F644">
            <v>309498</v>
          </cell>
          <cell r="G644" t="str">
            <v>Jorge Ramiro Ixpec Tinti</v>
          </cell>
        </row>
        <row r="645">
          <cell r="F645">
            <v>313405</v>
          </cell>
          <cell r="G645" t="str">
            <v>Josabet Anai Paz Lobos</v>
          </cell>
        </row>
        <row r="646">
          <cell r="F646">
            <v>315268</v>
          </cell>
          <cell r="G646" t="str">
            <v>Jose Alberto Alveno Chacon</v>
          </cell>
        </row>
        <row r="647">
          <cell r="F647">
            <v>312319</v>
          </cell>
          <cell r="G647" t="str">
            <v>Jose Alberto Sosa</v>
          </cell>
        </row>
        <row r="648">
          <cell r="F648">
            <v>315039</v>
          </cell>
          <cell r="G648" t="str">
            <v>Jose Alejandro Hernandez Escobar</v>
          </cell>
        </row>
        <row r="649">
          <cell r="F649">
            <v>310674</v>
          </cell>
          <cell r="G649" t="str">
            <v>Jose Armando Bamaca De Leon</v>
          </cell>
        </row>
        <row r="650">
          <cell r="F650">
            <v>313612</v>
          </cell>
          <cell r="G650" t="str">
            <v>Jose Baldemar Galicia Muñoz</v>
          </cell>
        </row>
        <row r="651">
          <cell r="F651">
            <v>314216</v>
          </cell>
          <cell r="G651" t="str">
            <v>Jose Bernardo Yax Pop</v>
          </cell>
        </row>
        <row r="652">
          <cell r="F652">
            <v>314504</v>
          </cell>
          <cell r="G652" t="str">
            <v>Jose Carlos Lopez Santisteban</v>
          </cell>
        </row>
        <row r="653">
          <cell r="F653">
            <v>310673</v>
          </cell>
          <cell r="G653" t="str">
            <v>Jose Carlos Orozco Lopez</v>
          </cell>
        </row>
        <row r="654">
          <cell r="F654">
            <v>308982</v>
          </cell>
          <cell r="G654" t="str">
            <v>Jose Daniel Sosa Torres</v>
          </cell>
        </row>
        <row r="655">
          <cell r="F655">
            <v>314510</v>
          </cell>
          <cell r="G655" t="str">
            <v>Jose David Flores Enriquez</v>
          </cell>
        </row>
        <row r="656">
          <cell r="F656">
            <v>315261</v>
          </cell>
          <cell r="G656" t="str">
            <v>Jose Emmanuel Ixcajo Higueros</v>
          </cell>
        </row>
        <row r="657">
          <cell r="F657">
            <v>313766</v>
          </cell>
          <cell r="G657" t="str">
            <v>Jose Francisco Aquino Monterroso</v>
          </cell>
        </row>
        <row r="658">
          <cell r="F658">
            <v>315415</v>
          </cell>
          <cell r="G658" t="str">
            <v>Jose Guillermo Marroquin Alvarado</v>
          </cell>
        </row>
        <row r="659">
          <cell r="F659">
            <v>306915</v>
          </cell>
          <cell r="G659" t="str">
            <v>Jose Luis Chinchilla</v>
          </cell>
        </row>
        <row r="660">
          <cell r="F660">
            <v>309765</v>
          </cell>
          <cell r="G660" t="str">
            <v>Jose Luis Velasquez Miche</v>
          </cell>
        </row>
        <row r="661">
          <cell r="F661">
            <v>314262</v>
          </cell>
          <cell r="G661" t="str">
            <v>Jose Manuel Carreto Lopez</v>
          </cell>
        </row>
        <row r="662">
          <cell r="F662">
            <v>315487</v>
          </cell>
          <cell r="G662" t="str">
            <v>Jose Manuel Vasquez Osoy</v>
          </cell>
        </row>
        <row r="663">
          <cell r="F663">
            <v>304892</v>
          </cell>
          <cell r="G663" t="str">
            <v>Jose Mario Alberto Ordoñez Quiñonez</v>
          </cell>
        </row>
        <row r="664">
          <cell r="F664">
            <v>313023</v>
          </cell>
          <cell r="G664" t="str">
            <v>Jose Miguel Angel Noj Aguilar</v>
          </cell>
        </row>
        <row r="665">
          <cell r="F665">
            <v>312573</v>
          </cell>
          <cell r="G665" t="str">
            <v>Jose Miguel Santos Roca</v>
          </cell>
        </row>
        <row r="666">
          <cell r="F666">
            <v>311802</v>
          </cell>
          <cell r="G666" t="str">
            <v>Jose Roberto Samayoa Bernal</v>
          </cell>
        </row>
        <row r="667">
          <cell r="F667">
            <v>314614</v>
          </cell>
          <cell r="G667" t="str">
            <v>Jose Rodrigo Choc Turcios</v>
          </cell>
        </row>
        <row r="668">
          <cell r="F668">
            <v>314729</v>
          </cell>
          <cell r="G668" t="str">
            <v>Joselin Rocio Galicia Mendez</v>
          </cell>
        </row>
        <row r="669">
          <cell r="F669">
            <v>315496</v>
          </cell>
          <cell r="G669" t="str">
            <v>Joseline Otilia Lorenzana Obando</v>
          </cell>
        </row>
        <row r="670">
          <cell r="F670">
            <v>310302</v>
          </cell>
          <cell r="G670" t="str">
            <v>Joselyn Amparo Jolon Arenas</v>
          </cell>
        </row>
        <row r="671">
          <cell r="F671">
            <v>315573</v>
          </cell>
          <cell r="G671" t="str">
            <v>Joselyn Marilu Lima Hernandez</v>
          </cell>
        </row>
        <row r="672">
          <cell r="F672">
            <v>313361</v>
          </cell>
          <cell r="G672" t="str">
            <v>Joselyne Elizabeth Sanchez Rodriguez</v>
          </cell>
        </row>
        <row r="673">
          <cell r="F673">
            <v>309870</v>
          </cell>
          <cell r="G673" t="str">
            <v>Joselyne Gabriela Ruiz Serra</v>
          </cell>
        </row>
        <row r="674">
          <cell r="F674">
            <v>311407</v>
          </cell>
          <cell r="G674" t="str">
            <v>Joshelyn Andrea Ozuna Rosales</v>
          </cell>
        </row>
        <row r="675">
          <cell r="F675">
            <v>315066</v>
          </cell>
          <cell r="G675" t="str">
            <v>Joshua Leonel Pardo Carrera</v>
          </cell>
        </row>
        <row r="676">
          <cell r="F676">
            <v>314433</v>
          </cell>
          <cell r="G676" t="str">
            <v>Josselin Azucena Cortez Hernandez</v>
          </cell>
        </row>
        <row r="677">
          <cell r="F677">
            <v>315560</v>
          </cell>
          <cell r="G677" t="str">
            <v>Josseline Maribel Sarceno Guerra</v>
          </cell>
        </row>
        <row r="678">
          <cell r="F678">
            <v>314268</v>
          </cell>
          <cell r="G678" t="str">
            <v>Josseline Mishel Flores Baren</v>
          </cell>
        </row>
        <row r="679">
          <cell r="F679">
            <v>313034</v>
          </cell>
          <cell r="G679" t="str">
            <v>Josselyn Raab Morales Arana</v>
          </cell>
        </row>
        <row r="680">
          <cell r="F680">
            <v>314989</v>
          </cell>
          <cell r="G680" t="str">
            <v>Josue Adrian Gutierrez Garcia</v>
          </cell>
        </row>
        <row r="681">
          <cell r="F681">
            <v>308461</v>
          </cell>
          <cell r="G681" t="str">
            <v>Josue Gamaliel Rivera</v>
          </cell>
        </row>
        <row r="682">
          <cell r="F682">
            <v>315155</v>
          </cell>
          <cell r="G682" t="str">
            <v>Josue Helaman Delgado Rivera</v>
          </cell>
        </row>
        <row r="683">
          <cell r="F683">
            <v>315011</v>
          </cell>
          <cell r="G683" t="str">
            <v>Josue Ivan Escobar De Leon</v>
          </cell>
        </row>
        <row r="684">
          <cell r="F684">
            <v>313389</v>
          </cell>
          <cell r="G684" t="str">
            <v>Josue Leonel Hernandez Diaz</v>
          </cell>
        </row>
        <row r="685">
          <cell r="F685">
            <v>301059</v>
          </cell>
          <cell r="G685" t="str">
            <v>Jovita Vasquez Cuestas</v>
          </cell>
        </row>
        <row r="686">
          <cell r="F686">
            <v>314492</v>
          </cell>
          <cell r="G686" t="str">
            <v>Juan Antonio Alvarez Paniagua</v>
          </cell>
        </row>
        <row r="687">
          <cell r="F687">
            <v>313594</v>
          </cell>
          <cell r="G687" t="str">
            <v>Juan Carlos Enrique Molina Ramirez</v>
          </cell>
        </row>
        <row r="688">
          <cell r="F688">
            <v>314452</v>
          </cell>
          <cell r="G688" t="str">
            <v>Juan Carlos Ivan Garcia Garcia</v>
          </cell>
        </row>
        <row r="689">
          <cell r="F689">
            <v>307279</v>
          </cell>
          <cell r="G689" t="str">
            <v>Juan Carlos Perez Cahueque</v>
          </cell>
        </row>
        <row r="690">
          <cell r="F690">
            <v>315455</v>
          </cell>
          <cell r="G690" t="str">
            <v>Juan Daniel Davila Juarez</v>
          </cell>
        </row>
        <row r="691">
          <cell r="F691">
            <v>312318</v>
          </cell>
          <cell r="G691" t="str">
            <v>Juan Enrique Garcia</v>
          </cell>
        </row>
        <row r="692">
          <cell r="F692">
            <v>314669</v>
          </cell>
          <cell r="G692" t="str">
            <v>Juan Enrique Jul Coc</v>
          </cell>
        </row>
        <row r="693">
          <cell r="F693">
            <v>311223</v>
          </cell>
          <cell r="G693" t="str">
            <v>Juan Francisco Gudiel Castillo</v>
          </cell>
        </row>
        <row r="694">
          <cell r="F694">
            <v>313343</v>
          </cell>
          <cell r="G694" t="str">
            <v>Juan Francisco Lopez Salic</v>
          </cell>
        </row>
        <row r="695">
          <cell r="F695">
            <v>300401</v>
          </cell>
          <cell r="G695" t="str">
            <v>Juan Gabriel Mendoza Alvarez</v>
          </cell>
        </row>
        <row r="696">
          <cell r="F696">
            <v>313617</v>
          </cell>
          <cell r="G696" t="str">
            <v>Juan Isael Amador</v>
          </cell>
        </row>
        <row r="697">
          <cell r="F697">
            <v>314961</v>
          </cell>
          <cell r="G697" t="str">
            <v>Juan Jose Cifuentes Chavez</v>
          </cell>
        </row>
        <row r="698">
          <cell r="F698">
            <v>300919</v>
          </cell>
          <cell r="G698" t="str">
            <v>Juan Jose Rodriguez Catu</v>
          </cell>
        </row>
        <row r="699">
          <cell r="F699">
            <v>313044</v>
          </cell>
          <cell r="G699" t="str">
            <v>Juan Luis Ajcet Xicay</v>
          </cell>
        </row>
        <row r="700">
          <cell r="F700">
            <v>314665</v>
          </cell>
          <cell r="G700" t="str">
            <v>Juan Manuel Lopez Hernandez</v>
          </cell>
        </row>
        <row r="701">
          <cell r="F701">
            <v>315275</v>
          </cell>
          <cell r="G701" t="str">
            <v>Juana Del Carmen Arias Lopez</v>
          </cell>
        </row>
        <row r="702">
          <cell r="F702">
            <v>314557</v>
          </cell>
          <cell r="G702" t="str">
            <v>Juana Ester Alvarez Tuluxan</v>
          </cell>
        </row>
        <row r="703">
          <cell r="F703">
            <v>313604</v>
          </cell>
          <cell r="G703" t="str">
            <v>Julia Damaris Raquel Ramirez Torres</v>
          </cell>
        </row>
        <row r="704">
          <cell r="F704">
            <v>315411</v>
          </cell>
          <cell r="G704" t="str">
            <v>Julio Alberto Guerra Jacinto</v>
          </cell>
        </row>
        <row r="705">
          <cell r="F705">
            <v>306242</v>
          </cell>
          <cell r="G705" t="str">
            <v>Julio Amilcar Oswaldo Ico Rey</v>
          </cell>
        </row>
        <row r="706">
          <cell r="F706">
            <v>310693</v>
          </cell>
          <cell r="G706" t="str">
            <v>Julio Antonio Gonzalez Izaguirre</v>
          </cell>
        </row>
        <row r="707">
          <cell r="F707">
            <v>302559</v>
          </cell>
          <cell r="G707" t="str">
            <v>Julio Belarmino Mendez Camey</v>
          </cell>
        </row>
        <row r="708">
          <cell r="F708">
            <v>314740</v>
          </cell>
          <cell r="G708" t="str">
            <v>Julio Cesar Cuellar Revolorio</v>
          </cell>
        </row>
        <row r="709">
          <cell r="F709">
            <v>308266</v>
          </cell>
          <cell r="G709" t="str">
            <v>Julio Cesar De Leon Huinac</v>
          </cell>
        </row>
        <row r="710">
          <cell r="F710">
            <v>311388</v>
          </cell>
          <cell r="G710" t="str">
            <v>Julio David Ambrosio Hernandez</v>
          </cell>
        </row>
        <row r="711">
          <cell r="F711">
            <v>313493</v>
          </cell>
          <cell r="G711" t="str">
            <v>Julio Rene Medina Mendez</v>
          </cell>
        </row>
        <row r="712">
          <cell r="F712">
            <v>314194</v>
          </cell>
          <cell r="G712" t="str">
            <v>Junior Stiven Gonzalez Fuentes</v>
          </cell>
        </row>
        <row r="713">
          <cell r="F713">
            <v>308411</v>
          </cell>
          <cell r="G713" t="str">
            <v>Karen Alejandra Cotoc Valdes</v>
          </cell>
        </row>
        <row r="714">
          <cell r="F714">
            <v>313225</v>
          </cell>
          <cell r="G714" t="str">
            <v>Karen Deniss Lucas Chavez</v>
          </cell>
        </row>
        <row r="715">
          <cell r="F715">
            <v>311553</v>
          </cell>
          <cell r="G715" t="str">
            <v>Karen Elizabeth Racancoj Tin</v>
          </cell>
        </row>
        <row r="716">
          <cell r="F716">
            <v>312029</v>
          </cell>
          <cell r="G716" t="str">
            <v>Karen Faviola Lutin Sanchez</v>
          </cell>
        </row>
        <row r="717">
          <cell r="F717">
            <v>314954</v>
          </cell>
          <cell r="G717" t="str">
            <v>Karen Jeanet Pacheco Gomez</v>
          </cell>
        </row>
        <row r="718">
          <cell r="F718">
            <v>305618</v>
          </cell>
          <cell r="G718" t="str">
            <v>Karen Julisa Fernandez Vides</v>
          </cell>
        </row>
        <row r="719">
          <cell r="F719">
            <v>308561</v>
          </cell>
          <cell r="G719" t="str">
            <v>Karen Leticia Vasquez Castañeda</v>
          </cell>
        </row>
        <row r="720">
          <cell r="F720">
            <v>313722</v>
          </cell>
          <cell r="G720" t="str">
            <v>Karen Marilu Chavez Suchite</v>
          </cell>
        </row>
        <row r="721">
          <cell r="F721">
            <v>315110</v>
          </cell>
          <cell r="G721" t="str">
            <v>Karen Marleny Perez Fuentes</v>
          </cell>
        </row>
        <row r="722">
          <cell r="F722">
            <v>311616</v>
          </cell>
          <cell r="G722" t="str">
            <v>Karen Meliza Saavedra Morataya</v>
          </cell>
        </row>
        <row r="723">
          <cell r="F723">
            <v>309014</v>
          </cell>
          <cell r="G723" t="str">
            <v>Karen Mishelle Chavez Segura</v>
          </cell>
        </row>
        <row r="724">
          <cell r="F724">
            <v>314217</v>
          </cell>
          <cell r="G724" t="str">
            <v>Karen Nohemi Perez Santos</v>
          </cell>
        </row>
        <row r="725">
          <cell r="F725">
            <v>315274</v>
          </cell>
          <cell r="G725" t="str">
            <v>Karen Rubi Perez Calderon</v>
          </cell>
        </row>
        <row r="726">
          <cell r="F726">
            <v>308426</v>
          </cell>
          <cell r="G726" t="str">
            <v>Karen Susana Marcos Yupe</v>
          </cell>
        </row>
        <row r="727">
          <cell r="F727">
            <v>311722</v>
          </cell>
          <cell r="G727" t="str">
            <v>Karen Verali Sagastume Oliveros</v>
          </cell>
        </row>
        <row r="728">
          <cell r="F728">
            <v>308244</v>
          </cell>
          <cell r="G728" t="str">
            <v>Karen Yamileth Rosales Alarcon</v>
          </cell>
        </row>
        <row r="729">
          <cell r="F729">
            <v>312215</v>
          </cell>
          <cell r="G729" t="str">
            <v>Karin Liseth Son Chonay</v>
          </cell>
        </row>
        <row r="730">
          <cell r="F730">
            <v>301583</v>
          </cell>
          <cell r="G730" t="str">
            <v>Karin Yesenia Nova Posadas</v>
          </cell>
        </row>
        <row r="731">
          <cell r="F731">
            <v>313918</v>
          </cell>
          <cell r="G731" t="str">
            <v>Karina Lizeth Pineda Ortiz</v>
          </cell>
        </row>
        <row r="732">
          <cell r="F732">
            <v>312403</v>
          </cell>
          <cell r="G732" t="str">
            <v>Karla Elizabeth Lopez Tupul</v>
          </cell>
        </row>
        <row r="733">
          <cell r="F733">
            <v>304664</v>
          </cell>
          <cell r="G733" t="str">
            <v>Karla Eunice Godinez Mendoza</v>
          </cell>
        </row>
        <row r="734">
          <cell r="F734">
            <v>315490</v>
          </cell>
          <cell r="G734" t="str">
            <v>Karla Jasmin Pelen Rafael</v>
          </cell>
        </row>
        <row r="735">
          <cell r="F735">
            <v>314673</v>
          </cell>
          <cell r="G735" t="str">
            <v>Karla Maria Montejo Martinez</v>
          </cell>
        </row>
        <row r="736">
          <cell r="F736">
            <v>313079</v>
          </cell>
          <cell r="G736" t="str">
            <v>Karla Mariela Lopez Salguero</v>
          </cell>
        </row>
        <row r="737">
          <cell r="F737">
            <v>314464</v>
          </cell>
          <cell r="G737" t="str">
            <v>Karla Melisa Trejo Lopez</v>
          </cell>
        </row>
        <row r="738">
          <cell r="F738">
            <v>314206</v>
          </cell>
          <cell r="G738" t="str">
            <v>Karla Nineth Guzman Carrera De Velasquez</v>
          </cell>
        </row>
        <row r="739">
          <cell r="F739">
            <v>314831</v>
          </cell>
          <cell r="G739" t="str">
            <v>Karla Paola Solorzano Monroy</v>
          </cell>
        </row>
        <row r="740">
          <cell r="F740">
            <v>309957</v>
          </cell>
          <cell r="G740" t="str">
            <v>Karla Veronica Zepeda Moran</v>
          </cell>
        </row>
        <row r="741">
          <cell r="F741">
            <v>310487</v>
          </cell>
          <cell r="G741" t="str">
            <v>Karla Yaneth Vasquez Gomez</v>
          </cell>
        </row>
        <row r="742">
          <cell r="F742">
            <v>314444</v>
          </cell>
          <cell r="G742" t="str">
            <v>Karla Yanira Francisco Morales</v>
          </cell>
        </row>
        <row r="743">
          <cell r="F743">
            <v>305608</v>
          </cell>
          <cell r="G743" t="str">
            <v>Karla Yanira Franco Perez</v>
          </cell>
        </row>
        <row r="744">
          <cell r="F744">
            <v>312982</v>
          </cell>
          <cell r="G744" t="str">
            <v>Karla Yessenia Garcia Lopez</v>
          </cell>
        </row>
        <row r="745">
          <cell r="F745">
            <v>314044</v>
          </cell>
          <cell r="G745" t="str">
            <v>Karol Liset Reyes Alvarez</v>
          </cell>
        </row>
        <row r="746">
          <cell r="F746">
            <v>311039</v>
          </cell>
          <cell r="G746" t="str">
            <v>Karolyn Gisselle Palma Ramirez</v>
          </cell>
        </row>
        <row r="747">
          <cell r="F747">
            <v>309255</v>
          </cell>
          <cell r="G747" t="str">
            <v>Katerin Mariela Miranda Perez</v>
          </cell>
        </row>
        <row r="748">
          <cell r="F748">
            <v>308909</v>
          </cell>
          <cell r="G748" t="str">
            <v>Katerine Andrea Mansilla Vasquez</v>
          </cell>
        </row>
        <row r="749">
          <cell r="F749">
            <v>314344</v>
          </cell>
          <cell r="G749" t="str">
            <v>Katherin Maria Del Rosario Curiales Catalan</v>
          </cell>
        </row>
        <row r="750">
          <cell r="F750">
            <v>311930</v>
          </cell>
          <cell r="G750" t="str">
            <v>Katherine Andreina Rodriguez Flores</v>
          </cell>
        </row>
        <row r="751">
          <cell r="F751">
            <v>314987</v>
          </cell>
          <cell r="G751" t="str">
            <v>Katherine Dayana Sinay Colindres</v>
          </cell>
        </row>
        <row r="752">
          <cell r="F752">
            <v>313018</v>
          </cell>
          <cell r="G752" t="str">
            <v>Katherine Guissele Camey Gonzalez</v>
          </cell>
        </row>
        <row r="753">
          <cell r="F753">
            <v>305303</v>
          </cell>
          <cell r="G753" t="str">
            <v>Katherine Stephani Cazanga Giron</v>
          </cell>
        </row>
        <row r="754">
          <cell r="F754">
            <v>310764</v>
          </cell>
          <cell r="G754" t="str">
            <v>Katherine Yorleny Montepeque Echeverria</v>
          </cell>
        </row>
        <row r="755">
          <cell r="F755">
            <v>312313</v>
          </cell>
          <cell r="G755" t="str">
            <v>Katherinne Marleny Ruano Vasquez</v>
          </cell>
        </row>
        <row r="756">
          <cell r="F756">
            <v>312966</v>
          </cell>
          <cell r="G756" t="str">
            <v>Katheryn Nohemi Pineda Sun</v>
          </cell>
        </row>
        <row r="757">
          <cell r="F757">
            <v>314949</v>
          </cell>
          <cell r="G757" t="str">
            <v>Kathleen Yadira Martinez Salazar</v>
          </cell>
        </row>
        <row r="758">
          <cell r="F758">
            <v>307014</v>
          </cell>
          <cell r="G758" t="str">
            <v>Keila Abigail Lopez Argueta</v>
          </cell>
        </row>
        <row r="759">
          <cell r="F759">
            <v>315508</v>
          </cell>
          <cell r="G759" t="str">
            <v>Keila Betsaida Mendoza Pineda</v>
          </cell>
        </row>
        <row r="760">
          <cell r="F760">
            <v>315062</v>
          </cell>
          <cell r="G760" t="str">
            <v>Keili Yanira Arceno Solano</v>
          </cell>
        </row>
        <row r="761">
          <cell r="F761">
            <v>314165</v>
          </cell>
          <cell r="G761" t="str">
            <v>Kelly Dayanna Patzan Giron</v>
          </cell>
        </row>
        <row r="762">
          <cell r="F762">
            <v>315570</v>
          </cell>
          <cell r="G762" t="str">
            <v>Kemberly Del Rosario Zecena Ramos</v>
          </cell>
        </row>
        <row r="763">
          <cell r="F763">
            <v>314804</v>
          </cell>
          <cell r="G763" t="str">
            <v>Kendy Daniela Ramirez Lopez</v>
          </cell>
        </row>
        <row r="764">
          <cell r="F764">
            <v>313433</v>
          </cell>
          <cell r="G764" t="str">
            <v>Kenia Estefania Mateo Castro</v>
          </cell>
        </row>
        <row r="765">
          <cell r="F765">
            <v>314991</v>
          </cell>
          <cell r="G765" t="str">
            <v>Kevin Alberto Castillo Matias</v>
          </cell>
        </row>
        <row r="766">
          <cell r="F766">
            <v>314026</v>
          </cell>
          <cell r="G766" t="str">
            <v>Kevin Alberto Lopez Ortiz</v>
          </cell>
        </row>
        <row r="767">
          <cell r="F767">
            <v>315246</v>
          </cell>
          <cell r="G767" t="str">
            <v>Kevin Alexander Escobar Cante</v>
          </cell>
        </row>
        <row r="768">
          <cell r="F768">
            <v>312218</v>
          </cell>
          <cell r="G768" t="str">
            <v>Kevin Amilcar Cor Guzman</v>
          </cell>
        </row>
        <row r="769">
          <cell r="F769">
            <v>311369</v>
          </cell>
          <cell r="G769" t="str">
            <v>Kevin Antonio Perez Gonzalez</v>
          </cell>
        </row>
        <row r="770">
          <cell r="F770">
            <v>314627</v>
          </cell>
          <cell r="G770" t="str">
            <v>Kevin Daniel Chonay Perez</v>
          </cell>
        </row>
        <row r="771">
          <cell r="F771">
            <v>311228</v>
          </cell>
          <cell r="G771" t="str">
            <v>Kevin Doley Alexander Gomez Lopez</v>
          </cell>
        </row>
        <row r="772">
          <cell r="F772">
            <v>309148</v>
          </cell>
          <cell r="G772" t="str">
            <v>Kevin Estuardo Yac Garcia</v>
          </cell>
        </row>
        <row r="773">
          <cell r="F773">
            <v>311643</v>
          </cell>
          <cell r="G773" t="str">
            <v>Kevin Javier Ortiz Gonzalez</v>
          </cell>
        </row>
        <row r="774">
          <cell r="F774">
            <v>311034</v>
          </cell>
          <cell r="G774" t="str">
            <v>Kevin Jordano Barrios Chin</v>
          </cell>
        </row>
        <row r="775">
          <cell r="F775">
            <v>314011</v>
          </cell>
          <cell r="G775" t="str">
            <v>Kevin Jose Mijangos Vasquez</v>
          </cell>
        </row>
        <row r="776">
          <cell r="F776">
            <v>314743</v>
          </cell>
          <cell r="G776" t="str">
            <v>Kevin Josue Sevilla Nieto</v>
          </cell>
        </row>
        <row r="777">
          <cell r="F777">
            <v>311639</v>
          </cell>
          <cell r="G777" t="str">
            <v>Kevin Omar Ortiz Contreras</v>
          </cell>
        </row>
        <row r="778">
          <cell r="F778">
            <v>310538</v>
          </cell>
          <cell r="G778" t="str">
            <v>Kevin Orlando Ventura Lopez</v>
          </cell>
        </row>
        <row r="779">
          <cell r="F779">
            <v>311932</v>
          </cell>
          <cell r="G779" t="str">
            <v>Kevin Rene Medrano Sarceño</v>
          </cell>
        </row>
        <row r="780">
          <cell r="F780">
            <v>308269</v>
          </cell>
          <cell r="G780" t="str">
            <v>Kevin Ruben Perez Lopez</v>
          </cell>
        </row>
        <row r="781">
          <cell r="F781">
            <v>313566</v>
          </cell>
          <cell r="G781" t="str">
            <v>Kevin Saul Rodriguez Vasquez</v>
          </cell>
        </row>
        <row r="782">
          <cell r="F782">
            <v>313520</v>
          </cell>
          <cell r="G782" t="str">
            <v>Kevin Winston Chavez Alvarez</v>
          </cell>
        </row>
        <row r="783">
          <cell r="F783">
            <v>312178</v>
          </cell>
          <cell r="G783" t="str">
            <v>Keyla Cristy Dubon Pernillo</v>
          </cell>
        </row>
        <row r="784">
          <cell r="F784">
            <v>305666</v>
          </cell>
          <cell r="G784" t="str">
            <v>Kezmi Romani Garcia Mendez</v>
          </cell>
        </row>
        <row r="785">
          <cell r="F785">
            <v>314754</v>
          </cell>
          <cell r="G785" t="str">
            <v>Kimberly Anayanci Tello Morales</v>
          </cell>
        </row>
        <row r="786">
          <cell r="F786">
            <v>314051</v>
          </cell>
          <cell r="G786" t="str">
            <v>Kimberly Dayanna Herrera Marroquin</v>
          </cell>
        </row>
        <row r="787">
          <cell r="F787">
            <v>313302</v>
          </cell>
          <cell r="G787" t="str">
            <v>Kimberly Guadalupe Mulul Pelico</v>
          </cell>
        </row>
        <row r="788">
          <cell r="F788">
            <v>314218</v>
          </cell>
          <cell r="G788" t="str">
            <v>Kimberly Guadalupe Soto</v>
          </cell>
        </row>
        <row r="789">
          <cell r="F789">
            <v>305285</v>
          </cell>
          <cell r="G789" t="str">
            <v>Kimberly Judith Lopez Amaya</v>
          </cell>
        </row>
        <row r="790">
          <cell r="F790">
            <v>309753</v>
          </cell>
          <cell r="G790" t="str">
            <v>Kimberly Melissa Juarez Ramirez</v>
          </cell>
        </row>
        <row r="791">
          <cell r="F791">
            <v>312174</v>
          </cell>
          <cell r="G791" t="str">
            <v>Kimberly Mishel Merida Cortez</v>
          </cell>
        </row>
        <row r="792">
          <cell r="F792">
            <v>310926</v>
          </cell>
          <cell r="G792" t="str">
            <v>Kimberly Nohemi Alvarado Toj</v>
          </cell>
        </row>
        <row r="793">
          <cell r="F793">
            <v>315095</v>
          </cell>
          <cell r="G793" t="str">
            <v>Kimberly Suseli Ibarra Barahona</v>
          </cell>
        </row>
        <row r="794">
          <cell r="F794">
            <v>313601</v>
          </cell>
          <cell r="G794" t="str">
            <v>Kimberly Yasmin Alvarado Veliz</v>
          </cell>
        </row>
        <row r="795">
          <cell r="F795">
            <v>310820</v>
          </cell>
          <cell r="G795" t="str">
            <v>Kleidy Smaily Lopez Lopez De Vicente</v>
          </cell>
        </row>
        <row r="796">
          <cell r="F796">
            <v>315345</v>
          </cell>
          <cell r="G796" t="str">
            <v>Klisman Julio Rolando Lopez Garcia</v>
          </cell>
        </row>
        <row r="797">
          <cell r="F797">
            <v>315369</v>
          </cell>
          <cell r="G797" t="str">
            <v>Krisla Mayte Madrigales Palencia</v>
          </cell>
        </row>
        <row r="798">
          <cell r="F798">
            <v>314417</v>
          </cell>
          <cell r="G798" t="str">
            <v>Krisley Mary Dayana Mazariegos Vega</v>
          </cell>
        </row>
        <row r="799">
          <cell r="F799">
            <v>311096</v>
          </cell>
          <cell r="G799" t="str">
            <v>Larry Noel Gomez Cuellar</v>
          </cell>
        </row>
        <row r="800">
          <cell r="F800">
            <v>315400</v>
          </cell>
          <cell r="G800" t="str">
            <v>Laura Cecilia De Leon Zapeta</v>
          </cell>
        </row>
        <row r="801">
          <cell r="F801">
            <v>312722</v>
          </cell>
          <cell r="G801" t="str">
            <v>Laura Dairis Analy Zeceña Minera</v>
          </cell>
        </row>
        <row r="802">
          <cell r="F802">
            <v>314274</v>
          </cell>
          <cell r="G802" t="str">
            <v>Laura Estefania Cardona Mateo</v>
          </cell>
        </row>
        <row r="803">
          <cell r="F803">
            <v>309643</v>
          </cell>
          <cell r="G803" t="str">
            <v>Laura Gabriela Hernandez Merida</v>
          </cell>
        </row>
        <row r="804">
          <cell r="F804">
            <v>312253</v>
          </cell>
          <cell r="G804" t="str">
            <v>Laura Jajairy Ramirez Veron</v>
          </cell>
        </row>
        <row r="805">
          <cell r="F805">
            <v>315183</v>
          </cell>
          <cell r="G805" t="str">
            <v>Laura Lisbeth Gonzalez Ajin</v>
          </cell>
        </row>
        <row r="806">
          <cell r="F806">
            <v>315144</v>
          </cell>
          <cell r="G806" t="str">
            <v>Lazaro Castro Cajanti</v>
          </cell>
        </row>
        <row r="807">
          <cell r="F807">
            <v>314220</v>
          </cell>
          <cell r="G807" t="str">
            <v>Lea Maria Lopez Agustin</v>
          </cell>
        </row>
        <row r="808">
          <cell r="F808">
            <v>303284</v>
          </cell>
          <cell r="G808" t="str">
            <v>Legbi Evangelina Martinez Vicente</v>
          </cell>
        </row>
        <row r="809">
          <cell r="F809">
            <v>304200</v>
          </cell>
          <cell r="G809" t="str">
            <v>Legna Magali Juarez Aroche</v>
          </cell>
        </row>
        <row r="810">
          <cell r="F810">
            <v>310692</v>
          </cell>
          <cell r="G810" t="str">
            <v>Leidy Ana Deisy Macz Valey</v>
          </cell>
        </row>
        <row r="811">
          <cell r="F811">
            <v>303971</v>
          </cell>
          <cell r="G811" t="str">
            <v>Leidy Marisol Perez Arias</v>
          </cell>
        </row>
        <row r="812">
          <cell r="F812">
            <v>312969</v>
          </cell>
          <cell r="G812" t="str">
            <v>Lely Herrera Molina</v>
          </cell>
        </row>
        <row r="813">
          <cell r="F813">
            <v>315278</v>
          </cell>
          <cell r="G813" t="str">
            <v>Leon Vicente Estuardo Ical Chub</v>
          </cell>
        </row>
        <row r="814">
          <cell r="F814">
            <v>306895</v>
          </cell>
          <cell r="G814" t="str">
            <v>Leonardo Bocel Lopez</v>
          </cell>
        </row>
        <row r="815">
          <cell r="F815">
            <v>315257</v>
          </cell>
          <cell r="G815" t="str">
            <v>Lesli Carolina Iquique Chamale</v>
          </cell>
        </row>
        <row r="816">
          <cell r="F816">
            <v>310605</v>
          </cell>
          <cell r="G816" t="str">
            <v>Lesli Paola Mendez Palencia</v>
          </cell>
        </row>
        <row r="817">
          <cell r="F817">
            <v>307367</v>
          </cell>
          <cell r="G817" t="str">
            <v>Lesli Paola Vasquez Villalta</v>
          </cell>
        </row>
        <row r="818">
          <cell r="F818">
            <v>314870</v>
          </cell>
          <cell r="G818" t="str">
            <v>Leslie Karina Peliz Garcia</v>
          </cell>
        </row>
        <row r="819">
          <cell r="F819">
            <v>314382</v>
          </cell>
          <cell r="G819" t="str">
            <v>Leslie Veronica Varela Echeverria</v>
          </cell>
        </row>
        <row r="820">
          <cell r="F820">
            <v>310067</v>
          </cell>
          <cell r="G820" t="str">
            <v>Lesly Alejandra Estrada Chacon</v>
          </cell>
        </row>
        <row r="821">
          <cell r="F821">
            <v>307352</v>
          </cell>
          <cell r="G821" t="str">
            <v>Lesly Anali Monterroso Ramirez</v>
          </cell>
        </row>
        <row r="822">
          <cell r="F822">
            <v>310143</v>
          </cell>
          <cell r="G822" t="str">
            <v>Lesly Aurora Hernandez Godoy</v>
          </cell>
        </row>
        <row r="823">
          <cell r="F823">
            <v>312833</v>
          </cell>
          <cell r="G823" t="str">
            <v>Lesly Fabiola Solorzano Garcia</v>
          </cell>
        </row>
        <row r="824">
          <cell r="F824">
            <v>315132</v>
          </cell>
          <cell r="G824" t="str">
            <v>Lesly Lisseth Ligorria Torres</v>
          </cell>
        </row>
        <row r="825">
          <cell r="F825">
            <v>309366</v>
          </cell>
          <cell r="G825" t="str">
            <v>Lesly Maribel Hidalgo Barrios</v>
          </cell>
        </row>
        <row r="826">
          <cell r="F826">
            <v>314328</v>
          </cell>
          <cell r="G826" t="str">
            <v>Lesly Marileny De Leon De Leon</v>
          </cell>
        </row>
        <row r="827">
          <cell r="F827">
            <v>315317</v>
          </cell>
          <cell r="G827" t="str">
            <v>Lesly Nereyda Ixquiac Vidaurre</v>
          </cell>
        </row>
        <row r="828">
          <cell r="F828">
            <v>313889</v>
          </cell>
          <cell r="G828" t="str">
            <v>Lesly Noemi Morales Molina</v>
          </cell>
        </row>
        <row r="829">
          <cell r="F829">
            <v>310261</v>
          </cell>
          <cell r="G829" t="str">
            <v>Lesly Rosibel Asencio Estrada</v>
          </cell>
        </row>
        <row r="830">
          <cell r="F830">
            <v>311985</v>
          </cell>
          <cell r="G830" t="str">
            <v>Lesly Vanessa Jerez Herrera</v>
          </cell>
        </row>
        <row r="831">
          <cell r="F831">
            <v>307718</v>
          </cell>
          <cell r="G831" t="str">
            <v>Lesly Yohanna Ramirez Sarceño</v>
          </cell>
        </row>
        <row r="832">
          <cell r="F832">
            <v>307269</v>
          </cell>
          <cell r="G832" t="str">
            <v>Lester Alexander Rodriguez Arevalo</v>
          </cell>
        </row>
        <row r="833">
          <cell r="F833">
            <v>102070</v>
          </cell>
          <cell r="G833" t="str">
            <v>Lester Giovanni Barrios Gonzalez</v>
          </cell>
        </row>
        <row r="834">
          <cell r="F834">
            <v>313030</v>
          </cell>
          <cell r="G834" t="str">
            <v>Lester Ottoniel Martinez Gonzalez</v>
          </cell>
        </row>
        <row r="835">
          <cell r="F835">
            <v>314628</v>
          </cell>
          <cell r="G835" t="str">
            <v>Levy Jhafreth Molina Castellanos</v>
          </cell>
        </row>
        <row r="836">
          <cell r="F836">
            <v>315074</v>
          </cell>
          <cell r="G836" t="str">
            <v>Leyvis Anihela Melendez Garcia</v>
          </cell>
        </row>
        <row r="837">
          <cell r="F837">
            <v>310347</v>
          </cell>
          <cell r="G837" t="str">
            <v>Lidia Sarahi Rodriguez Zamora</v>
          </cell>
        </row>
        <row r="838">
          <cell r="F838">
            <v>313802</v>
          </cell>
          <cell r="G838" t="str">
            <v>Ligia Delfina Caal Coy</v>
          </cell>
        </row>
        <row r="839">
          <cell r="F839">
            <v>303594</v>
          </cell>
          <cell r="G839" t="str">
            <v>Ligia Iveth Marroquin Lechuga</v>
          </cell>
        </row>
        <row r="840">
          <cell r="F840">
            <v>311440</v>
          </cell>
          <cell r="G840" t="str">
            <v>Lili Azucena Perez Yantuch</v>
          </cell>
        </row>
        <row r="841">
          <cell r="F841">
            <v>310148</v>
          </cell>
          <cell r="G841" t="str">
            <v>Lilian Carolina Quiñonez Garcia</v>
          </cell>
        </row>
        <row r="842">
          <cell r="F842">
            <v>300280</v>
          </cell>
          <cell r="G842" t="str">
            <v>Lilian Del Carmen Franco Curin</v>
          </cell>
        </row>
        <row r="843">
          <cell r="F843">
            <v>306962</v>
          </cell>
          <cell r="G843" t="str">
            <v>Lilian Elizabeth Diaz Rivera</v>
          </cell>
        </row>
        <row r="844">
          <cell r="F844">
            <v>314279</v>
          </cell>
          <cell r="G844" t="str">
            <v>Lilian Evelyn Sajbochol Garcia</v>
          </cell>
        </row>
        <row r="845">
          <cell r="F845">
            <v>305035</v>
          </cell>
          <cell r="G845" t="str">
            <v>Lilian Nohemi Santos Bailon</v>
          </cell>
        </row>
        <row r="846">
          <cell r="F846">
            <v>314899</v>
          </cell>
          <cell r="G846" t="str">
            <v>Lilian Vanessa Tezó Monterroso</v>
          </cell>
        </row>
        <row r="847">
          <cell r="F847">
            <v>314728</v>
          </cell>
          <cell r="G847" t="str">
            <v>Lilian Yomara Perez Ajxup</v>
          </cell>
        </row>
        <row r="848">
          <cell r="F848">
            <v>313768</v>
          </cell>
          <cell r="G848" t="str">
            <v>Liliana Marisela Chamorro Tax</v>
          </cell>
        </row>
        <row r="849">
          <cell r="F849">
            <v>314091</v>
          </cell>
          <cell r="G849" t="str">
            <v>Linda Gineli Segura Perez</v>
          </cell>
        </row>
        <row r="850">
          <cell r="F850">
            <v>310198</v>
          </cell>
          <cell r="G850" t="str">
            <v>Linsi Mishell Batz Marroquin</v>
          </cell>
        </row>
        <row r="851">
          <cell r="F851">
            <v>309262</v>
          </cell>
          <cell r="G851" t="str">
            <v>Lisbeth Carolina Hernandez Urrutia</v>
          </cell>
        </row>
        <row r="852">
          <cell r="F852">
            <v>315486</v>
          </cell>
          <cell r="G852" t="str">
            <v>Lisbeth Jeaneth Sucup</v>
          </cell>
        </row>
        <row r="853">
          <cell r="F853">
            <v>311492</v>
          </cell>
          <cell r="G853" t="str">
            <v>Liseth Aldai De La Cruz Lopez</v>
          </cell>
        </row>
        <row r="854">
          <cell r="F854">
            <v>315403</v>
          </cell>
          <cell r="G854" t="str">
            <v>Lizbeth Liliana Peren Velasquez</v>
          </cell>
        </row>
        <row r="855">
          <cell r="F855">
            <v>312792</v>
          </cell>
          <cell r="G855" t="str">
            <v>Llori Eriselda Zuñiga Gomez</v>
          </cell>
        </row>
        <row r="856">
          <cell r="F856">
            <v>314774</v>
          </cell>
          <cell r="G856" t="str">
            <v>Loida Eunice Celada Panjoj</v>
          </cell>
        </row>
        <row r="857">
          <cell r="F857">
            <v>310872</v>
          </cell>
          <cell r="G857" t="str">
            <v>Loida Raquel Juarez Ixpata</v>
          </cell>
        </row>
        <row r="858">
          <cell r="F858">
            <v>312765</v>
          </cell>
          <cell r="G858" t="str">
            <v>Londy Yazmin Gonzalez Ramirez</v>
          </cell>
        </row>
        <row r="859">
          <cell r="F859">
            <v>303967</v>
          </cell>
          <cell r="G859" t="str">
            <v>Loren Alejandra Gutierrez Perez</v>
          </cell>
        </row>
        <row r="860">
          <cell r="F860">
            <v>311367</v>
          </cell>
          <cell r="G860" t="str">
            <v>Lorena Elisbeth Gomez Ajanel</v>
          </cell>
        </row>
        <row r="861">
          <cell r="F861">
            <v>310502</v>
          </cell>
          <cell r="G861" t="str">
            <v>Lourdes Cristina Flores Tahuite</v>
          </cell>
        </row>
        <row r="862">
          <cell r="F862">
            <v>315124</v>
          </cell>
          <cell r="G862" t="str">
            <v>Lourdes Guadalupe Solorzano Herrera</v>
          </cell>
        </row>
        <row r="863">
          <cell r="F863">
            <v>313529</v>
          </cell>
          <cell r="G863" t="str">
            <v>Lucia Adali Alvarado Juarez</v>
          </cell>
        </row>
        <row r="864">
          <cell r="F864">
            <v>314022</v>
          </cell>
          <cell r="G864" t="str">
            <v>Lucinda Nova Garcia</v>
          </cell>
        </row>
        <row r="865">
          <cell r="F865">
            <v>309747</v>
          </cell>
          <cell r="G865" t="str">
            <v>Ludwin Enrique Pineda Soto</v>
          </cell>
        </row>
        <row r="866">
          <cell r="F866">
            <v>315489</v>
          </cell>
          <cell r="G866" t="str">
            <v>Ludwyn Alejandro Estrada Giron</v>
          </cell>
        </row>
        <row r="867">
          <cell r="F867">
            <v>313595</v>
          </cell>
          <cell r="G867" t="str">
            <v>Luis Alan Caceros Chub</v>
          </cell>
        </row>
        <row r="868">
          <cell r="F868">
            <v>311207</v>
          </cell>
          <cell r="G868" t="str">
            <v>Luis Alberto Figueroa Vasquez</v>
          </cell>
        </row>
        <row r="869">
          <cell r="F869">
            <v>304473</v>
          </cell>
          <cell r="G869" t="str">
            <v>Luis Alberto Najera Solis</v>
          </cell>
        </row>
        <row r="870">
          <cell r="F870">
            <v>314202</v>
          </cell>
          <cell r="G870" t="str">
            <v>Luis Antonio Cotzajay Quelex</v>
          </cell>
        </row>
        <row r="871">
          <cell r="F871">
            <v>302484</v>
          </cell>
          <cell r="G871" t="str">
            <v>Luis Armando Ramirez De Leon</v>
          </cell>
        </row>
        <row r="872">
          <cell r="F872">
            <v>315385</v>
          </cell>
          <cell r="G872" t="str">
            <v>Luis Carlos Xitimul Ramirez</v>
          </cell>
        </row>
        <row r="873">
          <cell r="F873">
            <v>308614</v>
          </cell>
          <cell r="G873" t="str">
            <v>Luis De Jesus Julian Lopez</v>
          </cell>
        </row>
        <row r="874">
          <cell r="F874">
            <v>315222</v>
          </cell>
          <cell r="G874" t="str">
            <v>Luis Diego Figueroa Coronado</v>
          </cell>
        </row>
        <row r="875">
          <cell r="F875">
            <v>306213</v>
          </cell>
          <cell r="G875" t="str">
            <v>Luis Eduardo Corado Lara</v>
          </cell>
        </row>
        <row r="876">
          <cell r="F876">
            <v>315363</v>
          </cell>
          <cell r="G876" t="str">
            <v>Luis Eduardo Fuentes Flores</v>
          </cell>
        </row>
        <row r="877">
          <cell r="F877">
            <v>314162</v>
          </cell>
          <cell r="G877" t="str">
            <v>Luis Eduardo Gonzalez Arriaza</v>
          </cell>
        </row>
        <row r="878">
          <cell r="F878">
            <v>311975</v>
          </cell>
          <cell r="G878" t="str">
            <v>Luis Eduardo Ramirez Arriaza</v>
          </cell>
        </row>
        <row r="879">
          <cell r="F879">
            <v>300922</v>
          </cell>
          <cell r="G879" t="str">
            <v>Luis Ernesto Medrano Chajon</v>
          </cell>
        </row>
        <row r="880">
          <cell r="F880">
            <v>308519</v>
          </cell>
          <cell r="G880" t="str">
            <v>Luis Felipe Cuzal Gomez</v>
          </cell>
        </row>
        <row r="881">
          <cell r="F881">
            <v>314812</v>
          </cell>
          <cell r="G881" t="str">
            <v>Luis Fernando Alvarado Tocay</v>
          </cell>
        </row>
        <row r="882">
          <cell r="F882">
            <v>304509</v>
          </cell>
          <cell r="G882" t="str">
            <v>Luis Fernando Jerez Perez</v>
          </cell>
        </row>
        <row r="883">
          <cell r="F883">
            <v>313479</v>
          </cell>
          <cell r="G883" t="str">
            <v>Luis Fernando Lopez Lopez</v>
          </cell>
        </row>
        <row r="884">
          <cell r="F884">
            <v>310923</v>
          </cell>
          <cell r="G884" t="str">
            <v>Luis Fernando Lopez Lopez</v>
          </cell>
        </row>
        <row r="885">
          <cell r="F885">
            <v>307904</v>
          </cell>
          <cell r="G885" t="str">
            <v>Luis Fernando Martin Mateo</v>
          </cell>
        </row>
        <row r="886">
          <cell r="F886">
            <v>312303</v>
          </cell>
          <cell r="G886" t="str">
            <v>Luis Fernando Morales Chocoy</v>
          </cell>
        </row>
        <row r="887">
          <cell r="F887">
            <v>314124</v>
          </cell>
          <cell r="G887" t="str">
            <v>Luis Fernando Perez Torres</v>
          </cell>
        </row>
        <row r="888">
          <cell r="F888">
            <v>306713</v>
          </cell>
          <cell r="G888" t="str">
            <v>Luis Fernando Santos Aguilar</v>
          </cell>
        </row>
        <row r="889">
          <cell r="F889">
            <v>315342</v>
          </cell>
          <cell r="G889" t="str">
            <v>Luis Fernando Valle Cuyun</v>
          </cell>
        </row>
        <row r="890">
          <cell r="F890">
            <v>312257</v>
          </cell>
          <cell r="G890" t="str">
            <v>Luis Giovanni Coronado Vasquez</v>
          </cell>
        </row>
        <row r="891">
          <cell r="F891">
            <v>307113</v>
          </cell>
          <cell r="G891" t="str">
            <v>Luis Pedro Herrera España</v>
          </cell>
        </row>
        <row r="892">
          <cell r="F892">
            <v>303961</v>
          </cell>
          <cell r="G892" t="str">
            <v>Luis Rene Morales Lopez</v>
          </cell>
        </row>
        <row r="893">
          <cell r="F893">
            <v>308796</v>
          </cell>
          <cell r="G893" t="str">
            <v>Luis Tito Rene Esquivel Yancor</v>
          </cell>
        </row>
        <row r="894">
          <cell r="F894">
            <v>307862</v>
          </cell>
          <cell r="G894" t="str">
            <v>Luisa Fernanda Castro Garcia</v>
          </cell>
        </row>
        <row r="895">
          <cell r="F895">
            <v>310734</v>
          </cell>
          <cell r="G895" t="str">
            <v>Lupita Genesis Samanta Granados Valenzuela</v>
          </cell>
        </row>
        <row r="896">
          <cell r="F896">
            <v>309761</v>
          </cell>
          <cell r="G896" t="str">
            <v>Lusi Angelica Coyoy Hernandez</v>
          </cell>
        </row>
        <row r="897">
          <cell r="F897">
            <v>310867</v>
          </cell>
          <cell r="G897" t="str">
            <v>Madelin Raquel Garcia Punay</v>
          </cell>
        </row>
        <row r="898">
          <cell r="F898">
            <v>310796</v>
          </cell>
          <cell r="G898" t="str">
            <v>Madelyn Estefany Vega Velasquez</v>
          </cell>
        </row>
        <row r="899">
          <cell r="F899">
            <v>314563</v>
          </cell>
          <cell r="G899" t="str">
            <v>Madelyn Siomara Mazul De Leon</v>
          </cell>
        </row>
        <row r="900">
          <cell r="F900">
            <v>304658</v>
          </cell>
          <cell r="G900" t="str">
            <v>Madelyn Virginia Lopez Ortega</v>
          </cell>
        </row>
        <row r="901">
          <cell r="F901">
            <v>315181</v>
          </cell>
          <cell r="G901" t="str">
            <v>Magda Beatriz Galvez Fernandez</v>
          </cell>
        </row>
        <row r="902">
          <cell r="F902">
            <v>311615</v>
          </cell>
          <cell r="G902" t="str">
            <v>Magda Corina Gutierrez Yool</v>
          </cell>
        </row>
        <row r="903">
          <cell r="F903">
            <v>312044</v>
          </cell>
          <cell r="G903" t="str">
            <v>Magda Danira Catalan Paz</v>
          </cell>
        </row>
        <row r="904">
          <cell r="F904">
            <v>307582</v>
          </cell>
          <cell r="G904" t="str">
            <v>Mahely Elva Maria Franco Gualim</v>
          </cell>
        </row>
        <row r="905">
          <cell r="F905">
            <v>301669</v>
          </cell>
          <cell r="G905" t="str">
            <v>Manfredo Alexander Castillo Quex</v>
          </cell>
        </row>
        <row r="906">
          <cell r="F906">
            <v>309811</v>
          </cell>
          <cell r="G906" t="str">
            <v>Manfredo Isaias Orozco Perez</v>
          </cell>
        </row>
        <row r="907">
          <cell r="F907">
            <v>314136</v>
          </cell>
          <cell r="G907" t="str">
            <v>Manlio Alcides Godinez Yanez</v>
          </cell>
        </row>
        <row r="908">
          <cell r="F908">
            <v>315094</v>
          </cell>
          <cell r="G908" t="str">
            <v>Manuel Enrique Espinoza Cermeño</v>
          </cell>
        </row>
        <row r="909">
          <cell r="F909">
            <v>312835</v>
          </cell>
          <cell r="G909" t="str">
            <v>Manuel Estuardo Arriaga Garcia</v>
          </cell>
        </row>
        <row r="910">
          <cell r="F910">
            <v>314608</v>
          </cell>
          <cell r="G910" t="str">
            <v>Marbin Yobani Calderon Vicente</v>
          </cell>
        </row>
        <row r="911">
          <cell r="F911">
            <v>314041</v>
          </cell>
          <cell r="G911" t="str">
            <v>Marcela Isabel Medrano Ajquiy</v>
          </cell>
        </row>
        <row r="912">
          <cell r="F912">
            <v>308478</v>
          </cell>
          <cell r="G912" t="str">
            <v>Marco Antonio Tejada Herrera</v>
          </cell>
        </row>
        <row r="913">
          <cell r="F913">
            <v>315216</v>
          </cell>
          <cell r="G913" t="str">
            <v>Marcos Avilio Santizo Roman</v>
          </cell>
        </row>
        <row r="914">
          <cell r="F914">
            <v>312919</v>
          </cell>
          <cell r="G914" t="str">
            <v>Marcos Daniel Miranda Ordoñez</v>
          </cell>
        </row>
        <row r="915">
          <cell r="F915">
            <v>306192</v>
          </cell>
          <cell r="G915" t="str">
            <v>Marenda Mishel Galeano Lopez</v>
          </cell>
        </row>
        <row r="916">
          <cell r="F916">
            <v>311597</v>
          </cell>
          <cell r="G916" t="str">
            <v>Maria Alejandra Estrada Morales</v>
          </cell>
        </row>
        <row r="917">
          <cell r="F917">
            <v>315488</v>
          </cell>
          <cell r="G917" t="str">
            <v>Maria Alejandra Lanuza Perez</v>
          </cell>
        </row>
        <row r="918">
          <cell r="F918">
            <v>315414</v>
          </cell>
          <cell r="G918" t="str">
            <v>Maria Alejandra Perez Martinez</v>
          </cell>
        </row>
        <row r="919">
          <cell r="F919">
            <v>314383</v>
          </cell>
          <cell r="G919" t="str">
            <v>Maria De La Luz Masaya Moreno</v>
          </cell>
        </row>
        <row r="920">
          <cell r="F920">
            <v>314419</v>
          </cell>
          <cell r="G920" t="str">
            <v>Maria De Los Angeles Hernandez Oliva</v>
          </cell>
        </row>
        <row r="921">
          <cell r="F921">
            <v>309455</v>
          </cell>
          <cell r="G921" t="str">
            <v>Maria Del Rosario De Leon Puac</v>
          </cell>
        </row>
        <row r="922">
          <cell r="F922">
            <v>310240</v>
          </cell>
          <cell r="G922" t="str">
            <v>Maria Del Rosario Sion Calel</v>
          </cell>
        </row>
        <row r="923">
          <cell r="F923">
            <v>311583</v>
          </cell>
          <cell r="G923" t="str">
            <v>Maria Elizabeth Recinos Villagran</v>
          </cell>
        </row>
        <row r="924">
          <cell r="F924">
            <v>315128</v>
          </cell>
          <cell r="G924" t="str">
            <v>Maria Eugenia Alvarez Lopez</v>
          </cell>
        </row>
        <row r="925">
          <cell r="F925">
            <v>309571</v>
          </cell>
          <cell r="G925" t="str">
            <v>Maria Fernanda Aldana Fernandez</v>
          </cell>
        </row>
        <row r="926">
          <cell r="F926">
            <v>305630</v>
          </cell>
          <cell r="G926" t="str">
            <v>Maria Fernanda Duran Barrera De De De Leon</v>
          </cell>
        </row>
        <row r="927">
          <cell r="F927">
            <v>315325</v>
          </cell>
          <cell r="G927" t="str">
            <v>Maria Fernanda García Patzán</v>
          </cell>
        </row>
        <row r="928">
          <cell r="F928">
            <v>315310</v>
          </cell>
          <cell r="G928" t="str">
            <v>Maria Fernanda Reyes Trinidad</v>
          </cell>
        </row>
        <row r="929">
          <cell r="F929">
            <v>314265</v>
          </cell>
          <cell r="G929" t="str">
            <v>Maria Fernanda Sanches Yoc</v>
          </cell>
        </row>
        <row r="930">
          <cell r="F930">
            <v>313724</v>
          </cell>
          <cell r="G930" t="str">
            <v>Maria Fernanda Tomas</v>
          </cell>
        </row>
        <row r="931">
          <cell r="F931">
            <v>315252</v>
          </cell>
          <cell r="G931" t="str">
            <v>Maria Gabriela Giron De Leon</v>
          </cell>
        </row>
        <row r="932">
          <cell r="F932">
            <v>309515</v>
          </cell>
          <cell r="G932" t="str">
            <v>Maria Guadalupe Marroquin Camargo</v>
          </cell>
        </row>
        <row r="933">
          <cell r="F933">
            <v>313732</v>
          </cell>
          <cell r="G933" t="str">
            <v>Maria Isabel Martinez</v>
          </cell>
        </row>
        <row r="934">
          <cell r="F934">
            <v>314027</v>
          </cell>
          <cell r="G934" t="str">
            <v>Maria Isabel Reyes Aguirre</v>
          </cell>
        </row>
        <row r="935">
          <cell r="F935">
            <v>311474</v>
          </cell>
          <cell r="G935" t="str">
            <v>Maria Jose Alvarado Lopez De Barrientos</v>
          </cell>
        </row>
        <row r="936">
          <cell r="F936">
            <v>312356</v>
          </cell>
          <cell r="G936" t="str">
            <v>Maria Jose Fernandez Melendez</v>
          </cell>
        </row>
        <row r="937">
          <cell r="F937">
            <v>313800</v>
          </cell>
          <cell r="G937" t="str">
            <v>Maria Jose Flores Alvarez</v>
          </cell>
        </row>
        <row r="938">
          <cell r="F938">
            <v>314566</v>
          </cell>
          <cell r="G938" t="str">
            <v>Maria Jose Gonzalez Orellana</v>
          </cell>
        </row>
        <row r="939">
          <cell r="F939">
            <v>311569</v>
          </cell>
          <cell r="G939" t="str">
            <v>Maria Jose Gramajo Garcia De Monzon</v>
          </cell>
        </row>
        <row r="940">
          <cell r="F940">
            <v>313095</v>
          </cell>
          <cell r="G940" t="str">
            <v>Maria Jose Meza De Leon</v>
          </cell>
        </row>
        <row r="941">
          <cell r="F941">
            <v>300191</v>
          </cell>
          <cell r="G941" t="str">
            <v>Maria Jose Salazar Rueda</v>
          </cell>
        </row>
        <row r="942">
          <cell r="F942">
            <v>314226</v>
          </cell>
          <cell r="G942" t="str">
            <v>Maria Josee Morales Vaides</v>
          </cell>
        </row>
        <row r="943">
          <cell r="F943">
            <v>315362</v>
          </cell>
          <cell r="G943" t="str">
            <v>Maria Lourdes Ajpuz Julajuj</v>
          </cell>
        </row>
        <row r="944">
          <cell r="F944">
            <v>306697</v>
          </cell>
          <cell r="G944" t="str">
            <v>Maria Luisa Ramos Lopez</v>
          </cell>
        </row>
        <row r="945">
          <cell r="F945">
            <v>314180</v>
          </cell>
          <cell r="G945" t="str">
            <v>Maria Ruby Tzamol Pacay</v>
          </cell>
        </row>
        <row r="946">
          <cell r="F946">
            <v>311686</v>
          </cell>
          <cell r="G946" t="str">
            <v>Maria Teresa Recinos Estrada</v>
          </cell>
        </row>
        <row r="947">
          <cell r="F947">
            <v>315351</v>
          </cell>
          <cell r="G947" t="str">
            <v>Maria Vicenta Lopez Mancilla</v>
          </cell>
        </row>
        <row r="948">
          <cell r="F948">
            <v>311755</v>
          </cell>
          <cell r="G948" t="str">
            <v>Marian Rebeca Gallardo Alvarez</v>
          </cell>
        </row>
        <row r="949">
          <cell r="F949">
            <v>313660</v>
          </cell>
          <cell r="G949" t="str">
            <v>Mariana Del Rosario Escobar Sanchez</v>
          </cell>
        </row>
        <row r="950">
          <cell r="F950">
            <v>314169</v>
          </cell>
          <cell r="G950" t="str">
            <v>Mariano Jose Lopez Cojon</v>
          </cell>
        </row>
        <row r="951">
          <cell r="F951">
            <v>314341</v>
          </cell>
          <cell r="G951" t="str">
            <v>Mariano Jose Trujillo Baldizon</v>
          </cell>
        </row>
        <row r="952">
          <cell r="F952">
            <v>314050</v>
          </cell>
          <cell r="G952" t="str">
            <v>Mariela Alejandra Batz De Leon</v>
          </cell>
        </row>
        <row r="953">
          <cell r="F953">
            <v>311273</v>
          </cell>
          <cell r="G953" t="str">
            <v>Marili Cecilia Ramirez Cardona</v>
          </cell>
        </row>
        <row r="954">
          <cell r="F954">
            <v>312576</v>
          </cell>
          <cell r="G954" t="str">
            <v>Marilin Melisa Lopez Yoc</v>
          </cell>
        </row>
        <row r="955">
          <cell r="F955">
            <v>314530</v>
          </cell>
          <cell r="G955" t="str">
            <v>Marilyn Alexandra Davila Chavez</v>
          </cell>
        </row>
        <row r="956">
          <cell r="F956">
            <v>315099</v>
          </cell>
          <cell r="G956" t="str">
            <v>Marilyn Yulissa Alvarez Toscano</v>
          </cell>
        </row>
        <row r="957">
          <cell r="F957">
            <v>311405</v>
          </cell>
          <cell r="G957" t="str">
            <v>Marina Elena Giron Roldan</v>
          </cell>
        </row>
        <row r="958">
          <cell r="F958">
            <v>314803</v>
          </cell>
          <cell r="G958" t="str">
            <v>Mario David Quilo Hernandez</v>
          </cell>
        </row>
        <row r="959">
          <cell r="F959">
            <v>306487</v>
          </cell>
          <cell r="G959" t="str">
            <v>Mario Estuardo Chavez Zelada</v>
          </cell>
        </row>
        <row r="960">
          <cell r="F960">
            <v>315445</v>
          </cell>
          <cell r="G960" t="str">
            <v>Mario Guberlindo Gonzalez Velasquez</v>
          </cell>
        </row>
        <row r="961">
          <cell r="F961">
            <v>313107</v>
          </cell>
          <cell r="G961" t="str">
            <v>Mario Jose Mejia Escobar</v>
          </cell>
        </row>
        <row r="962">
          <cell r="F962">
            <v>314737</v>
          </cell>
          <cell r="G962" t="str">
            <v>Mario Rene Lopez Gudiel</v>
          </cell>
        </row>
        <row r="963">
          <cell r="F963">
            <v>309842</v>
          </cell>
          <cell r="G963" t="str">
            <v>Maritza Morales Tzoc</v>
          </cell>
        </row>
        <row r="964">
          <cell r="F964">
            <v>312996</v>
          </cell>
          <cell r="G964" t="str">
            <v>Marlen Aida Pelaez Ramirez</v>
          </cell>
        </row>
        <row r="965">
          <cell r="F965">
            <v>310203</v>
          </cell>
          <cell r="G965" t="str">
            <v>Marlen Brigitt Rosales De Leon</v>
          </cell>
        </row>
        <row r="966">
          <cell r="F966">
            <v>314089</v>
          </cell>
          <cell r="G966" t="str">
            <v>Marlin Yesenia Chacon Garcia</v>
          </cell>
        </row>
        <row r="967">
          <cell r="F967">
            <v>314054</v>
          </cell>
          <cell r="G967" t="str">
            <v>Marlon Eduardo Arreaga Escobar</v>
          </cell>
        </row>
        <row r="968">
          <cell r="F968">
            <v>315505</v>
          </cell>
          <cell r="G968" t="str">
            <v>Marlon Eduardo Medrano Sandoval</v>
          </cell>
        </row>
        <row r="969">
          <cell r="F969">
            <v>310727</v>
          </cell>
          <cell r="G969" t="str">
            <v>Marlon Ivan Dardon Hernandez</v>
          </cell>
        </row>
        <row r="970">
          <cell r="F970">
            <v>315341</v>
          </cell>
          <cell r="G970" t="str">
            <v>Marlon Miguelangel Morales Jerez</v>
          </cell>
        </row>
        <row r="971">
          <cell r="F971">
            <v>311604</v>
          </cell>
          <cell r="G971" t="str">
            <v>Marolet Patricia Palacios Argueta</v>
          </cell>
        </row>
        <row r="972">
          <cell r="F972">
            <v>310466</v>
          </cell>
          <cell r="G972" t="str">
            <v>Marta Emilia Moran Lopez</v>
          </cell>
        </row>
        <row r="973">
          <cell r="F973">
            <v>314611</v>
          </cell>
          <cell r="G973" t="str">
            <v>Marta Iris Martinez Sete</v>
          </cell>
        </row>
        <row r="974">
          <cell r="F974">
            <v>312109</v>
          </cell>
          <cell r="G974" t="str">
            <v>Martha Julia Shar Velasquez</v>
          </cell>
        </row>
        <row r="975">
          <cell r="F975">
            <v>315103</v>
          </cell>
          <cell r="G975" t="str">
            <v>Martin Aroldo Lorenzana Flores</v>
          </cell>
        </row>
        <row r="976">
          <cell r="F976">
            <v>315481</v>
          </cell>
          <cell r="G976" t="str">
            <v>Marvin Alejandro Puac Mulul</v>
          </cell>
        </row>
        <row r="977">
          <cell r="F977">
            <v>306655</v>
          </cell>
          <cell r="G977" t="str">
            <v>Marvin Alexander Choguix Chex</v>
          </cell>
        </row>
        <row r="978">
          <cell r="F978">
            <v>311176</v>
          </cell>
          <cell r="G978" t="str">
            <v>Marvin Andolfo Garcia De Leon</v>
          </cell>
        </row>
        <row r="979">
          <cell r="F979">
            <v>315475</v>
          </cell>
          <cell r="G979" t="str">
            <v>Marvin Eduardo Coxaj Sanic</v>
          </cell>
        </row>
        <row r="980">
          <cell r="F980">
            <v>312374</v>
          </cell>
          <cell r="G980" t="str">
            <v>Marvin Eleazar Sunun Acuta</v>
          </cell>
        </row>
        <row r="981">
          <cell r="F981">
            <v>310680</v>
          </cell>
          <cell r="G981" t="str">
            <v>Marvin Estuardo Xiloj De Leon</v>
          </cell>
        </row>
        <row r="982">
          <cell r="F982">
            <v>315460</v>
          </cell>
          <cell r="G982" t="str">
            <v>Marvin Leonel Hernandez Alvarez</v>
          </cell>
        </row>
        <row r="983">
          <cell r="F983">
            <v>307409</v>
          </cell>
          <cell r="G983" t="str">
            <v>Marvin Rodolfo Santizo Rosales</v>
          </cell>
        </row>
        <row r="984">
          <cell r="F984">
            <v>313194</v>
          </cell>
          <cell r="G984" t="str">
            <v>Mary Isabel Xiloj Tajiboy</v>
          </cell>
        </row>
        <row r="985">
          <cell r="F985">
            <v>314092</v>
          </cell>
          <cell r="G985" t="str">
            <v>Maryory Marilu Ramos Reyes</v>
          </cell>
        </row>
        <row r="986">
          <cell r="F986">
            <v>314207</v>
          </cell>
          <cell r="G986" t="str">
            <v>Maryury Yasmin Suret Mejia</v>
          </cell>
        </row>
        <row r="987">
          <cell r="F987">
            <v>314618</v>
          </cell>
          <cell r="G987" t="str">
            <v>Mauro Gilberto Rax Suc</v>
          </cell>
        </row>
        <row r="988">
          <cell r="F988">
            <v>304166</v>
          </cell>
          <cell r="G988" t="str">
            <v>Maviela Bibianeth Castillo Avila</v>
          </cell>
        </row>
        <row r="989">
          <cell r="F989">
            <v>309285</v>
          </cell>
          <cell r="G989" t="str">
            <v>Mavilin Griselda Jacome Molina</v>
          </cell>
        </row>
        <row r="990">
          <cell r="F990">
            <v>315042</v>
          </cell>
          <cell r="G990" t="str">
            <v>Mayki Waleska Alvarez Guzman</v>
          </cell>
        </row>
        <row r="991">
          <cell r="F991">
            <v>314691</v>
          </cell>
          <cell r="G991" t="str">
            <v>Maylin Fernanda Cifuentes Guevara</v>
          </cell>
        </row>
        <row r="992">
          <cell r="F992">
            <v>314857</v>
          </cell>
          <cell r="G992" t="str">
            <v>Maynor Alexander Chen Franco</v>
          </cell>
        </row>
        <row r="993">
          <cell r="F993">
            <v>315320</v>
          </cell>
          <cell r="G993" t="str">
            <v>Maynor David Montufar De La Cruz</v>
          </cell>
        </row>
        <row r="994">
          <cell r="F994">
            <v>314784</v>
          </cell>
          <cell r="G994" t="str">
            <v>Mayra Alejandra Perez Cordero</v>
          </cell>
        </row>
        <row r="995">
          <cell r="F995">
            <v>307616</v>
          </cell>
          <cell r="G995" t="str">
            <v>Mayra Ester Lopez Gonzalez</v>
          </cell>
        </row>
        <row r="996">
          <cell r="F996">
            <v>304234</v>
          </cell>
          <cell r="G996" t="str">
            <v>Mayra Julieta Sincal Coy</v>
          </cell>
        </row>
        <row r="997">
          <cell r="F997">
            <v>314324</v>
          </cell>
          <cell r="G997" t="str">
            <v>Mayra Karina Soc Ovalle</v>
          </cell>
        </row>
        <row r="998">
          <cell r="F998">
            <v>313096</v>
          </cell>
          <cell r="G998" t="str">
            <v>Mayra Noemi Godoy Carrera</v>
          </cell>
        </row>
        <row r="999">
          <cell r="F999">
            <v>315528</v>
          </cell>
          <cell r="G999" t="str">
            <v>Melanie Azucena Choc Garcia</v>
          </cell>
        </row>
        <row r="1000">
          <cell r="F1000">
            <v>309903</v>
          </cell>
          <cell r="G1000" t="str">
            <v>Melanie Vanessa Chacon Godoy</v>
          </cell>
        </row>
        <row r="1001">
          <cell r="F1001">
            <v>301165</v>
          </cell>
          <cell r="G1001" t="str">
            <v>Melissa Lissette Recinos Massella</v>
          </cell>
        </row>
        <row r="1002">
          <cell r="F1002">
            <v>314782</v>
          </cell>
          <cell r="G1002" t="str">
            <v>Melissandra Ruiz Ramirez</v>
          </cell>
        </row>
        <row r="1003">
          <cell r="F1003">
            <v>314053</v>
          </cell>
          <cell r="G1003" t="str">
            <v>Melody Arelis Elvira Monterroso</v>
          </cell>
        </row>
        <row r="1004">
          <cell r="F1004">
            <v>314777</v>
          </cell>
          <cell r="G1004" t="str">
            <v>Melvin Antonio Hernandez Gutierrez</v>
          </cell>
        </row>
        <row r="1005">
          <cell r="F1005">
            <v>315452</v>
          </cell>
          <cell r="G1005" t="str">
            <v>Melvin Everardo Morales Navas</v>
          </cell>
        </row>
        <row r="1006">
          <cell r="F1006">
            <v>315416</v>
          </cell>
          <cell r="G1006" t="str">
            <v>Melvin Hermenegildo Yagut Monterroso</v>
          </cell>
        </row>
        <row r="1007">
          <cell r="F1007">
            <v>315107</v>
          </cell>
          <cell r="G1007" t="str">
            <v>Merari Abigail Orantes Gonzalez</v>
          </cell>
        </row>
        <row r="1008">
          <cell r="F1008">
            <v>304528</v>
          </cell>
          <cell r="G1008" t="str">
            <v>Merari Abigail Veliz Samayoa</v>
          </cell>
        </row>
        <row r="1009">
          <cell r="F1009">
            <v>311310</v>
          </cell>
          <cell r="G1009" t="str">
            <v>Merari Madai Arana Erazo</v>
          </cell>
        </row>
        <row r="1010">
          <cell r="F1010">
            <v>314447</v>
          </cell>
          <cell r="G1010" t="str">
            <v>Mercy Roxana Galvez Canales</v>
          </cell>
        </row>
        <row r="1011">
          <cell r="F1011">
            <v>314610</v>
          </cell>
          <cell r="G1011" t="str">
            <v>Merly Carolina Lopez Laynez</v>
          </cell>
        </row>
        <row r="1012">
          <cell r="F1012">
            <v>315402</v>
          </cell>
          <cell r="G1012" t="str">
            <v>Merly Sorayda Ramirez Mendez</v>
          </cell>
        </row>
        <row r="1013">
          <cell r="F1013">
            <v>315499</v>
          </cell>
          <cell r="G1013" t="str">
            <v>Miguel Angel Arias Maquin</v>
          </cell>
        </row>
        <row r="1014">
          <cell r="F1014">
            <v>302368</v>
          </cell>
          <cell r="G1014" t="str">
            <v>Miguel Angel Moya Cabnal</v>
          </cell>
        </row>
        <row r="1015">
          <cell r="F1015">
            <v>307315</v>
          </cell>
          <cell r="G1015" t="str">
            <v>Miguel Angel Vicente Morales</v>
          </cell>
        </row>
        <row r="1016">
          <cell r="F1016">
            <v>307063</v>
          </cell>
          <cell r="G1016" t="str">
            <v>Miguel Omar Zuleta Solorzano</v>
          </cell>
        </row>
        <row r="1017">
          <cell r="F1017">
            <v>311165</v>
          </cell>
          <cell r="G1017" t="str">
            <v>Miguel Orlando Sebastian Juchan</v>
          </cell>
        </row>
        <row r="1018">
          <cell r="F1018">
            <v>310954</v>
          </cell>
          <cell r="G1018" t="str">
            <v>Mildre Fabiola Gomez Barillas</v>
          </cell>
        </row>
        <row r="1019">
          <cell r="F1019">
            <v>315346</v>
          </cell>
          <cell r="G1019" t="str">
            <v>Mildred Elizabeth Solis Quevedo</v>
          </cell>
        </row>
        <row r="1020">
          <cell r="F1020">
            <v>314330</v>
          </cell>
          <cell r="G1020" t="str">
            <v>Mildred Magaly Ortega Pac</v>
          </cell>
        </row>
        <row r="1021">
          <cell r="F1021">
            <v>314985</v>
          </cell>
          <cell r="G1021" t="str">
            <v>Mildred Magaly Sul Lopez</v>
          </cell>
        </row>
        <row r="1022">
          <cell r="F1022">
            <v>309503</v>
          </cell>
          <cell r="G1022" t="str">
            <v>Mildred Yaneth Figueroa Garcia</v>
          </cell>
        </row>
        <row r="1023">
          <cell r="F1023">
            <v>301826</v>
          </cell>
          <cell r="G1023" t="str">
            <v>Mildred Yanett Cruz Alvarez</v>
          </cell>
        </row>
        <row r="1024">
          <cell r="F1024">
            <v>313864</v>
          </cell>
          <cell r="G1024" t="str">
            <v>Milena Maria Mendez Cheguen</v>
          </cell>
        </row>
        <row r="1025">
          <cell r="F1025">
            <v>314919</v>
          </cell>
          <cell r="G1025" t="str">
            <v>Milton Enrique Yax Sosa</v>
          </cell>
        </row>
        <row r="1026">
          <cell r="F1026">
            <v>312699</v>
          </cell>
          <cell r="G1026" t="str">
            <v>Milton Rene Estrada Coc</v>
          </cell>
        </row>
        <row r="1027">
          <cell r="F1027">
            <v>310468</v>
          </cell>
          <cell r="G1027" t="str">
            <v>Milton Roberto Juarez Lemus</v>
          </cell>
        </row>
        <row r="1028">
          <cell r="F1028">
            <v>313534</v>
          </cell>
          <cell r="G1028" t="str">
            <v>Milver Moises Maldonado Pelico</v>
          </cell>
        </row>
        <row r="1029">
          <cell r="F1029">
            <v>314555</v>
          </cell>
          <cell r="G1029" t="str">
            <v>Milvia Fernanda Talento Urbina</v>
          </cell>
        </row>
        <row r="1030">
          <cell r="F1030">
            <v>301347</v>
          </cell>
          <cell r="G1030" t="str">
            <v>Miriam Betsabe Rodas Perez</v>
          </cell>
        </row>
        <row r="1031">
          <cell r="F1031">
            <v>313439</v>
          </cell>
          <cell r="G1031" t="str">
            <v>Miriam Elizabeth Pérez Guerra</v>
          </cell>
        </row>
        <row r="1032">
          <cell r="F1032">
            <v>307748</v>
          </cell>
          <cell r="G1032" t="str">
            <v>Miriam Judith Cermeño Cetino</v>
          </cell>
        </row>
        <row r="1033">
          <cell r="F1033">
            <v>313772</v>
          </cell>
          <cell r="G1033" t="str">
            <v>Miriam Mineidy Moscoso Mayen</v>
          </cell>
        </row>
        <row r="1034">
          <cell r="F1034">
            <v>306649</v>
          </cell>
          <cell r="G1034" t="str">
            <v>Miriam Stefanie Hernandez Subuyuj</v>
          </cell>
        </row>
        <row r="1035">
          <cell r="F1035">
            <v>201909</v>
          </cell>
          <cell r="G1035" t="str">
            <v>Mirian Del Carmen Guzman Maldonado</v>
          </cell>
        </row>
        <row r="1036">
          <cell r="F1036">
            <v>314023</v>
          </cell>
          <cell r="G1036" t="str">
            <v>Mirna Consuelo Muñoz Ordoñez</v>
          </cell>
        </row>
        <row r="1037">
          <cell r="F1037">
            <v>315506</v>
          </cell>
          <cell r="G1037" t="str">
            <v>Mirna Elizabeth Zolote Patzan</v>
          </cell>
        </row>
        <row r="1038">
          <cell r="F1038">
            <v>101866</v>
          </cell>
          <cell r="G1038" t="str">
            <v>Mirna Violeta Carrillo Gonzalez</v>
          </cell>
        </row>
        <row r="1039">
          <cell r="F1039">
            <v>310687</v>
          </cell>
          <cell r="G1039" t="str">
            <v>Mirna Yesenia Umaña Ramos</v>
          </cell>
        </row>
        <row r="1040">
          <cell r="F1040">
            <v>313842</v>
          </cell>
          <cell r="G1040" t="str">
            <v>Mirza Johana Cosigua Rabinal</v>
          </cell>
        </row>
        <row r="1041">
          <cell r="F1041">
            <v>313441</v>
          </cell>
          <cell r="G1041" t="str">
            <v>Moises Dario Flores Amaya</v>
          </cell>
        </row>
        <row r="1042">
          <cell r="F1042">
            <v>313480</v>
          </cell>
          <cell r="G1042" t="str">
            <v>Monica Cecilia Perez Lopez</v>
          </cell>
        </row>
        <row r="1043">
          <cell r="F1043">
            <v>313674</v>
          </cell>
          <cell r="G1043" t="str">
            <v>Monica Gabriela Canizales Santos</v>
          </cell>
        </row>
        <row r="1044">
          <cell r="F1044">
            <v>307706</v>
          </cell>
          <cell r="G1044" t="str">
            <v>Monica Guadalupe Garcia Rivera</v>
          </cell>
        </row>
        <row r="1045">
          <cell r="F1045">
            <v>314918</v>
          </cell>
          <cell r="G1045" t="str">
            <v>Monica Isabel Castillo Avila</v>
          </cell>
        </row>
        <row r="1046">
          <cell r="F1046">
            <v>313553</v>
          </cell>
          <cell r="G1046" t="str">
            <v>Monica Laj De La Cruz</v>
          </cell>
        </row>
        <row r="1047">
          <cell r="F1047">
            <v>308910</v>
          </cell>
          <cell r="G1047" t="str">
            <v>Monica Lisseth Marroquin Salazar</v>
          </cell>
        </row>
        <row r="1048">
          <cell r="F1048">
            <v>302232</v>
          </cell>
          <cell r="G1048" t="str">
            <v>Monica Lizbeth Franco Chacon</v>
          </cell>
        </row>
        <row r="1049">
          <cell r="F1049">
            <v>311945</v>
          </cell>
          <cell r="G1049" t="str">
            <v>Monica Michelle Diaz De Leon De Baltazar</v>
          </cell>
        </row>
        <row r="1050">
          <cell r="F1050">
            <v>315559</v>
          </cell>
          <cell r="G1050" t="str">
            <v>Monica Mishell Perez Ballesteros</v>
          </cell>
        </row>
        <row r="1051">
          <cell r="F1051">
            <v>313346</v>
          </cell>
          <cell r="G1051" t="str">
            <v>Monica Mishell Rendon Gamboa</v>
          </cell>
        </row>
        <row r="1052">
          <cell r="F1052">
            <v>314616</v>
          </cell>
          <cell r="G1052" t="str">
            <v>Monica Raquel Palacios Piedrasanta</v>
          </cell>
        </row>
        <row r="1053">
          <cell r="F1053">
            <v>314653</v>
          </cell>
          <cell r="G1053" t="str">
            <v>Monica Yulissa Sun Pacay</v>
          </cell>
        </row>
        <row r="1054">
          <cell r="F1054">
            <v>311311</v>
          </cell>
          <cell r="G1054" t="str">
            <v>Monica Yulissa Vicente Velasquez</v>
          </cell>
        </row>
        <row r="1055">
          <cell r="F1055">
            <v>313427</v>
          </cell>
          <cell r="G1055" t="str">
            <v>Mynor Genaro Salazar Merida</v>
          </cell>
        </row>
        <row r="1056">
          <cell r="F1056">
            <v>201518</v>
          </cell>
          <cell r="G1056" t="str">
            <v>Myriam Aracely Rivera Gonzalez</v>
          </cell>
        </row>
        <row r="1057">
          <cell r="F1057">
            <v>315266</v>
          </cell>
          <cell r="G1057" t="str">
            <v>Myrka Jessel Rivera Camo</v>
          </cell>
        </row>
        <row r="1058">
          <cell r="F1058">
            <v>314223</v>
          </cell>
          <cell r="G1058" t="str">
            <v>Nadia Estefania Gramajo Archila</v>
          </cell>
        </row>
        <row r="1059">
          <cell r="F1059">
            <v>314959</v>
          </cell>
          <cell r="G1059" t="str">
            <v>Nanci Magali Noj Santos</v>
          </cell>
        </row>
        <row r="1060">
          <cell r="F1060">
            <v>302592</v>
          </cell>
          <cell r="G1060" t="str">
            <v>Nanci Paola Con Morales</v>
          </cell>
        </row>
        <row r="1061">
          <cell r="F1061">
            <v>301700</v>
          </cell>
          <cell r="G1061" t="str">
            <v>Nanci Yanira Navas Garcia</v>
          </cell>
        </row>
        <row r="1062">
          <cell r="F1062">
            <v>312111</v>
          </cell>
          <cell r="G1062" t="str">
            <v>Nancy Corina Quiñonez Rodriguez</v>
          </cell>
        </row>
        <row r="1063">
          <cell r="F1063">
            <v>303538</v>
          </cell>
          <cell r="G1063" t="str">
            <v>Nancy Magaly Izaguirre Galicia</v>
          </cell>
        </row>
        <row r="1064">
          <cell r="F1064">
            <v>305223</v>
          </cell>
          <cell r="G1064" t="str">
            <v>Nancy Pahola De Leon Patzan</v>
          </cell>
        </row>
        <row r="1065">
          <cell r="F1065">
            <v>311423</v>
          </cell>
          <cell r="G1065" t="str">
            <v>Nancy Paola Jimenez Pamal</v>
          </cell>
        </row>
        <row r="1066">
          <cell r="F1066">
            <v>310510</v>
          </cell>
          <cell r="G1066" t="str">
            <v>Nancy Paola Morales Rodriguez</v>
          </cell>
        </row>
        <row r="1067">
          <cell r="F1067">
            <v>312587</v>
          </cell>
          <cell r="G1067" t="str">
            <v>Nancy Roxana Chuy Ponce</v>
          </cell>
        </row>
        <row r="1068">
          <cell r="F1068">
            <v>314745</v>
          </cell>
          <cell r="G1068" t="str">
            <v>Nancy Yaneth Vasquez Chiguichon</v>
          </cell>
        </row>
        <row r="1069">
          <cell r="F1069">
            <v>309809</v>
          </cell>
          <cell r="G1069" t="str">
            <v>Nancy Yessenia Set Iquite</v>
          </cell>
        </row>
        <row r="1070">
          <cell r="F1070">
            <v>311261</v>
          </cell>
          <cell r="G1070" t="str">
            <v>Nasly Abigail Cazian Lopez</v>
          </cell>
        </row>
        <row r="1071">
          <cell r="F1071">
            <v>312545</v>
          </cell>
          <cell r="G1071" t="str">
            <v>Nataly Pamela Fransheska Aguilar Escobar</v>
          </cell>
        </row>
        <row r="1072">
          <cell r="F1072">
            <v>314192</v>
          </cell>
          <cell r="G1072" t="str">
            <v>Neftaly Eliseo Aguilar Hernandez</v>
          </cell>
        </row>
        <row r="1073">
          <cell r="F1073">
            <v>314024</v>
          </cell>
          <cell r="G1073" t="str">
            <v>Nelson Aurelio Portillo Martinez</v>
          </cell>
        </row>
        <row r="1074">
          <cell r="F1074">
            <v>314913</v>
          </cell>
          <cell r="G1074" t="str">
            <v>Nelson Humberto Caal Güe</v>
          </cell>
        </row>
        <row r="1075">
          <cell r="F1075">
            <v>314631</v>
          </cell>
          <cell r="G1075" t="str">
            <v>Nelsy Adali Nova Vivar</v>
          </cell>
        </row>
        <row r="1076">
          <cell r="F1076">
            <v>309216</v>
          </cell>
          <cell r="G1076" t="str">
            <v>Nery Daniel Chipin Lindo</v>
          </cell>
        </row>
        <row r="1077">
          <cell r="F1077">
            <v>313499</v>
          </cell>
          <cell r="G1077" t="str">
            <v>Nestor Donaldo Xiloj Quiej</v>
          </cell>
        </row>
        <row r="1078">
          <cell r="F1078">
            <v>312176</v>
          </cell>
          <cell r="G1078" t="str">
            <v>Nestor Edgardo Gutierrez Lazaro</v>
          </cell>
        </row>
        <row r="1079">
          <cell r="F1079">
            <v>309178</v>
          </cell>
          <cell r="G1079" t="str">
            <v>Nestor Enmanuel Retana Castellanos</v>
          </cell>
        </row>
        <row r="1080">
          <cell r="F1080">
            <v>313878</v>
          </cell>
          <cell r="G1080" t="str">
            <v>Nestor Orlando Aguilar Santos</v>
          </cell>
        </row>
        <row r="1081">
          <cell r="F1081">
            <v>305532</v>
          </cell>
          <cell r="G1081" t="str">
            <v>Nicolas Ajiquichi Ibate</v>
          </cell>
        </row>
        <row r="1082">
          <cell r="F1082">
            <v>312763</v>
          </cell>
          <cell r="G1082" t="str">
            <v>Nicolas Walter Toma Zacarias</v>
          </cell>
        </row>
        <row r="1083">
          <cell r="F1083">
            <v>315413</v>
          </cell>
          <cell r="G1083" t="str">
            <v>Nicomedes Israel Echeverria Pacheco</v>
          </cell>
        </row>
        <row r="1084">
          <cell r="F1084">
            <v>310907</v>
          </cell>
          <cell r="G1084" t="str">
            <v>Nidia Dalila Bantes Segura De Manchame</v>
          </cell>
        </row>
        <row r="1085">
          <cell r="F1085">
            <v>314818</v>
          </cell>
          <cell r="G1085" t="str">
            <v>Nidia Lucy Herrera Lopez</v>
          </cell>
        </row>
        <row r="1086">
          <cell r="F1086">
            <v>301486</v>
          </cell>
          <cell r="G1086" t="str">
            <v>Nidia Maribel Carpio Roca</v>
          </cell>
        </row>
        <row r="1087">
          <cell r="F1087">
            <v>306850</v>
          </cell>
          <cell r="G1087" t="str">
            <v>Nilda Julieta Boror Xuya</v>
          </cell>
        </row>
        <row r="1088">
          <cell r="F1088">
            <v>311624</v>
          </cell>
          <cell r="G1088" t="str">
            <v>Noe Amos Marroquin Sicajol</v>
          </cell>
        </row>
        <row r="1089">
          <cell r="F1089">
            <v>309912</v>
          </cell>
          <cell r="G1089" t="str">
            <v>Noelia Azucena Garcia Mazariegos</v>
          </cell>
        </row>
        <row r="1090">
          <cell r="F1090">
            <v>102045</v>
          </cell>
          <cell r="G1090" t="str">
            <v>Noemi Ruth Hernandez Urrutia</v>
          </cell>
        </row>
        <row r="1091">
          <cell r="F1091">
            <v>310375</v>
          </cell>
          <cell r="G1091" t="str">
            <v>Nora Lisseth Lam Sanchez</v>
          </cell>
        </row>
        <row r="1092">
          <cell r="F1092">
            <v>313429</v>
          </cell>
          <cell r="G1092" t="str">
            <v>Norman Alessandro Madrid Garcia</v>
          </cell>
        </row>
        <row r="1093">
          <cell r="F1093">
            <v>309744</v>
          </cell>
          <cell r="G1093" t="str">
            <v>Odalis Ruby Garcia Siquina</v>
          </cell>
        </row>
        <row r="1094">
          <cell r="F1094">
            <v>315554</v>
          </cell>
          <cell r="G1094" t="str">
            <v>Odalys Faviola Reyes Rivera</v>
          </cell>
        </row>
        <row r="1095">
          <cell r="F1095">
            <v>315037</v>
          </cell>
          <cell r="G1095" t="str">
            <v>Odiel Armando Guerra Aguirre</v>
          </cell>
        </row>
        <row r="1096">
          <cell r="F1096">
            <v>307511</v>
          </cell>
          <cell r="G1096" t="str">
            <v>Odra Arcadia Barduel Sarat</v>
          </cell>
        </row>
        <row r="1097">
          <cell r="F1097">
            <v>310763</v>
          </cell>
          <cell r="G1097" t="str">
            <v>Olga Gabriela Lopez Tzic</v>
          </cell>
        </row>
        <row r="1098">
          <cell r="F1098">
            <v>309989</v>
          </cell>
          <cell r="G1098" t="str">
            <v>Olga Maricela Guarcas Tol</v>
          </cell>
        </row>
        <row r="1099">
          <cell r="F1099">
            <v>315281</v>
          </cell>
          <cell r="G1099" t="str">
            <v>Olinda Juarez Figueno</v>
          </cell>
        </row>
        <row r="1100">
          <cell r="F1100">
            <v>312972</v>
          </cell>
          <cell r="G1100" t="str">
            <v>Omar Anibal Barreda Valenzuela</v>
          </cell>
        </row>
        <row r="1101">
          <cell r="F1101">
            <v>302263</v>
          </cell>
          <cell r="G1101" t="str">
            <v>Oneida Del Carmen Corzo Morales</v>
          </cell>
        </row>
        <row r="1102">
          <cell r="F1102">
            <v>308263</v>
          </cell>
          <cell r="G1102" t="str">
            <v>Oscar Eduardo Xoyon Gomez</v>
          </cell>
        </row>
        <row r="1103">
          <cell r="F1103">
            <v>314104</v>
          </cell>
          <cell r="G1103" t="str">
            <v>Oscar Emilio Gomez Orozco</v>
          </cell>
        </row>
        <row r="1104">
          <cell r="F1104">
            <v>314270</v>
          </cell>
          <cell r="G1104" t="str">
            <v>Oscar Enrique Garcia Gualip</v>
          </cell>
        </row>
        <row r="1105">
          <cell r="F1105">
            <v>315507</v>
          </cell>
          <cell r="G1105" t="str">
            <v>Oscar Estuardo Mancilla Najarro</v>
          </cell>
        </row>
        <row r="1106">
          <cell r="F1106">
            <v>314914</v>
          </cell>
          <cell r="G1106" t="str">
            <v>Oscar Geovany Patzan Patzan</v>
          </cell>
        </row>
        <row r="1107">
          <cell r="F1107">
            <v>308805</v>
          </cell>
          <cell r="G1107" t="str">
            <v>Oscar Israel Thiel Hidalgo</v>
          </cell>
        </row>
        <row r="1108">
          <cell r="F1108">
            <v>315115</v>
          </cell>
          <cell r="G1108" t="str">
            <v>Osman Amilcar Zarate Ixcoy</v>
          </cell>
        </row>
        <row r="1109">
          <cell r="F1109">
            <v>315497</v>
          </cell>
          <cell r="G1109" t="str">
            <v>Osman Ivan Boanerges Coc Coronado</v>
          </cell>
        </row>
        <row r="1110">
          <cell r="F1110">
            <v>310031</v>
          </cell>
          <cell r="G1110" t="str">
            <v>Osvin Daniel Gomez Gonzalez</v>
          </cell>
        </row>
        <row r="1111">
          <cell r="F1111">
            <v>307209</v>
          </cell>
          <cell r="G1111" t="str">
            <v>Oswaldo Marcelino Huix Gomez</v>
          </cell>
        </row>
        <row r="1112">
          <cell r="F1112">
            <v>309656</v>
          </cell>
          <cell r="G1112" t="str">
            <v>Otto Alejandro Barahona Lopez</v>
          </cell>
        </row>
        <row r="1113">
          <cell r="F1113">
            <v>312335</v>
          </cell>
          <cell r="G1113" t="str">
            <v>Otto Leonel Zavala Rodas</v>
          </cell>
        </row>
        <row r="1114">
          <cell r="F1114">
            <v>314894</v>
          </cell>
          <cell r="G1114" t="str">
            <v>Ottoniel Amilcar Gomez Rodriguez</v>
          </cell>
        </row>
        <row r="1115">
          <cell r="F1115">
            <v>315122</v>
          </cell>
          <cell r="G1115" t="str">
            <v>Ottoniel De Jesus Castellanos Ordoñez</v>
          </cell>
        </row>
        <row r="1116">
          <cell r="F1116">
            <v>315454</v>
          </cell>
          <cell r="G1116" t="str">
            <v>Pablo Jose Barillas Sobalvarro</v>
          </cell>
        </row>
        <row r="1117">
          <cell r="F1117">
            <v>314010</v>
          </cell>
          <cell r="G1117" t="str">
            <v>Pablo Raul Calimayor</v>
          </cell>
        </row>
        <row r="1118">
          <cell r="F1118">
            <v>313530</v>
          </cell>
          <cell r="G1118" t="str">
            <v>Paola Veronica Cardenas Toscano</v>
          </cell>
        </row>
        <row r="1119">
          <cell r="F1119">
            <v>314884</v>
          </cell>
          <cell r="G1119" t="str">
            <v>Paula Eliza Santos Corado</v>
          </cell>
        </row>
        <row r="1120">
          <cell r="F1120">
            <v>309035</v>
          </cell>
          <cell r="G1120" t="str">
            <v>Pedro Alexander Sazo Machac</v>
          </cell>
        </row>
        <row r="1121">
          <cell r="F1121">
            <v>308158</v>
          </cell>
          <cell r="G1121" t="str">
            <v>Pedro David Ixcoy Chiquin</v>
          </cell>
        </row>
        <row r="1122">
          <cell r="F1122">
            <v>314694</v>
          </cell>
          <cell r="G1122" t="str">
            <v>Pedro Karol Gomez Lopez</v>
          </cell>
        </row>
        <row r="1123">
          <cell r="F1123">
            <v>311221</v>
          </cell>
          <cell r="G1123" t="str">
            <v>Pedro Natanahel Caxaj Rodriguez</v>
          </cell>
        </row>
        <row r="1124">
          <cell r="F1124">
            <v>314951</v>
          </cell>
          <cell r="G1124" t="str">
            <v>Pedro Rene Ramirez Guzman</v>
          </cell>
        </row>
        <row r="1125">
          <cell r="F1125">
            <v>306911</v>
          </cell>
          <cell r="G1125" t="str">
            <v>Perla Michelle Giron Galdamez</v>
          </cell>
        </row>
        <row r="1126">
          <cell r="F1126">
            <v>303664</v>
          </cell>
          <cell r="G1126" t="str">
            <v>Priscila Merari Sosa Sanabria</v>
          </cell>
        </row>
        <row r="1127">
          <cell r="F1127">
            <v>314450</v>
          </cell>
          <cell r="G1127" t="str">
            <v>Rafael Anibal Sut Tucubal</v>
          </cell>
        </row>
        <row r="1128">
          <cell r="F1128">
            <v>315367</v>
          </cell>
          <cell r="G1128" t="str">
            <v>Raul Adrian Priego Castellanos</v>
          </cell>
        </row>
        <row r="1129">
          <cell r="F1129">
            <v>311720</v>
          </cell>
          <cell r="G1129" t="str">
            <v>Raul Estuardo Roquel Suyuc</v>
          </cell>
        </row>
        <row r="1130">
          <cell r="F1130">
            <v>313341</v>
          </cell>
          <cell r="G1130" t="str">
            <v>Raul Geovanny Garcia Fuentes</v>
          </cell>
        </row>
        <row r="1131">
          <cell r="F1131">
            <v>309191</v>
          </cell>
          <cell r="G1131" t="str">
            <v>Raul Matias Matias</v>
          </cell>
        </row>
        <row r="1132">
          <cell r="F1132">
            <v>315321</v>
          </cell>
          <cell r="G1132" t="str">
            <v>Reina Lorena Canán</v>
          </cell>
        </row>
        <row r="1133">
          <cell r="F1133">
            <v>312312</v>
          </cell>
          <cell r="G1133" t="str">
            <v>Remigio Alexander Gonzalez Suchite</v>
          </cell>
        </row>
        <row r="1134">
          <cell r="F1134">
            <v>306619</v>
          </cell>
          <cell r="G1134" t="str">
            <v>Reyna Angelica Ba Vega</v>
          </cell>
        </row>
        <row r="1135">
          <cell r="F1135">
            <v>315347</v>
          </cell>
          <cell r="G1135" t="str">
            <v>Reyna Floridalma Donis Marroquin</v>
          </cell>
        </row>
        <row r="1136">
          <cell r="F1136">
            <v>314960</v>
          </cell>
          <cell r="G1136" t="str">
            <v>Reyna Sebastiana Reyes Zurdo</v>
          </cell>
        </row>
        <row r="1137">
          <cell r="F1137">
            <v>315170</v>
          </cell>
          <cell r="G1137" t="str">
            <v>Ricardo Alexander Morales Moran</v>
          </cell>
        </row>
        <row r="1138">
          <cell r="F1138">
            <v>315179</v>
          </cell>
          <cell r="G1138" t="str">
            <v>Ricardo Alfonso Chan Lopez</v>
          </cell>
        </row>
        <row r="1139">
          <cell r="F1139">
            <v>311846</v>
          </cell>
          <cell r="G1139" t="str">
            <v>Ricardo Antonio Vasquez Meza</v>
          </cell>
        </row>
        <row r="1140">
          <cell r="F1140">
            <v>314666</v>
          </cell>
          <cell r="G1140" t="str">
            <v>Ricardo Esau Hernandez Baten</v>
          </cell>
        </row>
        <row r="1141">
          <cell r="F1141">
            <v>310610</v>
          </cell>
          <cell r="G1141" t="str">
            <v>Ricky Edson Lux Cassia</v>
          </cell>
        </row>
        <row r="1142">
          <cell r="F1142">
            <v>314813</v>
          </cell>
          <cell r="G1142" t="str">
            <v>Roberto Ardon Ramos</v>
          </cell>
        </row>
        <row r="1143">
          <cell r="F1143">
            <v>312901</v>
          </cell>
          <cell r="G1143" t="str">
            <v>Roberto Augusto Silva Hernandez</v>
          </cell>
        </row>
        <row r="1144">
          <cell r="F1144">
            <v>308852</v>
          </cell>
          <cell r="G1144" t="str">
            <v>Roberto Caal Sente</v>
          </cell>
        </row>
        <row r="1145">
          <cell r="F1145">
            <v>306098</v>
          </cell>
          <cell r="G1145" t="str">
            <v>Roderico Simeon Lopez Lopez</v>
          </cell>
        </row>
        <row r="1146">
          <cell r="F1146">
            <v>313517</v>
          </cell>
          <cell r="G1146" t="str">
            <v>Rogelio Waldemar Aldana Turcios</v>
          </cell>
        </row>
        <row r="1147">
          <cell r="F1147">
            <v>314945</v>
          </cell>
          <cell r="G1147" t="str">
            <v>Rolando Esau Solis Santos</v>
          </cell>
        </row>
        <row r="1148">
          <cell r="F1148">
            <v>313403</v>
          </cell>
          <cell r="G1148" t="str">
            <v>Rolman Eliseo Bautista Mazariegos</v>
          </cell>
        </row>
        <row r="1149">
          <cell r="F1149">
            <v>314776</v>
          </cell>
          <cell r="G1149" t="str">
            <v>Romario Humberto Perez Us</v>
          </cell>
        </row>
        <row r="1150">
          <cell r="F1150">
            <v>315539</v>
          </cell>
          <cell r="G1150" t="str">
            <v>Ronald Arturo Sanchez Mijangos</v>
          </cell>
        </row>
        <row r="1151">
          <cell r="F1151">
            <v>314096</v>
          </cell>
          <cell r="G1151" t="str">
            <v>Ronald Erickson Hernandez Bamac</v>
          </cell>
        </row>
        <row r="1152">
          <cell r="F1152">
            <v>307943</v>
          </cell>
          <cell r="G1152" t="str">
            <v>Ronald Guillermo Garcia</v>
          </cell>
        </row>
        <row r="1153">
          <cell r="F1153">
            <v>315118</v>
          </cell>
          <cell r="G1153" t="str">
            <v>Ronald Ottoniel Ramos Argueta</v>
          </cell>
        </row>
        <row r="1154">
          <cell r="F1154">
            <v>315165</v>
          </cell>
          <cell r="G1154" t="str">
            <v>Ronie Ernesto Gonzalez Alvarado</v>
          </cell>
        </row>
        <row r="1155">
          <cell r="F1155">
            <v>312877</v>
          </cell>
          <cell r="G1155" t="str">
            <v>Rony David Ruano Vasquez</v>
          </cell>
        </row>
        <row r="1156">
          <cell r="F1156">
            <v>310267</v>
          </cell>
          <cell r="G1156" t="str">
            <v>Rony Josue Giron Roca</v>
          </cell>
        </row>
        <row r="1157">
          <cell r="F1157">
            <v>314930</v>
          </cell>
          <cell r="G1157" t="str">
            <v>Rony Oswaldo Gonzalez Lemus</v>
          </cell>
        </row>
        <row r="1158">
          <cell r="F1158">
            <v>315305</v>
          </cell>
          <cell r="G1158" t="str">
            <v>Rosa Isabel Garcia Menchu De Itzep</v>
          </cell>
        </row>
        <row r="1159">
          <cell r="F1159">
            <v>305255</v>
          </cell>
          <cell r="G1159" t="str">
            <v>Rosa Maria Raxtun Estrada</v>
          </cell>
        </row>
        <row r="1160">
          <cell r="F1160">
            <v>313771</v>
          </cell>
          <cell r="G1160" t="str">
            <v>Rosa Maribel Par Gutierrez De Parada</v>
          </cell>
        </row>
        <row r="1161">
          <cell r="F1161">
            <v>315353</v>
          </cell>
          <cell r="G1161" t="str">
            <v>Rosa Mariela Muñoz Samayoa</v>
          </cell>
        </row>
        <row r="1162">
          <cell r="F1162">
            <v>301835</v>
          </cell>
          <cell r="G1162" t="str">
            <v>Rosa Melia Isales Reyes</v>
          </cell>
        </row>
        <row r="1163">
          <cell r="F1163">
            <v>315389</v>
          </cell>
          <cell r="G1163" t="str">
            <v>Rosa Yadira Salguero Ceballos</v>
          </cell>
        </row>
        <row r="1164">
          <cell r="F1164">
            <v>312729</v>
          </cell>
          <cell r="G1164" t="str">
            <v>Rosalbina Magdali Alvarado Ramirez</v>
          </cell>
        </row>
        <row r="1165">
          <cell r="F1165">
            <v>300594</v>
          </cell>
          <cell r="G1165" t="str">
            <v>Rosaura Grisleny Perez Rios</v>
          </cell>
        </row>
        <row r="1166">
          <cell r="F1166">
            <v>303901</v>
          </cell>
          <cell r="G1166" t="str">
            <v>Rosmery Ana Lee Cojom Rodriguez</v>
          </cell>
        </row>
        <row r="1167">
          <cell r="F1167">
            <v>312040</v>
          </cell>
          <cell r="G1167" t="str">
            <v>Rosmery Figueroa Ramirez</v>
          </cell>
        </row>
        <row r="1168">
          <cell r="F1168">
            <v>313606</v>
          </cell>
          <cell r="G1168" t="str">
            <v>Rossana Alejandra Rodas Salguero</v>
          </cell>
        </row>
        <row r="1169">
          <cell r="F1169">
            <v>310534</v>
          </cell>
          <cell r="G1169" t="str">
            <v>Rossel Jose Hernandez Oliva</v>
          </cell>
        </row>
        <row r="1170">
          <cell r="F1170">
            <v>315045</v>
          </cell>
          <cell r="G1170" t="str">
            <v>Roxana Leticia Avila Villatoro</v>
          </cell>
        </row>
        <row r="1171">
          <cell r="F1171">
            <v>314308</v>
          </cell>
          <cell r="G1171" t="str">
            <v>Ruben Dario Peñate Aquino</v>
          </cell>
        </row>
        <row r="1172">
          <cell r="F1172">
            <v>311511</v>
          </cell>
          <cell r="G1172" t="str">
            <v>Ruby Alejandra Merida Rivas</v>
          </cell>
        </row>
        <row r="1173">
          <cell r="F1173">
            <v>312888</v>
          </cell>
          <cell r="G1173" t="str">
            <v>Rudy Alexander Gramajo Reyes</v>
          </cell>
        </row>
        <row r="1174">
          <cell r="F1174">
            <v>314814</v>
          </cell>
          <cell r="G1174" t="str">
            <v>Rudy Fernando Lopez Ajcabal</v>
          </cell>
        </row>
        <row r="1175">
          <cell r="F1175">
            <v>311551</v>
          </cell>
          <cell r="G1175" t="str">
            <v>Ruth Betsabe Campos Vargas</v>
          </cell>
        </row>
        <row r="1176">
          <cell r="F1176">
            <v>312546</v>
          </cell>
          <cell r="G1176" t="str">
            <v>Ruth Hermelinda Cardona Blanco</v>
          </cell>
        </row>
        <row r="1177">
          <cell r="F1177">
            <v>313599</v>
          </cell>
          <cell r="G1177" t="str">
            <v>Ruth Noemi Solis Contreras</v>
          </cell>
        </row>
        <row r="1178">
          <cell r="F1178">
            <v>301658</v>
          </cell>
          <cell r="G1178" t="str">
            <v>Ruth Nohemi Contreras Hernandez</v>
          </cell>
        </row>
        <row r="1179">
          <cell r="F1179">
            <v>301786</v>
          </cell>
          <cell r="G1179" t="str">
            <v>Ruth Nohemi Perez Esteban</v>
          </cell>
        </row>
        <row r="1180">
          <cell r="F1180">
            <v>314606</v>
          </cell>
          <cell r="G1180" t="str">
            <v>Saida Yasmin Garcia Xot</v>
          </cell>
        </row>
        <row r="1181">
          <cell r="F1181">
            <v>312383</v>
          </cell>
          <cell r="G1181" t="str">
            <v>Samuel Everardo Garcia Lemus</v>
          </cell>
        </row>
        <row r="1182">
          <cell r="F1182">
            <v>313592</v>
          </cell>
          <cell r="G1182" t="str">
            <v>Samuel Nehemias Nuñez Michicoj</v>
          </cell>
        </row>
        <row r="1183">
          <cell r="F1183">
            <v>305099</v>
          </cell>
          <cell r="G1183" t="str">
            <v>Sandi Anavela Mejia Alvarado</v>
          </cell>
        </row>
        <row r="1184">
          <cell r="F1184">
            <v>312923</v>
          </cell>
          <cell r="G1184" t="str">
            <v>Sandra Esmeralda Martinez Baeza</v>
          </cell>
        </row>
        <row r="1185">
          <cell r="F1185">
            <v>314420</v>
          </cell>
          <cell r="G1185" t="str">
            <v>Sandra Jeaneth Ajcuc Garcia</v>
          </cell>
        </row>
        <row r="1186">
          <cell r="F1186">
            <v>301460</v>
          </cell>
          <cell r="G1186" t="str">
            <v>Sandra Judith Vasquez Fernandez</v>
          </cell>
        </row>
        <row r="1187">
          <cell r="F1187">
            <v>312012</v>
          </cell>
          <cell r="G1187" t="str">
            <v>Sandra Lucrecia Hernandez Aceituno</v>
          </cell>
        </row>
        <row r="1188">
          <cell r="F1188">
            <v>200872</v>
          </cell>
          <cell r="G1188" t="str">
            <v>Sandra Maritza Mus Chaman</v>
          </cell>
        </row>
        <row r="1189">
          <cell r="F1189">
            <v>314820</v>
          </cell>
          <cell r="G1189" t="str">
            <v>Sandra Mishell Amarilis Gutierrez Palma</v>
          </cell>
        </row>
        <row r="1190">
          <cell r="F1190">
            <v>313875</v>
          </cell>
          <cell r="G1190" t="str">
            <v>Sandra Patricia Mejia Raguex</v>
          </cell>
        </row>
        <row r="1191">
          <cell r="F1191">
            <v>311092</v>
          </cell>
          <cell r="G1191" t="str">
            <v>Sandra Patricia Ochoa Sanchez</v>
          </cell>
        </row>
        <row r="1192">
          <cell r="F1192">
            <v>306416</v>
          </cell>
          <cell r="G1192" t="str">
            <v>Sandy Claribel Barrientos Caal</v>
          </cell>
        </row>
        <row r="1193">
          <cell r="F1193">
            <v>315024</v>
          </cell>
          <cell r="G1193" t="str">
            <v>Sandy Jasmyn Gonzalez Catun</v>
          </cell>
        </row>
        <row r="1194">
          <cell r="F1194">
            <v>312908</v>
          </cell>
          <cell r="G1194" t="str">
            <v>Sandy Maria Flores</v>
          </cell>
        </row>
        <row r="1195">
          <cell r="F1195">
            <v>313078</v>
          </cell>
          <cell r="G1195" t="str">
            <v>Sandy Maribel Herrera Mazariegos</v>
          </cell>
        </row>
        <row r="1196">
          <cell r="F1196">
            <v>301438</v>
          </cell>
          <cell r="G1196" t="str">
            <v>Sandy Mariela Batres Orozco</v>
          </cell>
        </row>
        <row r="1197">
          <cell r="F1197">
            <v>313622</v>
          </cell>
          <cell r="G1197" t="str">
            <v>Sandy Nohemy Sontay Agueda</v>
          </cell>
        </row>
        <row r="1198">
          <cell r="F1198">
            <v>315408</v>
          </cell>
          <cell r="G1198" t="str">
            <v>Sandy Suset Morales Barrientos</v>
          </cell>
        </row>
        <row r="1199">
          <cell r="F1199">
            <v>307105</v>
          </cell>
          <cell r="G1199" t="str">
            <v>Santiago Isaias Barreno Rosales</v>
          </cell>
        </row>
        <row r="1200">
          <cell r="F1200">
            <v>315254</v>
          </cell>
          <cell r="G1200" t="str">
            <v>Santos Ismael Najera Culajay</v>
          </cell>
        </row>
        <row r="1201">
          <cell r="F1201">
            <v>313402</v>
          </cell>
          <cell r="G1201" t="str">
            <v>Santos Valentin Coroy Ruyan</v>
          </cell>
        </row>
        <row r="1202">
          <cell r="F1202">
            <v>312501</v>
          </cell>
          <cell r="G1202" t="str">
            <v>Sara Elizabeth Guzman Linares</v>
          </cell>
        </row>
        <row r="1203">
          <cell r="F1203">
            <v>313492</v>
          </cell>
          <cell r="G1203" t="str">
            <v>Sarvia Bitia Orellana Ortiz</v>
          </cell>
        </row>
        <row r="1204">
          <cell r="F1204">
            <v>309816</v>
          </cell>
          <cell r="G1204" t="str">
            <v>Sayra Elizabeth Reyes Zuñiga</v>
          </cell>
        </row>
        <row r="1205">
          <cell r="F1205">
            <v>314956</v>
          </cell>
          <cell r="G1205" t="str">
            <v>Sebastian Geovanny Calel Ixtuc</v>
          </cell>
        </row>
        <row r="1206">
          <cell r="F1206">
            <v>314855</v>
          </cell>
          <cell r="G1206" t="str">
            <v>Selvin Adan Garcia Portillo</v>
          </cell>
        </row>
        <row r="1207">
          <cell r="F1207">
            <v>312294</v>
          </cell>
          <cell r="G1207" t="str">
            <v>Selvin Geronimo Aguilar</v>
          </cell>
        </row>
        <row r="1208">
          <cell r="F1208">
            <v>302278</v>
          </cell>
          <cell r="G1208" t="str">
            <v>Selvin Manolo Montepeque Merida</v>
          </cell>
        </row>
        <row r="1209">
          <cell r="F1209">
            <v>314266</v>
          </cell>
          <cell r="G1209" t="str">
            <v>Selvin Rodolfo De La Cruz Contreras</v>
          </cell>
        </row>
        <row r="1210">
          <cell r="F1210">
            <v>301308</v>
          </cell>
          <cell r="G1210" t="str">
            <v>Selvyn Ivan Sierra Ramirez</v>
          </cell>
        </row>
        <row r="1211">
          <cell r="F1211">
            <v>312346</v>
          </cell>
          <cell r="G1211" t="str">
            <v>Sendy Vanessa Villagran Garcia</v>
          </cell>
        </row>
        <row r="1212">
          <cell r="F1212">
            <v>314559</v>
          </cell>
          <cell r="G1212" t="str">
            <v>Sergio Alejandro Aguilar Perez</v>
          </cell>
        </row>
        <row r="1213">
          <cell r="F1213">
            <v>101896</v>
          </cell>
          <cell r="G1213" t="str">
            <v>Sergio Estuardo Mejia Lopez</v>
          </cell>
        </row>
        <row r="1214">
          <cell r="F1214">
            <v>315294</v>
          </cell>
          <cell r="G1214" t="str">
            <v>Sergio Obdulio Chali Chocojay</v>
          </cell>
        </row>
        <row r="1215">
          <cell r="F1215">
            <v>314079</v>
          </cell>
          <cell r="G1215" t="str">
            <v>Sharon Klarivel Santis Najarro</v>
          </cell>
        </row>
        <row r="1216">
          <cell r="F1216">
            <v>311147</v>
          </cell>
          <cell r="G1216" t="str">
            <v>Shaury Jazmeny Garcia Arias</v>
          </cell>
        </row>
        <row r="1217">
          <cell r="F1217">
            <v>310599</v>
          </cell>
          <cell r="G1217" t="str">
            <v>Sheila Nineth Mendez Lopez</v>
          </cell>
        </row>
        <row r="1218">
          <cell r="F1218">
            <v>315541</v>
          </cell>
          <cell r="G1218" t="str">
            <v>Sheily Nahomy Oliva Morales</v>
          </cell>
        </row>
        <row r="1219">
          <cell r="F1219">
            <v>304805</v>
          </cell>
          <cell r="G1219" t="str">
            <v>Sheily Raquel Angel Arreaga</v>
          </cell>
        </row>
        <row r="1220">
          <cell r="F1220">
            <v>312357</v>
          </cell>
          <cell r="G1220" t="str">
            <v>Shirley Andrea Lopez Lopez</v>
          </cell>
        </row>
        <row r="1221">
          <cell r="F1221">
            <v>311646</v>
          </cell>
          <cell r="G1221" t="str">
            <v>Shirley Leticia Lissette Lopez Guzman</v>
          </cell>
        </row>
        <row r="1222">
          <cell r="F1222">
            <v>312096</v>
          </cell>
          <cell r="G1222" t="str">
            <v>Silvia Edelmira Garcia Donis</v>
          </cell>
        </row>
        <row r="1223">
          <cell r="F1223">
            <v>301371</v>
          </cell>
          <cell r="G1223" t="str">
            <v>Silvia Gabriela Gonzalez Siliezar</v>
          </cell>
        </row>
        <row r="1224">
          <cell r="F1224">
            <v>313328</v>
          </cell>
          <cell r="G1224" t="str">
            <v>Silvia Leticia Morales Perez</v>
          </cell>
        </row>
        <row r="1225">
          <cell r="F1225">
            <v>309948</v>
          </cell>
          <cell r="G1225" t="str">
            <v>Silvia Lucrecia Gonzalez Char</v>
          </cell>
        </row>
        <row r="1226">
          <cell r="F1226">
            <v>305230</v>
          </cell>
          <cell r="G1226" t="str">
            <v>Silvia Marleni Rac Yoc</v>
          </cell>
        </row>
        <row r="1227">
          <cell r="F1227">
            <v>305427</v>
          </cell>
          <cell r="G1227" t="str">
            <v>Silvia Noemi Calderon</v>
          </cell>
        </row>
        <row r="1228">
          <cell r="F1228">
            <v>306034</v>
          </cell>
          <cell r="G1228" t="str">
            <v>Silvia Patricia Gonzalez Hernandez</v>
          </cell>
        </row>
        <row r="1229">
          <cell r="F1229">
            <v>310105</v>
          </cell>
          <cell r="G1229" t="str">
            <v>Simeon Valentin Gomez Flores</v>
          </cell>
        </row>
        <row r="1230">
          <cell r="F1230">
            <v>313981</v>
          </cell>
          <cell r="G1230" t="str">
            <v>Sindy Beatriz Perez Sanchez</v>
          </cell>
        </row>
        <row r="1231">
          <cell r="F1231">
            <v>314976</v>
          </cell>
          <cell r="G1231" t="str">
            <v>Sindy Carolina Ramirez Pur</v>
          </cell>
        </row>
        <row r="1232">
          <cell r="F1232">
            <v>312881</v>
          </cell>
          <cell r="G1232" t="str">
            <v>Sindy Karina Ramirez Lopez</v>
          </cell>
        </row>
        <row r="1233">
          <cell r="F1233">
            <v>310066</v>
          </cell>
          <cell r="G1233" t="str">
            <v>Sindy Paola Vargas Calderon</v>
          </cell>
        </row>
        <row r="1234">
          <cell r="F1234">
            <v>315466</v>
          </cell>
          <cell r="G1234" t="str">
            <v>Siomara Victoria Valle Sac</v>
          </cell>
        </row>
        <row r="1235">
          <cell r="F1235">
            <v>313593</v>
          </cell>
          <cell r="G1235" t="str">
            <v>Slayker Andony Santiago Natareno</v>
          </cell>
        </row>
        <row r="1236">
          <cell r="F1236">
            <v>315439</v>
          </cell>
          <cell r="G1236" t="str">
            <v>Smaylin Sarita Villatoro Angel</v>
          </cell>
        </row>
        <row r="1237">
          <cell r="F1237">
            <v>310731</v>
          </cell>
          <cell r="G1237" t="str">
            <v>Sofia Etelvina Lopez Perez</v>
          </cell>
        </row>
        <row r="1238">
          <cell r="F1238">
            <v>314735</v>
          </cell>
          <cell r="G1238" t="str">
            <v>Sofia Ines Bermudez Avila</v>
          </cell>
        </row>
        <row r="1239">
          <cell r="F1239">
            <v>315340</v>
          </cell>
          <cell r="G1239" t="str">
            <v>Stefanny Manuela Azaneth Garcia Garcia</v>
          </cell>
        </row>
        <row r="1240">
          <cell r="F1240">
            <v>308054</v>
          </cell>
          <cell r="G1240" t="str">
            <v>Stephanie Abigail De Los Angeles Villalta</v>
          </cell>
        </row>
        <row r="1241">
          <cell r="F1241">
            <v>303382</v>
          </cell>
          <cell r="G1241" t="str">
            <v>Sucely Abigail Nerios Rodriguez</v>
          </cell>
        </row>
        <row r="1242">
          <cell r="F1242">
            <v>314787</v>
          </cell>
          <cell r="G1242" t="str">
            <v>Sucely Analy Arias Paredes</v>
          </cell>
        </row>
        <row r="1243">
          <cell r="F1243">
            <v>310671</v>
          </cell>
          <cell r="G1243" t="str">
            <v>Sucely Paola Godinez Gomez De Perez</v>
          </cell>
        </row>
        <row r="1244">
          <cell r="F1244">
            <v>315386</v>
          </cell>
          <cell r="G1244" t="str">
            <v>Sulibeth Estela Ortega Mendez</v>
          </cell>
        </row>
        <row r="1245">
          <cell r="F1245">
            <v>314347</v>
          </cell>
          <cell r="G1245" t="str">
            <v>Suri Mireidy Perez Estrada</v>
          </cell>
        </row>
        <row r="1246">
          <cell r="F1246">
            <v>313630</v>
          </cell>
          <cell r="G1246" t="str">
            <v>Susan Andrea Perez Lima</v>
          </cell>
        </row>
        <row r="1247">
          <cell r="F1247">
            <v>313395</v>
          </cell>
          <cell r="G1247" t="str">
            <v>Susan Maria Jose Rodas Carranza</v>
          </cell>
        </row>
        <row r="1248">
          <cell r="F1248">
            <v>309883</v>
          </cell>
          <cell r="G1248" t="str">
            <v>Susana Alvarado Gonzalez</v>
          </cell>
        </row>
        <row r="1249">
          <cell r="F1249">
            <v>307664</v>
          </cell>
          <cell r="G1249" t="str">
            <v>Susana Jeanneth Lemus Pineda</v>
          </cell>
        </row>
        <row r="1250">
          <cell r="F1250">
            <v>315313</v>
          </cell>
          <cell r="G1250" t="str">
            <v>Tayme Gabriela Uzu Ramirez</v>
          </cell>
        </row>
        <row r="1251">
          <cell r="F1251">
            <v>314575</v>
          </cell>
          <cell r="G1251" t="str">
            <v>Telma Esperanza Santos Orantes</v>
          </cell>
        </row>
        <row r="1252">
          <cell r="F1252">
            <v>302658</v>
          </cell>
          <cell r="G1252" t="str">
            <v>Telma Sucely Solis Merida</v>
          </cell>
        </row>
        <row r="1253">
          <cell r="F1253">
            <v>315048</v>
          </cell>
          <cell r="G1253" t="str">
            <v>Thania Lucia Romero Garcia</v>
          </cell>
        </row>
        <row r="1254">
          <cell r="F1254">
            <v>302332</v>
          </cell>
          <cell r="G1254" t="str">
            <v>Thelma Patricia Mena Melchor</v>
          </cell>
        </row>
        <row r="1255">
          <cell r="F1255">
            <v>314108</v>
          </cell>
          <cell r="G1255" t="str">
            <v>Thelma Yolanda De Candelaria Garcia Sanchez</v>
          </cell>
        </row>
        <row r="1256">
          <cell r="F1256">
            <v>315049</v>
          </cell>
          <cell r="G1256" t="str">
            <v>Tomas Amador Manuel Martin</v>
          </cell>
        </row>
        <row r="1257">
          <cell r="F1257">
            <v>315373</v>
          </cell>
          <cell r="G1257" t="str">
            <v>Tomas Xiloj Mejia</v>
          </cell>
        </row>
        <row r="1258">
          <cell r="F1258">
            <v>311866</v>
          </cell>
          <cell r="G1258" t="str">
            <v>Treisy Lisbeth Orozco Orozco</v>
          </cell>
        </row>
        <row r="1259">
          <cell r="F1259">
            <v>310220</v>
          </cell>
          <cell r="G1259" t="str">
            <v>Urias Samuel Velasquez Ardeano</v>
          </cell>
        </row>
        <row r="1260">
          <cell r="F1260">
            <v>305903</v>
          </cell>
          <cell r="G1260" t="str">
            <v>Valeska Paola Rivas Gomez</v>
          </cell>
        </row>
        <row r="1261">
          <cell r="F1261">
            <v>314544</v>
          </cell>
          <cell r="G1261" t="str">
            <v>Velvet Sofia Estrada Ruiz</v>
          </cell>
        </row>
        <row r="1262">
          <cell r="F1262">
            <v>314405</v>
          </cell>
          <cell r="G1262" t="str">
            <v>Veronica Alejandra Barahona Santa Cruz</v>
          </cell>
        </row>
        <row r="1263">
          <cell r="F1263">
            <v>311048</v>
          </cell>
          <cell r="G1263" t="str">
            <v>Veronica Dalila Barrios Hernandez</v>
          </cell>
        </row>
        <row r="1264">
          <cell r="F1264">
            <v>311005</v>
          </cell>
          <cell r="G1264" t="str">
            <v>Veronica Sierra Xo</v>
          </cell>
        </row>
        <row r="1265">
          <cell r="F1265">
            <v>304024</v>
          </cell>
          <cell r="G1265" t="str">
            <v>Vicky Roxana Lopez Hernandez</v>
          </cell>
        </row>
        <row r="1266">
          <cell r="F1266">
            <v>300999</v>
          </cell>
          <cell r="G1266" t="str">
            <v>Victor Adolfo Barrios Monzon</v>
          </cell>
        </row>
        <row r="1267">
          <cell r="F1267">
            <v>309689</v>
          </cell>
          <cell r="G1267" t="str">
            <v>Victor Demecio Leon Villeda</v>
          </cell>
        </row>
        <row r="1268">
          <cell r="F1268">
            <v>311258</v>
          </cell>
          <cell r="G1268" t="str">
            <v>Victor Otoniel Sebastian Cardona</v>
          </cell>
        </row>
        <row r="1269">
          <cell r="F1269">
            <v>314367</v>
          </cell>
          <cell r="G1269" t="str">
            <v>Victoria Maria Llamas Perez</v>
          </cell>
        </row>
        <row r="1270">
          <cell r="F1270">
            <v>315399</v>
          </cell>
          <cell r="G1270" t="str">
            <v>Vilma Rossibel Mendez Vasquez</v>
          </cell>
        </row>
        <row r="1271">
          <cell r="F1271">
            <v>312875</v>
          </cell>
          <cell r="G1271" t="str">
            <v>Virginia Nohemi Perez Ajtum</v>
          </cell>
        </row>
        <row r="1272">
          <cell r="F1272">
            <v>313671</v>
          </cell>
          <cell r="G1272" t="str">
            <v>Virginia Yesenia Merida Lopez De Lopez</v>
          </cell>
        </row>
        <row r="1273">
          <cell r="F1273">
            <v>315529</v>
          </cell>
          <cell r="G1273" t="str">
            <v>Vivian Alejandra Ramirez Samayoa</v>
          </cell>
        </row>
        <row r="1274">
          <cell r="F1274">
            <v>310009</v>
          </cell>
          <cell r="G1274" t="str">
            <v>Vivian Celeste De Leon Rian</v>
          </cell>
        </row>
        <row r="1275">
          <cell r="F1275">
            <v>308693</v>
          </cell>
          <cell r="G1275" t="str">
            <v>Vivian Dinora Fuentes Carrillo</v>
          </cell>
        </row>
        <row r="1276">
          <cell r="F1276">
            <v>300347</v>
          </cell>
          <cell r="G1276" t="str">
            <v>Vivian Roxana Piedrasanta Rodriguez</v>
          </cell>
        </row>
        <row r="1277">
          <cell r="F1277">
            <v>306597</v>
          </cell>
          <cell r="G1277" t="str">
            <v>Vivian Samara Sanchez Lopez</v>
          </cell>
        </row>
        <row r="1278">
          <cell r="F1278">
            <v>312772</v>
          </cell>
          <cell r="G1278" t="str">
            <v>Viviana Isabet Machic Tiño</v>
          </cell>
        </row>
        <row r="1279">
          <cell r="F1279">
            <v>314636</v>
          </cell>
          <cell r="G1279" t="str">
            <v>Walkiria Anais Herrera Castillo</v>
          </cell>
        </row>
        <row r="1280">
          <cell r="F1280">
            <v>301033</v>
          </cell>
          <cell r="G1280" t="str">
            <v>Walter Daniel Perea Flores</v>
          </cell>
        </row>
        <row r="1281">
          <cell r="F1281">
            <v>305935</v>
          </cell>
          <cell r="G1281" t="str">
            <v>Walter David De Leon Gomez</v>
          </cell>
        </row>
        <row r="1282">
          <cell r="F1282">
            <v>315324</v>
          </cell>
          <cell r="G1282" t="str">
            <v>Walter Estuardo Guerra López</v>
          </cell>
        </row>
        <row r="1283">
          <cell r="F1283">
            <v>310994</v>
          </cell>
          <cell r="G1283" t="str">
            <v>Walter Geovany Hernandez Hernandez</v>
          </cell>
        </row>
        <row r="1284">
          <cell r="F1284">
            <v>315577</v>
          </cell>
          <cell r="G1284" t="str">
            <v>Walter Yovany Sequec Lopic</v>
          </cell>
        </row>
        <row r="1285">
          <cell r="F1285">
            <v>312305</v>
          </cell>
          <cell r="G1285" t="str">
            <v>Wanda Marisol Cabrera Lemus</v>
          </cell>
        </row>
        <row r="1286">
          <cell r="F1286">
            <v>313388</v>
          </cell>
          <cell r="G1286" t="str">
            <v>Wander Andres Grijlava Porras</v>
          </cell>
        </row>
        <row r="1287">
          <cell r="F1287">
            <v>312738</v>
          </cell>
          <cell r="G1287" t="str">
            <v>Wendoly Beatriz Morales Cornel</v>
          </cell>
        </row>
        <row r="1288">
          <cell r="F1288">
            <v>304802</v>
          </cell>
          <cell r="G1288" t="str">
            <v>Wendy Alejandra Cuyan Alvarez</v>
          </cell>
        </row>
        <row r="1289">
          <cell r="F1289">
            <v>315438</v>
          </cell>
          <cell r="G1289" t="str">
            <v>Wendy Alejandra Monzon Lopez</v>
          </cell>
        </row>
        <row r="1290">
          <cell r="F1290">
            <v>309177</v>
          </cell>
          <cell r="G1290" t="str">
            <v>Wendy Carolina Lopez Alvizuriz</v>
          </cell>
        </row>
        <row r="1291">
          <cell r="F1291">
            <v>315364</v>
          </cell>
          <cell r="G1291" t="str">
            <v>Wendy Corina Najera Vasquez</v>
          </cell>
        </row>
        <row r="1292">
          <cell r="F1292">
            <v>308431</v>
          </cell>
          <cell r="G1292" t="str">
            <v>Wendy Jessenia Arredondo Lopez</v>
          </cell>
        </row>
        <row r="1293">
          <cell r="F1293">
            <v>315096</v>
          </cell>
          <cell r="G1293" t="str">
            <v>Wendy Mariela Diaz Hernandez</v>
          </cell>
        </row>
        <row r="1294">
          <cell r="F1294">
            <v>314551</v>
          </cell>
          <cell r="G1294" t="str">
            <v>Wendy Nineth Perez Roque</v>
          </cell>
        </row>
        <row r="1295">
          <cell r="F1295">
            <v>312886</v>
          </cell>
          <cell r="G1295" t="str">
            <v>Wendy Paola Baquiax Cu</v>
          </cell>
        </row>
        <row r="1296">
          <cell r="F1296">
            <v>306851</v>
          </cell>
          <cell r="G1296" t="str">
            <v>Wendy Paola De Paz Prado</v>
          </cell>
        </row>
        <row r="1297">
          <cell r="F1297">
            <v>313707</v>
          </cell>
          <cell r="G1297" t="str">
            <v>Wendy Paola Rodriguez Gonzalez</v>
          </cell>
        </row>
        <row r="1298">
          <cell r="F1298">
            <v>314055</v>
          </cell>
          <cell r="G1298" t="str">
            <v>Wendy Patricia Lopez Gonzalez</v>
          </cell>
        </row>
        <row r="1299">
          <cell r="F1299">
            <v>310388</v>
          </cell>
          <cell r="G1299" t="str">
            <v>Wendy Susana Chinchilla Cotill</v>
          </cell>
        </row>
        <row r="1300">
          <cell r="F1300">
            <v>315106</v>
          </cell>
          <cell r="G1300" t="str">
            <v>Wendy Victoria Rodriguez Chacon</v>
          </cell>
        </row>
        <row r="1301">
          <cell r="F1301">
            <v>314063</v>
          </cell>
          <cell r="G1301" t="str">
            <v>Wensler David Obando Polanco</v>
          </cell>
        </row>
        <row r="1302">
          <cell r="F1302">
            <v>308069</v>
          </cell>
          <cell r="G1302" t="str">
            <v>Wilda Yohandra Atz Cruz</v>
          </cell>
        </row>
        <row r="1303">
          <cell r="F1303">
            <v>313300</v>
          </cell>
          <cell r="G1303" t="str">
            <v>Wilfido Abraham Cardona Garcia</v>
          </cell>
        </row>
        <row r="1304">
          <cell r="F1304">
            <v>309284</v>
          </cell>
          <cell r="G1304" t="str">
            <v>Wilian Aroldo Lucero Cardona</v>
          </cell>
        </row>
        <row r="1305">
          <cell r="F1305">
            <v>314821</v>
          </cell>
          <cell r="G1305" t="str">
            <v>William Alexander Tobias Gomez</v>
          </cell>
        </row>
        <row r="1306">
          <cell r="F1306">
            <v>314881</v>
          </cell>
          <cell r="G1306" t="str">
            <v>William Eduardo Velasquez Castillo</v>
          </cell>
        </row>
        <row r="1307">
          <cell r="F1307">
            <v>313027</v>
          </cell>
          <cell r="G1307" t="str">
            <v>William Rodolfo Yool Tucux</v>
          </cell>
        </row>
        <row r="1308">
          <cell r="F1308">
            <v>314221</v>
          </cell>
          <cell r="G1308" t="str">
            <v>Willian Baldemar Castillo Ramirez</v>
          </cell>
        </row>
        <row r="1309">
          <cell r="F1309">
            <v>314947</v>
          </cell>
          <cell r="G1309" t="str">
            <v>Wilmer Arnoldo Diaz Martinez</v>
          </cell>
        </row>
        <row r="1310">
          <cell r="F1310">
            <v>306656</v>
          </cell>
          <cell r="G1310" t="str">
            <v>Wilmer Benjamin Vasquez Puac</v>
          </cell>
        </row>
        <row r="1311">
          <cell r="F1311">
            <v>314391</v>
          </cell>
          <cell r="G1311" t="str">
            <v>Wilmer Esteban Lopez Hernandez</v>
          </cell>
        </row>
        <row r="1312">
          <cell r="F1312">
            <v>308506</v>
          </cell>
          <cell r="G1312" t="str">
            <v>Wilmer Estuardo Salama Golon</v>
          </cell>
        </row>
        <row r="1313">
          <cell r="F1313">
            <v>308686</v>
          </cell>
          <cell r="G1313" t="str">
            <v>Wilson Arnoldo Lopez Revolorio</v>
          </cell>
        </row>
        <row r="1314">
          <cell r="F1314">
            <v>312770</v>
          </cell>
          <cell r="G1314" t="str">
            <v>Wilson Manuel Zuñiga Perez</v>
          </cell>
        </row>
        <row r="1315">
          <cell r="F1315">
            <v>300978</v>
          </cell>
          <cell r="G1315" t="str">
            <v>Wuangler Geovane Cal Sucup</v>
          </cell>
        </row>
        <row r="1316">
          <cell r="F1316">
            <v>305989</v>
          </cell>
          <cell r="G1316" t="str">
            <v>Wuilson Ottoniel Hernandez Alonzo</v>
          </cell>
        </row>
        <row r="1317">
          <cell r="F1317">
            <v>314819</v>
          </cell>
          <cell r="G1317" t="str">
            <v>Xiomara Karina Rendon Peinado</v>
          </cell>
        </row>
        <row r="1318">
          <cell r="F1318">
            <v>306493</v>
          </cell>
          <cell r="G1318" t="str">
            <v>Yackelin Maribel Zamora Medina</v>
          </cell>
        </row>
        <row r="1319">
          <cell r="F1319">
            <v>309963</v>
          </cell>
          <cell r="G1319" t="str">
            <v>Yajaira Emiliana Reyes Zapet</v>
          </cell>
        </row>
        <row r="1320">
          <cell r="F1320">
            <v>312248</v>
          </cell>
          <cell r="G1320" t="str">
            <v>Yakelin Consuelo Zapeta Perez</v>
          </cell>
        </row>
        <row r="1321">
          <cell r="F1321">
            <v>310159</v>
          </cell>
          <cell r="G1321" t="str">
            <v>Yaquelin Dinora Xicara Mejia</v>
          </cell>
        </row>
        <row r="1322">
          <cell r="F1322">
            <v>309920</v>
          </cell>
          <cell r="G1322" t="str">
            <v>Yaquelin Karina Virula Patzan</v>
          </cell>
        </row>
        <row r="1323">
          <cell r="F1323">
            <v>312505</v>
          </cell>
          <cell r="G1323" t="str">
            <v>Yaquelin Yessenia Sapon Gonzalez</v>
          </cell>
        </row>
        <row r="1324">
          <cell r="F1324">
            <v>309463</v>
          </cell>
          <cell r="G1324" t="str">
            <v>Yasmin Paola Sicay Marroquin</v>
          </cell>
        </row>
        <row r="1325">
          <cell r="F1325">
            <v>313857</v>
          </cell>
          <cell r="G1325" t="str">
            <v>Yefersson Zabala Aviles</v>
          </cell>
        </row>
        <row r="1326">
          <cell r="F1326">
            <v>313628</v>
          </cell>
          <cell r="G1326" t="str">
            <v>Yefry Jesus Soto</v>
          </cell>
        </row>
        <row r="1327">
          <cell r="F1327">
            <v>310318</v>
          </cell>
          <cell r="G1327" t="str">
            <v>Yeimi Yareli Moscoso Guzman</v>
          </cell>
        </row>
        <row r="1328">
          <cell r="F1328">
            <v>313558</v>
          </cell>
          <cell r="G1328" t="str">
            <v>Yener Catarino Chilel Velasquez</v>
          </cell>
        </row>
        <row r="1329">
          <cell r="F1329">
            <v>303083</v>
          </cell>
          <cell r="G1329" t="str">
            <v>Yeni Elizabeth Carrillo Barrios</v>
          </cell>
        </row>
        <row r="1330">
          <cell r="F1330">
            <v>313221</v>
          </cell>
          <cell r="G1330" t="str">
            <v>Yeni Jannet Morales Sintud</v>
          </cell>
        </row>
        <row r="1331">
          <cell r="F1331">
            <v>315374</v>
          </cell>
          <cell r="G1331" t="str">
            <v>Yeni Sabrina Ordonez Gonzalez De Chicas</v>
          </cell>
        </row>
        <row r="1332">
          <cell r="F1332">
            <v>314613</v>
          </cell>
          <cell r="G1332" t="str">
            <v>Yenifer Alicia Yessenia Tzib Lemus</v>
          </cell>
        </row>
        <row r="1333">
          <cell r="F1333">
            <v>308434</v>
          </cell>
          <cell r="G1333" t="str">
            <v>Yenifer Antonieta Borja Aragon</v>
          </cell>
        </row>
        <row r="1334">
          <cell r="F1334">
            <v>313725</v>
          </cell>
          <cell r="G1334" t="str">
            <v>Yenner Antonio Perez Castro</v>
          </cell>
        </row>
        <row r="1335">
          <cell r="F1335">
            <v>314562</v>
          </cell>
          <cell r="G1335" t="str">
            <v>Yesenia Noemi Gutierrez Argueta</v>
          </cell>
        </row>
        <row r="1336">
          <cell r="F1336">
            <v>311581</v>
          </cell>
          <cell r="G1336" t="str">
            <v>Yesi Lisbet Fuentes Velarde</v>
          </cell>
        </row>
        <row r="1337">
          <cell r="F1337">
            <v>312579</v>
          </cell>
          <cell r="G1337" t="str">
            <v>Yesica Elizabet Marroquin Vielman</v>
          </cell>
        </row>
        <row r="1338">
          <cell r="F1338">
            <v>315433</v>
          </cell>
          <cell r="G1338" t="str">
            <v>Yessica Paola Perez Poma</v>
          </cell>
        </row>
        <row r="1339">
          <cell r="F1339">
            <v>311486</v>
          </cell>
          <cell r="G1339" t="str">
            <v>Yolisma Yaneth Vasquez Najera</v>
          </cell>
        </row>
        <row r="1340">
          <cell r="F1340">
            <v>315060</v>
          </cell>
          <cell r="G1340" t="str">
            <v>Yonatan Alexander Perez Scott</v>
          </cell>
        </row>
        <row r="1341">
          <cell r="F1341">
            <v>312632</v>
          </cell>
          <cell r="G1341" t="str">
            <v>Yonatan Nazareth Zapeta Gomez</v>
          </cell>
        </row>
        <row r="1342">
          <cell r="F1342">
            <v>312988</v>
          </cell>
          <cell r="G1342" t="str">
            <v>Yonathan Neftali Moran Velasquez</v>
          </cell>
        </row>
        <row r="1343">
          <cell r="F1343">
            <v>305872</v>
          </cell>
          <cell r="G1343" t="str">
            <v>Yoni Adan Gutierrez Veliz</v>
          </cell>
        </row>
        <row r="1344">
          <cell r="F1344">
            <v>312087</v>
          </cell>
          <cell r="G1344" t="str">
            <v>Yoni Yosuen Rodriguez Sosa</v>
          </cell>
        </row>
        <row r="1345">
          <cell r="F1345">
            <v>312317</v>
          </cell>
          <cell r="G1345" t="str">
            <v>Yoselin Alejandra Barrios Reyes</v>
          </cell>
        </row>
        <row r="1346">
          <cell r="F1346">
            <v>313057</v>
          </cell>
          <cell r="G1346" t="str">
            <v>Yoselin Alejandra Moran Burgos</v>
          </cell>
        </row>
        <row r="1347">
          <cell r="F1347">
            <v>314700</v>
          </cell>
          <cell r="G1347" t="str">
            <v>Yoselin Andrea Cipriano Garcia</v>
          </cell>
        </row>
        <row r="1348">
          <cell r="F1348">
            <v>314280</v>
          </cell>
          <cell r="G1348" t="str">
            <v>Yoselin Ninet Lopez Quibaja</v>
          </cell>
        </row>
        <row r="1349">
          <cell r="F1349">
            <v>314388</v>
          </cell>
          <cell r="G1349" t="str">
            <v>Yubithza Azucena Gamez Agustin De Cordova</v>
          </cell>
        </row>
        <row r="1350">
          <cell r="F1350">
            <v>310717</v>
          </cell>
          <cell r="G1350" t="str">
            <v>Yuliana Elizabeth Hernandez Lopez</v>
          </cell>
        </row>
        <row r="1351">
          <cell r="F1351">
            <v>314472</v>
          </cell>
          <cell r="G1351" t="str">
            <v>Yuri Madali Cabrera Garcia</v>
          </cell>
        </row>
        <row r="1352">
          <cell r="F1352">
            <v>310871</v>
          </cell>
          <cell r="G1352" t="str">
            <v>Yuri Vanessa Bac Caal</v>
          </cell>
        </row>
        <row r="1353">
          <cell r="F1353">
            <v>302802</v>
          </cell>
          <cell r="G1353" t="str">
            <v>Yuri Yesenia Beza Ramirez</v>
          </cell>
        </row>
        <row r="1354">
          <cell r="F1354">
            <v>310778</v>
          </cell>
          <cell r="G1354" t="str">
            <v>Zacarias Rigoberto Cuc Tiul</v>
          </cell>
        </row>
        <row r="1355">
          <cell r="F1355">
            <v>309651</v>
          </cell>
          <cell r="G1355" t="str">
            <v>Zaira Eloiza Orantes Ramirez</v>
          </cell>
        </row>
        <row r="1356">
          <cell r="F1356">
            <v>315308</v>
          </cell>
          <cell r="G1356" t="str">
            <v>Zalma Esmeralda Flores Tojin</v>
          </cell>
        </row>
        <row r="1357">
          <cell r="F1357">
            <v>306856</v>
          </cell>
          <cell r="G1357" t="str">
            <v>Zoraida Marisol Martinez Perez</v>
          </cell>
        </row>
        <row r="1358">
          <cell r="F1358">
            <v>313411</v>
          </cell>
          <cell r="G1358" t="str">
            <v>Zulema Noemy Aristondo Lopez</v>
          </cell>
        </row>
        <row r="1359">
          <cell r="F1359">
            <v>312665</v>
          </cell>
          <cell r="G1359" t="str">
            <v>Zulma Damaris Menchu Mendez</v>
          </cell>
        </row>
        <row r="1360">
          <cell r="F1360">
            <v>314042</v>
          </cell>
          <cell r="G1360" t="str">
            <v>Zulmy Paola Mateo Salazar</v>
          </cell>
        </row>
        <row r="1361">
          <cell r="F1361">
            <v>313161</v>
          </cell>
          <cell r="G1361" t="str">
            <v>Zuly Beatriz De Jesus Lopez Martinez</v>
          </cell>
        </row>
        <row r="1362">
          <cell r="F1362">
            <v>314783</v>
          </cell>
          <cell r="G1362" t="str">
            <v>Jency Noeli Estrada Paredes</v>
          </cell>
        </row>
        <row r="1363">
          <cell r="F1363">
            <v>311880</v>
          </cell>
          <cell r="G1363" t="str">
            <v>Patricia Alejandra Ramos Velasquez</v>
          </cell>
        </row>
        <row r="1364">
          <cell r="F1364">
            <v>313031</v>
          </cell>
          <cell r="G1364" t="str">
            <v>Lesly Sucely Ramirez Maxin</v>
          </cell>
        </row>
        <row r="1365">
          <cell r="F1365">
            <v>313155</v>
          </cell>
          <cell r="G1365" t="str">
            <v>Aylin Jiceli Romero Cruz</v>
          </cell>
        </row>
        <row r="1366">
          <cell r="F1366">
            <v>314858</v>
          </cell>
          <cell r="G1366" t="str">
            <v>Henry De Jesus Mujo Garcia</v>
          </cell>
        </row>
        <row r="1367">
          <cell r="F1367">
            <v>315188</v>
          </cell>
          <cell r="G1367" t="str">
            <v>Zoila Edmunda Pirir Tezen</v>
          </cell>
        </row>
        <row r="1368">
          <cell r="F1368">
            <v>314690</v>
          </cell>
          <cell r="G1368" t="str">
            <v>Scarlet Iveth Rosales Rivera</v>
          </cell>
        </row>
        <row r="1369">
          <cell r="F1369">
            <v>309417</v>
          </cell>
          <cell r="G1369" t="str">
            <v>Lisbeth Sarai Gutierrez Oscal</v>
          </cell>
        </row>
        <row r="1370">
          <cell r="F1370">
            <v>314284</v>
          </cell>
          <cell r="G1370" t="str">
            <v>William Alexander Gonzalez Mendoza</v>
          </cell>
        </row>
        <row r="1371">
          <cell r="F1371">
            <v>312424</v>
          </cell>
          <cell r="G1371" t="str">
            <v>Andrea Fernanda Martin Flores</v>
          </cell>
        </row>
        <row r="1372">
          <cell r="F1372">
            <v>313081</v>
          </cell>
          <cell r="G1372" t="str">
            <v>Alba Mariana Higueros Micheo</v>
          </cell>
        </row>
        <row r="1373">
          <cell r="F1373">
            <v>315184</v>
          </cell>
          <cell r="G1373" t="str">
            <v>Leysly Rubi Panchoy Rivera</v>
          </cell>
        </row>
        <row r="1374">
          <cell r="F1374">
            <v>315248</v>
          </cell>
          <cell r="G1374" t="str">
            <v>Claudia Marissa Chuquiej Granados</v>
          </cell>
        </row>
        <row r="1375">
          <cell r="F1375">
            <v>314982</v>
          </cell>
          <cell r="G1375" t="str">
            <v>Alvin David Cush Roman</v>
          </cell>
        </row>
        <row r="1376">
          <cell r="F1376">
            <v>312859</v>
          </cell>
          <cell r="G1376" t="str">
            <v>Wilson Eli Pineda Argueta</v>
          </cell>
        </row>
        <row r="1377">
          <cell r="F1377">
            <v>315040</v>
          </cell>
          <cell r="G1377" t="str">
            <v>Renny Camilo Ixcopal Ramirez</v>
          </cell>
        </row>
        <row r="1378">
          <cell r="F1378">
            <v>315061</v>
          </cell>
          <cell r="G1378" t="str">
            <v>Durvin Dayanara Mejicanos Ramos</v>
          </cell>
        </row>
        <row r="1379">
          <cell r="F1379">
            <v>314923</v>
          </cell>
          <cell r="G1379" t="str">
            <v>Sergio Alexander Urizar Godínez</v>
          </cell>
        </row>
        <row r="1380">
          <cell r="F1380">
            <v>314511</v>
          </cell>
          <cell r="G1380" t="str">
            <v>Dulce Maria Fajardo Ramos</v>
          </cell>
        </row>
        <row r="1381">
          <cell r="F1381">
            <v>315316</v>
          </cell>
          <cell r="G1381" t="str">
            <v>Axel Alexander Lemus Ovando</v>
          </cell>
        </row>
        <row r="1382">
          <cell r="F1382">
            <v>314538</v>
          </cell>
          <cell r="G1382" t="str">
            <v>Cristofer Melgar Ortega</v>
          </cell>
        </row>
        <row r="1383">
          <cell r="F1383">
            <v>315046</v>
          </cell>
          <cell r="G1383" t="str">
            <v>Maria Damaris Noemi Asig Cu</v>
          </cell>
        </row>
        <row r="1384">
          <cell r="F1384">
            <v>314652</v>
          </cell>
          <cell r="G1384" t="str">
            <v>Leyvi Diana Morales Garrido</v>
          </cell>
        </row>
        <row r="1385">
          <cell r="F1385">
            <v>314440</v>
          </cell>
          <cell r="G1385" t="str">
            <v>Luis Alexsander Barco Ramirez</v>
          </cell>
        </row>
        <row r="1386">
          <cell r="F1386">
            <v>315249</v>
          </cell>
          <cell r="G1386" t="str">
            <v>Estuardo Rocael Chivalan Caal</v>
          </cell>
        </row>
        <row r="1387">
          <cell r="F1387">
            <v>315301</v>
          </cell>
          <cell r="G1387" t="str">
            <v>Carlos Edmundo Hernandez Miranda</v>
          </cell>
        </row>
        <row r="1388">
          <cell r="F1388">
            <v>313008</v>
          </cell>
          <cell r="G1388" t="str">
            <v>Jose Guillermo Ixen Queche</v>
          </cell>
        </row>
        <row r="1389">
          <cell r="F1389">
            <v>309110</v>
          </cell>
          <cell r="G1389" t="str">
            <v>Josselyn Fabiola Xunic Taquiej</v>
          </cell>
        </row>
        <row r="1390">
          <cell r="F1390">
            <v>312944</v>
          </cell>
          <cell r="G1390" t="str">
            <v>Lesly Araceli Mendez Gonzalez</v>
          </cell>
        </row>
        <row r="1391">
          <cell r="F1391">
            <v>314043</v>
          </cell>
          <cell r="G1391" t="str">
            <v>Luis Miguel Camaja Recinos</v>
          </cell>
        </row>
        <row r="1392">
          <cell r="F1392">
            <v>308753</v>
          </cell>
          <cell r="G1392" t="str">
            <v>Wilson Estuardo Vicente Tzun</v>
          </cell>
        </row>
        <row r="1393">
          <cell r="F1393">
            <v>312219</v>
          </cell>
          <cell r="G1393" t="str">
            <v>Yenifer Magali Arana Tezen</v>
          </cell>
        </row>
        <row r="1394">
          <cell r="F1394">
            <v>314664</v>
          </cell>
          <cell r="G1394" t="str">
            <v>Favio Juan Manuel Citalan Gomez</v>
          </cell>
        </row>
        <row r="1395">
          <cell r="F1395">
            <v>315314</v>
          </cell>
          <cell r="G1395" t="str">
            <v>Katherine Maria Pereira Estacuy</v>
          </cell>
        </row>
        <row r="1396">
          <cell r="F1396">
            <v>309750</v>
          </cell>
          <cell r="G1396" t="str">
            <v>Maria Teresa Hom Guit</v>
          </cell>
        </row>
        <row r="1397">
          <cell r="F1397">
            <v>307867</v>
          </cell>
          <cell r="G1397" t="str">
            <v>Alex Jose Bamaca Baltazar</v>
          </cell>
        </row>
        <row r="1398">
          <cell r="F1398">
            <v>313410</v>
          </cell>
          <cell r="G1398" t="str">
            <v>Esmeralda Claribel Velasquez Hernandez</v>
          </cell>
        </row>
        <row r="1399">
          <cell r="F1399">
            <v>315157</v>
          </cell>
          <cell r="G1399" t="str">
            <v>Nancy Rocio Maldonado Lopez</v>
          </cell>
        </row>
        <row r="1400">
          <cell r="F1400">
            <v>303878</v>
          </cell>
          <cell r="G1400" t="str">
            <v>Milka Patricia Merida Muñoz</v>
          </cell>
        </row>
        <row r="1401">
          <cell r="F1401">
            <v>315187</v>
          </cell>
          <cell r="G1401" t="str">
            <v>Luis Fernando Ramos Reynoso</v>
          </cell>
        </row>
        <row r="1402">
          <cell r="F1402">
            <v>310537</v>
          </cell>
          <cell r="G1402" t="str">
            <v>Astrid Anybeth Ochoa Sac</v>
          </cell>
        </row>
        <row r="1403">
          <cell r="F1403">
            <v>314578</v>
          </cell>
          <cell r="G1403" t="str">
            <v>Ana Gabriela Garcia Ajanel</v>
          </cell>
        </row>
        <row r="1404">
          <cell r="F1404">
            <v>315331</v>
          </cell>
          <cell r="G1404" t="str">
            <v>Dallynn Eunice Perez Herrera</v>
          </cell>
        </row>
        <row r="1405">
          <cell r="F1405">
            <v>314950</v>
          </cell>
          <cell r="G1405" t="str">
            <v>Saul Rodrigo Monterroso Belteton</v>
          </cell>
        </row>
        <row r="1406">
          <cell r="F1406">
            <v>312575</v>
          </cell>
          <cell r="G1406" t="str">
            <v>Sugey Alejandrina Ramirez Zepeda</v>
          </cell>
        </row>
        <row r="1407">
          <cell r="F1407">
            <v>309102</v>
          </cell>
          <cell r="G1407" t="str">
            <v>Josselyn Jasmin Asencio Revolorio De Lopez</v>
          </cell>
        </row>
        <row r="1408">
          <cell r="F1408">
            <v>313516</v>
          </cell>
          <cell r="G1408" t="str">
            <v>Mayra Leticia Diaz Armas</v>
          </cell>
        </row>
        <row r="1409">
          <cell r="F1409">
            <v>314786</v>
          </cell>
          <cell r="G1409" t="str">
            <v>Andrea Stephany Villeda Bran</v>
          </cell>
        </row>
        <row r="1410">
          <cell r="F1410">
            <v>313482</v>
          </cell>
          <cell r="G1410" t="str">
            <v>Alexandra Stefania Estrada Flores</v>
          </cell>
        </row>
        <row r="1411">
          <cell r="F1411">
            <v>313642</v>
          </cell>
          <cell r="G1411" t="str">
            <v>Jose Luis Landaverry Arana</v>
          </cell>
        </row>
        <row r="1412">
          <cell r="F1412">
            <v>314734</v>
          </cell>
          <cell r="G1412" t="str">
            <v>Maria Teresa Barrientos Perdomo</v>
          </cell>
        </row>
        <row r="1413">
          <cell r="F1413">
            <v>312551</v>
          </cell>
          <cell r="G1413" t="str">
            <v>Zenia Estefania Alvarado Alvarado</v>
          </cell>
        </row>
        <row r="1414">
          <cell r="F1414">
            <v>311524</v>
          </cell>
          <cell r="G1414" t="str">
            <v>Iris Marleny Alvarado Barrios</v>
          </cell>
        </row>
        <row r="1415">
          <cell r="F1415">
            <v>309360</v>
          </cell>
          <cell r="G1415" t="str">
            <v>Diana Violeta Yaguas Carin</v>
          </cell>
        </row>
        <row r="1416">
          <cell r="F1416">
            <v>309560</v>
          </cell>
          <cell r="G1416" t="str">
            <v>Astrid Gabriela Carin Castillo</v>
          </cell>
        </row>
        <row r="1417">
          <cell r="F1417">
            <v>313834</v>
          </cell>
          <cell r="G1417" t="str">
            <v>Luis Fernando Cuque Marquez</v>
          </cell>
        </row>
        <row r="1418">
          <cell r="F1418">
            <v>312983</v>
          </cell>
          <cell r="G1418" t="str">
            <v>Jennifer Jeaneth Patzan Urizar</v>
          </cell>
        </row>
        <row r="1419">
          <cell r="F1419">
            <v>313043</v>
          </cell>
          <cell r="G1419" t="str">
            <v>Saul Alexander Sicay Ramirez</v>
          </cell>
        </row>
        <row r="1420">
          <cell r="F1420">
            <v>315052</v>
          </cell>
          <cell r="G1420" t="str">
            <v>Ana Ruth Garcia Garcia</v>
          </cell>
        </row>
        <row r="1421">
          <cell r="F1421">
            <v>311322</v>
          </cell>
          <cell r="G1421" t="str">
            <v>Valerie Andrea Rivas Del Valle</v>
          </cell>
        </row>
        <row r="1422">
          <cell r="F1422">
            <v>313852</v>
          </cell>
          <cell r="G1422" t="str">
            <v>Brandon Steven Quiñonez Garcia</v>
          </cell>
        </row>
        <row r="1423">
          <cell r="F1423">
            <v>310326</v>
          </cell>
          <cell r="G1423" t="str">
            <v>Bryan Daniel Donado Ortiz</v>
          </cell>
        </row>
        <row r="1424">
          <cell r="F1424">
            <v>312039</v>
          </cell>
          <cell r="G1424" t="str">
            <v>Lourdes Yamileth Escobar Recinos</v>
          </cell>
        </row>
        <row r="1425">
          <cell r="F1425">
            <v>315030</v>
          </cell>
          <cell r="G1425" t="str">
            <v>Daniel Antonio Gonzalez Del Cid</v>
          </cell>
        </row>
        <row r="1426">
          <cell r="F1426">
            <v>314898</v>
          </cell>
          <cell r="G1426" t="str">
            <v>Jose Danilo Chacar Saguach</v>
          </cell>
        </row>
        <row r="1427">
          <cell r="F1427">
            <v>315306</v>
          </cell>
          <cell r="G1427" t="str">
            <v>Karen Melissa Munoz Guevara</v>
          </cell>
        </row>
        <row r="1428">
          <cell r="F1428">
            <v>315370</v>
          </cell>
          <cell r="G1428" t="str">
            <v>Mario Eduardo Reyes Argueta</v>
          </cell>
        </row>
        <row r="1429">
          <cell r="F1429">
            <v>315354</v>
          </cell>
          <cell r="G1429" t="str">
            <v>Diego Rodrigo Morales Camacho</v>
          </cell>
        </row>
        <row r="1430">
          <cell r="F1430">
            <v>314676</v>
          </cell>
          <cell r="G1430" t="str">
            <v>Irvin Lizardo Miranda Guzman</v>
          </cell>
        </row>
        <row r="1431">
          <cell r="F1431">
            <v>314069</v>
          </cell>
          <cell r="G1431" t="str">
            <v>Yesenia Nataly Alvarado Sarpec</v>
          </cell>
        </row>
        <row r="1432">
          <cell r="F1432">
            <v>315328</v>
          </cell>
          <cell r="G1432" t="str">
            <v xml:space="preserve">Ludwin Oscar David Chavez </v>
          </cell>
        </row>
        <row r="1433">
          <cell r="F1433">
            <v>314629</v>
          </cell>
          <cell r="G1433" t="str">
            <v>Heidy Azucena Martinez Garcia</v>
          </cell>
        </row>
        <row r="1434">
          <cell r="F1434">
            <v>314358</v>
          </cell>
          <cell r="G1434" t="str">
            <v>Manuel Eduardo Garcia Diaz</v>
          </cell>
        </row>
        <row r="1435">
          <cell r="F1435">
            <v>314090</v>
          </cell>
          <cell r="G1435" t="str">
            <v>Dayana Mishell Mazariegos Gomez</v>
          </cell>
        </row>
        <row r="1436">
          <cell r="F1436">
            <v>311202</v>
          </cell>
          <cell r="G1436" t="str">
            <v>Vilma Lizeth Caal Yantuche</v>
          </cell>
        </row>
        <row r="1437">
          <cell r="F1437">
            <v>314693</v>
          </cell>
          <cell r="G1437" t="str">
            <v>Oscar Javier Veliz Galvez</v>
          </cell>
        </row>
        <row r="1438">
          <cell r="F1438">
            <v>307008</v>
          </cell>
          <cell r="G1438" t="str">
            <v>Evelyn Rebeca Lopez Socoy</v>
          </cell>
        </row>
        <row r="1439">
          <cell r="F1439">
            <v>313003</v>
          </cell>
          <cell r="G1439" t="str">
            <v>Jonathan Renato Chete Urias</v>
          </cell>
        </row>
        <row r="1440">
          <cell r="F1440">
            <v>315224</v>
          </cell>
          <cell r="G1440" t="str">
            <v>Dina Nohemi Solano Juarez</v>
          </cell>
        </row>
        <row r="1441">
          <cell r="F1441">
            <v>315178</v>
          </cell>
          <cell r="G1441" t="str">
            <v>Melany Nohemi Velasquez Solorzano</v>
          </cell>
        </row>
        <row r="1442">
          <cell r="F1442">
            <v>314040</v>
          </cell>
          <cell r="G1442" t="str">
            <v>Cindy Abigail Patzan Perez</v>
          </cell>
        </row>
        <row r="1443">
          <cell r="F1443">
            <v>315172</v>
          </cell>
          <cell r="G1443" t="str">
            <v>Merlyn Esther Pérez Girón</v>
          </cell>
        </row>
        <row r="1444">
          <cell r="F1444">
            <v>314726</v>
          </cell>
          <cell r="G1444" t="str">
            <v>Bryan Roberto Sanchez Echeverria</v>
          </cell>
        </row>
        <row r="1445">
          <cell r="F1445">
            <v>306350</v>
          </cell>
          <cell r="G1445" t="str">
            <v>Andrea Eunice Velasquez Mazariegos</v>
          </cell>
        </row>
        <row r="1446">
          <cell r="F1446">
            <v>314282</v>
          </cell>
          <cell r="G1446" t="str">
            <v>Yolanda Genoveva Lopez Bamaca</v>
          </cell>
        </row>
        <row r="1447">
          <cell r="F1447">
            <v>314675</v>
          </cell>
          <cell r="G1447" t="str">
            <v>Edson Romeo Maldonado Reyes</v>
          </cell>
        </row>
        <row r="1448">
          <cell r="F1448">
            <v>313056</v>
          </cell>
          <cell r="G1448" t="str">
            <v>Suceli Isamar Orozco Fuentes</v>
          </cell>
        </row>
        <row r="1449">
          <cell r="F1449">
            <v>311573</v>
          </cell>
          <cell r="G1449" t="str">
            <v>Karen Gabriela Uz Shalix</v>
          </cell>
        </row>
        <row r="1450">
          <cell r="F1450">
            <v>313661</v>
          </cell>
          <cell r="G1450" t="str">
            <v>Mario Jose Herrera De Leon</v>
          </cell>
        </row>
        <row r="1451">
          <cell r="F1451">
            <v>314134</v>
          </cell>
          <cell r="G1451" t="str">
            <v>Rogelia Emperatriz Ortiz Alcantara</v>
          </cell>
        </row>
        <row r="1452">
          <cell r="F1452">
            <v>315207</v>
          </cell>
          <cell r="G1452" t="str">
            <v>Yeison Lemuel Lopez Vasquez</v>
          </cell>
        </row>
        <row r="1453">
          <cell r="F1453">
            <v>312659</v>
          </cell>
          <cell r="G1453" t="str">
            <v>Danny Johana Perez Reyes</v>
          </cell>
        </row>
        <row r="1454">
          <cell r="F1454">
            <v>315587</v>
          </cell>
          <cell r="G1454" t="str">
            <v>Pedro Jose Castañeda Velasquez</v>
          </cell>
        </row>
        <row r="1455">
          <cell r="F1455">
            <v>315590</v>
          </cell>
          <cell r="G1455" t="str">
            <v>Jamileth Andreina Arreaga Quin</v>
          </cell>
        </row>
        <row r="1456">
          <cell r="F1456">
            <v>315602</v>
          </cell>
          <cell r="G1456" t="str">
            <v>Ventura Rivera, Rhode Esperanza</v>
          </cell>
        </row>
        <row r="1457">
          <cell r="F1457">
            <v>315607</v>
          </cell>
          <cell r="G1457" t="str">
            <v>Ruiz Castillo, Maria Antonia</v>
          </cell>
        </row>
        <row r="1458">
          <cell r="F1458">
            <v>315611</v>
          </cell>
          <cell r="G1458" t="str">
            <v>Cordova Newbery, Allison Alejandra</v>
          </cell>
        </row>
        <row r="1459">
          <cell r="F1459">
            <v>315612</v>
          </cell>
          <cell r="G1459" t="str">
            <v>Castanon Lopez, Brandon Eliberto</v>
          </cell>
        </row>
        <row r="1460">
          <cell r="F1460">
            <v>315616</v>
          </cell>
          <cell r="G1460" t="str">
            <v>Diaz Calderon, Josue Noe</v>
          </cell>
        </row>
        <row r="1461">
          <cell r="F1461">
            <v>315629</v>
          </cell>
          <cell r="G1461" t="str">
            <v>Rucuch Choguaj, Miguel</v>
          </cell>
        </row>
        <row r="1462">
          <cell r="F1462">
            <v>315630</v>
          </cell>
          <cell r="G1462" t="str">
            <v>Zavala Soto, Alisson Yisel</v>
          </cell>
        </row>
        <row r="1463">
          <cell r="F1463">
            <v>309658</v>
          </cell>
          <cell r="G1463" t="str">
            <v xml:space="preserve">Otto Alejandro Barahona López </v>
          </cell>
        </row>
        <row r="1464">
          <cell r="F1464">
            <v>301291</v>
          </cell>
          <cell r="G1464" t="str">
            <v>Alexandra Carolina Valdez Vasquez</v>
          </cell>
        </row>
        <row r="1465">
          <cell r="F1465">
            <v>307550</v>
          </cell>
          <cell r="G1465" t="str">
            <v>Aura Marleny Perez Ventura</v>
          </cell>
        </row>
        <row r="1466">
          <cell r="F1466">
            <v>312210</v>
          </cell>
          <cell r="G1466" t="str">
            <v>Carlos Enrique Saenz Cardona</v>
          </cell>
        </row>
        <row r="1467">
          <cell r="F1467">
            <v>304801</v>
          </cell>
          <cell r="G1467" t="str">
            <v>Celeste Azucena Estrada Salvador De Estrada</v>
          </cell>
        </row>
        <row r="1468">
          <cell r="F1468">
            <v>314684</v>
          </cell>
          <cell r="G1468" t="str">
            <v>Escarlet Liliana Molina Herrera De Bolaños</v>
          </cell>
        </row>
        <row r="1469">
          <cell r="F1469">
            <v>309956</v>
          </cell>
          <cell r="G1469" t="str">
            <v>Heidy Celeste San Jose Diaz</v>
          </cell>
        </row>
        <row r="1470">
          <cell r="F1470">
            <v>314978</v>
          </cell>
          <cell r="G1470" t="str">
            <v>Jhoseline Esmeralda Medina Rivas</v>
          </cell>
        </row>
        <row r="1471">
          <cell r="F1471">
            <v>302674</v>
          </cell>
          <cell r="G1471" t="str">
            <v>Karen Elizabeth Roman Castellanos</v>
          </cell>
        </row>
        <row r="1472">
          <cell r="F1472">
            <v>315147</v>
          </cell>
          <cell r="G1472" t="str">
            <v>Karin Zulema Molina Fonseca</v>
          </cell>
        </row>
        <row r="1473">
          <cell r="F1473">
            <v>312838</v>
          </cell>
          <cell r="G1473" t="str">
            <v>Katherine Lucia Carranza Ortega</v>
          </cell>
        </row>
        <row r="1474">
          <cell r="F1474">
            <v>305064</v>
          </cell>
          <cell r="G1474" t="str">
            <v>Lilian Jose Lopez Quevedo</v>
          </cell>
        </row>
        <row r="1475">
          <cell r="F1475">
            <v>308754</v>
          </cell>
          <cell r="G1475" t="str">
            <v>Luis Alberto Perez Barrios</v>
          </cell>
        </row>
        <row r="1476">
          <cell r="F1476">
            <v>313396</v>
          </cell>
          <cell r="G1476" t="str">
            <v>Luz Mariela Donis Gonzalez</v>
          </cell>
        </row>
        <row r="1477">
          <cell r="F1477">
            <v>306330</v>
          </cell>
          <cell r="G1477" t="str">
            <v>Maria Andree Gonzalez</v>
          </cell>
        </row>
        <row r="1478">
          <cell r="F1478">
            <v>307198</v>
          </cell>
          <cell r="G1478" t="str">
            <v>Maria Gabriela Coloma Morales</v>
          </cell>
        </row>
        <row r="1479">
          <cell r="F1479">
            <v>307786</v>
          </cell>
          <cell r="G1479" t="str">
            <v>Marvin Alfredo Asturias Mendez</v>
          </cell>
        </row>
        <row r="1480">
          <cell r="F1480">
            <v>300268</v>
          </cell>
          <cell r="G1480" t="str">
            <v>Monica Carolina Pappa Dominguez</v>
          </cell>
        </row>
        <row r="1481">
          <cell r="F1481">
            <v>313636</v>
          </cell>
          <cell r="G1481" t="str">
            <v>Pablo Cesar Oliva Lopez</v>
          </cell>
        </row>
        <row r="1482">
          <cell r="F1482">
            <v>307702</v>
          </cell>
          <cell r="G1482" t="str">
            <v>Rosmeri Elizabeth Alvarez Lopez De Corado</v>
          </cell>
        </row>
        <row r="1483">
          <cell r="F1483">
            <v>314648</v>
          </cell>
          <cell r="G1483" t="str">
            <v>Sergio Vinicio Natareno Paredes</v>
          </cell>
        </row>
        <row r="1484">
          <cell r="F1484">
            <v>309567</v>
          </cell>
          <cell r="G1484" t="str">
            <v>Sindy Elizabeth Chavez Guzman</v>
          </cell>
        </row>
        <row r="1485">
          <cell r="F1485">
            <v>313649</v>
          </cell>
          <cell r="G1485" t="str">
            <v>Victor Hugo Turriz Flores</v>
          </cell>
        </row>
        <row r="1486">
          <cell r="F1486">
            <v>302684</v>
          </cell>
          <cell r="G1486" t="str">
            <v>Ana Melisa Giron Gonzalez</v>
          </cell>
        </row>
        <row r="1487">
          <cell r="F1487">
            <v>302866</v>
          </cell>
          <cell r="G1487" t="str">
            <v>Maria Magdalena Solis Carrera</v>
          </cell>
        </row>
        <row r="1488">
          <cell r="F1488">
            <v>313111</v>
          </cell>
          <cell r="G1488" t="str">
            <v>Mynor Arturo Barrios Reyes</v>
          </cell>
        </row>
        <row r="1489">
          <cell r="F1489">
            <v>313203</v>
          </cell>
          <cell r="G1489" t="str">
            <v>Marvin Alejandro Lopez Solis</v>
          </cell>
        </row>
        <row r="1490">
          <cell r="F1490">
            <v>302596</v>
          </cell>
          <cell r="G1490" t="str">
            <v>Victor Alfonso Ortega Torres</v>
          </cell>
        </row>
        <row r="1491">
          <cell r="F1491">
            <v>310241</v>
          </cell>
          <cell r="G1491" t="str">
            <v>Heidi Marleny Fajardo Ortiz De Cojon</v>
          </cell>
        </row>
        <row r="1492">
          <cell r="F1492">
            <v>313342</v>
          </cell>
          <cell r="G1492" t="str">
            <v>Magda Karina Mendoza Hernandez</v>
          </cell>
        </row>
        <row r="1493">
          <cell r="F1493">
            <v>301234</v>
          </cell>
          <cell r="G1493" t="str">
            <v>Ana Bertha Guzman Yaggi</v>
          </cell>
        </row>
        <row r="1494">
          <cell r="F1494">
            <v>307154</v>
          </cell>
          <cell r="G1494" t="str">
            <v>Evelin Gicela Burgos Franco</v>
          </cell>
        </row>
        <row r="1495">
          <cell r="F1495">
            <v>305181</v>
          </cell>
          <cell r="G1495" t="str">
            <v>Jose Luis Chay Machic</v>
          </cell>
        </row>
        <row r="1496">
          <cell r="F1496">
            <v>303552</v>
          </cell>
          <cell r="G1496" t="str">
            <v>Liliam Lisseth Santizo Mejia De Cordova</v>
          </cell>
        </row>
        <row r="1497">
          <cell r="F1497">
            <v>303704</v>
          </cell>
          <cell r="G1497" t="str">
            <v>Lisbeth Noemi Hernandez Giron</v>
          </cell>
        </row>
        <row r="1498">
          <cell r="F1498">
            <v>102171</v>
          </cell>
          <cell r="G1498" t="str">
            <v>Maritza Isabel Hernandez Cruz</v>
          </cell>
        </row>
        <row r="1499">
          <cell r="F1499">
            <v>310126</v>
          </cell>
          <cell r="G1499" t="str">
            <v>Jony Estuardo Gamarro Chinchilla</v>
          </cell>
        </row>
        <row r="1500">
          <cell r="F1500">
            <v>307812</v>
          </cell>
          <cell r="G1500" t="str">
            <v>Kevin Josue Moscoso Espino</v>
          </cell>
        </row>
        <row r="1501">
          <cell r="F1501">
            <v>308137</v>
          </cell>
          <cell r="G1501" t="str">
            <v>Oscar Rene Zacarias Jordan</v>
          </cell>
        </row>
        <row r="1502">
          <cell r="F1502">
            <v>311466</v>
          </cell>
          <cell r="G1502" t="str">
            <v>Edgar Estuardo Guerra Romero</v>
          </cell>
        </row>
        <row r="1503">
          <cell r="F1503">
            <v>301374</v>
          </cell>
          <cell r="G1503" t="str">
            <v>Karla Paola Martinez Salazar</v>
          </cell>
        </row>
        <row r="1504">
          <cell r="F1504">
            <v>313446</v>
          </cell>
          <cell r="G1504" t="str">
            <v>Ursula Deyanira Molina Mendoza</v>
          </cell>
        </row>
        <row r="1505">
          <cell r="F1505">
            <v>313780</v>
          </cell>
          <cell r="G1505" t="str">
            <v>Habraham Cesar Torres Alfaro</v>
          </cell>
        </row>
        <row r="1506">
          <cell r="F1506">
            <v>313576</v>
          </cell>
          <cell r="G1506" t="str">
            <v>Hilda Janina Diaz</v>
          </cell>
        </row>
        <row r="1507">
          <cell r="F1507">
            <v>314171</v>
          </cell>
          <cell r="G1507" t="str">
            <v>Jose Alejandro Carrera Tecun</v>
          </cell>
        </row>
        <row r="1508">
          <cell r="F1508">
            <v>313022</v>
          </cell>
          <cell r="G1508" t="str">
            <v>Karim Yaneth Mendez Hidalgo</v>
          </cell>
        </row>
        <row r="1509">
          <cell r="F1509">
            <v>313141</v>
          </cell>
          <cell r="G1509" t="str">
            <v>Edith Carolina Rojas Moreno</v>
          </cell>
        </row>
        <row r="1510">
          <cell r="F1510">
            <v>312615</v>
          </cell>
          <cell r="G1510" t="str">
            <v>Juan Jose Sarceño Siquiej</v>
          </cell>
        </row>
        <row r="1511">
          <cell r="F1511">
            <v>312858</v>
          </cell>
          <cell r="G1511" t="str">
            <v>Juan Pablo Marroquin Franco</v>
          </cell>
        </row>
        <row r="1512">
          <cell r="F1512">
            <v>314739</v>
          </cell>
          <cell r="G1512" t="str">
            <v>Elmer Josue Chinchilla Mendoza</v>
          </cell>
        </row>
        <row r="1513">
          <cell r="F1513">
            <v>315299</v>
          </cell>
          <cell r="G1513" t="str">
            <v>Luis Rodrigo Polanco Marroquin</v>
          </cell>
        </row>
        <row r="1514">
          <cell r="F1514">
            <v>315357</v>
          </cell>
          <cell r="G1514" t="str">
            <v>Linda Garcia          </v>
          </cell>
        </row>
        <row r="1515">
          <cell r="F1515">
            <v>315315</v>
          </cell>
          <cell r="G1515" t="str">
            <v xml:space="preserve">Shirley Guadalupe Munguia Gil </v>
          </cell>
        </row>
        <row r="1516">
          <cell r="F1516">
            <v>315477</v>
          </cell>
          <cell r="G1516" t="str">
            <v xml:space="preserve">Yesenia Guadalupe Ajcu Castillo </v>
          </cell>
        </row>
        <row r="1517">
          <cell r="F1517">
            <v>314170</v>
          </cell>
          <cell r="G1517" t="str">
            <v>Herman Gabriel Mendez Castellanos</v>
          </cell>
        </row>
        <row r="1518">
          <cell r="F1518">
            <v>312053</v>
          </cell>
          <cell r="G1518" t="str">
            <v xml:space="preserve"> Erick Estuardo Gonzalez Culajay</v>
          </cell>
        </row>
        <row r="1519">
          <cell r="F1519">
            <v>309795</v>
          </cell>
          <cell r="G1519" t="str">
            <v xml:space="preserve"> Evelin Johana Perez Fajardo De Estayul</v>
          </cell>
        </row>
        <row r="1520">
          <cell r="F1520">
            <v>308490</v>
          </cell>
          <cell r="G1520" t="str">
            <v xml:space="preserve"> Gabriela Poitan Ordoñez De Garcia</v>
          </cell>
        </row>
        <row r="1521">
          <cell r="F1521">
            <v>311663</v>
          </cell>
          <cell r="G1521" t="str">
            <v xml:space="preserve"> Jenny Betzabel Solis De Hernandez</v>
          </cell>
        </row>
        <row r="1522">
          <cell r="F1522">
            <v>300878</v>
          </cell>
          <cell r="G1522" t="str">
            <v xml:space="preserve"> Juan Francisco Lara Villavicencio</v>
          </cell>
        </row>
        <row r="1523">
          <cell r="F1523">
            <v>311195</v>
          </cell>
          <cell r="G1523" t="str">
            <v xml:space="preserve"> Julia Mariela Lourdette Gonzalez Rosales</v>
          </cell>
        </row>
        <row r="1524">
          <cell r="F1524">
            <v>311073</v>
          </cell>
          <cell r="G1524" t="str">
            <v xml:space="preserve"> Julio Roberto Castellanos Ordoñez</v>
          </cell>
        </row>
        <row r="1525">
          <cell r="F1525">
            <v>309602</v>
          </cell>
          <cell r="G1525" t="str">
            <v xml:space="preserve"> Linda Aracely Garcia Beteta De Cuxulic</v>
          </cell>
        </row>
        <row r="1526">
          <cell r="F1526">
            <v>311706</v>
          </cell>
          <cell r="G1526" t="str">
            <v xml:space="preserve"> Mailyn Anely Chavez Gonzalez</v>
          </cell>
        </row>
        <row r="1527">
          <cell r="F1527">
            <v>311347</v>
          </cell>
          <cell r="G1527" t="str">
            <v xml:space="preserve"> Mario Adolfo Telon Pedroza</v>
          </cell>
        </row>
        <row r="1528">
          <cell r="F1528">
            <v>311236</v>
          </cell>
          <cell r="G1528" t="str">
            <v xml:space="preserve"> Marlon Aroldo De Leon Juarez</v>
          </cell>
        </row>
        <row r="1529">
          <cell r="F1529">
            <v>304620</v>
          </cell>
          <cell r="G1529" t="str">
            <v xml:space="preserve"> Mayra Judith Marroquin Guevara De Melendez</v>
          </cell>
        </row>
        <row r="1530">
          <cell r="F1530">
            <v>311196</v>
          </cell>
          <cell r="G1530" t="str">
            <v xml:space="preserve"> Nancy Mariela Estrada Calel De Samayoa</v>
          </cell>
        </row>
        <row r="1531">
          <cell r="F1531">
            <v>309398</v>
          </cell>
          <cell r="G1531" t="str">
            <v xml:space="preserve"> Sindy Yesenia Fuentes Alvarez De Flores</v>
          </cell>
        </row>
        <row r="1532">
          <cell r="F1532">
            <v>311588</v>
          </cell>
          <cell r="G1532" t="str">
            <v xml:space="preserve"> Wendy Carolina Flores Garcia</v>
          </cell>
        </row>
        <row r="1533">
          <cell r="F1533">
            <v>313885</v>
          </cell>
          <cell r="G1533" t="str">
            <v>Adrian Emanuel Turcios Azurdia</v>
          </cell>
        </row>
        <row r="1534">
          <cell r="F1534">
            <v>314224</v>
          </cell>
          <cell r="G1534" t="str">
            <v>Ana Ruth Wong Mejia</v>
          </cell>
        </row>
        <row r="1535">
          <cell r="F1535">
            <v>314304</v>
          </cell>
          <cell r="G1535" t="str">
            <v>Brenda Yaneth Perez Lucas</v>
          </cell>
        </row>
        <row r="1536">
          <cell r="F1536">
            <v>313839</v>
          </cell>
          <cell r="G1536" t="str">
            <v>Carlos Enrique Dighero Lopez</v>
          </cell>
        </row>
        <row r="1537">
          <cell r="F1537">
            <v>311901</v>
          </cell>
          <cell r="G1537" t="str">
            <v>Edith Veranice Palacios</v>
          </cell>
        </row>
        <row r="1538">
          <cell r="F1538">
            <v>314439</v>
          </cell>
          <cell r="G1538" t="str">
            <v>Hersson Eduardo Leal Garcia</v>
          </cell>
        </row>
        <row r="1539">
          <cell r="F1539">
            <v>313884</v>
          </cell>
          <cell r="G1539" t="str">
            <v>Jasminia Sarai Cotzajay Peñate</v>
          </cell>
        </row>
        <row r="1540">
          <cell r="F1540">
            <v>309852</v>
          </cell>
          <cell r="G1540" t="str">
            <v>Jonathan Rene Villavicencio Soto</v>
          </cell>
        </row>
        <row r="1541">
          <cell r="F1541">
            <v>312709</v>
          </cell>
          <cell r="G1541" t="str">
            <v>Jorge Alfonso Hernandez Chinchilla</v>
          </cell>
        </row>
        <row r="1542">
          <cell r="F1542">
            <v>314436</v>
          </cell>
          <cell r="G1542" t="str">
            <v xml:space="preserve">Jorge Francisco Saban Lopez </v>
          </cell>
        </row>
        <row r="1543">
          <cell r="F1543">
            <v>313114</v>
          </cell>
          <cell r="G1543" t="str">
            <v xml:space="preserve">Jose Albino Albeño Galicia </v>
          </cell>
        </row>
        <row r="1544">
          <cell r="F1544">
            <v>308558</v>
          </cell>
          <cell r="G1544" t="str">
            <v>Jose Emilio Yuman Roche</v>
          </cell>
        </row>
        <row r="1545">
          <cell r="F1545">
            <v>313233</v>
          </cell>
          <cell r="G1545" t="str">
            <v>Jose Miguel Silva Contreras</v>
          </cell>
        </row>
        <row r="1546">
          <cell r="F1546">
            <v>313739</v>
          </cell>
          <cell r="G1546" t="str">
            <v>Lester Onelio Lopez Rosales</v>
          </cell>
        </row>
        <row r="1547">
          <cell r="F1547">
            <v>315361</v>
          </cell>
          <cell r="G1547" t="str">
            <v>Luis Fernando Roche Valenzuela</v>
          </cell>
        </row>
        <row r="1548">
          <cell r="F1548">
            <v>314103</v>
          </cell>
          <cell r="G1548" t="str">
            <v>Luisa Fernanda Marroquin Tiguila</v>
          </cell>
        </row>
        <row r="1549">
          <cell r="F1549">
            <v>313680</v>
          </cell>
          <cell r="G1549" t="str">
            <v>Marco Antonio Salazar Alinzo</v>
          </cell>
        </row>
        <row r="1550">
          <cell r="F1550">
            <v>314359</v>
          </cell>
          <cell r="G1550" t="str">
            <v>Maynor Alexander Perez Surque</v>
          </cell>
        </row>
        <row r="1551">
          <cell r="F1551">
            <v>309332</v>
          </cell>
          <cell r="G1551" t="str">
            <v>Melani Mishell Vasquez Castillo</v>
          </cell>
        </row>
        <row r="1552">
          <cell r="F1552">
            <v>314547</v>
          </cell>
          <cell r="G1552" t="str">
            <v>Nancy Elizabeth Lopez Perez</v>
          </cell>
        </row>
        <row r="1553">
          <cell r="F1553">
            <v>314370</v>
          </cell>
          <cell r="G1553" t="str">
            <v>Olga Roxana Gomez</v>
          </cell>
        </row>
        <row r="1554">
          <cell r="F1554">
            <v>315419</v>
          </cell>
          <cell r="G1554" t="str">
            <v>Rubeldi Ajaniel Roblero Gonzales</v>
          </cell>
        </row>
        <row r="1555">
          <cell r="F1555">
            <v>314769</v>
          </cell>
          <cell r="G1555" t="str">
            <v>Abel Eduardo Lopez Lopez</v>
          </cell>
        </row>
        <row r="1556">
          <cell r="F1556">
            <v>314839</v>
          </cell>
          <cell r="G1556" t="str">
            <v>Ana Gabriela Samayoa Lopez</v>
          </cell>
        </row>
        <row r="1557">
          <cell r="F1557">
            <v>315422</v>
          </cell>
          <cell r="G1557" t="str">
            <v xml:space="preserve">Carlos Alberto Roque </v>
          </cell>
        </row>
        <row r="1558">
          <cell r="F1558">
            <v>314836</v>
          </cell>
          <cell r="G1558" t="str">
            <v xml:space="preserve">Carlos David Ajmac </v>
          </cell>
        </row>
        <row r="1559">
          <cell r="F1559">
            <v>314759</v>
          </cell>
          <cell r="G1559" t="str">
            <v>Carlos Roberto Hernandez Gonzalez</v>
          </cell>
        </row>
        <row r="1560">
          <cell r="F1560">
            <v>314757</v>
          </cell>
          <cell r="G1560" t="str">
            <v>Cristal Estephania Juarroz Muñoz</v>
          </cell>
        </row>
        <row r="1561">
          <cell r="F1561">
            <v>314817</v>
          </cell>
          <cell r="G1561" t="str">
            <v>Cristian Orlando Monzon De Leon</v>
          </cell>
        </row>
        <row r="1562">
          <cell r="F1562">
            <v>314815</v>
          </cell>
          <cell r="G1562" t="str">
            <v>Gabriela Elizabeth Alvarez Mix</v>
          </cell>
        </row>
        <row r="1563">
          <cell r="F1563">
            <v>315421</v>
          </cell>
          <cell r="G1563" t="str">
            <v xml:space="preserve">Gladis Morales Cutzal </v>
          </cell>
        </row>
        <row r="1564">
          <cell r="F1564">
            <v>314794</v>
          </cell>
          <cell r="G1564" t="str">
            <v>Herbert Wellington Rodriguez Ramirez</v>
          </cell>
        </row>
        <row r="1565">
          <cell r="F1565">
            <v>314760</v>
          </cell>
          <cell r="G1565" t="str">
            <v>Jadurani Devi Dasi Archila Lool</v>
          </cell>
        </row>
        <row r="1566">
          <cell r="F1566">
            <v>314838</v>
          </cell>
          <cell r="G1566" t="str">
            <v>Jenifer Lucerito Sique Mayorga</v>
          </cell>
        </row>
        <row r="1567">
          <cell r="F1567">
            <v>314790</v>
          </cell>
          <cell r="G1567" t="str">
            <v>Johana Vidalia Chach Ixcoy</v>
          </cell>
        </row>
        <row r="1568">
          <cell r="F1568">
            <v>314846</v>
          </cell>
          <cell r="G1568" t="str">
            <v>Jonnathan Josue Rodas Florian</v>
          </cell>
        </row>
        <row r="1569">
          <cell r="F1569">
            <v>314761</v>
          </cell>
          <cell r="G1569" t="str">
            <v>Jorge Eduardo Fonseca Palacios</v>
          </cell>
        </row>
        <row r="1570">
          <cell r="F1570">
            <v>314842</v>
          </cell>
          <cell r="G1570" t="str">
            <v>Jose Geovanni Castañeda Galindo</v>
          </cell>
        </row>
        <row r="1571">
          <cell r="F1571">
            <v>314756</v>
          </cell>
          <cell r="G1571" t="str">
            <v>Juan Manuel Gomez Sampuel</v>
          </cell>
        </row>
        <row r="1572">
          <cell r="F1572">
            <v>315366</v>
          </cell>
          <cell r="G1572" t="str">
            <v xml:space="preserve">Mario Enrique Morales Escobar </v>
          </cell>
        </row>
        <row r="1573">
          <cell r="F1573">
            <v>315392</v>
          </cell>
          <cell r="G1573" t="str">
            <v xml:space="preserve">Mijail Erick Joaquín Morales Ortiz </v>
          </cell>
        </row>
        <row r="1574">
          <cell r="F1574">
            <v>314843</v>
          </cell>
          <cell r="G1574" t="str">
            <v>Nancy Pahola Arevalo Yuman</v>
          </cell>
        </row>
        <row r="1575">
          <cell r="F1575">
            <v>314791</v>
          </cell>
          <cell r="G1575" t="str">
            <v>Norman Scott Castillo Rivera</v>
          </cell>
        </row>
        <row r="1576">
          <cell r="F1576">
            <v>314799</v>
          </cell>
          <cell r="G1576" t="str">
            <v>Rusbelindo  Miguel Lopez</v>
          </cell>
        </row>
        <row r="1577">
          <cell r="F1577">
            <v>314751</v>
          </cell>
          <cell r="G1577" t="str">
            <v>Ana Lucia Veliz Solares</v>
          </cell>
        </row>
        <row r="1578">
          <cell r="F1578">
            <v>315169</v>
          </cell>
          <cell r="G1578" t="str">
            <v>Andy Oswaldo Pineda Arriola</v>
          </cell>
        </row>
        <row r="1579">
          <cell r="F1579">
            <v>314903</v>
          </cell>
          <cell r="G1579" t="str">
            <v>Cindy Julissa Herrera</v>
          </cell>
        </row>
        <row r="1580">
          <cell r="F1580">
            <v>314800</v>
          </cell>
          <cell r="G1580" t="str">
            <v>Elmer Eduardo Castillo</v>
          </cell>
        </row>
        <row r="1581">
          <cell r="F1581">
            <v>314748</v>
          </cell>
          <cell r="G1581" t="str">
            <v>Freddy Reynaldo Velarde Valenzuela</v>
          </cell>
        </row>
        <row r="1582">
          <cell r="F1582">
            <v>314795</v>
          </cell>
          <cell r="G1582" t="str">
            <v>Gustavo Ernesto Altan Gonzalez</v>
          </cell>
        </row>
        <row r="1583">
          <cell r="F1583">
            <v>315148</v>
          </cell>
          <cell r="G1583" t="str">
            <v>Irene Beatriz Pena Orellana</v>
          </cell>
        </row>
        <row r="1584">
          <cell r="F1584">
            <v>314906</v>
          </cell>
          <cell r="G1584" t="str">
            <v>Juan Pedro Tiney Cax</v>
          </cell>
        </row>
        <row r="1585">
          <cell r="F1585">
            <v>315322</v>
          </cell>
          <cell r="G1585" t="str">
            <v>Lester Juan Jose Arevalo Reynoso</v>
          </cell>
        </row>
        <row r="1586">
          <cell r="F1586">
            <v>315368</v>
          </cell>
          <cell r="G1586" t="str">
            <v>Marlon Enrique Del Cid Roque</v>
          </cell>
        </row>
        <row r="1587">
          <cell r="F1587">
            <v>315093</v>
          </cell>
          <cell r="G1587" t="str">
            <v>Miriam Eugenia Santizo Montenegro</v>
          </cell>
        </row>
        <row r="1588">
          <cell r="F1588">
            <v>314902</v>
          </cell>
          <cell r="G1588" t="str">
            <v>Roberto Alejandro Alvarez Abularach</v>
          </cell>
        </row>
        <row r="1589">
          <cell r="F1589">
            <v>314755</v>
          </cell>
          <cell r="G1589" t="str">
            <v>Sergio David Gonzalez Perez</v>
          </cell>
        </row>
        <row r="1590">
          <cell r="F1590">
            <v>314967</v>
          </cell>
          <cell r="G1590" t="str">
            <v>Sergio Javier Cortez Tunchez</v>
          </cell>
        </row>
        <row r="1591">
          <cell r="F1591">
            <v>314968</v>
          </cell>
          <cell r="G1591" t="str">
            <v>Sharon Dayana Ninoshka López Márquez</v>
          </cell>
        </row>
        <row r="1592">
          <cell r="F1592">
            <v>311961</v>
          </cell>
          <cell r="G1592" t="str">
            <v xml:space="preserve"> Abner Eli Gonzalez Gonzalez</v>
          </cell>
        </row>
        <row r="1593">
          <cell r="F1593">
            <v>311188</v>
          </cell>
          <cell r="G1593" t="str">
            <v xml:space="preserve"> Ana Ester Cuyan Aguilar De Dominguez</v>
          </cell>
        </row>
        <row r="1594">
          <cell r="F1594">
            <v>311894</v>
          </cell>
          <cell r="G1594" t="str">
            <v xml:space="preserve"> Christyan Stuardo Ronquillo Saravia</v>
          </cell>
        </row>
        <row r="1595">
          <cell r="F1595">
            <v>308901</v>
          </cell>
          <cell r="G1595" t="str">
            <v xml:space="preserve"> David Estuardo Rosales Corado</v>
          </cell>
        </row>
        <row r="1596">
          <cell r="F1596">
            <v>312069</v>
          </cell>
          <cell r="G1596" t="str">
            <v xml:space="preserve"> De Leon Cach Roberto Carlos</v>
          </cell>
        </row>
        <row r="1597">
          <cell r="F1597">
            <v>310331</v>
          </cell>
          <cell r="G1597" t="str">
            <v xml:space="preserve"> Elda Luzbina Valdez Guerra De Fuentes</v>
          </cell>
        </row>
        <row r="1598">
          <cell r="F1598">
            <v>310822</v>
          </cell>
          <cell r="G1598" t="str">
            <v xml:space="preserve"> Jennifer Leticia Gonzalez Pineda</v>
          </cell>
        </row>
        <row r="1599">
          <cell r="F1599">
            <v>308012</v>
          </cell>
          <cell r="G1599" t="str">
            <v xml:space="preserve"> Jocelyn Sucel Yantuche Chin</v>
          </cell>
        </row>
        <row r="1600">
          <cell r="F1600">
            <v>312160</v>
          </cell>
          <cell r="G1600" t="str">
            <v xml:space="preserve"> Jose Rigoberto Osorio Abarca</v>
          </cell>
        </row>
        <row r="1601">
          <cell r="F1601">
            <v>311465</v>
          </cell>
          <cell r="G1601" t="str">
            <v xml:space="preserve"> Kevin Alejandro Corado Estrada</v>
          </cell>
        </row>
        <row r="1602">
          <cell r="F1602">
            <v>311294</v>
          </cell>
          <cell r="G1602" t="str">
            <v xml:space="preserve"> Lotar Robson Araujo Perez</v>
          </cell>
        </row>
        <row r="1603">
          <cell r="F1603">
            <v>310910</v>
          </cell>
          <cell r="G1603" t="str">
            <v xml:space="preserve"> Luis Fernando Lopez Vasquez</v>
          </cell>
        </row>
        <row r="1604">
          <cell r="F1604">
            <v>304279</v>
          </cell>
          <cell r="G1604" t="str">
            <v xml:space="preserve"> Marlon Estuardo Hernandez</v>
          </cell>
        </row>
        <row r="1605">
          <cell r="F1605">
            <v>308911</v>
          </cell>
          <cell r="G1605" t="str">
            <v xml:space="preserve"> Rudy Fernando Orozco Tejeda</v>
          </cell>
        </row>
        <row r="1606">
          <cell r="F1606">
            <v>310214</v>
          </cell>
          <cell r="G1606" t="str">
            <v xml:space="preserve"> Vivian Pamela Rodas Lopez</v>
          </cell>
        </row>
        <row r="1607">
          <cell r="F1607">
            <v>314928</v>
          </cell>
          <cell r="G1607" t="str">
            <v xml:space="preserve">Brandon Steve Juarez Arrazola </v>
          </cell>
        </row>
        <row r="1608">
          <cell r="F1608">
            <v>313239</v>
          </cell>
          <cell r="G1608" t="str">
            <v>Addy Aida Cifuentes Coronado</v>
          </cell>
        </row>
        <row r="1609">
          <cell r="F1609">
            <v>313694</v>
          </cell>
          <cell r="G1609" t="str">
            <v>Alex Humberto Montezuma</v>
          </cell>
        </row>
        <row r="1610">
          <cell r="F1610">
            <v>313241</v>
          </cell>
          <cell r="G1610" t="str">
            <v>Angel Arturo Mauricio Ayapan</v>
          </cell>
        </row>
        <row r="1611">
          <cell r="F1611">
            <v>314323</v>
          </cell>
          <cell r="G1611" t="str">
            <v>Angel Arturo Mauricio Ayapan</v>
          </cell>
        </row>
        <row r="1612">
          <cell r="F1612">
            <v>312327</v>
          </cell>
          <cell r="G1612" t="str">
            <v>Armando Andree Quiñonez Flores</v>
          </cell>
        </row>
        <row r="1613">
          <cell r="F1613">
            <v>313749</v>
          </cell>
          <cell r="G1613" t="str">
            <v>Cesar Haroldo Ixcayau Castro</v>
          </cell>
        </row>
        <row r="1614">
          <cell r="F1614">
            <v>313840</v>
          </cell>
          <cell r="G1614" t="str">
            <v>Claudia Maria Orozco Garcia</v>
          </cell>
        </row>
        <row r="1615">
          <cell r="F1615">
            <v>314119</v>
          </cell>
          <cell r="G1615" t="str">
            <v>Cristian David Urizar Canteo</v>
          </cell>
        </row>
        <row r="1616">
          <cell r="F1616">
            <v>313242</v>
          </cell>
          <cell r="G1616" t="str">
            <v>Guillermo Alejandro Pirir</v>
          </cell>
        </row>
        <row r="1617">
          <cell r="F1617">
            <v>313539</v>
          </cell>
          <cell r="G1617" t="str">
            <v>Joaquin Alonso Murillo Perez</v>
          </cell>
        </row>
        <row r="1618">
          <cell r="F1618">
            <v>314082</v>
          </cell>
          <cell r="G1618" t="str">
            <v>Johanna Amarilis Hernandez Perez</v>
          </cell>
        </row>
        <row r="1619">
          <cell r="F1619">
            <v>313983</v>
          </cell>
          <cell r="G1619" t="str">
            <v>Jose Anibal Reyes Sandoval</v>
          </cell>
        </row>
        <row r="1620">
          <cell r="F1620">
            <v>308875</v>
          </cell>
          <cell r="G1620" t="str">
            <v>Joselyn Manuela Sandoval De Leon</v>
          </cell>
        </row>
        <row r="1621">
          <cell r="F1621">
            <v>313240</v>
          </cell>
          <cell r="G1621" t="str">
            <v>Karen Jamara Luna Menendez</v>
          </cell>
        </row>
        <row r="1622">
          <cell r="F1622">
            <v>314083</v>
          </cell>
          <cell r="G1622" t="str">
            <v>Luis Alfredo Ruben Castillo Mejia</v>
          </cell>
        </row>
        <row r="1623">
          <cell r="F1623">
            <v>312489</v>
          </cell>
          <cell r="G1623" t="str">
            <v>Marliz Irene Bonifaz Lopez</v>
          </cell>
        </row>
        <row r="1624">
          <cell r="F1624">
            <v>313823</v>
          </cell>
          <cell r="G1624" t="str">
            <v>Mildred Mazciel Almazan Lemus Codigo</v>
          </cell>
        </row>
        <row r="1625">
          <cell r="F1625">
            <v>313289</v>
          </cell>
          <cell r="G1625" t="str">
            <v>Orellana Alvarez, Nestor Giovanni</v>
          </cell>
        </row>
        <row r="1626">
          <cell r="F1626">
            <v>312476</v>
          </cell>
          <cell r="G1626" t="str">
            <v>Oscar Oswaldo Ramirez Tahuite</v>
          </cell>
        </row>
        <row r="1627">
          <cell r="F1627">
            <v>313392</v>
          </cell>
          <cell r="G1627" t="str">
            <v>Sandra Marisol Ramirez Solis</v>
          </cell>
        </row>
        <row r="1628">
          <cell r="F1628">
            <v>315101</v>
          </cell>
          <cell r="G1628" t="str">
            <v>Alvaro Oswaldo De La Rosa Hernandez</v>
          </cell>
        </row>
        <row r="1629">
          <cell r="F1629">
            <v>314905</v>
          </cell>
          <cell r="G1629" t="str">
            <v>Antonio Carlos Alvarenga Diaz</v>
          </cell>
        </row>
        <row r="1630">
          <cell r="F1630">
            <v>314885</v>
          </cell>
          <cell r="G1630" t="str">
            <v>Edi Ibander Osoy Lopez</v>
          </cell>
        </row>
        <row r="1631">
          <cell r="F1631">
            <v>314750</v>
          </cell>
          <cell r="G1631" t="str">
            <v>Eswin Leonel Fernandez Diaz</v>
          </cell>
        </row>
        <row r="1632">
          <cell r="F1632">
            <v>314753</v>
          </cell>
          <cell r="G1632" t="str">
            <v>Gabriel Antonio Mucur Arriaga</v>
          </cell>
        </row>
        <row r="1633">
          <cell r="F1633">
            <v>315318</v>
          </cell>
          <cell r="G1633" t="str">
            <v>Gabriela Melissa Arias Ovando</v>
          </cell>
        </row>
        <row r="1634">
          <cell r="F1634">
            <v>315164</v>
          </cell>
          <cell r="G1634" t="str">
            <v>Hernan Antonio Castro Guzman</v>
          </cell>
        </row>
        <row r="1635">
          <cell r="F1635">
            <v>315149</v>
          </cell>
          <cell r="G1635" t="str">
            <v>Jennifer Karla Maria De Leon Yoc</v>
          </cell>
        </row>
        <row r="1636">
          <cell r="F1636">
            <v>315065</v>
          </cell>
          <cell r="G1636" t="str">
            <v>Jennifer Veronica Flores Pineda</v>
          </cell>
        </row>
        <row r="1637">
          <cell r="F1637">
            <v>314797</v>
          </cell>
          <cell r="G1637" t="str">
            <v>Jimmy Alfredo Coronado Cabrera</v>
          </cell>
        </row>
        <row r="1638">
          <cell r="F1638">
            <v>314746</v>
          </cell>
          <cell r="G1638" t="str">
            <v>Jose Luis Quisquinay Inay</v>
          </cell>
        </row>
        <row r="1639">
          <cell r="F1639">
            <v>315231</v>
          </cell>
          <cell r="G1639" t="str">
            <v>Juan Fernando Alvarez Argueta</v>
          </cell>
        </row>
        <row r="1640">
          <cell r="F1640">
            <v>314752</v>
          </cell>
          <cell r="G1640" t="str">
            <v>Luis Arturo Fuentes Jerez</v>
          </cell>
        </row>
        <row r="1641">
          <cell r="F1641">
            <v>314990</v>
          </cell>
          <cell r="G1641" t="str">
            <v>Maria Fernanda Ambrocio Reyes</v>
          </cell>
        </row>
        <row r="1642">
          <cell r="F1642">
            <v>314966</v>
          </cell>
          <cell r="G1642" t="str">
            <v>Marlin Argelia Herrera Claveria</v>
          </cell>
        </row>
        <row r="1643">
          <cell r="F1643">
            <v>314904</v>
          </cell>
          <cell r="G1643" t="str">
            <v>Miguel Estuardo Marín</v>
          </cell>
        </row>
        <row r="1644">
          <cell r="F1644">
            <v>314796</v>
          </cell>
          <cell r="G1644" t="str">
            <v>Ricardo Antonio Ruiz Orozco</v>
          </cell>
        </row>
        <row r="1645">
          <cell r="F1645">
            <v>315365</v>
          </cell>
          <cell r="G1645" t="str">
            <v>Ruth Liliana Reyes Rivas</v>
          </cell>
        </row>
        <row r="1646">
          <cell r="F1646">
            <v>314758</v>
          </cell>
          <cell r="G1646" t="str">
            <v>Sergio Alejandro Estrada Velasco</v>
          </cell>
        </row>
        <row r="1647">
          <cell r="F1647">
            <v>312045</v>
          </cell>
          <cell r="G1647" t="str">
            <v xml:space="preserve"> Edgar Marco Tulio Sanchez Ochoa</v>
          </cell>
        </row>
        <row r="1648">
          <cell r="F1648">
            <v>309496</v>
          </cell>
          <cell r="G1648" t="str">
            <v xml:space="preserve"> Elcira Livduvina Perez Lopez De Merlos</v>
          </cell>
        </row>
        <row r="1649">
          <cell r="F1649">
            <v>311750</v>
          </cell>
          <cell r="G1649" t="str">
            <v xml:space="preserve"> Juan Toma Torrez</v>
          </cell>
        </row>
        <row r="1650">
          <cell r="F1650">
            <v>311539</v>
          </cell>
          <cell r="G1650" t="str">
            <v xml:space="preserve"> Luis Eduardo Garcia Gomez</v>
          </cell>
        </row>
        <row r="1651">
          <cell r="F1651">
            <v>311898</v>
          </cell>
          <cell r="G1651" t="str">
            <v xml:space="preserve"> Nori Liseth Bautista</v>
          </cell>
        </row>
        <row r="1652">
          <cell r="F1652">
            <v>312283</v>
          </cell>
          <cell r="G1652" t="str">
            <v xml:space="preserve"> Oscar Javier Galvez</v>
          </cell>
        </row>
        <row r="1653">
          <cell r="F1653">
            <v>311190</v>
          </cell>
          <cell r="G1653" t="str">
            <v xml:space="preserve"> Pedro Chas Morales</v>
          </cell>
        </row>
        <row r="1654">
          <cell r="F1654">
            <v>311632</v>
          </cell>
          <cell r="G1654" t="str">
            <v>Virginia Del Rosario Matilde Garcia Ico</v>
          </cell>
        </row>
        <row r="1655">
          <cell r="F1655">
            <v>311906</v>
          </cell>
          <cell r="G1655" t="str">
            <v xml:space="preserve"> Yenifer Alejandra Ordoñez</v>
          </cell>
        </row>
        <row r="1656">
          <cell r="F1656">
            <v>314705</v>
          </cell>
          <cell r="G1656" t="str">
            <v>Alex Eduardo Gil Paniagua</v>
          </cell>
        </row>
        <row r="1657">
          <cell r="F1657">
            <v>313182</v>
          </cell>
          <cell r="G1657" t="str">
            <v>Allan Kenneth Chiguichon Solis</v>
          </cell>
        </row>
        <row r="1658">
          <cell r="F1658">
            <v>314363</v>
          </cell>
          <cell r="G1658" t="str">
            <v xml:space="preserve">Anderson Noe Chunix Morales </v>
          </cell>
        </row>
        <row r="1659">
          <cell r="F1659">
            <v>314241</v>
          </cell>
          <cell r="G1659" t="str">
            <v>Andres Simon Sunun</v>
          </cell>
        </row>
        <row r="1660">
          <cell r="F1660">
            <v>309341</v>
          </cell>
          <cell r="G1660" t="str">
            <v>Angel Estuardo Perez Veliz</v>
          </cell>
        </row>
        <row r="1661">
          <cell r="F1661">
            <v>312093</v>
          </cell>
          <cell r="G1661" t="str">
            <v xml:space="preserve">Bobadilla Romero Alan Gonzalo </v>
          </cell>
        </row>
        <row r="1662">
          <cell r="F1662">
            <v>314080</v>
          </cell>
          <cell r="G1662" t="str">
            <v>Bryan Leonardo Lopez</v>
          </cell>
        </row>
        <row r="1663">
          <cell r="F1663">
            <v>314704</v>
          </cell>
          <cell r="G1663" t="str">
            <v xml:space="preserve">Cindy Damaris Villagran Castellano </v>
          </cell>
        </row>
        <row r="1664">
          <cell r="F1664">
            <v>314085</v>
          </cell>
          <cell r="G1664" t="str">
            <v>Cristian Ottoniel Lopez Alvarado</v>
          </cell>
        </row>
        <row r="1665">
          <cell r="F1665">
            <v>314364</v>
          </cell>
          <cell r="G1665" t="str">
            <v xml:space="preserve">Donel Omar Landaverry Solis </v>
          </cell>
        </row>
        <row r="1666">
          <cell r="F1666">
            <v>313373</v>
          </cell>
          <cell r="G1666" t="str">
            <v>Edgar Francisco Yanes Carrera</v>
          </cell>
        </row>
        <row r="1667">
          <cell r="F1667">
            <v>315056</v>
          </cell>
          <cell r="G1667" t="str">
            <v>Esvin David De Jesus Calanche</v>
          </cell>
        </row>
        <row r="1668">
          <cell r="F1668">
            <v>314118</v>
          </cell>
          <cell r="G1668" t="str">
            <v>Ginni Andrea Gramajo Lucas</v>
          </cell>
        </row>
        <row r="1669">
          <cell r="F1669">
            <v>313049</v>
          </cell>
          <cell r="G1669" t="str">
            <v>Herberth Ivan Garcia Davila</v>
          </cell>
        </row>
        <row r="1670">
          <cell r="F1670">
            <v>312162</v>
          </cell>
          <cell r="G1670" t="str">
            <v xml:space="preserve">Hernandez Andrea Yoselin Cristina </v>
          </cell>
        </row>
        <row r="1671">
          <cell r="F1671">
            <v>313692</v>
          </cell>
          <cell r="G1671" t="str">
            <v xml:space="preserve">Ingrid Leticia Paredes Pulido    </v>
          </cell>
        </row>
        <row r="1672">
          <cell r="F1672">
            <v>314500</v>
          </cell>
          <cell r="G1672" t="str">
            <v xml:space="preserve">Jairo Noel Linarez Gomez </v>
          </cell>
        </row>
        <row r="1673">
          <cell r="F1673">
            <v>312369</v>
          </cell>
          <cell r="G1673" t="str">
            <v>Jorge Luis Hernandez Juarez</v>
          </cell>
        </row>
        <row r="1674">
          <cell r="F1674">
            <v>314039</v>
          </cell>
          <cell r="G1674" t="str">
            <v>Juan Humberto Barrios Escobar</v>
          </cell>
        </row>
        <row r="1675">
          <cell r="F1675">
            <v>313540</v>
          </cell>
          <cell r="G1675" t="str">
            <v xml:space="preserve">Juan Manuel Macario Reyna </v>
          </cell>
        </row>
        <row r="1676">
          <cell r="F1676">
            <v>314355</v>
          </cell>
          <cell r="G1676" t="str">
            <v>Kevin Samuel Guamuch Guardado</v>
          </cell>
        </row>
        <row r="1677">
          <cell r="F1677">
            <v>314299</v>
          </cell>
          <cell r="G1677" t="str">
            <v>Lopez Morales, Andrea Lucia</v>
          </cell>
        </row>
        <row r="1678">
          <cell r="F1678">
            <v>314747</v>
          </cell>
          <cell r="G1678" t="str">
            <v>Mayra Azucena Perez Guzman</v>
          </cell>
        </row>
        <row r="1679">
          <cell r="F1679">
            <v>313572</v>
          </cell>
          <cell r="G1679" t="str">
            <v xml:space="preserve">Milton Hardany Dominguez Martinez </v>
          </cell>
        </row>
        <row r="1680">
          <cell r="F1680">
            <v>313541</v>
          </cell>
          <cell r="G1680" t="str">
            <v xml:space="preserve">Mirna Lorena Argueta Ayala </v>
          </cell>
        </row>
        <row r="1681">
          <cell r="F1681">
            <v>315319</v>
          </cell>
          <cell r="G1681" t="str">
            <v xml:space="preserve">Noe Rubell Garcia Cerna </v>
          </cell>
        </row>
        <row r="1682">
          <cell r="F1682">
            <v>314502</v>
          </cell>
          <cell r="G1682" t="str">
            <v>Reyna Elizabeth Panadero</v>
          </cell>
        </row>
        <row r="1683">
          <cell r="F1683">
            <v>313284</v>
          </cell>
          <cell r="G1683" t="str">
            <v>Sebastian Quino Morales</v>
          </cell>
        </row>
        <row r="1684">
          <cell r="F1684">
            <v>311460</v>
          </cell>
          <cell r="G1684" t="str">
            <v xml:space="preserve"> Ana Vilma Bamaca Cardona</v>
          </cell>
        </row>
        <row r="1685">
          <cell r="F1685">
            <v>306579</v>
          </cell>
          <cell r="G1685" t="str">
            <v xml:space="preserve"> Angel Emilio De Jesus Morales Ramirez</v>
          </cell>
        </row>
        <row r="1686">
          <cell r="F1686">
            <v>311234</v>
          </cell>
          <cell r="G1686" t="str">
            <v xml:space="preserve"> Astrid Marlene Diaz</v>
          </cell>
        </row>
        <row r="1687">
          <cell r="F1687">
            <v>308361</v>
          </cell>
          <cell r="G1687" t="str">
            <v xml:space="preserve"> Brenda Maribel Orozco Mendoza</v>
          </cell>
        </row>
        <row r="1688">
          <cell r="F1688">
            <v>311060</v>
          </cell>
          <cell r="G1688" t="str">
            <v xml:space="preserve"> Dora Lissette Higueros Trejo</v>
          </cell>
        </row>
        <row r="1689">
          <cell r="F1689">
            <v>305555</v>
          </cell>
          <cell r="G1689" t="str">
            <v xml:space="preserve"> Heber Antonio Olivares Alvarado</v>
          </cell>
        </row>
        <row r="1690">
          <cell r="F1690">
            <v>308210</v>
          </cell>
          <cell r="G1690" t="str">
            <v xml:space="preserve"> Isaias Ramirez Jimenez</v>
          </cell>
        </row>
        <row r="1691">
          <cell r="F1691">
            <v>310790</v>
          </cell>
          <cell r="G1691" t="str">
            <v xml:space="preserve"> Karina Del Rosario Castro Lopez De Guzman</v>
          </cell>
        </row>
        <row r="1692">
          <cell r="F1692">
            <v>309544</v>
          </cell>
          <cell r="G1692" t="str">
            <v xml:space="preserve"> Lorena Alexandra Lopez Yax</v>
          </cell>
        </row>
        <row r="1693">
          <cell r="F1693">
            <v>308493</v>
          </cell>
          <cell r="G1693" t="str">
            <v xml:space="preserve"> Sandra Beatriz Ardiano De Leon</v>
          </cell>
        </row>
        <row r="1694">
          <cell r="F1694">
            <v>312483</v>
          </cell>
          <cell r="G1694" t="str">
            <v>Berta Elizabeth Rodas Rosales</v>
          </cell>
        </row>
        <row r="1695">
          <cell r="F1695">
            <v>314431</v>
          </cell>
          <cell r="G1695" t="str">
            <v>Cristian Rene Contreras Sales</v>
          </cell>
        </row>
        <row r="1696">
          <cell r="F1696">
            <v>307394</v>
          </cell>
          <cell r="G1696" t="str">
            <v>Damaris Judith Rivas Benitez</v>
          </cell>
        </row>
        <row r="1697">
          <cell r="F1697">
            <v>311082</v>
          </cell>
          <cell r="G1697" t="str">
            <v>Janz Vincent Tunche</v>
          </cell>
        </row>
        <row r="1698">
          <cell r="F1698">
            <v>314301</v>
          </cell>
          <cell r="G1698" t="str">
            <v>Jose Carlos Puluc</v>
          </cell>
        </row>
        <row r="1699">
          <cell r="F1699">
            <v>308405</v>
          </cell>
          <cell r="G1699" t="str">
            <v>Juan Aquino Rac</v>
          </cell>
        </row>
        <row r="1700">
          <cell r="F1700">
            <v>312485</v>
          </cell>
          <cell r="G1700" t="str">
            <v>Juan Ramon Guerra Martinez</v>
          </cell>
        </row>
        <row r="1701">
          <cell r="F1701">
            <v>314527</v>
          </cell>
          <cell r="G1701" t="str">
            <v>Luis Fernando Rodas Pineda</v>
          </cell>
        </row>
        <row r="1702">
          <cell r="F1702">
            <v>312481</v>
          </cell>
          <cell r="G1702" t="str">
            <v>Magdalena Noemi Leonardo Ventura</v>
          </cell>
        </row>
        <row r="1703">
          <cell r="F1703">
            <v>312482</v>
          </cell>
          <cell r="G1703" t="str">
            <v>Mildred Elizabeth Rivera Tenas</v>
          </cell>
        </row>
        <row r="1704">
          <cell r="F1704">
            <v>307005</v>
          </cell>
          <cell r="G1704" t="str">
            <v>Miriam Leticia Romero Torres</v>
          </cell>
        </row>
        <row r="1705">
          <cell r="F1705">
            <v>314227</v>
          </cell>
          <cell r="G1705" t="str">
            <v xml:space="preserve">Mirna Janeth Ordoñez </v>
          </cell>
        </row>
        <row r="1706">
          <cell r="F1706">
            <v>308474</v>
          </cell>
          <cell r="G1706" t="str">
            <v>Victor Abraham Alvarado De La Cruz</v>
          </cell>
        </row>
        <row r="1707">
          <cell r="F1707">
            <v>312480</v>
          </cell>
          <cell r="G1707" t="str">
            <v>Wilson Moises Carias Santos</v>
          </cell>
        </row>
        <row r="1708">
          <cell r="F1708">
            <v>305051</v>
          </cell>
          <cell r="G1708" t="str">
            <v xml:space="preserve"> Amalia Cifuentes Gramajo</v>
          </cell>
        </row>
        <row r="1709">
          <cell r="F1709">
            <v>308201</v>
          </cell>
          <cell r="G1709" t="str">
            <v xml:space="preserve"> Amparo Janet Cardona Linares</v>
          </cell>
        </row>
        <row r="1710">
          <cell r="F1710">
            <v>311232</v>
          </cell>
          <cell r="G1710" t="str">
            <v xml:space="preserve"> Carlos Alberto Roque Galicia</v>
          </cell>
        </row>
        <row r="1711">
          <cell r="F1711">
            <v>310382</v>
          </cell>
          <cell r="G1711" t="str">
            <v xml:space="preserve"> David Gilberto Perez Mayorga</v>
          </cell>
        </row>
        <row r="1712">
          <cell r="F1712">
            <v>305796</v>
          </cell>
          <cell r="G1712" t="str">
            <v xml:space="preserve"> Elias Perez Sequen</v>
          </cell>
        </row>
        <row r="1713">
          <cell r="F1713">
            <v>310823</v>
          </cell>
          <cell r="G1713" t="str">
            <v xml:space="preserve"> Francisca Yesenia Aceytuno Quevedo</v>
          </cell>
        </row>
        <row r="1714">
          <cell r="F1714">
            <v>311152</v>
          </cell>
          <cell r="G1714" t="str">
            <v xml:space="preserve"> Heidi Natali Chacon De La Rosa De Diaz</v>
          </cell>
        </row>
        <row r="1715">
          <cell r="F1715">
            <v>309785</v>
          </cell>
          <cell r="G1715" t="str">
            <v xml:space="preserve"> Jose Esteban Diaz Montufar</v>
          </cell>
        </row>
        <row r="1716">
          <cell r="F1716">
            <v>310787</v>
          </cell>
          <cell r="G1716" t="str">
            <v xml:space="preserve"> Marilin Janeth Sanchez De Rodriguez</v>
          </cell>
        </row>
        <row r="1717">
          <cell r="F1717">
            <v>305520</v>
          </cell>
          <cell r="G1717" t="str">
            <v xml:space="preserve"> Milton Orlando Lopez</v>
          </cell>
        </row>
        <row r="1718">
          <cell r="F1718">
            <v>308978</v>
          </cell>
          <cell r="G1718" t="str">
            <v xml:space="preserve"> Oscar Amilcar Najera Segura</v>
          </cell>
        </row>
        <row r="1719">
          <cell r="F1719">
            <v>311776</v>
          </cell>
          <cell r="G1719" t="str">
            <v xml:space="preserve"> Susan Jackelinne Cristal Sanchez</v>
          </cell>
        </row>
        <row r="1720">
          <cell r="F1720">
            <v>309732</v>
          </cell>
          <cell r="G1720" t="str">
            <v xml:space="preserve"> Wilfredo Noe Tobar Valenzuela</v>
          </cell>
        </row>
        <row r="1721">
          <cell r="F1721">
            <v>314741</v>
          </cell>
          <cell r="G1721" t="str">
            <v>Angelica Lorena Garcia Gonzalez</v>
          </cell>
        </row>
        <row r="1722">
          <cell r="F1722">
            <v>314546</v>
          </cell>
          <cell r="G1722" t="str">
            <v xml:space="preserve">Cinthia Irene Paz Caal   </v>
          </cell>
        </row>
        <row r="1723">
          <cell r="F1723">
            <v>313746</v>
          </cell>
          <cell r="G1723" t="str">
            <v>Cristian Omar Cruz Mata</v>
          </cell>
        </row>
        <row r="1724">
          <cell r="F1724">
            <v>315327</v>
          </cell>
          <cell r="G1724" t="str">
            <v>Daninyer Alfonso Orellana Madrid</v>
          </cell>
        </row>
        <row r="1725">
          <cell r="F1725">
            <v>314084</v>
          </cell>
          <cell r="G1725" t="str">
            <v>Edgar Emilio Gomez Bobadilla</v>
          </cell>
        </row>
        <row r="1726">
          <cell r="F1726">
            <v>313195</v>
          </cell>
          <cell r="G1726" t="str">
            <v>Edna Helenin Benitez Guzman De Altan</v>
          </cell>
        </row>
        <row r="1727">
          <cell r="F1727">
            <v>313259</v>
          </cell>
          <cell r="G1727" t="str">
            <v>Edvin Orlando Tuis Guerra</v>
          </cell>
        </row>
        <row r="1728">
          <cell r="F1728">
            <v>314524</v>
          </cell>
          <cell r="G1728" t="str">
            <v>Francisco Antonio Davila Morales</v>
          </cell>
        </row>
        <row r="1729">
          <cell r="F1729">
            <v>314329</v>
          </cell>
          <cell r="G1729" t="str">
            <v>Fredy Joel Lopez Santiago</v>
          </cell>
        </row>
        <row r="1730">
          <cell r="F1730">
            <v>314305</v>
          </cell>
          <cell r="G1730" t="str">
            <v>Henry Gustavo Vasquez Robledo</v>
          </cell>
        </row>
        <row r="1731">
          <cell r="F1731">
            <v>311962</v>
          </cell>
          <cell r="G1731" t="str">
            <v>Hugo David Monroy Pichola</v>
          </cell>
        </row>
        <row r="1732">
          <cell r="F1732">
            <v>311075</v>
          </cell>
          <cell r="G1732" t="str">
            <v>Jorge Alberto Buch Patzan</v>
          </cell>
        </row>
        <row r="1733">
          <cell r="F1733">
            <v>311233</v>
          </cell>
          <cell r="G1733" t="str">
            <v>Maria Fernanda Del Rosario Orellana Lima De Orellana</v>
          </cell>
        </row>
        <row r="1734">
          <cell r="F1734">
            <v>314811</v>
          </cell>
          <cell r="G1734" t="str">
            <v>Marlon Estuardo Hernandez Moreira</v>
          </cell>
        </row>
        <row r="1735">
          <cell r="F1735">
            <v>313745</v>
          </cell>
          <cell r="G1735" t="str">
            <v>Milvia Alejandra Lopez Marroquin</v>
          </cell>
        </row>
        <row r="1736">
          <cell r="F1736">
            <v>312288</v>
          </cell>
          <cell r="G1736" t="str">
            <v>Miriam Marilisa Herrera Perez</v>
          </cell>
        </row>
        <row r="1737">
          <cell r="F1737">
            <v>312474</v>
          </cell>
          <cell r="G1737" t="str">
            <v>Nancy Paola Ramirez Garcia</v>
          </cell>
        </row>
        <row r="1738">
          <cell r="F1738">
            <v>313756</v>
          </cell>
          <cell r="G1738" t="str">
            <v>Walter Josue Corona Barrera</v>
          </cell>
        </row>
        <row r="1739">
          <cell r="F1739">
            <v>312284</v>
          </cell>
          <cell r="G1739" t="str">
            <v xml:space="preserve"> Arnoldo Coque Hernandez</v>
          </cell>
        </row>
        <row r="1740">
          <cell r="F1740">
            <v>312015</v>
          </cell>
          <cell r="G1740" t="str">
            <v xml:space="preserve"> Carlos Alfredo Cuc Cuxe</v>
          </cell>
        </row>
        <row r="1741">
          <cell r="F1741">
            <v>310710</v>
          </cell>
          <cell r="G1741" t="str">
            <v xml:space="preserve"> Edgar Enrique Garcia Cortave</v>
          </cell>
        </row>
        <row r="1742">
          <cell r="F1742">
            <v>311459</v>
          </cell>
          <cell r="G1742" t="str">
            <v xml:space="preserve"> Gandy Baygesus Sanchez Estrada</v>
          </cell>
        </row>
        <row r="1743">
          <cell r="F1743">
            <v>303585</v>
          </cell>
          <cell r="G1743" t="str">
            <v xml:space="preserve"> Gerber Estuardo Albizures Archila</v>
          </cell>
        </row>
        <row r="1744">
          <cell r="F1744">
            <v>310704</v>
          </cell>
          <cell r="G1744" t="str">
            <v xml:space="preserve"> Henry Samuel De Leon Menchu</v>
          </cell>
        </row>
        <row r="1745">
          <cell r="F1745">
            <v>311359</v>
          </cell>
          <cell r="G1745" t="str">
            <v xml:space="preserve"> Jania Nataly De Leon Ramirez De Suret</v>
          </cell>
        </row>
        <row r="1746">
          <cell r="F1746">
            <v>306643</v>
          </cell>
          <cell r="G1746" t="str">
            <v xml:space="preserve"> Marvin Saul Sical Ventura</v>
          </cell>
        </row>
        <row r="1747">
          <cell r="F1747">
            <v>307846</v>
          </cell>
          <cell r="G1747" t="str">
            <v xml:space="preserve"> Sandra Patricia Baran Avila</v>
          </cell>
        </row>
        <row r="1748">
          <cell r="F1748">
            <v>307962</v>
          </cell>
          <cell r="G1748" t="str">
            <v xml:space="preserve"> Selvyn David Payola Ayala</v>
          </cell>
        </row>
        <row r="1749">
          <cell r="F1749">
            <v>307891</v>
          </cell>
          <cell r="G1749" t="str">
            <v xml:space="preserve"> Susana Rodriguez Cordova</v>
          </cell>
        </row>
        <row r="1750">
          <cell r="F1750">
            <v>314936</v>
          </cell>
          <cell r="G1750" t="str">
            <v>Alex Fernando Garcia De Leon</v>
          </cell>
        </row>
        <row r="1751">
          <cell r="F1751">
            <v>313295</v>
          </cell>
          <cell r="G1751" t="str">
            <v>Amed Carlos Eduardo Matheu Cabrera</v>
          </cell>
        </row>
        <row r="1752">
          <cell r="F1752">
            <v>314413</v>
          </cell>
          <cell r="G1752" t="str">
            <v>Carmen Arely Perez Escobar</v>
          </cell>
        </row>
        <row r="1753">
          <cell r="F1753">
            <v>315237</v>
          </cell>
          <cell r="G1753" t="str">
            <v>Celia Mariela Castillo Beteta</v>
          </cell>
        </row>
        <row r="1754">
          <cell r="F1754">
            <v>311345</v>
          </cell>
          <cell r="G1754" t="str">
            <v>Darwin Ruben Martinez Ramirez</v>
          </cell>
        </row>
        <row r="1755">
          <cell r="F1755">
            <v>314250</v>
          </cell>
          <cell r="G1755" t="str">
            <v>Diego Armando Contreras Flores</v>
          </cell>
        </row>
        <row r="1756">
          <cell r="F1756">
            <v>314281</v>
          </cell>
          <cell r="G1756" t="str">
            <v>Edward Josue Cortez Belloso</v>
          </cell>
        </row>
        <row r="1757">
          <cell r="F1757">
            <v>313451</v>
          </cell>
          <cell r="G1757" t="str">
            <v>Erick Dionicio Alvarez Flores</v>
          </cell>
        </row>
        <row r="1758">
          <cell r="F1758">
            <v>313497</v>
          </cell>
          <cell r="G1758" t="str">
            <v>Francisco Roman Aceytuno Ramos</v>
          </cell>
        </row>
        <row r="1759">
          <cell r="F1759">
            <v>314013</v>
          </cell>
          <cell r="G1759" t="str">
            <v>Jose Orlando Lopez Matzar</v>
          </cell>
        </row>
        <row r="1760">
          <cell r="F1760">
            <v>313262</v>
          </cell>
          <cell r="G1760" t="str">
            <v>Juan Luis Soyos Tzoy</v>
          </cell>
        </row>
        <row r="1761">
          <cell r="F1761">
            <v>313583</v>
          </cell>
          <cell r="G1761" t="str">
            <v>Laiza Marleny Gomez Garcia De Gomez</v>
          </cell>
        </row>
        <row r="1762">
          <cell r="F1762">
            <v>314762</v>
          </cell>
          <cell r="G1762" t="str">
            <v>Mario Ernesto Alvarado Molina</v>
          </cell>
        </row>
        <row r="1763">
          <cell r="F1763">
            <v>311902</v>
          </cell>
          <cell r="G1763" t="str">
            <v>Mario Raul Monroy Monroy</v>
          </cell>
        </row>
        <row r="1764">
          <cell r="F1764">
            <v>313251</v>
          </cell>
          <cell r="G1764" t="str">
            <v>Mario Ricardo Gabriel Monterroso</v>
          </cell>
        </row>
        <row r="1765">
          <cell r="F1765">
            <v>312564</v>
          </cell>
          <cell r="G1765" t="str">
            <v xml:space="preserve">Marlyn Carolina Hernandez Escobar De Dubon </v>
          </cell>
        </row>
        <row r="1766">
          <cell r="F1766">
            <v>313011</v>
          </cell>
          <cell r="G1766" t="str">
            <v>Miguel David Boch Cifuentes</v>
          </cell>
        </row>
        <row r="1767">
          <cell r="F1767">
            <v>313750</v>
          </cell>
          <cell r="G1767" t="str">
            <v xml:space="preserve">Mildred Alejandra Sapon Ruano   </v>
          </cell>
        </row>
        <row r="1768">
          <cell r="F1768">
            <v>313212</v>
          </cell>
          <cell r="G1768" t="str">
            <v>Shirley Mariana Lopez Natarengo</v>
          </cell>
        </row>
        <row r="1769">
          <cell r="F1769">
            <v>313261</v>
          </cell>
          <cell r="G1769" t="str">
            <v>Viviana Maribel Ortiz Barrios</v>
          </cell>
        </row>
        <row r="1770">
          <cell r="F1770">
            <v>309678</v>
          </cell>
          <cell r="G1770" t="str">
            <v xml:space="preserve"> Carla Noemi Irias Alvarez</v>
          </cell>
        </row>
        <row r="1771">
          <cell r="F1771">
            <v>311704</v>
          </cell>
          <cell r="G1771" t="str">
            <v xml:space="preserve"> Celedonia Isabel Chan Batz De Iscaya</v>
          </cell>
        </row>
        <row r="1772">
          <cell r="F1772">
            <v>308464</v>
          </cell>
          <cell r="G1772" t="str">
            <v xml:space="preserve"> Enmanuel Antonio Ochoa Hernandez</v>
          </cell>
        </row>
        <row r="1773">
          <cell r="F1773">
            <v>311964</v>
          </cell>
          <cell r="G1773" t="str">
            <v xml:space="preserve"> Estephanie Michelle Mendez Cano De Rivera</v>
          </cell>
        </row>
        <row r="1774">
          <cell r="F1774">
            <v>311963</v>
          </cell>
          <cell r="G1774" t="str">
            <v xml:space="preserve"> Giovanni Noel Valdez Rodriguez</v>
          </cell>
        </row>
        <row r="1775">
          <cell r="F1775">
            <v>308771</v>
          </cell>
          <cell r="G1775" t="str">
            <v xml:space="preserve"> Gloria Estefanilla Espinoza Garcia</v>
          </cell>
        </row>
        <row r="1776">
          <cell r="F1776">
            <v>311530</v>
          </cell>
          <cell r="G1776" t="str">
            <v xml:space="preserve"> Laura Ninoshka Mogollon Galvez De Ortiz</v>
          </cell>
        </row>
        <row r="1777">
          <cell r="F1777">
            <v>309348</v>
          </cell>
          <cell r="G1777" t="str">
            <v xml:space="preserve"> Ludbind Alexander Noriega Chavez</v>
          </cell>
        </row>
        <row r="1778">
          <cell r="F1778">
            <v>303093</v>
          </cell>
          <cell r="G1778" t="str">
            <v xml:space="preserve"> Rony Armando Choche Perez</v>
          </cell>
        </row>
        <row r="1779">
          <cell r="F1779">
            <v>311838</v>
          </cell>
          <cell r="G1779" t="str">
            <v xml:space="preserve"> Sarah Noemy Sandoval Poggio</v>
          </cell>
        </row>
        <row r="1780">
          <cell r="F1780">
            <v>310071</v>
          </cell>
          <cell r="G1780" t="str">
            <v xml:space="preserve"> Victoria Aracely Gomez Ochoa</v>
          </cell>
        </row>
        <row r="1781">
          <cell r="F1781">
            <v>315129</v>
          </cell>
          <cell r="G1781" t="str">
            <v xml:space="preserve">Angel Israel Perez Perez </v>
          </cell>
        </row>
        <row r="1782">
          <cell r="F1782">
            <v>314522</v>
          </cell>
          <cell r="G1782" t="str">
            <v>Argentina Frisdy Juarez Lopez</v>
          </cell>
        </row>
        <row r="1783">
          <cell r="F1783">
            <v>311595</v>
          </cell>
          <cell r="G1783" t="str">
            <v>Billy Giovanny Avalos Castillo</v>
          </cell>
        </row>
        <row r="1784">
          <cell r="F1784">
            <v>312457</v>
          </cell>
          <cell r="G1784" t="str">
            <v>Edgar Estuardo Moran Lopez</v>
          </cell>
        </row>
        <row r="1785">
          <cell r="F1785">
            <v>313314</v>
          </cell>
          <cell r="G1785" t="str">
            <v>Elida Bertilia Donis Aguilar</v>
          </cell>
        </row>
        <row r="1786">
          <cell r="F1786">
            <v>313108</v>
          </cell>
          <cell r="G1786" t="str">
            <v>Evelyn Karina Lorenzana Gomez</v>
          </cell>
        </row>
        <row r="1787">
          <cell r="F1787">
            <v>313313</v>
          </cell>
          <cell r="G1787" t="str">
            <v>Francisco Roberto Contreras Bernardino</v>
          </cell>
        </row>
        <row r="1788">
          <cell r="F1788">
            <v>313757</v>
          </cell>
          <cell r="G1788" t="str">
            <v>Geydi Yanira Roque Esquivel</v>
          </cell>
        </row>
        <row r="1789">
          <cell r="F1789">
            <v>309122</v>
          </cell>
          <cell r="G1789" t="str">
            <v>Greyci Yulissa Aliñado Rodriguez</v>
          </cell>
        </row>
        <row r="1790">
          <cell r="F1790">
            <v>314362</v>
          </cell>
          <cell r="G1790" t="str">
            <v>Heber Adiel Dardon Batres</v>
          </cell>
        </row>
        <row r="1791">
          <cell r="F1791">
            <v>315073</v>
          </cell>
          <cell r="G1791" t="str">
            <v xml:space="preserve">Jose Manuel Molina Gaitan </v>
          </cell>
        </row>
        <row r="1792">
          <cell r="F1792">
            <v>314490</v>
          </cell>
          <cell r="G1792" t="str">
            <v xml:space="preserve">Josue Omar Rosas Vasquez </v>
          </cell>
        </row>
        <row r="1793">
          <cell r="F1793">
            <v>311662</v>
          </cell>
          <cell r="G1793" t="str">
            <v>Juan Antonio Juarez Recinos</v>
          </cell>
        </row>
        <row r="1794">
          <cell r="F1794">
            <v>312848</v>
          </cell>
          <cell r="G1794" t="str">
            <v>Juan Humberto Castillo Garcia</v>
          </cell>
        </row>
        <row r="1795">
          <cell r="F1795">
            <v>313196</v>
          </cell>
          <cell r="G1795" t="str">
            <v>Maria Fernanda Palencia Campo</v>
          </cell>
        </row>
        <row r="1796">
          <cell r="F1796">
            <v>315406</v>
          </cell>
          <cell r="G1796" t="str">
            <v>Maria Fernandez Perez Rangel</v>
          </cell>
        </row>
        <row r="1797">
          <cell r="F1797">
            <v>314302</v>
          </cell>
          <cell r="G1797" t="str">
            <v>Mario Rene Garcia Paredes</v>
          </cell>
        </row>
        <row r="1798">
          <cell r="F1798">
            <v>313758</v>
          </cell>
          <cell r="G1798" t="str">
            <v>Melani Andrea Salcedo Acevedo</v>
          </cell>
        </row>
        <row r="1799">
          <cell r="F1799">
            <v>314656</v>
          </cell>
          <cell r="G1799" t="str">
            <v>Nancy Johana Flores Barrera</v>
          </cell>
        </row>
        <row r="1800">
          <cell r="F1800">
            <v>313835</v>
          </cell>
          <cell r="G1800" t="str">
            <v>Rainer Daniel Melgar Chajon</v>
          </cell>
        </row>
        <row r="1801">
          <cell r="F1801">
            <v>312478</v>
          </cell>
          <cell r="G1801" t="str">
            <v>Walter Josue Ampudia Martinez</v>
          </cell>
        </row>
        <row r="1802">
          <cell r="F1802">
            <v>315200</v>
          </cell>
          <cell r="G1802" t="str">
            <v xml:space="preserve">Yeni Amarilis Ruano </v>
          </cell>
        </row>
        <row r="1803">
          <cell r="F1803">
            <v>315029</v>
          </cell>
          <cell r="G1803" t="str">
            <v>Camelia Bocel Tun</v>
          </cell>
        </row>
        <row r="1804">
          <cell r="F1804">
            <v>314847</v>
          </cell>
          <cell r="G1804" t="str">
            <v>Donald Jacshon Abac Velasquez</v>
          </cell>
        </row>
        <row r="1805">
          <cell r="F1805">
            <v>314911</v>
          </cell>
          <cell r="G1805" t="str">
            <v>Jose Armando Valdez Juarez</v>
          </cell>
        </row>
        <row r="1806">
          <cell r="F1806">
            <v>314907</v>
          </cell>
          <cell r="G1806" t="str">
            <v>Jose Gabriel Armas Sandoval</v>
          </cell>
        </row>
        <row r="1807">
          <cell r="F1807">
            <v>315190</v>
          </cell>
          <cell r="G1807" t="str">
            <v xml:space="preserve">Edy Alexander Gonzalez Ramos </v>
          </cell>
        </row>
        <row r="1808">
          <cell r="F1808">
            <v>315176</v>
          </cell>
          <cell r="G1808" t="str">
            <v xml:space="preserve">Etson Samuel Villatoro Saballos </v>
          </cell>
        </row>
        <row r="1809">
          <cell r="F1809">
            <v>315080</v>
          </cell>
          <cell r="G1809" t="str">
            <v>Horacio Rafael Molina Avila</v>
          </cell>
        </row>
        <row r="1810">
          <cell r="F1810">
            <v>315177</v>
          </cell>
          <cell r="G1810" t="str">
            <v xml:space="preserve">Keitlin Anahi Martinez Castillo </v>
          </cell>
        </row>
        <row r="1811">
          <cell r="F1811">
            <v>315189</v>
          </cell>
          <cell r="G1811" t="str">
            <v xml:space="preserve">Milthon Yobany Castillo Martinez </v>
          </cell>
        </row>
        <row r="1812">
          <cell r="F1812">
            <v>315469</v>
          </cell>
          <cell r="G1812" t="str">
            <v xml:space="preserve">Milvia Fabiola Velasquez </v>
          </cell>
        </row>
        <row r="1813">
          <cell r="F1813">
            <v>315360</v>
          </cell>
          <cell r="G1813" t="str">
            <v>Eneas Valdez Colop</v>
          </cell>
        </row>
        <row r="1814">
          <cell r="F1814">
            <v>315461</v>
          </cell>
          <cell r="G1814" t="str">
            <v>Teylor Cuyuch</v>
          </cell>
        </row>
        <row r="1815">
          <cell r="F1815">
            <v>315390</v>
          </cell>
          <cell r="G1815" t="str">
            <v>Jose Carlos Morales</v>
          </cell>
        </row>
        <row r="1816">
          <cell r="F1816">
            <v>315464</v>
          </cell>
          <cell r="G1816" t="str">
            <v>Maria Alejandra Mazariegos</v>
          </cell>
        </row>
        <row r="1817">
          <cell r="F1817">
            <v>315574</v>
          </cell>
          <cell r="G1817" t="str">
            <v>Maryury De Los Angeles Garcia Romero</v>
          </cell>
        </row>
        <row r="1818">
          <cell r="F1818">
            <v>315596</v>
          </cell>
          <cell r="G1818" t="str">
            <v>Etson Eduardo Hernandez Campos</v>
          </cell>
        </row>
        <row r="1819">
          <cell r="F1819">
            <v>315593</v>
          </cell>
          <cell r="G1819" t="str">
            <v>Flora Anabella Yaxcal Fernandez</v>
          </cell>
        </row>
        <row r="1820">
          <cell r="F1820">
            <v>315595</v>
          </cell>
          <cell r="G1820" t="str">
            <v xml:space="preserve">Jaqueline Paola Santizo Roman </v>
          </cell>
        </row>
        <row r="1821">
          <cell r="F1821">
            <v>315292</v>
          </cell>
          <cell r="G1821" t="str">
            <v>Mijail Erick Joaquin Morales Ortiz</v>
          </cell>
        </row>
        <row r="1822">
          <cell r="F1822">
            <v>860486</v>
          </cell>
          <cell r="G1822" t="str">
            <v>Brenda Lucrecia Velasquez Cifuentes</v>
          </cell>
        </row>
        <row r="1823">
          <cell r="F1823">
            <v>860236</v>
          </cell>
          <cell r="G1823" t="str">
            <v>Emmanuel Gonzalez</v>
          </cell>
        </row>
        <row r="1824">
          <cell r="F1824" t="str">
            <v>UN</v>
          </cell>
          <cell r="G1824" t="str">
            <v>UN</v>
          </cell>
        </row>
        <row r="1825">
          <cell r="F1825">
            <v>315625</v>
          </cell>
          <cell r="G1825" t="str">
            <v>CLAUDIA ELIZABETH CARRERA MARROQUIN</v>
          </cell>
        </row>
        <row r="1826">
          <cell r="F1826">
            <v>315666</v>
          </cell>
          <cell r="G1826" t="str">
            <v>SINDY AMARILIS SANCHEZ MONTERROSO</v>
          </cell>
        </row>
        <row r="1827">
          <cell r="F1827">
            <v>315691</v>
          </cell>
          <cell r="G1827" t="str">
            <v>JAIME RENE JUAREZ SANCHEZ</v>
          </cell>
        </row>
        <row r="1828">
          <cell r="F1828">
            <v>315750</v>
          </cell>
          <cell r="G1828" t="str">
            <v>KEILA PAOLA CALDERON LOPEZ</v>
          </cell>
        </row>
        <row r="1829">
          <cell r="F1829">
            <v>315721</v>
          </cell>
          <cell r="G1829" t="str">
            <v>HECTOR LEONEL MEJICANOS CRUZ</v>
          </cell>
        </row>
        <row r="1830">
          <cell r="F1830">
            <v>315847</v>
          </cell>
          <cell r="G1830" t="str">
            <v>YEFRI ESTUARDO LOPEZ VELASQUEZ</v>
          </cell>
        </row>
        <row r="1831">
          <cell r="F1831">
            <v>315833</v>
          </cell>
          <cell r="G1831" t="str">
            <v>MARIA DE LOS ANGELES MURALLES MURALLES</v>
          </cell>
        </row>
        <row r="1832">
          <cell r="F1832">
            <v>315621</v>
          </cell>
          <cell r="G1832" t="str">
            <v>SAYDA ROCIO JUAREZ SANJAY</v>
          </cell>
        </row>
        <row r="1833">
          <cell r="F1833">
            <v>315816</v>
          </cell>
          <cell r="G1833" t="str">
            <v>RANDALL  AREVALO RUIZ</v>
          </cell>
        </row>
        <row r="1834">
          <cell r="F1834">
            <v>315692</v>
          </cell>
          <cell r="G1834" t="str">
            <v>Jose David Jimenez Valle</v>
          </cell>
        </row>
        <row r="1835">
          <cell r="F1835">
            <v>315801</v>
          </cell>
          <cell r="G1835" t="str">
            <v>YENIFFER GUADALUPE CHIQUIN CARBONELL</v>
          </cell>
        </row>
        <row r="1836">
          <cell r="F1836">
            <v>315649</v>
          </cell>
          <cell r="G1836" t="str">
            <v>JOSE LEON CHOGUAJ TOJIN</v>
          </cell>
        </row>
        <row r="1837">
          <cell r="F1837">
            <v>315986</v>
          </cell>
          <cell r="G1837" t="str">
            <v>KELVYN AMERICO SOSA OCHOA</v>
          </cell>
        </row>
        <row r="1838">
          <cell r="F1838">
            <v>315693</v>
          </cell>
          <cell r="G1838" t="str">
            <v>barbara asibinac</v>
          </cell>
        </row>
        <row r="1839">
          <cell r="F1839">
            <v>315974</v>
          </cell>
          <cell r="G1839" t="str">
            <v>Ana Victoria Noj Galindo</v>
          </cell>
        </row>
        <row r="1840">
          <cell r="F1840">
            <v>316040</v>
          </cell>
          <cell r="G1840" t="str">
            <v>Douglas Armando Flores Mendoza</v>
          </cell>
        </row>
        <row r="1841">
          <cell r="F1841">
            <v>315825</v>
          </cell>
          <cell r="G1841" t="str">
            <v>Reina Elizabeth Chacon Vasquez</v>
          </cell>
        </row>
        <row r="1842">
          <cell r="F1842">
            <v>315597</v>
          </cell>
          <cell r="G1842" t="str">
            <v>Edgar Jhonatan Contreras Garcia</v>
          </cell>
        </row>
        <row r="1843">
          <cell r="F1843">
            <v>316083</v>
          </cell>
          <cell r="G1843" t="str">
            <v>Marlen Erendida Rivas Gonzalez</v>
          </cell>
        </row>
        <row r="1844">
          <cell r="F1844">
            <v>315665</v>
          </cell>
          <cell r="G1844" t="str">
            <v>jefferson jose antonio interano solis</v>
          </cell>
        </row>
        <row r="1845">
          <cell r="F1845">
            <v>315913</v>
          </cell>
          <cell r="G1845" t="str">
            <v>HERLY SARAI GONZALEZ VELASQUEZ</v>
          </cell>
        </row>
        <row r="1846">
          <cell r="F1846">
            <v>315765</v>
          </cell>
          <cell r="G1846" t="str">
            <v>JACQUELINE ESTER PATZAN TZUNUN</v>
          </cell>
        </row>
        <row r="1847">
          <cell r="F1847">
            <v>316051</v>
          </cell>
          <cell r="G1847" t="str">
            <v>CHRISTIN ANDREA CASTILLO CALDERON</v>
          </cell>
        </row>
        <row r="1848">
          <cell r="F1848">
            <v>315939</v>
          </cell>
          <cell r="G1848" t="str">
            <v>JOSE DAVID BAMACA</v>
          </cell>
        </row>
        <row r="1849">
          <cell r="F1849">
            <v>315744</v>
          </cell>
          <cell r="G1849" t="str">
            <v>JACKELINE SUSANA HERRARTE BOCHE</v>
          </cell>
        </row>
        <row r="1850">
          <cell r="F1850">
            <v>316187</v>
          </cell>
          <cell r="G1850" t="str">
            <v xml:space="preserve">ADY MICHELLE LOPEZ QUEL </v>
          </cell>
        </row>
        <row r="1851">
          <cell r="F1851">
            <v>315786</v>
          </cell>
          <cell r="G1851" t="str">
            <v>EDUARDO ISAIAS HERNANDEZ AMBROCIO</v>
          </cell>
        </row>
        <row r="1852">
          <cell r="F1852">
            <v>315803</v>
          </cell>
          <cell r="G1852" t="str">
            <v>DEYVID SAUL OSORIO COLIN</v>
          </cell>
        </row>
        <row r="1853">
          <cell r="F1853">
            <v>315893</v>
          </cell>
          <cell r="G1853" t="str">
            <v xml:space="preserve">BRYAN ALEXANDER LAINES MARROQUIN </v>
          </cell>
        </row>
        <row r="1854">
          <cell r="F1854">
            <v>315890</v>
          </cell>
          <cell r="G1854" t="str">
            <v>ERICK JOSUE PINEDA CACEROS</v>
          </cell>
        </row>
        <row r="1855">
          <cell r="F1855">
            <v>316190</v>
          </cell>
          <cell r="G1855" t="str">
            <v>JOSE MANUEL MELLADO ESQUIBEL</v>
          </cell>
        </row>
        <row r="1856">
          <cell r="F1856">
            <v>315843</v>
          </cell>
          <cell r="G1856" t="str">
            <v xml:space="preserve">JENNIFER YESSENIA PEREZ MORALES </v>
          </cell>
        </row>
        <row r="1857">
          <cell r="F1857">
            <v>315840</v>
          </cell>
          <cell r="G1857" t="str">
            <v>Cesar David Perez Garrido</v>
          </cell>
        </row>
        <row r="1858">
          <cell r="F1858">
            <v>315697</v>
          </cell>
          <cell r="G1858" t="str">
            <v xml:space="preserve">Karen Dayana Xiquin Sanchez </v>
          </cell>
        </row>
        <row r="1859">
          <cell r="F1859">
            <v>315946</v>
          </cell>
          <cell r="G1859" t="str">
            <v xml:space="preserve"> MANUEL ADAN SURUY JIMENEZ</v>
          </cell>
        </row>
        <row r="1860">
          <cell r="F1860">
            <v>315784</v>
          </cell>
          <cell r="G1860" t="str">
            <v xml:space="preserve">JORGE MARIO SIC </v>
          </cell>
        </row>
        <row r="1861">
          <cell r="F1861">
            <v>316001</v>
          </cell>
          <cell r="G1861" t="str">
            <v>WENDY DANIELA CAMEY MATEO</v>
          </cell>
        </row>
        <row r="1862">
          <cell r="F1862">
            <v>315777</v>
          </cell>
          <cell r="G1862" t="str">
            <v>Jonatan Mauricio Padilla Marroquin</v>
          </cell>
        </row>
        <row r="1863">
          <cell r="F1863">
            <v>315699</v>
          </cell>
          <cell r="G1863" t="str">
            <v>Gualfer Orlando Dieguez Ibanez</v>
          </cell>
        </row>
        <row r="1864">
          <cell r="F1864">
            <v>315994</v>
          </cell>
          <cell r="G1864" t="str">
            <v>Edwin Wilfredo Pineda Giron</v>
          </cell>
        </row>
        <row r="1865">
          <cell r="F1865">
            <v>315766</v>
          </cell>
          <cell r="G1865" t="str">
            <v>Edgar Omar de Jesus Andrade Monterroso</v>
          </cell>
        </row>
        <row r="1866">
          <cell r="F1866">
            <v>315987</v>
          </cell>
          <cell r="G1866" t="str">
            <v>FRANCISCO DANIEL ARGUETA RAMIREZ</v>
          </cell>
        </row>
        <row r="1867">
          <cell r="F1867">
            <v>316208</v>
          </cell>
          <cell r="G1867" t="str">
            <v>LEYCER ULICES CANA ANDRADE</v>
          </cell>
        </row>
        <row r="1868">
          <cell r="F1868">
            <v>316193</v>
          </cell>
          <cell r="G1868" t="str">
            <v>Maria de Lourdes Leb Nij</v>
          </cell>
        </row>
        <row r="1869">
          <cell r="F1869">
            <v>316176</v>
          </cell>
          <cell r="G1869" t="str">
            <v>ROSA ANGELICA ZURDO GONZALEZ</v>
          </cell>
        </row>
        <row r="1870">
          <cell r="F1870">
            <v>316293</v>
          </cell>
          <cell r="G1870" t="str">
            <v>LUCIO MOISES CHAVEZ CHAVEZ</v>
          </cell>
        </row>
        <row r="1871">
          <cell r="F1871">
            <v>316090</v>
          </cell>
          <cell r="G1871" t="str">
            <v>ASTRID SUCELY VELIZ CAAL</v>
          </cell>
        </row>
        <row r="1872">
          <cell r="F1872">
            <v>316057</v>
          </cell>
          <cell r="G1872" t="str">
            <v>ROGELIO ARMANDO ACEITUNO HERRERA</v>
          </cell>
        </row>
        <row r="1873">
          <cell r="F1873">
            <v>315962</v>
          </cell>
          <cell r="G1873" t="str">
            <v>Jennifer Celeste Delgado Garcia</v>
          </cell>
        </row>
        <row r="1874">
          <cell r="F1874">
            <v>316237</v>
          </cell>
          <cell r="G1874" t="str">
            <v>MARIA DEL ROSARIO ESPINOZA CRUZ</v>
          </cell>
        </row>
        <row r="1875">
          <cell r="F1875">
            <v>316054</v>
          </cell>
          <cell r="G1875" t="str">
            <v>Kevin Steve Barrera Galicia</v>
          </cell>
        </row>
        <row r="1876">
          <cell r="F1876">
            <v>315734</v>
          </cell>
          <cell r="G1876" t="str">
            <v>DULCE MARINA LOPEZ SOLIS</v>
          </cell>
        </row>
        <row r="1877">
          <cell r="F1877">
            <v>316098</v>
          </cell>
          <cell r="G1877" t="str">
            <v>KARLA ALEJANDRA CHAVEZ PEÑA</v>
          </cell>
        </row>
        <row r="1878">
          <cell r="F1878">
            <v>315679</v>
          </cell>
          <cell r="G1878" t="str">
            <v>ANGELA XIOMARA PONCIANO GONZALEZ</v>
          </cell>
        </row>
        <row r="1879">
          <cell r="F1879">
            <v>315769</v>
          </cell>
          <cell r="G1879" t="str">
            <v>URIAS VENANCIO LOPEZ COTON</v>
          </cell>
        </row>
        <row r="1880">
          <cell r="F1880">
            <v>316174</v>
          </cell>
          <cell r="G1880" t="str">
            <v>ENRIQUE ALFONSO LOPEZ RAMREZ</v>
          </cell>
        </row>
        <row r="1881">
          <cell r="F1881">
            <v>316152</v>
          </cell>
          <cell r="G1881" t="str">
            <v>Yenica Limni López Sebastian</v>
          </cell>
        </row>
        <row r="1882">
          <cell r="F1882">
            <v>315882</v>
          </cell>
          <cell r="G1882" t="str">
            <v>RUTH ANAI GOMEZ RAMIREZ</v>
          </cell>
        </row>
        <row r="1883">
          <cell r="F1883">
            <v>316241</v>
          </cell>
          <cell r="G1883" t="str">
            <v>ALLAN ESMAYLIN CABRERA PEREZ</v>
          </cell>
        </row>
        <row r="1884">
          <cell r="F1884">
            <v>315651</v>
          </cell>
          <cell r="G1884" t="str">
            <v>WALTER EDUARDO RODAS RIOS</v>
          </cell>
        </row>
        <row r="1885">
          <cell r="F1885">
            <v>316011</v>
          </cell>
          <cell r="G1885" t="str">
            <v>KEVIN MAUEL PEREZ OROZCO</v>
          </cell>
        </row>
        <row r="1886">
          <cell r="F1886">
            <v>316263</v>
          </cell>
          <cell r="G1886" t="str">
            <v>LUIS FERNANDO LOPEZ VASQUEZ</v>
          </cell>
        </row>
        <row r="1887">
          <cell r="F1887">
            <v>315661</v>
          </cell>
          <cell r="G1887" t="str">
            <v>MIGUEL ANGEL MENDEZ JUAREZ</v>
          </cell>
        </row>
        <row r="1888">
          <cell r="F1888">
            <v>316060</v>
          </cell>
          <cell r="G1888" t="str">
            <v>CARLOS ENRIQUE SOSA HERNANDEZ</v>
          </cell>
        </row>
        <row r="1889">
          <cell r="F1889">
            <v>315992</v>
          </cell>
          <cell r="G1889" t="str">
            <v>LISBETH VICTORIA GARCIA</v>
          </cell>
        </row>
        <row r="1890">
          <cell r="F1890">
            <v>316191</v>
          </cell>
          <cell r="G1890" t="str">
            <v>Katerin Mishel Acosta Lobos</v>
          </cell>
        </row>
        <row r="1891">
          <cell r="F1891">
            <v>316294</v>
          </cell>
          <cell r="G1891" t="str">
            <v>Carmen Fernanda Ramos Jimenez</v>
          </cell>
        </row>
        <row r="1892">
          <cell r="F1892">
            <v>90012428</v>
          </cell>
          <cell r="G1892" t="str">
            <v>Lesly Alejandra Urbina Chojolan</v>
          </cell>
        </row>
        <row r="1893">
          <cell r="F1893">
            <v>90013944</v>
          </cell>
          <cell r="G1893" t="str">
            <v>KARLA ROSARIO MARTINEZ SOTO</v>
          </cell>
        </row>
        <row r="1894">
          <cell r="F1894">
            <v>316240</v>
          </cell>
          <cell r="G1894" t="str">
            <v>WILMER GUILLERMO PEREZ CHAY</v>
          </cell>
        </row>
        <row r="1895">
          <cell r="F1895">
            <v>90014151</v>
          </cell>
          <cell r="G1895" t="str">
            <v>ANDERSON NOE MORALES MARROQUIN</v>
          </cell>
        </row>
        <row r="1896">
          <cell r="F1896">
            <v>90013720</v>
          </cell>
          <cell r="G1896" t="str">
            <v>OBED DANIEL RAMIREZ FUENTES</v>
          </cell>
        </row>
        <row r="1897">
          <cell r="F1897">
            <v>90012315</v>
          </cell>
          <cell r="G1897" t="str">
            <v>Lorenzo Antonio Herrera Tobar</v>
          </cell>
        </row>
        <row r="1898">
          <cell r="F1898">
            <v>90013833</v>
          </cell>
          <cell r="G1898" t="str">
            <v>Melane Alejandra Contreras Sicajan</v>
          </cell>
        </row>
        <row r="1899">
          <cell r="F1899">
            <v>90018997</v>
          </cell>
          <cell r="G1899" t="str">
            <v>Daniel Uvaldo Barreno Meneses</v>
          </cell>
        </row>
        <row r="1900">
          <cell r="F1900">
            <v>90014269</v>
          </cell>
          <cell r="G1900" t="str">
            <v>Lusvin Ariel Villacinda Flores</v>
          </cell>
        </row>
        <row r="1901">
          <cell r="F1901" t="str">
            <v>N/A</v>
          </cell>
          <cell r="G1901" t="str">
            <v>N/A</v>
          </cell>
        </row>
        <row r="1902">
          <cell r="F1902">
            <v>90014281</v>
          </cell>
          <cell r="G1902" t="str">
            <v>MARIO EMANUEL DE JESUS MENDOZA</v>
          </cell>
        </row>
        <row r="1903">
          <cell r="F1903">
            <v>90019660</v>
          </cell>
          <cell r="G1903" t="str">
            <v>MONICA ILDUARA LIMA</v>
          </cell>
        </row>
        <row r="1904">
          <cell r="F1904">
            <v>90018838</v>
          </cell>
          <cell r="G1904" t="str">
            <v>PERLA ESPERANZA ORDONEZ ZULETA</v>
          </cell>
        </row>
        <row r="1905">
          <cell r="F1905">
            <v>90013719</v>
          </cell>
          <cell r="G1905" t="str">
            <v>MONICA CAROLINA LIMA CIFUENTES</v>
          </cell>
        </row>
        <row r="1906">
          <cell r="F1906">
            <v>90019011</v>
          </cell>
          <cell r="G1906" t="str">
            <v>ANGEL JOEL CASTRO COSAJAY</v>
          </cell>
        </row>
        <row r="1907">
          <cell r="F1907">
            <v>90019588</v>
          </cell>
          <cell r="G1907" t="str">
            <v>SANDRA MARIELA LÓPEZ MARROQUÍN</v>
          </cell>
        </row>
        <row r="1908">
          <cell r="F1908">
            <v>90019689</v>
          </cell>
          <cell r="G1908" t="str">
            <v xml:space="preserve">HELEN YADIRA DE LEON QUIÑONEZ </v>
          </cell>
        </row>
        <row r="1909">
          <cell r="F1909">
            <v>90024021</v>
          </cell>
          <cell r="G1909" t="str">
            <v>MANUEL MEJIA AYERDI</v>
          </cell>
        </row>
        <row r="1910">
          <cell r="F1910">
            <v>90013782</v>
          </cell>
          <cell r="G1910" t="str">
            <v>Williams Jose Galvez Jordan</v>
          </cell>
        </row>
        <row r="1911">
          <cell r="F1911">
            <v>90024411</v>
          </cell>
          <cell r="G1911" t="str">
            <v>DINA ELIZABETH GARRIDO ALVAREZ</v>
          </cell>
        </row>
        <row r="1912">
          <cell r="F1912">
            <v>90024370</v>
          </cell>
          <cell r="G1912" t="str">
            <v>Marilin Yasmin Godoy Morataya</v>
          </cell>
        </row>
        <row r="1913">
          <cell r="F1913">
            <v>90024235</v>
          </cell>
          <cell r="G1913" t="str">
            <v>JASON ALBERTO BOLAÑOS GUTIERREZ</v>
          </cell>
        </row>
        <row r="1914">
          <cell r="F1914">
            <v>90028187</v>
          </cell>
          <cell r="G1914" t="str">
            <v>MIRELLI RAMIREZ GARCIA</v>
          </cell>
        </row>
        <row r="1915">
          <cell r="F1915">
            <v>90025289</v>
          </cell>
          <cell r="G1915" t="str">
            <v>DIEGO ALEJANDRO DONIS JUAREZ</v>
          </cell>
        </row>
        <row r="1916">
          <cell r="F1916">
            <v>90028608</v>
          </cell>
          <cell r="G1916" t="str">
            <v>ERLIN ROBERTO XEC ANGULO</v>
          </cell>
        </row>
        <row r="1917">
          <cell r="F1917">
            <v>90028491</v>
          </cell>
          <cell r="G1917" t="str">
            <v xml:space="preserve">ADOLFO RAFAEL SEGOVIA QUEZADA </v>
          </cell>
        </row>
        <row r="1918">
          <cell r="F1918">
            <v>90024419</v>
          </cell>
          <cell r="G1918" t="str">
            <v>HELEN JASSMIN REYES PALACIOS</v>
          </cell>
        </row>
        <row r="1919">
          <cell r="F1919">
            <v>90028606</v>
          </cell>
          <cell r="G1919" t="str">
            <v>Laura Angelica Lux Tzunun</v>
          </cell>
        </row>
        <row r="1920">
          <cell r="F1920">
            <v>90028496</v>
          </cell>
          <cell r="G1920" t="str">
            <v>SORAYDA BETZAI CHAVEZ</v>
          </cell>
        </row>
        <row r="1921">
          <cell r="F1921">
            <v>90024632</v>
          </cell>
          <cell r="G1921" t="str">
            <v xml:space="preserve">ERICKA SANDOVAL </v>
          </cell>
        </row>
        <row r="1922">
          <cell r="F1922">
            <v>90025666</v>
          </cell>
          <cell r="G1922" t="str">
            <v>PAULY MARTINA TOJ</v>
          </cell>
        </row>
        <row r="1923">
          <cell r="F1923">
            <v>90027918</v>
          </cell>
          <cell r="G1923" t="str">
            <v>GERBER ALEXANDER SAGUACHE BENITO</v>
          </cell>
        </row>
        <row r="1924">
          <cell r="F1924">
            <v>90027845</v>
          </cell>
          <cell r="G1924" t="str">
            <v>SHIRLEY DAYANA RAMIREZ GALLARDO</v>
          </cell>
        </row>
        <row r="1925">
          <cell r="F1925">
            <v>90027868</v>
          </cell>
          <cell r="G1925" t="str">
            <v>ASHLY ANABELLA RAYMUNDO GONZALEZ</v>
          </cell>
        </row>
        <row r="1926">
          <cell r="F1926">
            <v>90028292</v>
          </cell>
          <cell r="G1926" t="str">
            <v>JULISSA CRISTIANY ESCOBAR ACEITUNO</v>
          </cell>
        </row>
        <row r="1927">
          <cell r="F1927">
            <v>90025620</v>
          </cell>
          <cell r="G1927" t="str">
            <v>ANA LUISA JIMENEZ CORADO</v>
          </cell>
        </row>
        <row r="1928">
          <cell r="F1928">
            <v>315856</v>
          </cell>
          <cell r="G1928" t="str">
            <v>TERESA CAROLINA PRIMERO JALAL</v>
          </cell>
        </row>
        <row r="1929">
          <cell r="F1929">
            <v>316023</v>
          </cell>
          <cell r="G1929" t="str">
            <v>MARIA ANGELICA TRUJILLO CORONADO DE ANDRADE</v>
          </cell>
        </row>
        <row r="1930">
          <cell r="F1930">
            <v>315925</v>
          </cell>
          <cell r="G1930" t="str">
            <v>JOSTHYN RAUL PARDO OBREGON</v>
          </cell>
        </row>
        <row r="1931">
          <cell r="F1931">
            <v>315841</v>
          </cell>
          <cell r="G1931" t="str">
            <v>LESBIA ROXANA ROJAS CASTRO</v>
          </cell>
        </row>
        <row r="1932">
          <cell r="F1932">
            <v>314692</v>
          </cell>
          <cell r="G1932" t="str">
            <v>Abi Susana Santos Alvarado</v>
          </cell>
        </row>
        <row r="1933">
          <cell r="F1933">
            <v>313537</v>
          </cell>
          <cell r="G1933" t="str">
            <v>Abigail Nohemi Letona Lopez</v>
          </cell>
        </row>
        <row r="1934">
          <cell r="F1934">
            <v>314163</v>
          </cell>
          <cell r="G1934" t="str">
            <v>Abner Amilcar Miguel Pedro</v>
          </cell>
        </row>
        <row r="1935">
          <cell r="F1935">
            <v>300544</v>
          </cell>
          <cell r="G1935" t="str">
            <v>Abner Enmanuel Perez Rodriguez</v>
          </cell>
        </row>
        <row r="1936">
          <cell r="F1936">
            <v>315208</v>
          </cell>
          <cell r="G1936" t="str">
            <v>Abner Juan Alexander Menchu Tiu</v>
          </cell>
        </row>
        <row r="1937">
          <cell r="F1937">
            <v>315069</v>
          </cell>
          <cell r="G1937" t="str">
            <v>Abner Rocael Sosa Escobar</v>
          </cell>
        </row>
        <row r="1938">
          <cell r="F1938">
            <v>310864</v>
          </cell>
          <cell r="G1938" t="str">
            <v>Adelaida Garcia Hernandez</v>
          </cell>
        </row>
        <row r="1939">
          <cell r="F1939">
            <v>314604</v>
          </cell>
          <cell r="G1939" t="str">
            <v>Adieny Moren Ramirez Gamboa</v>
          </cell>
        </row>
        <row r="1940">
          <cell r="F1940">
            <v>311687</v>
          </cell>
          <cell r="G1940" t="str">
            <v>Aida Gabriela De Leon Carrascoza</v>
          </cell>
        </row>
        <row r="1941">
          <cell r="F1941">
            <v>315221</v>
          </cell>
          <cell r="G1941" t="str">
            <v>Alan David Perez Muyus</v>
          </cell>
        </row>
        <row r="1942">
          <cell r="F1942">
            <v>311950</v>
          </cell>
          <cell r="G1942" t="str">
            <v>Alan Javier Castillo Ordoñez</v>
          </cell>
        </row>
        <row r="1943">
          <cell r="F1943">
            <v>313765</v>
          </cell>
          <cell r="G1943" t="str">
            <v>Alan Ricardo Flores Diaz</v>
          </cell>
        </row>
        <row r="1944">
          <cell r="F1944">
            <v>314840</v>
          </cell>
          <cell r="G1944" t="str">
            <v>Alba Andrea Perez Hernandez</v>
          </cell>
        </row>
        <row r="1945">
          <cell r="F1945">
            <v>312686</v>
          </cell>
          <cell r="G1945" t="str">
            <v>Alba Azucena Santeliz Marin</v>
          </cell>
        </row>
        <row r="1946">
          <cell r="F1946">
            <v>313531</v>
          </cell>
          <cell r="G1946" t="str">
            <v>Alejandra Gramajo Marroquin</v>
          </cell>
        </row>
        <row r="1947">
          <cell r="F1947">
            <v>313714</v>
          </cell>
          <cell r="G1947" t="str">
            <v>Alejandra Julissa Solis Aguilar</v>
          </cell>
        </row>
        <row r="1948">
          <cell r="F1948">
            <v>313994</v>
          </cell>
          <cell r="G1948" t="str">
            <v>Alejandra Naime Muñoz Letona</v>
          </cell>
        </row>
        <row r="1949">
          <cell r="F1949">
            <v>314849</v>
          </cell>
          <cell r="G1949" t="str">
            <v>Alejandro Enrique Mejicanos Ramos</v>
          </cell>
        </row>
        <row r="1950">
          <cell r="F1950">
            <v>315220</v>
          </cell>
          <cell r="G1950" t="str">
            <v>Alejandro Jose Mont Diaz</v>
          </cell>
        </row>
        <row r="1951">
          <cell r="F1951">
            <v>311810</v>
          </cell>
          <cell r="G1951" t="str">
            <v>Alexander Macario Gonzalez Monterroso</v>
          </cell>
        </row>
        <row r="1952">
          <cell r="F1952">
            <v>300907</v>
          </cell>
          <cell r="G1952" t="str">
            <v>Alexangel Quan Urrutia</v>
          </cell>
        </row>
        <row r="1953">
          <cell r="F1953">
            <v>312962</v>
          </cell>
          <cell r="G1953" t="str">
            <v>Alexia Paola Marroquin Lopez</v>
          </cell>
        </row>
        <row r="1954">
          <cell r="F1954">
            <v>314671</v>
          </cell>
          <cell r="G1954" t="str">
            <v>Alexsandra Daniela Cano Garcia</v>
          </cell>
        </row>
        <row r="1955">
          <cell r="F1955">
            <v>311103</v>
          </cell>
          <cell r="G1955" t="str">
            <v>Alfredo Chiyal Bocel</v>
          </cell>
        </row>
        <row r="1956">
          <cell r="F1956">
            <v>311576</v>
          </cell>
          <cell r="G1956" t="str">
            <v>Alfredo Gomez Lancerio</v>
          </cell>
        </row>
        <row r="1957">
          <cell r="F1957">
            <v>313014</v>
          </cell>
          <cell r="G1957" t="str">
            <v>Alfredo Monsanto Santos</v>
          </cell>
        </row>
        <row r="1958">
          <cell r="F1958">
            <v>315223</v>
          </cell>
          <cell r="G1958" t="str">
            <v>Alicia Magaly Juarez Quiacain</v>
          </cell>
        </row>
        <row r="1959">
          <cell r="F1959">
            <v>314035</v>
          </cell>
          <cell r="G1959" t="str">
            <v>Alisson Andrea Jacobo Castro</v>
          </cell>
        </row>
        <row r="1960">
          <cell r="F1960">
            <v>315214</v>
          </cell>
          <cell r="G1960" t="str">
            <v>Allan David Galdamez De Leon</v>
          </cell>
        </row>
        <row r="1961">
          <cell r="F1961">
            <v>306902</v>
          </cell>
          <cell r="G1961" t="str">
            <v>Allan Kalleb Garcia Cahuex</v>
          </cell>
        </row>
        <row r="1962">
          <cell r="F1962">
            <v>315434</v>
          </cell>
          <cell r="G1962" t="str">
            <v>Alma Carolina Herrera Pirir</v>
          </cell>
        </row>
        <row r="1963">
          <cell r="F1963">
            <v>315280</v>
          </cell>
          <cell r="G1963" t="str">
            <v>Alma Rosa Valle Blandon</v>
          </cell>
        </row>
        <row r="1964">
          <cell r="F1964">
            <v>302247</v>
          </cell>
          <cell r="G1964" t="str">
            <v>Alma Yecenia Ramon Oroxon</v>
          </cell>
        </row>
        <row r="1965">
          <cell r="F1965">
            <v>310433</v>
          </cell>
          <cell r="G1965" t="str">
            <v>Alma Zucely Sarceño Peralta</v>
          </cell>
        </row>
        <row r="1966">
          <cell r="F1966">
            <v>313286</v>
          </cell>
          <cell r="G1966" t="str">
            <v>Alvaro Fernando Acte Mérida</v>
          </cell>
        </row>
        <row r="1967">
          <cell r="F1967">
            <v>313119</v>
          </cell>
          <cell r="G1967" t="str">
            <v>Alvaro Luis Carias Gonzalez</v>
          </cell>
        </row>
        <row r="1968">
          <cell r="F1968">
            <v>313528</v>
          </cell>
          <cell r="G1968" t="str">
            <v>Amairani Lilibeth Escobar Maquin</v>
          </cell>
        </row>
        <row r="1969">
          <cell r="F1969">
            <v>309338</v>
          </cell>
          <cell r="G1969" t="str">
            <v>Amalia Rebeca Son Juarez</v>
          </cell>
        </row>
        <row r="1970">
          <cell r="F1970">
            <v>309664</v>
          </cell>
          <cell r="G1970" t="str">
            <v>Amarilis Sarita Ajtun Lopez</v>
          </cell>
        </row>
        <row r="1971">
          <cell r="F1971">
            <v>309337</v>
          </cell>
          <cell r="G1971" t="str">
            <v>Amauri Santillano Catalan</v>
          </cell>
        </row>
        <row r="1972">
          <cell r="F1972">
            <v>315553</v>
          </cell>
          <cell r="G1972" t="str">
            <v>Amed Isram Rodas Garcia</v>
          </cell>
        </row>
        <row r="1973">
          <cell r="F1973">
            <v>301503</v>
          </cell>
          <cell r="G1973" t="str">
            <v>America Romilia Martinez Ramirez</v>
          </cell>
        </row>
        <row r="1974">
          <cell r="F1974">
            <v>311055</v>
          </cell>
          <cell r="G1974" t="str">
            <v>Amram Dodanim Lopez Cahuec</v>
          </cell>
        </row>
        <row r="1975">
          <cell r="F1975">
            <v>307790</v>
          </cell>
          <cell r="G1975" t="str">
            <v>Ana Cecilia Navichoc Chiquival</v>
          </cell>
        </row>
        <row r="1976">
          <cell r="F1976">
            <v>315044</v>
          </cell>
          <cell r="G1976" t="str">
            <v>Ana Celeste Garcia Garcia</v>
          </cell>
        </row>
        <row r="1977">
          <cell r="F1977">
            <v>309527</v>
          </cell>
          <cell r="G1977" t="str">
            <v>Ana Gabriela Caal Cruz</v>
          </cell>
        </row>
        <row r="1978">
          <cell r="F1978">
            <v>313217</v>
          </cell>
          <cell r="G1978" t="str">
            <v>Ana Gabriela Damian Ixbalan</v>
          </cell>
        </row>
        <row r="1979">
          <cell r="F1979">
            <v>305932</v>
          </cell>
          <cell r="G1979" t="str">
            <v>Ana Gabriela De La Cruz Aguilar</v>
          </cell>
        </row>
        <row r="1980">
          <cell r="F1980">
            <v>314984</v>
          </cell>
          <cell r="G1980" t="str">
            <v>Ana Gabriela Equite Diaz</v>
          </cell>
        </row>
        <row r="1981">
          <cell r="F1981">
            <v>307751</v>
          </cell>
          <cell r="G1981" t="str">
            <v>Ana Gabriela Gonzalez Herrera</v>
          </cell>
        </row>
        <row r="1982">
          <cell r="F1982">
            <v>310329</v>
          </cell>
          <cell r="G1982" t="str">
            <v>Ana Leticia Lux Say</v>
          </cell>
        </row>
        <row r="1983">
          <cell r="F1983">
            <v>311761</v>
          </cell>
          <cell r="G1983" t="str">
            <v>Ana Lourdes Muñoz Pensamiento</v>
          </cell>
        </row>
        <row r="1984">
          <cell r="F1984">
            <v>311111</v>
          </cell>
          <cell r="G1984" t="str">
            <v>Ana Lucia Donis Franco</v>
          </cell>
        </row>
        <row r="1985">
          <cell r="F1985">
            <v>313991</v>
          </cell>
          <cell r="G1985" t="str">
            <v>Ana Lucia Gudiel Vasquez</v>
          </cell>
        </row>
        <row r="1986">
          <cell r="F1986">
            <v>307442</v>
          </cell>
          <cell r="G1986" t="str">
            <v>Ana Lucia Ramirez Aquino</v>
          </cell>
        </row>
        <row r="1987">
          <cell r="F1987">
            <v>306767</v>
          </cell>
          <cell r="G1987" t="str">
            <v>Ana Marcela Castillo Rodriguez</v>
          </cell>
        </row>
        <row r="1988">
          <cell r="F1988">
            <v>312249</v>
          </cell>
          <cell r="G1988" t="str">
            <v>Ana Margarita Barrera Estrada</v>
          </cell>
        </row>
        <row r="1989">
          <cell r="F1989">
            <v>202795</v>
          </cell>
          <cell r="G1989" t="str">
            <v>Ana Maria Barrios Alejos</v>
          </cell>
        </row>
        <row r="1990">
          <cell r="F1990">
            <v>315474</v>
          </cell>
          <cell r="G1990" t="str">
            <v>Ana Merced Arriola Gomez</v>
          </cell>
        </row>
        <row r="1991">
          <cell r="F1991">
            <v>308129</v>
          </cell>
          <cell r="G1991" t="str">
            <v>Ana Mercedes Tiul Caal</v>
          </cell>
        </row>
        <row r="1992">
          <cell r="F1992">
            <v>314191</v>
          </cell>
          <cell r="G1992" t="str">
            <v>Ana Patricia Escobar Cardona</v>
          </cell>
        </row>
        <row r="1993">
          <cell r="F1993">
            <v>310191</v>
          </cell>
          <cell r="G1993" t="str">
            <v>Ana Paulina Macario Del Cid</v>
          </cell>
        </row>
        <row r="1994">
          <cell r="F1994">
            <v>310728</v>
          </cell>
          <cell r="G1994" t="str">
            <v>Ana Rita Morales Mata</v>
          </cell>
        </row>
        <row r="1995">
          <cell r="F1995">
            <v>314469</v>
          </cell>
          <cell r="G1995" t="str">
            <v>Ana Sofia Castillo Armas</v>
          </cell>
        </row>
        <row r="1996">
          <cell r="F1996">
            <v>312945</v>
          </cell>
          <cell r="G1996" t="str">
            <v>Ana Victoria Gonzalez Garcia</v>
          </cell>
        </row>
        <row r="1997">
          <cell r="F1997">
            <v>314019</v>
          </cell>
          <cell r="G1997" t="str">
            <v>Anali Guadalupe Salazar Rodriguez</v>
          </cell>
        </row>
        <row r="1998">
          <cell r="F1998">
            <v>315372</v>
          </cell>
          <cell r="G1998" t="str">
            <v>Andrea Ayalett Ochoa Lopez</v>
          </cell>
        </row>
        <row r="1999">
          <cell r="F1999">
            <v>311505</v>
          </cell>
          <cell r="G1999" t="str">
            <v>Andrea Dayana Ordoñez Mendez</v>
          </cell>
        </row>
        <row r="2000">
          <cell r="F2000">
            <v>315215</v>
          </cell>
          <cell r="G2000" t="str">
            <v>Andrea Fernanda Villela Hernandez</v>
          </cell>
        </row>
        <row r="2001">
          <cell r="F2001">
            <v>311380</v>
          </cell>
          <cell r="G2001" t="str">
            <v>Andrea Lisbeth Ruiz Rodas</v>
          </cell>
        </row>
        <row r="2002">
          <cell r="F2002">
            <v>311137</v>
          </cell>
          <cell r="G2002" t="str">
            <v>Andrea Lucia Lopez Ajin</v>
          </cell>
        </row>
        <row r="2003">
          <cell r="F2003">
            <v>303012</v>
          </cell>
          <cell r="G2003" t="str">
            <v>Andrea Marbely Letran Juarez</v>
          </cell>
        </row>
        <row r="2004">
          <cell r="F2004">
            <v>315264</v>
          </cell>
          <cell r="G2004" t="str">
            <v>Andrea Margarita Gomez Morales</v>
          </cell>
        </row>
        <row r="2005">
          <cell r="F2005">
            <v>302630</v>
          </cell>
          <cell r="G2005" t="str">
            <v>Andrea Maria Alvarez Calderon</v>
          </cell>
        </row>
        <row r="2006">
          <cell r="F2006">
            <v>314057</v>
          </cell>
          <cell r="G2006" t="str">
            <v>Andrea Michelle Urbina Solorzano</v>
          </cell>
        </row>
        <row r="2007">
          <cell r="F2007">
            <v>312310</v>
          </cell>
          <cell r="G2007" t="str">
            <v>Andrea Paola Santisteban Per</v>
          </cell>
        </row>
        <row r="2008">
          <cell r="F2008">
            <v>311079</v>
          </cell>
          <cell r="G2008" t="str">
            <v>Andrea Sucely Ortiz Villavicencio</v>
          </cell>
        </row>
        <row r="2009">
          <cell r="F2009">
            <v>311759</v>
          </cell>
          <cell r="G2009" t="str">
            <v>Andrea Yesenia Carpio Ramirez</v>
          </cell>
        </row>
        <row r="2010">
          <cell r="F2010">
            <v>313301</v>
          </cell>
          <cell r="G2010" t="str">
            <v>Andreina Antonieta Velasquez Fuentes</v>
          </cell>
        </row>
        <row r="2011">
          <cell r="F2011">
            <v>315450</v>
          </cell>
          <cell r="G2011" t="str">
            <v>Andreina Nataly Canahui Ochoa</v>
          </cell>
        </row>
        <row r="2012">
          <cell r="F2012">
            <v>314933</v>
          </cell>
          <cell r="G2012" t="str">
            <v>Angel Eliu Humberto Caal Lopez</v>
          </cell>
        </row>
        <row r="2013">
          <cell r="F2013">
            <v>306471</v>
          </cell>
          <cell r="G2013" t="str">
            <v>Angel Enmanuel Quim Macz</v>
          </cell>
        </row>
        <row r="2014">
          <cell r="F2014">
            <v>309415</v>
          </cell>
          <cell r="G2014" t="str">
            <v>Angel Jose Figueroa Garcia</v>
          </cell>
        </row>
        <row r="2015">
          <cell r="F2015">
            <v>315312</v>
          </cell>
          <cell r="G2015" t="str">
            <v>Angel Josue Ortiz De Leon</v>
          </cell>
        </row>
        <row r="2016">
          <cell r="F2016">
            <v>305814</v>
          </cell>
          <cell r="G2016" t="str">
            <v>Angel Josue Perez Rivera</v>
          </cell>
        </row>
        <row r="2017">
          <cell r="F2017">
            <v>314564</v>
          </cell>
          <cell r="G2017" t="str">
            <v>Angel Raderyk Vasquez Ovando</v>
          </cell>
        </row>
        <row r="2018">
          <cell r="F2018">
            <v>312055</v>
          </cell>
          <cell r="G2018" t="str">
            <v>Angela Daniela Mazariegos Herrera</v>
          </cell>
        </row>
        <row r="2019">
          <cell r="F2019">
            <v>311086</v>
          </cell>
          <cell r="G2019" t="str">
            <v>Angela Esmeralda Reyes Arriaza</v>
          </cell>
        </row>
        <row r="2020">
          <cell r="F2020">
            <v>309859</v>
          </cell>
          <cell r="G2020" t="str">
            <v>Angela Ester Gramajo Galicia</v>
          </cell>
        </row>
        <row r="2021">
          <cell r="F2021">
            <v>315026</v>
          </cell>
          <cell r="G2021" t="str">
            <v>Angela Marizol Ramon Escobar</v>
          </cell>
        </row>
        <row r="2022">
          <cell r="F2022">
            <v>314696</v>
          </cell>
          <cell r="G2022" t="str">
            <v>Angelica Sol Ortiz</v>
          </cell>
        </row>
        <row r="2023">
          <cell r="F2023">
            <v>311699</v>
          </cell>
          <cell r="G2023" t="str">
            <v>Anika Beira Domingo Escobar</v>
          </cell>
        </row>
        <row r="2024">
          <cell r="F2024">
            <v>315556</v>
          </cell>
          <cell r="G2024" t="str">
            <v>Anthony Enrique Castellanos Perez</v>
          </cell>
        </row>
        <row r="2025">
          <cell r="F2025">
            <v>315121</v>
          </cell>
          <cell r="G2025" t="str">
            <v>Antoni Alexis Del Cid Sian</v>
          </cell>
        </row>
        <row r="2026">
          <cell r="F2026">
            <v>311557</v>
          </cell>
          <cell r="G2026" t="str">
            <v>Aracely Nohemy Fuentes Alonzo</v>
          </cell>
        </row>
        <row r="2027">
          <cell r="F2027">
            <v>102256</v>
          </cell>
          <cell r="G2027" t="str">
            <v>Arelis Noemi Gonzalez Vivar</v>
          </cell>
        </row>
        <row r="2028">
          <cell r="F2028">
            <v>315150</v>
          </cell>
          <cell r="G2028" t="str">
            <v>Arely Maoly Aguilar Y Aguilar</v>
          </cell>
        </row>
        <row r="2029">
          <cell r="F2029">
            <v>309908</v>
          </cell>
          <cell r="G2029" t="str">
            <v>Arleth Julissa Paredez Ramirez</v>
          </cell>
        </row>
        <row r="2030">
          <cell r="F2030">
            <v>315532</v>
          </cell>
          <cell r="G2030" t="str">
            <v>Ashley Dayana Franco Sandoval</v>
          </cell>
        </row>
        <row r="2031">
          <cell r="F2031">
            <v>315493</v>
          </cell>
          <cell r="G2031" t="str">
            <v>Astrid Carolina Lopez Lopez</v>
          </cell>
        </row>
        <row r="2032">
          <cell r="F2032">
            <v>310020</v>
          </cell>
          <cell r="G2032" t="str">
            <v>Astrid Elena Alvarado Lopez</v>
          </cell>
        </row>
        <row r="2033">
          <cell r="F2033">
            <v>315277</v>
          </cell>
          <cell r="G2033" t="str">
            <v>Astrid Guadalupe Fernandez Perez</v>
          </cell>
        </row>
        <row r="2034">
          <cell r="F2034">
            <v>310483</v>
          </cell>
          <cell r="G2034" t="str">
            <v>Astrid Ivone Hernandez</v>
          </cell>
        </row>
        <row r="2035">
          <cell r="F2035">
            <v>309804</v>
          </cell>
          <cell r="G2035" t="str">
            <v>Astrid Leonela Barrios Velasquez</v>
          </cell>
        </row>
        <row r="2036">
          <cell r="F2036">
            <v>312146</v>
          </cell>
          <cell r="G2036" t="str">
            <v>Astrid Lisbeth Morales Morales</v>
          </cell>
        </row>
        <row r="2037">
          <cell r="F2037">
            <v>310967</v>
          </cell>
          <cell r="G2037" t="str">
            <v>Astrid Marielena Mendez Garcia</v>
          </cell>
        </row>
        <row r="2038">
          <cell r="F2038">
            <v>311328</v>
          </cell>
          <cell r="G2038" t="str">
            <v>Astrid Yohana Escobar Oliva</v>
          </cell>
        </row>
        <row r="2039">
          <cell r="F2039">
            <v>314277</v>
          </cell>
          <cell r="G2039" t="str">
            <v>Aura Josefina Coy Tiul</v>
          </cell>
        </row>
        <row r="2040">
          <cell r="F2040">
            <v>202265</v>
          </cell>
          <cell r="G2040" t="str">
            <v>Aura Leticia Aparicio Marin</v>
          </cell>
        </row>
        <row r="2041">
          <cell r="F2041">
            <v>314986</v>
          </cell>
          <cell r="G2041" t="str">
            <v>Aura Lourdes Garcia Gomez</v>
          </cell>
        </row>
        <row r="2042">
          <cell r="F2042">
            <v>314350</v>
          </cell>
          <cell r="G2042" t="str">
            <v>Aura Mirthala Castillo Castillo</v>
          </cell>
        </row>
        <row r="2043">
          <cell r="F2043">
            <v>313666</v>
          </cell>
          <cell r="G2043" t="str">
            <v>Avner Josue Merida Molina</v>
          </cell>
        </row>
        <row r="2044">
          <cell r="F2044">
            <v>315388</v>
          </cell>
          <cell r="G2044" t="str">
            <v>Axel Anderson Montufar Roca</v>
          </cell>
        </row>
        <row r="2045">
          <cell r="F2045">
            <v>314730</v>
          </cell>
          <cell r="G2045" t="str">
            <v>Axel Denilson Hernandez Tocay</v>
          </cell>
        </row>
        <row r="2046">
          <cell r="F2046">
            <v>315271</v>
          </cell>
          <cell r="G2046" t="str">
            <v>Axel Roberto Guzman Coro</v>
          </cell>
        </row>
        <row r="2047">
          <cell r="F2047">
            <v>308798</v>
          </cell>
          <cell r="G2047" t="str">
            <v>Axel Wilfredo Caal Coy</v>
          </cell>
        </row>
        <row r="2048">
          <cell r="F2048">
            <v>307068</v>
          </cell>
          <cell r="G2048" t="str">
            <v>Azucena Raquel Luis Perez</v>
          </cell>
        </row>
        <row r="2049">
          <cell r="F2049">
            <v>313706</v>
          </cell>
          <cell r="G2049" t="str">
            <v>Barbara Alejandra Toj Romero</v>
          </cell>
        </row>
        <row r="2050">
          <cell r="F2050">
            <v>311943</v>
          </cell>
          <cell r="G2050" t="str">
            <v>Beberli Yuceli Gomez Davila</v>
          </cell>
        </row>
        <row r="2051">
          <cell r="F2051">
            <v>311141</v>
          </cell>
          <cell r="G2051" t="str">
            <v>Beberlin Dayana Veron Garcia</v>
          </cell>
        </row>
        <row r="2052">
          <cell r="F2052">
            <v>312544</v>
          </cell>
          <cell r="G2052" t="str">
            <v>Beberly Angeaneth Gonzalez Ruiz</v>
          </cell>
        </row>
        <row r="2053">
          <cell r="F2053">
            <v>309965</v>
          </cell>
          <cell r="G2053" t="str">
            <v>Beberly Karina Ramirez Ismatul</v>
          </cell>
        </row>
        <row r="2054">
          <cell r="F2054">
            <v>313675</v>
          </cell>
          <cell r="G2054" t="str">
            <v>Beberly Salvador Zuñiga</v>
          </cell>
        </row>
        <row r="2055">
          <cell r="F2055">
            <v>311623</v>
          </cell>
          <cell r="G2055" t="str">
            <v>Belgica Lizeth Can Guitz</v>
          </cell>
        </row>
        <row r="2056">
          <cell r="F2056">
            <v>314219</v>
          </cell>
          <cell r="G2056" t="str">
            <v>Berta Leticia Yapan Pelen</v>
          </cell>
        </row>
        <row r="2057">
          <cell r="F2057">
            <v>314495</v>
          </cell>
          <cell r="G2057" t="str">
            <v>Bertha Lidia Morataya Diaz</v>
          </cell>
        </row>
        <row r="2058">
          <cell r="F2058">
            <v>310116</v>
          </cell>
          <cell r="G2058" t="str">
            <v>Bertha Rosalba Gabriel Vasquez</v>
          </cell>
        </row>
        <row r="2059">
          <cell r="F2059">
            <v>312164</v>
          </cell>
          <cell r="G2059" t="str">
            <v>Betzy Dayana Gutierrez Chon</v>
          </cell>
        </row>
        <row r="2060">
          <cell r="F2060">
            <v>314695</v>
          </cell>
          <cell r="G2060" t="str">
            <v>Beverly Jeanette Panjoj Tiriquiz</v>
          </cell>
        </row>
        <row r="2061">
          <cell r="F2061">
            <v>305070</v>
          </cell>
          <cell r="G2061" t="str">
            <v>Beverly Walesca Morales Ibarra</v>
          </cell>
        </row>
        <row r="2062">
          <cell r="F2062">
            <v>314496</v>
          </cell>
          <cell r="G2062" t="str">
            <v>Blanca Cristina Saquic Ac</v>
          </cell>
        </row>
        <row r="2063">
          <cell r="F2063">
            <v>310463</v>
          </cell>
          <cell r="G2063" t="str">
            <v>Blanca Olinda Quintanilla Godoy</v>
          </cell>
        </row>
        <row r="2064">
          <cell r="F2064">
            <v>315542</v>
          </cell>
          <cell r="G2064" t="str">
            <v>Brandon Alberto Jerez Cajas</v>
          </cell>
        </row>
        <row r="2065">
          <cell r="F2065">
            <v>313655</v>
          </cell>
          <cell r="G2065" t="str">
            <v>Brandon Antonio Alvarez Lopez</v>
          </cell>
        </row>
        <row r="2066">
          <cell r="F2066">
            <v>311035</v>
          </cell>
          <cell r="G2066" t="str">
            <v>Brandon Ivan De Mata Monzon</v>
          </cell>
        </row>
        <row r="2067">
          <cell r="F2067">
            <v>315227</v>
          </cell>
          <cell r="G2067" t="str">
            <v>Brayan Alexander Lopez Garcia</v>
          </cell>
        </row>
        <row r="2068">
          <cell r="F2068">
            <v>311689</v>
          </cell>
          <cell r="G2068" t="str">
            <v>Brayan Alexander Recancoy Ramos</v>
          </cell>
        </row>
        <row r="2069">
          <cell r="F2069">
            <v>314853</v>
          </cell>
          <cell r="G2069" t="str">
            <v>Brayan Dennis Lopez Puac</v>
          </cell>
        </row>
        <row r="2070">
          <cell r="F2070">
            <v>310812</v>
          </cell>
          <cell r="G2070" t="str">
            <v>Brayan Franklin Lopez Alvarez</v>
          </cell>
        </row>
        <row r="2071">
          <cell r="F2071">
            <v>308857</v>
          </cell>
          <cell r="G2071" t="str">
            <v>Brenda Elizabeth Sanchez Barrientos</v>
          </cell>
        </row>
        <row r="2072">
          <cell r="F2072">
            <v>305633</v>
          </cell>
          <cell r="G2072" t="str">
            <v>Brenda Esmeralda Alvarado Pascual</v>
          </cell>
        </row>
        <row r="2073">
          <cell r="F2073">
            <v>311220</v>
          </cell>
          <cell r="G2073" t="str">
            <v>Brenda Karina Coxaj Peinado</v>
          </cell>
        </row>
        <row r="2074">
          <cell r="F2074">
            <v>314642</v>
          </cell>
          <cell r="G2074" t="str">
            <v>Brenda Liseth Ixcoy Tulujan</v>
          </cell>
        </row>
        <row r="2075">
          <cell r="F2075">
            <v>304427</v>
          </cell>
          <cell r="G2075" t="str">
            <v>Brenda Lucrecia Lopez Gonzalez</v>
          </cell>
        </row>
        <row r="2076">
          <cell r="F2076">
            <v>315536</v>
          </cell>
          <cell r="G2076" t="str">
            <v>Brenda Lucrecia Ruiz Sanchez</v>
          </cell>
        </row>
        <row r="2077">
          <cell r="F2077">
            <v>310019</v>
          </cell>
          <cell r="G2077" t="str">
            <v>Brenda Maribel Montenegro Reyes</v>
          </cell>
        </row>
        <row r="2078">
          <cell r="F2078">
            <v>301074</v>
          </cell>
          <cell r="G2078" t="str">
            <v>Brenda Marisol Aguilar Patzan</v>
          </cell>
        </row>
        <row r="2079">
          <cell r="F2079">
            <v>313843</v>
          </cell>
          <cell r="G2079" t="str">
            <v>Brenda Marisol Sanchez Chivalan</v>
          </cell>
        </row>
        <row r="2080">
          <cell r="F2080">
            <v>309042</v>
          </cell>
          <cell r="G2080" t="str">
            <v>Brenda Perez Morales</v>
          </cell>
        </row>
        <row r="2081">
          <cell r="F2081">
            <v>306259</v>
          </cell>
          <cell r="G2081" t="str">
            <v>Brenda Raquel Ramirez Sanchez</v>
          </cell>
        </row>
        <row r="2082">
          <cell r="F2082">
            <v>315398</v>
          </cell>
          <cell r="G2082" t="str">
            <v>Bretany Celeste Ramirez Monroy</v>
          </cell>
        </row>
        <row r="2083">
          <cell r="F2083">
            <v>313436</v>
          </cell>
          <cell r="G2083" t="str">
            <v>Brian Baudilio Orozco Perez</v>
          </cell>
        </row>
        <row r="2084">
          <cell r="F2084">
            <v>310691</v>
          </cell>
          <cell r="G2084" t="str">
            <v>Brisley Cristina Ortiz Zelada</v>
          </cell>
        </row>
        <row r="2085">
          <cell r="F2085">
            <v>314290</v>
          </cell>
          <cell r="G2085" t="str">
            <v>Bryan Alexander Emanuel Orozco Lancerio</v>
          </cell>
        </row>
        <row r="2086">
          <cell r="F2086">
            <v>315133</v>
          </cell>
          <cell r="G2086" t="str">
            <v>Bryan Daniel Milián De Leon</v>
          </cell>
        </row>
        <row r="2087">
          <cell r="F2087">
            <v>307335</v>
          </cell>
          <cell r="G2087" t="str">
            <v>Bryllan Armando Sierra Sierra</v>
          </cell>
        </row>
        <row r="2088">
          <cell r="F2088">
            <v>314864</v>
          </cell>
          <cell r="G2088" t="str">
            <v>Byron Estuardo Paredes Villela</v>
          </cell>
        </row>
        <row r="2089">
          <cell r="F2089">
            <v>313648</v>
          </cell>
          <cell r="G2089" t="str">
            <v>Byron Giovanni Veliz Vasquez</v>
          </cell>
        </row>
        <row r="2090">
          <cell r="F2090">
            <v>303766</v>
          </cell>
          <cell r="G2090" t="str">
            <v>Byron Josue Moscoso Vega</v>
          </cell>
        </row>
        <row r="2091">
          <cell r="F2091">
            <v>313985</v>
          </cell>
          <cell r="G2091" t="str">
            <v>Byron Mauricio Amezquita Rivas</v>
          </cell>
        </row>
        <row r="2092">
          <cell r="F2092">
            <v>315267</v>
          </cell>
          <cell r="G2092" t="str">
            <v>Carla Esmeralda Candido Gonzalez</v>
          </cell>
        </row>
        <row r="2093">
          <cell r="F2093">
            <v>314451</v>
          </cell>
          <cell r="G2093" t="str">
            <v>Carla Fernanda Fernandez Lopez</v>
          </cell>
        </row>
        <row r="2094">
          <cell r="F2094">
            <v>312153</v>
          </cell>
          <cell r="G2094" t="str">
            <v>Carlos Adalberto Diaz Escobar</v>
          </cell>
        </row>
        <row r="2095">
          <cell r="F2095">
            <v>315125</v>
          </cell>
          <cell r="G2095" t="str">
            <v>Carlos Alberto Galvez Hernandez</v>
          </cell>
        </row>
        <row r="2096">
          <cell r="F2096">
            <v>314135</v>
          </cell>
          <cell r="G2096" t="str">
            <v>Carlos Alberto Guzman Hernandez</v>
          </cell>
        </row>
        <row r="2097">
          <cell r="F2097">
            <v>315051</v>
          </cell>
          <cell r="G2097" t="str">
            <v>Carlos Alfredo Catun Rax</v>
          </cell>
        </row>
        <row r="2098">
          <cell r="F2098">
            <v>309822</v>
          </cell>
          <cell r="G2098" t="str">
            <v>Carlos Anibal Caal Tux</v>
          </cell>
        </row>
        <row r="2099">
          <cell r="F2099">
            <v>302371</v>
          </cell>
          <cell r="G2099" t="str">
            <v>Carlos Arturo Straube Lopez</v>
          </cell>
        </row>
        <row r="2100">
          <cell r="F2100">
            <v>314738</v>
          </cell>
          <cell r="G2100" t="str">
            <v>Carlos David Castillo Gamboa</v>
          </cell>
        </row>
        <row r="2101">
          <cell r="F2101">
            <v>315158</v>
          </cell>
          <cell r="G2101" t="str">
            <v>Carlos Emilio Cumez Chenol</v>
          </cell>
        </row>
        <row r="2102">
          <cell r="F2102">
            <v>312533</v>
          </cell>
          <cell r="G2102" t="str">
            <v>Carlos Enrique Coz Toc</v>
          </cell>
        </row>
        <row r="2103">
          <cell r="F2103">
            <v>314773</v>
          </cell>
          <cell r="G2103" t="str">
            <v>Carlos Enrique Ramirez Lopez</v>
          </cell>
        </row>
        <row r="2104">
          <cell r="F2104">
            <v>313303</v>
          </cell>
          <cell r="G2104" t="str">
            <v>Carlos Enrique Vasquez Esteban</v>
          </cell>
        </row>
        <row r="2105">
          <cell r="F2105">
            <v>314841</v>
          </cell>
          <cell r="G2105" t="str">
            <v>Carlos Estuardo Campos Asig</v>
          </cell>
        </row>
        <row r="2106">
          <cell r="F2106">
            <v>308075</v>
          </cell>
          <cell r="G2106" t="str">
            <v>Carlos Humberto De Paz Paiz</v>
          </cell>
        </row>
        <row r="2107">
          <cell r="F2107">
            <v>314441</v>
          </cell>
          <cell r="G2107" t="str">
            <v>Carlos Josue Perez Garcia</v>
          </cell>
        </row>
        <row r="2108">
          <cell r="F2108">
            <v>202153</v>
          </cell>
          <cell r="G2108" t="str">
            <v>Carlos Leonel Corado Sosa</v>
          </cell>
        </row>
        <row r="2109">
          <cell r="F2109">
            <v>313324</v>
          </cell>
          <cell r="G2109" t="str">
            <v>Carlos Miguel Carrillo Perez</v>
          </cell>
        </row>
        <row r="2110">
          <cell r="F2110">
            <v>310535</v>
          </cell>
          <cell r="G2110" t="str">
            <v>Carlos Oliverio Ortiz Villalobos</v>
          </cell>
        </row>
        <row r="2111">
          <cell r="F2111">
            <v>315501</v>
          </cell>
          <cell r="G2111" t="str">
            <v>Carlos Onofre Sierra Vasquez</v>
          </cell>
        </row>
        <row r="2112">
          <cell r="F2112">
            <v>313844</v>
          </cell>
          <cell r="G2112" t="str">
            <v>Carlos Raul Pedroza Lopez</v>
          </cell>
        </row>
        <row r="2113">
          <cell r="F2113">
            <v>315111</v>
          </cell>
          <cell r="G2113" t="str">
            <v>Carlos Roberto Arana Garcia</v>
          </cell>
        </row>
        <row r="2114">
          <cell r="F2114">
            <v>304522</v>
          </cell>
          <cell r="G2114" t="str">
            <v>Carlos Saul Santizo Lopez</v>
          </cell>
        </row>
        <row r="2115">
          <cell r="F2115">
            <v>315182</v>
          </cell>
          <cell r="G2115" t="str">
            <v>Carmen Amalia Macario Rixtun</v>
          </cell>
        </row>
        <row r="2116">
          <cell r="F2116">
            <v>311800</v>
          </cell>
          <cell r="G2116" t="str">
            <v>Carmen Elizabeth Vargas Tun</v>
          </cell>
        </row>
        <row r="2117">
          <cell r="F2117">
            <v>312849</v>
          </cell>
          <cell r="G2117" t="str">
            <v>Carmen Liliana Subuyuj Ordoñez</v>
          </cell>
        </row>
        <row r="2118">
          <cell r="F2118">
            <v>315498</v>
          </cell>
          <cell r="G2118" t="str">
            <v>Carolina Azucena Lima Contreras</v>
          </cell>
        </row>
        <row r="2119">
          <cell r="F2119">
            <v>312692</v>
          </cell>
          <cell r="G2119" t="str">
            <v>Catarina Del Rosario Lopez Taquiej</v>
          </cell>
        </row>
        <row r="2120">
          <cell r="F2120">
            <v>314287</v>
          </cell>
          <cell r="G2120" t="str">
            <v>Caterin Berenise Cayax Atz</v>
          </cell>
        </row>
        <row r="2121">
          <cell r="F2121">
            <v>313662</v>
          </cell>
          <cell r="G2121" t="str">
            <v>Catirin Marbella Juarez Garcia</v>
          </cell>
        </row>
        <row r="2122">
          <cell r="F2122">
            <v>307766</v>
          </cell>
          <cell r="G2122" t="str">
            <v>Cecia Amabil Lopez Valencia</v>
          </cell>
        </row>
        <row r="2123">
          <cell r="F2123">
            <v>311730</v>
          </cell>
          <cell r="G2123" t="str">
            <v>Cecilia Margoth Lopez Raymundo</v>
          </cell>
        </row>
        <row r="2124">
          <cell r="F2124">
            <v>314955</v>
          </cell>
          <cell r="G2124" t="str">
            <v>Celia Esperanza Arroyo Chiche</v>
          </cell>
        </row>
        <row r="2125">
          <cell r="F2125">
            <v>310950</v>
          </cell>
          <cell r="G2125" t="str">
            <v>Cendy Regina Axulen Gonzalez</v>
          </cell>
        </row>
        <row r="2126">
          <cell r="F2126">
            <v>314640</v>
          </cell>
          <cell r="G2126" t="str">
            <v>Cesar Estuardo Perez Monterroso</v>
          </cell>
        </row>
        <row r="2127">
          <cell r="F2127">
            <v>300192</v>
          </cell>
          <cell r="G2127" t="str">
            <v>Cesar Fernando Reyna Almengor</v>
          </cell>
        </row>
        <row r="2128">
          <cell r="F2128">
            <v>313484</v>
          </cell>
          <cell r="G2128" t="str">
            <v>Cesar Geovanni Tuc Sum</v>
          </cell>
        </row>
        <row r="2129">
          <cell r="F2129">
            <v>303330</v>
          </cell>
          <cell r="G2129" t="str">
            <v>Cesar Geovanny De Leon Palacios</v>
          </cell>
        </row>
        <row r="2130">
          <cell r="F2130">
            <v>314446</v>
          </cell>
          <cell r="G2130" t="str">
            <v>Cesar Humberto Cazun Hernandez</v>
          </cell>
        </row>
        <row r="2131">
          <cell r="F2131">
            <v>314900</v>
          </cell>
          <cell r="G2131" t="str">
            <v>Cesar Oliverio Orozco Flores</v>
          </cell>
        </row>
        <row r="2132">
          <cell r="F2132">
            <v>311692</v>
          </cell>
          <cell r="G2132" t="str">
            <v>Cesia Paola Marroquin Sanchez</v>
          </cell>
        </row>
        <row r="2133">
          <cell r="F2133">
            <v>315401</v>
          </cell>
          <cell r="G2133" t="str">
            <v>Christa Maria Belen Barrera Mazariegos</v>
          </cell>
        </row>
        <row r="2134">
          <cell r="F2134">
            <v>315509</v>
          </cell>
          <cell r="G2134" t="str">
            <v>Christiam Daniel Arroyo Cisneros</v>
          </cell>
        </row>
        <row r="2135">
          <cell r="F2135">
            <v>310362</v>
          </cell>
          <cell r="G2135" t="str">
            <v>Christian Alejandro Tistoj Lopez</v>
          </cell>
        </row>
        <row r="2136">
          <cell r="F2136">
            <v>315525</v>
          </cell>
          <cell r="G2136" t="str">
            <v>Christian Bladimir Panjoj Mejia</v>
          </cell>
        </row>
        <row r="2137">
          <cell r="F2137">
            <v>314565</v>
          </cell>
          <cell r="G2137" t="str">
            <v>Christian Eduardo Celada Orellana</v>
          </cell>
        </row>
        <row r="2138">
          <cell r="F2138">
            <v>309907</v>
          </cell>
          <cell r="G2138" t="str">
            <v>Christofer Antonio Chali Bacajol</v>
          </cell>
        </row>
        <row r="2139">
          <cell r="F2139">
            <v>312703</v>
          </cell>
          <cell r="G2139" t="str">
            <v>Cindy Aracely Ruano Can</v>
          </cell>
        </row>
        <row r="2140">
          <cell r="F2140">
            <v>307760</v>
          </cell>
          <cell r="G2140" t="str">
            <v>Cindy Beatriz Reyes De Leon</v>
          </cell>
        </row>
        <row r="2141">
          <cell r="F2141">
            <v>312950</v>
          </cell>
          <cell r="G2141" t="str">
            <v>Cindy Carolina Sandoval Ruiz</v>
          </cell>
        </row>
        <row r="2142">
          <cell r="F2142">
            <v>312302</v>
          </cell>
          <cell r="G2142" t="str">
            <v>Cindy Gabriela Chanchavac Mejia</v>
          </cell>
        </row>
        <row r="2143">
          <cell r="F2143">
            <v>315484</v>
          </cell>
          <cell r="G2143" t="str">
            <v>Cindy Gabriela Perez</v>
          </cell>
        </row>
        <row r="2144">
          <cell r="F2144">
            <v>312872</v>
          </cell>
          <cell r="G2144" t="str">
            <v>Cindy Judith Urizar Davila</v>
          </cell>
        </row>
        <row r="2145">
          <cell r="F2145">
            <v>312532</v>
          </cell>
          <cell r="G2145" t="str">
            <v>Cindy Melissa Cordon Alfaro</v>
          </cell>
        </row>
        <row r="2146">
          <cell r="F2146">
            <v>314028</v>
          </cell>
          <cell r="G2146" t="str">
            <v>Cindy Paola Garcia Monroy</v>
          </cell>
        </row>
        <row r="2147">
          <cell r="F2147">
            <v>314689</v>
          </cell>
          <cell r="G2147" t="str">
            <v>Cindy Veronica Bran Polanco</v>
          </cell>
        </row>
        <row r="2148">
          <cell r="F2148">
            <v>314409</v>
          </cell>
          <cell r="G2148" t="str">
            <v>Cindy Yenibeth Cano Claudio</v>
          </cell>
        </row>
        <row r="2149">
          <cell r="F2149">
            <v>310946</v>
          </cell>
          <cell r="G2149" t="str">
            <v>Cindy Yesenia Morales Quevedo De Abril</v>
          </cell>
        </row>
        <row r="2150">
          <cell r="F2150">
            <v>312831</v>
          </cell>
          <cell r="G2150" t="str">
            <v>Cindy Yojana Mendoza Cajas</v>
          </cell>
        </row>
        <row r="2151">
          <cell r="F2151">
            <v>312181</v>
          </cell>
          <cell r="G2151" t="str">
            <v>Clara Elizabeth Joge Torres</v>
          </cell>
        </row>
        <row r="2152">
          <cell r="F2152">
            <v>310768</v>
          </cell>
          <cell r="G2152" t="str">
            <v>Clara Lorena Perez Hernandez</v>
          </cell>
        </row>
        <row r="2153">
          <cell r="F2153">
            <v>315453</v>
          </cell>
          <cell r="G2153" t="str">
            <v>Claudia Analy Argueta Matias</v>
          </cell>
        </row>
        <row r="2154">
          <cell r="F2154">
            <v>306444</v>
          </cell>
          <cell r="G2154" t="str">
            <v>Claudia Dolores Barcenas Guillen</v>
          </cell>
        </row>
        <row r="2155">
          <cell r="F2155">
            <v>301809</v>
          </cell>
          <cell r="G2155" t="str">
            <v>Claudia Eugenia Chavarria Ramos</v>
          </cell>
        </row>
        <row r="2156">
          <cell r="F2156">
            <v>311808</v>
          </cell>
          <cell r="G2156" t="str">
            <v>Claudia Lorena Quino Isaguirre</v>
          </cell>
        </row>
        <row r="2157">
          <cell r="F2157">
            <v>314574</v>
          </cell>
          <cell r="G2157" t="str">
            <v>Claudia Marisol Esquivel Ramirez</v>
          </cell>
        </row>
        <row r="2158">
          <cell r="F2158">
            <v>313613</v>
          </cell>
          <cell r="G2158" t="str">
            <v>Claudia Noemi Marroquin Perez</v>
          </cell>
        </row>
        <row r="2159">
          <cell r="F2159">
            <v>306569</v>
          </cell>
          <cell r="G2159" t="str">
            <v>Claudia Susana Garcia</v>
          </cell>
        </row>
        <row r="2160">
          <cell r="F2160">
            <v>311441</v>
          </cell>
          <cell r="G2160" t="str">
            <v>Claudia Yaneth Hidalgo Gonzalez</v>
          </cell>
        </row>
        <row r="2161">
          <cell r="F2161">
            <v>303265</v>
          </cell>
          <cell r="G2161" t="str">
            <v>Claudia Yesenia Pinto Picen</v>
          </cell>
        </row>
        <row r="2162">
          <cell r="F2162">
            <v>313318</v>
          </cell>
          <cell r="G2162" t="str">
            <v>Claudia Yesenia Ramos Perez</v>
          </cell>
        </row>
        <row r="2163">
          <cell r="F2163">
            <v>309535</v>
          </cell>
          <cell r="G2163" t="str">
            <v>Coralia Brenda Judith Ruano Hernandez</v>
          </cell>
        </row>
        <row r="2164">
          <cell r="F2164">
            <v>310711</v>
          </cell>
          <cell r="G2164" t="str">
            <v>Cristian Alfredo Jimenez Quino</v>
          </cell>
        </row>
        <row r="2165">
          <cell r="F2165">
            <v>312995</v>
          </cell>
          <cell r="G2165" t="str">
            <v>Cristian Esleiter Zuleta Batres</v>
          </cell>
        </row>
        <row r="2166">
          <cell r="F2166">
            <v>314701</v>
          </cell>
          <cell r="G2166" t="str">
            <v>Cristian Orlando Leonardo Cortez</v>
          </cell>
        </row>
        <row r="2167">
          <cell r="F2167">
            <v>314612</v>
          </cell>
          <cell r="G2167" t="str">
            <v>Cristian Romulo Rolando Cojulun Barrera</v>
          </cell>
        </row>
        <row r="2168">
          <cell r="F2168">
            <v>314468</v>
          </cell>
          <cell r="G2168" t="str">
            <v>Cristian Salvador Perez Quiroa</v>
          </cell>
        </row>
        <row r="2169">
          <cell r="F2169">
            <v>314670</v>
          </cell>
          <cell r="G2169" t="str">
            <v>Cristian Tomas Chuc Perez</v>
          </cell>
        </row>
        <row r="2170">
          <cell r="F2170">
            <v>315578</v>
          </cell>
          <cell r="G2170" t="str">
            <v>Cristian Ubaldo De Leon Ramirez</v>
          </cell>
        </row>
        <row r="2171">
          <cell r="F2171">
            <v>307449</v>
          </cell>
          <cell r="G2171" t="str">
            <v>Cristina De Jesus Hernandez Macajola</v>
          </cell>
        </row>
        <row r="2172">
          <cell r="F2172">
            <v>306823</v>
          </cell>
          <cell r="G2172" t="str">
            <v>Cristina Mariela Sapon Morales</v>
          </cell>
        </row>
        <row r="2173">
          <cell r="F2173">
            <v>313589</v>
          </cell>
          <cell r="G2173" t="str">
            <v>Cristobal Vinicio Chacon Rosana</v>
          </cell>
        </row>
        <row r="2174">
          <cell r="F2174">
            <v>310386</v>
          </cell>
          <cell r="G2174" t="str">
            <v>Cristy Charito Bran Guerra</v>
          </cell>
        </row>
        <row r="2175">
          <cell r="F2175">
            <v>314883</v>
          </cell>
          <cell r="G2175" t="str">
            <v>Cynthia Guisela Samayoa Aldana</v>
          </cell>
        </row>
        <row r="2176">
          <cell r="F2176">
            <v>313709</v>
          </cell>
          <cell r="G2176" t="str">
            <v>Cynthia Marisol Gonzalez Vargas</v>
          </cell>
        </row>
        <row r="2177">
          <cell r="F2177">
            <v>314097</v>
          </cell>
          <cell r="G2177" t="str">
            <v>Cynthia Rosaura Cruz Cosajay</v>
          </cell>
        </row>
        <row r="2178">
          <cell r="F2178">
            <v>314981</v>
          </cell>
          <cell r="G2178" t="str">
            <v>Dalila Marisol Ramos Galan</v>
          </cell>
        </row>
        <row r="2179">
          <cell r="F2179">
            <v>308765</v>
          </cell>
          <cell r="G2179" t="str">
            <v>Damaris Abigail Garcia Perez</v>
          </cell>
        </row>
        <row r="2180">
          <cell r="F2180">
            <v>315256</v>
          </cell>
          <cell r="G2180" t="str">
            <v>Damaris Abigail Urizar Martinez</v>
          </cell>
        </row>
        <row r="2181">
          <cell r="F2181">
            <v>312949</v>
          </cell>
          <cell r="G2181" t="str">
            <v>Damaris Liseth Sagastume Pinto</v>
          </cell>
        </row>
        <row r="2182">
          <cell r="F2182">
            <v>314411</v>
          </cell>
          <cell r="G2182" t="str">
            <v>Damaris Paola Gonzalez Gallardo</v>
          </cell>
        </row>
        <row r="2183">
          <cell r="F2183">
            <v>314179</v>
          </cell>
          <cell r="G2183" t="str">
            <v>Damaris Sucely Mendez Roche</v>
          </cell>
        </row>
        <row r="2184">
          <cell r="F2184">
            <v>314276</v>
          </cell>
          <cell r="G2184" t="str">
            <v>Damaris Violeta Gonzalez Miguel</v>
          </cell>
        </row>
        <row r="2185">
          <cell r="F2185">
            <v>313514</v>
          </cell>
          <cell r="G2185" t="str">
            <v>Danae Melissa Xitumul Ruiz</v>
          </cell>
        </row>
        <row r="2186">
          <cell r="F2186">
            <v>313868</v>
          </cell>
          <cell r="G2186" t="str">
            <v>Danely Arleth Rubin Escobar</v>
          </cell>
        </row>
        <row r="2187">
          <cell r="F2187">
            <v>315480</v>
          </cell>
          <cell r="G2187" t="str">
            <v>Daneylie Abigalie Dardon Gomez</v>
          </cell>
        </row>
        <row r="2188">
          <cell r="F2188">
            <v>314406</v>
          </cell>
          <cell r="G2188" t="str">
            <v>Daniel Abrahan Castillo Hernandez</v>
          </cell>
        </row>
        <row r="2189">
          <cell r="F2189">
            <v>314646</v>
          </cell>
          <cell r="G2189" t="str">
            <v>Daniel Alfredo Aguirre Marroquin</v>
          </cell>
        </row>
        <row r="2190">
          <cell r="F2190">
            <v>305521</v>
          </cell>
          <cell r="G2190" t="str">
            <v>Daniel Antonio Aceituno Paredes</v>
          </cell>
        </row>
        <row r="2191">
          <cell r="F2191">
            <v>315568</v>
          </cell>
          <cell r="G2191" t="str">
            <v>Daniel Isai Moran Lima</v>
          </cell>
        </row>
        <row r="2192">
          <cell r="F2192">
            <v>310374</v>
          </cell>
          <cell r="G2192" t="str">
            <v>Daniela Amarilis Davila Juarez</v>
          </cell>
        </row>
        <row r="2193">
          <cell r="F2193">
            <v>315104</v>
          </cell>
          <cell r="G2193" t="str">
            <v>Dany Adalberto Choc Bac</v>
          </cell>
        </row>
        <row r="2194">
          <cell r="F2194">
            <v>314807</v>
          </cell>
          <cell r="G2194" t="str">
            <v>Daomi Mishel Larios Morales</v>
          </cell>
        </row>
        <row r="2195">
          <cell r="F2195">
            <v>312391</v>
          </cell>
          <cell r="G2195" t="str">
            <v>Daphne Pamela Lopez Rodriguez</v>
          </cell>
        </row>
        <row r="2196">
          <cell r="F2196">
            <v>312172</v>
          </cell>
          <cell r="G2196" t="str">
            <v>Darbin Alejandro Soto Rodriguez</v>
          </cell>
        </row>
        <row r="2197">
          <cell r="F2197">
            <v>314845</v>
          </cell>
          <cell r="G2197" t="str">
            <v>Darissa Anahi Galindo Monzon</v>
          </cell>
        </row>
        <row r="2198">
          <cell r="F2198">
            <v>312419</v>
          </cell>
          <cell r="G2198" t="str">
            <v>Darli Asuceli Florian Garcia</v>
          </cell>
        </row>
        <row r="2199">
          <cell r="F2199">
            <v>312836</v>
          </cell>
          <cell r="G2199" t="str">
            <v>Darlin Estefany Coyoy Rivas</v>
          </cell>
        </row>
        <row r="2200">
          <cell r="F2200">
            <v>312077</v>
          </cell>
          <cell r="G2200" t="str">
            <v>Darlin Pamela Aguilar De La Cruz</v>
          </cell>
        </row>
        <row r="2201">
          <cell r="F2201">
            <v>314775</v>
          </cell>
          <cell r="G2201" t="str">
            <v>Darlyn Dayanara Cortez Ramirez</v>
          </cell>
        </row>
        <row r="2202">
          <cell r="F2202">
            <v>312223</v>
          </cell>
          <cell r="G2202" t="str">
            <v>Darlyn Guadalupe Barrios Yax</v>
          </cell>
        </row>
        <row r="2203">
          <cell r="F2203">
            <v>309926</v>
          </cell>
          <cell r="G2203" t="str">
            <v>Darwin Alexis Ponciano Cruz</v>
          </cell>
        </row>
        <row r="2204">
          <cell r="F2204">
            <v>315167</v>
          </cell>
          <cell r="G2204" t="str">
            <v>Darwin Omar Cabrera Cheguen</v>
          </cell>
        </row>
        <row r="2205">
          <cell r="F2205">
            <v>310390</v>
          </cell>
          <cell r="G2205" t="str">
            <v>Dauris Yomira Tellechea Lopez</v>
          </cell>
        </row>
        <row r="2206">
          <cell r="F2206">
            <v>202076</v>
          </cell>
          <cell r="G2206" t="str">
            <v>David De Jesus Quel Orozco</v>
          </cell>
        </row>
        <row r="2207">
          <cell r="F2207">
            <v>314891</v>
          </cell>
          <cell r="G2207" t="str">
            <v>David Emanuel Cachin Morales</v>
          </cell>
        </row>
        <row r="2208">
          <cell r="F2208">
            <v>309831</v>
          </cell>
          <cell r="G2208" t="str">
            <v>David Mejia Vicente</v>
          </cell>
        </row>
        <row r="2209">
          <cell r="F2209">
            <v>315533</v>
          </cell>
          <cell r="G2209" t="str">
            <v>Dayana Paola Lopez Bolanos</v>
          </cell>
        </row>
        <row r="2210">
          <cell r="F2210">
            <v>314017</v>
          </cell>
          <cell r="G2210" t="str">
            <v>Dayanna Beatriz Cachupe Chavac</v>
          </cell>
        </row>
        <row r="2211">
          <cell r="F2211">
            <v>314852</v>
          </cell>
          <cell r="G2211" t="str">
            <v>Daylin Ambrocia Cruz Lopez</v>
          </cell>
        </row>
        <row r="2212">
          <cell r="F2212">
            <v>313408</v>
          </cell>
          <cell r="G2212" t="str">
            <v>Dayne Dalu Sanchez Hernandez</v>
          </cell>
        </row>
        <row r="2213">
          <cell r="F2213">
            <v>315552</v>
          </cell>
          <cell r="G2213" t="str">
            <v>Debora Eunice Tzay Chuluc</v>
          </cell>
        </row>
        <row r="2214">
          <cell r="F2214">
            <v>313629</v>
          </cell>
          <cell r="G2214" t="str">
            <v>Debora Madahi Escobar Gomez</v>
          </cell>
        </row>
        <row r="2215">
          <cell r="F2215">
            <v>315270</v>
          </cell>
          <cell r="G2215" t="str">
            <v>Debora Paola Sepez Cuc</v>
          </cell>
        </row>
        <row r="2216">
          <cell r="F2216">
            <v>314353</v>
          </cell>
          <cell r="G2216" t="str">
            <v>Deisy Gabriela Pineda Paiz</v>
          </cell>
        </row>
        <row r="2217">
          <cell r="F2217">
            <v>302751</v>
          </cell>
          <cell r="G2217" t="str">
            <v>Delia Virginia Piedrasanta Parra</v>
          </cell>
        </row>
        <row r="2218">
          <cell r="F2218">
            <v>201031</v>
          </cell>
          <cell r="G2218" t="str">
            <v>Delio Maynor Lopez Barrios</v>
          </cell>
        </row>
        <row r="2219">
          <cell r="F2219">
            <v>311758</v>
          </cell>
          <cell r="G2219" t="str">
            <v>Delmy Fabiola Orellana Barrientos</v>
          </cell>
        </row>
        <row r="2220">
          <cell r="F2220">
            <v>307870</v>
          </cell>
          <cell r="G2220" t="str">
            <v>Delmy Francisca Lopez Perez</v>
          </cell>
        </row>
        <row r="2221">
          <cell r="F2221">
            <v>314901</v>
          </cell>
          <cell r="G2221" t="str">
            <v>Delmy Vanesa Morales Ramirez</v>
          </cell>
        </row>
        <row r="2222">
          <cell r="F2222">
            <v>306256</v>
          </cell>
          <cell r="G2222" t="str">
            <v>Delwin Leonel Vasquez Barrera</v>
          </cell>
        </row>
        <row r="2223">
          <cell r="F2223">
            <v>314540</v>
          </cell>
          <cell r="G2223" t="str">
            <v>Denilson Laureano De Paz Galdamez</v>
          </cell>
        </row>
        <row r="2224">
          <cell r="F2224">
            <v>312158</v>
          </cell>
          <cell r="G2224" t="str">
            <v>Derick Juan David Coti Camas</v>
          </cell>
        </row>
        <row r="2225">
          <cell r="F2225">
            <v>315437</v>
          </cell>
          <cell r="G2225" t="str">
            <v>Deysi Liliana Caal Oxom</v>
          </cell>
        </row>
        <row r="2226">
          <cell r="F2226">
            <v>309692</v>
          </cell>
          <cell r="G2226" t="str">
            <v>Deysi Margoth Lopez Monroy</v>
          </cell>
        </row>
        <row r="2227">
          <cell r="F2227">
            <v>309418</v>
          </cell>
          <cell r="G2227" t="str">
            <v>Deysi Noemi Aranoli Carias Pimentel</v>
          </cell>
        </row>
        <row r="2228">
          <cell r="F2228">
            <v>313797</v>
          </cell>
          <cell r="G2228" t="str">
            <v>Deysi Paola Lopez Yanes De Conde</v>
          </cell>
        </row>
        <row r="2229">
          <cell r="F2229">
            <v>312166</v>
          </cell>
          <cell r="G2229" t="str">
            <v>Deysi Roxana Pablo Ramirez</v>
          </cell>
        </row>
        <row r="2230">
          <cell r="F2230">
            <v>313856</v>
          </cell>
          <cell r="G2230" t="str">
            <v>Diana Andrea Castillo Mejia</v>
          </cell>
        </row>
        <row r="2231">
          <cell r="F2231">
            <v>310411</v>
          </cell>
          <cell r="G2231" t="str">
            <v>Diana Elizabeth Ayfan Del Cid</v>
          </cell>
        </row>
        <row r="2232">
          <cell r="F2232">
            <v>315070</v>
          </cell>
          <cell r="G2232" t="str">
            <v>Diana Guisela Satey De Leon</v>
          </cell>
        </row>
        <row r="2233">
          <cell r="F2233">
            <v>315089</v>
          </cell>
          <cell r="G2233" t="str">
            <v>Diana Lizeth Acabal Pansay</v>
          </cell>
        </row>
        <row r="2234">
          <cell r="F2234">
            <v>315209</v>
          </cell>
          <cell r="G2234" t="str">
            <v>Diana Mishel Perez Flores</v>
          </cell>
        </row>
        <row r="2235">
          <cell r="F2235">
            <v>314964</v>
          </cell>
          <cell r="G2235" t="str">
            <v>Diana Priscila Reyes Bran</v>
          </cell>
        </row>
        <row r="2236">
          <cell r="F2236">
            <v>315545</v>
          </cell>
          <cell r="G2236" t="str">
            <v>Diego Alejandro Monroy Barillas</v>
          </cell>
        </row>
        <row r="2237">
          <cell r="F2237">
            <v>314603</v>
          </cell>
          <cell r="G2237" t="str">
            <v>Diego Antonio Dubon Suyen</v>
          </cell>
        </row>
        <row r="2238">
          <cell r="F2238">
            <v>314912</v>
          </cell>
          <cell r="G2238" t="str">
            <v>Diego Ezequiel Samayoa Toledo</v>
          </cell>
        </row>
        <row r="2239">
          <cell r="F2239">
            <v>314021</v>
          </cell>
          <cell r="G2239" t="str">
            <v>Diego Josue David Dieguez Vivar</v>
          </cell>
        </row>
        <row r="2240">
          <cell r="F2240">
            <v>314609</v>
          </cell>
          <cell r="G2240" t="str">
            <v>Dilma Carolina Zetino Zepeda</v>
          </cell>
        </row>
        <row r="2241">
          <cell r="F2241">
            <v>315393</v>
          </cell>
          <cell r="G2241" t="str">
            <v>Dina Azucena Ortiz Crispin</v>
          </cell>
        </row>
        <row r="2242">
          <cell r="F2242">
            <v>301534</v>
          </cell>
          <cell r="G2242" t="str">
            <v>Donald Alejandro Mendez Mayen</v>
          </cell>
        </row>
        <row r="2243">
          <cell r="F2243">
            <v>314070</v>
          </cell>
          <cell r="G2243" t="str">
            <v>Donetta Diaz Oroman</v>
          </cell>
        </row>
        <row r="2244">
          <cell r="F2244">
            <v>313316</v>
          </cell>
          <cell r="G2244" t="str">
            <v>Dora Estefany Garcia Zetino</v>
          </cell>
        </row>
        <row r="2245">
          <cell r="F2245">
            <v>308707</v>
          </cell>
          <cell r="G2245" t="str">
            <v>Dorcas Raquel Palacios Reyes</v>
          </cell>
        </row>
        <row r="2246">
          <cell r="F2246">
            <v>308921</v>
          </cell>
          <cell r="G2246" t="str">
            <v>Doris Elizabeth Sandoval Gonzalez</v>
          </cell>
        </row>
        <row r="2247">
          <cell r="F2247">
            <v>315057</v>
          </cell>
          <cell r="G2247" t="str">
            <v>Dorman Fernando Gomez Perez</v>
          </cell>
        </row>
        <row r="2248">
          <cell r="F2248">
            <v>312651</v>
          </cell>
          <cell r="G2248" t="str">
            <v>Douglas Alberto Luna</v>
          </cell>
        </row>
        <row r="2249">
          <cell r="F2249">
            <v>314635</v>
          </cell>
          <cell r="G2249" t="str">
            <v>Douglas Armando Garcia Machic</v>
          </cell>
        </row>
        <row r="2250">
          <cell r="F2250">
            <v>313351</v>
          </cell>
          <cell r="G2250" t="str">
            <v>Douglas Nehemias Paz Agustin</v>
          </cell>
        </row>
        <row r="2251">
          <cell r="F2251">
            <v>309154</v>
          </cell>
          <cell r="G2251" t="str">
            <v>Duglas Alexander Ramirez</v>
          </cell>
        </row>
        <row r="2252">
          <cell r="F2252">
            <v>310593</v>
          </cell>
          <cell r="G2252" t="str">
            <v>Dulce Estrellita Boche Pineda</v>
          </cell>
        </row>
        <row r="2253">
          <cell r="F2253">
            <v>312578</v>
          </cell>
          <cell r="G2253" t="str">
            <v>Dulce Fabiola Cabrera Alvarado</v>
          </cell>
        </row>
        <row r="2254">
          <cell r="F2254">
            <v>314977</v>
          </cell>
          <cell r="G2254" t="str">
            <v>Dulce Gollin Garcia</v>
          </cell>
        </row>
        <row r="2255">
          <cell r="F2255">
            <v>315028</v>
          </cell>
          <cell r="G2255" t="str">
            <v>Dulce Maria Barillas Pineda</v>
          </cell>
        </row>
        <row r="2256">
          <cell r="F2256">
            <v>314016</v>
          </cell>
          <cell r="G2256" t="str">
            <v>Dulce Maria De Los Angeles Carranza Poitan</v>
          </cell>
        </row>
        <row r="2257">
          <cell r="F2257">
            <v>314338</v>
          </cell>
          <cell r="G2257" t="str">
            <v>Dulce Maria Sican Galicia</v>
          </cell>
        </row>
        <row r="2258">
          <cell r="F2258">
            <v>301052</v>
          </cell>
          <cell r="G2258" t="str">
            <v>Dulsse Gabriela Muñoz Giordano</v>
          </cell>
        </row>
        <row r="2259">
          <cell r="F2259">
            <v>313406</v>
          </cell>
          <cell r="G2259" t="str">
            <v>Duncan Vladimir Fuentes Marroquin</v>
          </cell>
        </row>
        <row r="2260">
          <cell r="F2260">
            <v>315551</v>
          </cell>
          <cell r="G2260" t="str">
            <v>Dylan Anderson Rodriguez Paredes</v>
          </cell>
        </row>
        <row r="2261">
          <cell r="F2261">
            <v>301579</v>
          </cell>
          <cell r="G2261" t="str">
            <v>Eber Manuel Valdes Samayoa</v>
          </cell>
        </row>
        <row r="2262">
          <cell r="F2262">
            <v>314077</v>
          </cell>
          <cell r="G2262" t="str">
            <v>Eddy Estuardo Lool Calderon</v>
          </cell>
        </row>
        <row r="2263">
          <cell r="F2263">
            <v>304630</v>
          </cell>
          <cell r="G2263" t="str">
            <v>Eddy Jose Cabrera Rivas</v>
          </cell>
        </row>
        <row r="2264">
          <cell r="F2264">
            <v>315163</v>
          </cell>
          <cell r="G2264" t="str">
            <v>Edgar Alejandro Alvarado Juarez</v>
          </cell>
        </row>
        <row r="2265">
          <cell r="F2265">
            <v>314231</v>
          </cell>
          <cell r="G2265" t="str">
            <v>Edgar Alfonso Escoto Asig</v>
          </cell>
        </row>
        <row r="2266">
          <cell r="F2266">
            <v>312910</v>
          </cell>
          <cell r="G2266" t="str">
            <v>Edgar Augusto Lara Joachin</v>
          </cell>
        </row>
        <row r="2267">
          <cell r="F2267">
            <v>314531</v>
          </cell>
          <cell r="G2267" t="str">
            <v>Edgar Josue Lopez Cahuec</v>
          </cell>
        </row>
        <row r="2268">
          <cell r="F2268">
            <v>309428</v>
          </cell>
          <cell r="G2268" t="str">
            <v>Edgar Manrique Flores Sanchez</v>
          </cell>
        </row>
        <row r="2269">
          <cell r="F2269">
            <v>313559</v>
          </cell>
          <cell r="G2269" t="str">
            <v>Edgar Ricardo Lopez Valenzuela</v>
          </cell>
        </row>
        <row r="2270">
          <cell r="F2270">
            <v>314916</v>
          </cell>
          <cell r="G2270" t="str">
            <v>Edgar Samuel Chavez Garcia</v>
          </cell>
        </row>
        <row r="2271">
          <cell r="F2271">
            <v>313861</v>
          </cell>
          <cell r="G2271" t="str">
            <v>Edith Guadalupe Del Cid Orellana</v>
          </cell>
        </row>
        <row r="2272">
          <cell r="F2272">
            <v>304240</v>
          </cell>
          <cell r="G2272" t="str">
            <v>Edna Fabiola Miranda Nufio</v>
          </cell>
        </row>
        <row r="2273">
          <cell r="F2273">
            <v>313770</v>
          </cell>
          <cell r="G2273" t="str">
            <v>Edna Rubi Hernandez Retana</v>
          </cell>
        </row>
        <row r="2274">
          <cell r="F2274">
            <v>308533</v>
          </cell>
          <cell r="G2274" t="str">
            <v>Eduardo Antonio Sotoj Zepeda</v>
          </cell>
        </row>
        <row r="2275">
          <cell r="F2275">
            <v>315502</v>
          </cell>
          <cell r="G2275" t="str">
            <v>Eduardo Eliu Camey Coyoy</v>
          </cell>
        </row>
        <row r="2276">
          <cell r="F2276">
            <v>315483</v>
          </cell>
          <cell r="G2276" t="str">
            <v>Eduardo Jose Perez Pichilla</v>
          </cell>
        </row>
        <row r="2277">
          <cell r="F2277">
            <v>306695</v>
          </cell>
          <cell r="G2277" t="str">
            <v>Eduvina Lisbeth Chilel Garcia</v>
          </cell>
        </row>
        <row r="2278">
          <cell r="F2278">
            <v>313804</v>
          </cell>
          <cell r="G2278" t="str">
            <v>Edvin Daniel Compa Oroxom</v>
          </cell>
        </row>
        <row r="2279">
          <cell r="F2279">
            <v>305736</v>
          </cell>
          <cell r="G2279" t="str">
            <v>Edvin Estuardo Ordoñez Gonzalez</v>
          </cell>
        </row>
        <row r="2280">
          <cell r="F2280">
            <v>313327</v>
          </cell>
          <cell r="G2280" t="str">
            <v>Edvin Raul Chavez Monroy</v>
          </cell>
        </row>
        <row r="2281">
          <cell r="F2281">
            <v>309209</v>
          </cell>
          <cell r="G2281" t="str">
            <v>Edward Andoni Alvarez Agueda</v>
          </cell>
        </row>
        <row r="2282">
          <cell r="F2282">
            <v>311219</v>
          </cell>
          <cell r="G2282" t="str">
            <v>Edward Oswaldo Mo Macz</v>
          </cell>
        </row>
        <row r="2283">
          <cell r="F2283">
            <v>315174</v>
          </cell>
          <cell r="G2283" t="str">
            <v>Edwin Adolfo Soberanis Mazariegos</v>
          </cell>
        </row>
        <row r="2284">
          <cell r="F2284">
            <v>312540</v>
          </cell>
          <cell r="G2284" t="str">
            <v>Edwin Alexander Davila Xitumul</v>
          </cell>
        </row>
        <row r="2285">
          <cell r="F2285">
            <v>313701</v>
          </cell>
          <cell r="G2285" t="str">
            <v>Edwin Ernesto Sut Chinol</v>
          </cell>
        </row>
        <row r="2286">
          <cell r="F2286">
            <v>312557</v>
          </cell>
          <cell r="G2286" t="str">
            <v>Edwin Romeo Eleazar Ochoa Lopez</v>
          </cell>
        </row>
        <row r="2287">
          <cell r="F2287">
            <v>311167</v>
          </cell>
          <cell r="G2287" t="str">
            <v>Edy Giancarlo Moreno Pineda</v>
          </cell>
        </row>
        <row r="2288">
          <cell r="F2288">
            <v>312542</v>
          </cell>
          <cell r="G2288" t="str">
            <v>Elba Eulalia Esquite Lemus</v>
          </cell>
        </row>
        <row r="2289">
          <cell r="F2289">
            <v>303412</v>
          </cell>
          <cell r="G2289" t="str">
            <v>Elder Antonio Mendez Tobar</v>
          </cell>
        </row>
        <row r="2290">
          <cell r="F2290">
            <v>315436</v>
          </cell>
          <cell r="G2290" t="str">
            <v>Elder Frankiln Cax Dionicio</v>
          </cell>
        </row>
        <row r="2291">
          <cell r="F2291">
            <v>311891</v>
          </cell>
          <cell r="G2291" t="str">
            <v>Elder Uzias Jordan Perez</v>
          </cell>
        </row>
        <row r="2292">
          <cell r="F2292">
            <v>309812</v>
          </cell>
          <cell r="G2292" t="str">
            <v>Elena Yazmin Valdez Gallegos</v>
          </cell>
        </row>
        <row r="2293">
          <cell r="F2293">
            <v>314275</v>
          </cell>
          <cell r="G2293" t="str">
            <v>Elias Jose Daniel Estrada Nufio</v>
          </cell>
        </row>
        <row r="2294">
          <cell r="F2294">
            <v>307588</v>
          </cell>
          <cell r="G2294" t="str">
            <v>Elida Noemi Monroy Ortega</v>
          </cell>
        </row>
        <row r="2295">
          <cell r="F2295">
            <v>315463</v>
          </cell>
          <cell r="G2295" t="str">
            <v>Elin Magali Gallardo Velasquez</v>
          </cell>
        </row>
        <row r="2296">
          <cell r="F2296">
            <v>310755</v>
          </cell>
          <cell r="G2296" t="str">
            <v>Elisa Clementina Mazariegos Andrade</v>
          </cell>
        </row>
        <row r="2297">
          <cell r="F2297">
            <v>314466</v>
          </cell>
          <cell r="G2297" t="str">
            <v>Eliseo Gonzalez De Leon</v>
          </cell>
        </row>
        <row r="2298">
          <cell r="F2298">
            <v>310043</v>
          </cell>
          <cell r="G2298" t="str">
            <v>Elizangela Jazmin Barillas Ramirez</v>
          </cell>
        </row>
        <row r="2299">
          <cell r="F2299">
            <v>314443</v>
          </cell>
          <cell r="G2299" t="str">
            <v>Elmer Antonio Muñoz Alvarez</v>
          </cell>
        </row>
        <row r="2300">
          <cell r="F2300">
            <v>314763</v>
          </cell>
          <cell r="G2300" t="str">
            <v>Elsa Edith Alixjandra Morales Cordon</v>
          </cell>
        </row>
        <row r="2301">
          <cell r="F2301">
            <v>311227</v>
          </cell>
          <cell r="G2301" t="str">
            <v>Elsa Karina Siquibache Perez</v>
          </cell>
        </row>
        <row r="2302">
          <cell r="F2302">
            <v>308968</v>
          </cell>
          <cell r="G2302" t="str">
            <v>Eluizer Amadeus De Leon De Leon</v>
          </cell>
        </row>
        <row r="2303">
          <cell r="F2303">
            <v>314871</v>
          </cell>
          <cell r="G2303" t="str">
            <v>Elvis Ariel Juarez Solis</v>
          </cell>
        </row>
        <row r="2304">
          <cell r="F2304">
            <v>313368</v>
          </cell>
          <cell r="G2304" t="str">
            <v>Elvis Orlando Lopez Marroquin</v>
          </cell>
        </row>
        <row r="2305">
          <cell r="F2305">
            <v>314342</v>
          </cell>
          <cell r="G2305" t="str">
            <v>Emanuel Perez Garnillo</v>
          </cell>
        </row>
        <row r="2306">
          <cell r="F2306">
            <v>312736</v>
          </cell>
          <cell r="G2306" t="str">
            <v>Emely Johanna Urbina Beltran</v>
          </cell>
        </row>
        <row r="2307">
          <cell r="F2307">
            <v>312762</v>
          </cell>
          <cell r="G2307" t="str">
            <v>Emerson Ezequiel Giron Lopez</v>
          </cell>
        </row>
        <row r="2308">
          <cell r="F2308">
            <v>303591</v>
          </cell>
          <cell r="G2308" t="str">
            <v>Emerson Josue Lopez Hernandez</v>
          </cell>
        </row>
        <row r="2309">
          <cell r="F2309">
            <v>312165</v>
          </cell>
          <cell r="G2309" t="str">
            <v>Emily Jisselle Rosales Paz</v>
          </cell>
        </row>
        <row r="2310">
          <cell r="F2310">
            <v>313560</v>
          </cell>
          <cell r="G2310" t="str">
            <v>Emy Noemi Vicente Herrera</v>
          </cell>
        </row>
        <row r="2311">
          <cell r="F2311">
            <v>315047</v>
          </cell>
          <cell r="G2311" t="str">
            <v>Erick Adolfo Orellana Lopez</v>
          </cell>
        </row>
        <row r="2312">
          <cell r="F2312">
            <v>311598</v>
          </cell>
          <cell r="G2312" t="str">
            <v>Erick Antonio Perez Perez</v>
          </cell>
        </row>
        <row r="2313">
          <cell r="F2313">
            <v>311742</v>
          </cell>
          <cell r="G2313" t="str">
            <v>Erick Estuardo Morales Samayoa</v>
          </cell>
        </row>
        <row r="2314">
          <cell r="F2314">
            <v>308758</v>
          </cell>
          <cell r="G2314" t="str">
            <v>Erick Gamaliel Pineda Mendez</v>
          </cell>
        </row>
        <row r="2315">
          <cell r="F2315">
            <v>314371</v>
          </cell>
          <cell r="G2315" t="str">
            <v>Erick Guillermo Sierra Escobar</v>
          </cell>
        </row>
        <row r="2316">
          <cell r="F2316">
            <v>314095</v>
          </cell>
          <cell r="G2316" t="str">
            <v>Erick Joel Diaz Barrera</v>
          </cell>
        </row>
        <row r="2317">
          <cell r="F2317">
            <v>314408</v>
          </cell>
          <cell r="G2317" t="str">
            <v>Erick Josue Martinez Pineda</v>
          </cell>
        </row>
        <row r="2318">
          <cell r="F2318">
            <v>312434</v>
          </cell>
          <cell r="G2318" t="str">
            <v>Erick Manuel Umul Quiej</v>
          </cell>
        </row>
        <row r="2319">
          <cell r="F2319">
            <v>202410</v>
          </cell>
          <cell r="G2319" t="str">
            <v>Erick Oswaldo Aguilar Santiago</v>
          </cell>
        </row>
        <row r="2320">
          <cell r="F2320">
            <v>310750</v>
          </cell>
          <cell r="G2320" t="str">
            <v>Erick Uriel Sandoval Herrera</v>
          </cell>
        </row>
        <row r="2321">
          <cell r="F2321">
            <v>304557</v>
          </cell>
          <cell r="G2321" t="str">
            <v>Ericka Arceli Gonzalez Astorga</v>
          </cell>
        </row>
        <row r="2322">
          <cell r="F2322">
            <v>308593</v>
          </cell>
          <cell r="G2322" t="str">
            <v>Ericka Beatriz Tiu Arriola</v>
          </cell>
        </row>
        <row r="2323">
          <cell r="F2323">
            <v>310893</v>
          </cell>
          <cell r="G2323" t="str">
            <v>Ericka Florentina Hernandez Bermudes</v>
          </cell>
        </row>
        <row r="2324">
          <cell r="F2324">
            <v>310845</v>
          </cell>
          <cell r="G2324" t="str">
            <v>Ericka Gricelda Beatriz Calderon Lopez</v>
          </cell>
        </row>
        <row r="2325">
          <cell r="F2325">
            <v>313654</v>
          </cell>
          <cell r="G2325" t="str">
            <v>Ericka Mabel Choc Vasquez</v>
          </cell>
        </row>
        <row r="2326">
          <cell r="F2326">
            <v>308152</v>
          </cell>
          <cell r="G2326" t="str">
            <v>Ericka Nathali Huitz Ortega</v>
          </cell>
        </row>
        <row r="2327">
          <cell r="F2327">
            <v>313812</v>
          </cell>
          <cell r="G2327" t="str">
            <v>Erickson Amilcar Vasquez Garrido</v>
          </cell>
        </row>
        <row r="2328">
          <cell r="F2328">
            <v>303616</v>
          </cell>
          <cell r="G2328" t="str">
            <v>Erik Leonel Alva</v>
          </cell>
        </row>
        <row r="2329">
          <cell r="F2329">
            <v>310011</v>
          </cell>
          <cell r="G2329" t="str">
            <v>Erika Alejandra Hernandez Vega</v>
          </cell>
        </row>
        <row r="2330">
          <cell r="F2330">
            <v>314808</v>
          </cell>
          <cell r="G2330" t="str">
            <v>Erika Carolina Lopez Chiroy</v>
          </cell>
        </row>
        <row r="2331">
          <cell r="F2331">
            <v>306497</v>
          </cell>
          <cell r="G2331" t="str">
            <v>Erika Ixtan Canil</v>
          </cell>
        </row>
        <row r="2332">
          <cell r="F2332">
            <v>314703</v>
          </cell>
          <cell r="G2332" t="str">
            <v>Erlinda Elizabeth Cabrera</v>
          </cell>
        </row>
        <row r="2333">
          <cell r="F2333">
            <v>315535</v>
          </cell>
          <cell r="G2333" t="str">
            <v>Ernesto Perez Tecun</v>
          </cell>
        </row>
        <row r="2334">
          <cell r="F2334">
            <v>313727</v>
          </cell>
          <cell r="G2334" t="str">
            <v>Erwin Antonio Lorenzo Zamora</v>
          </cell>
        </row>
        <row r="2335">
          <cell r="F2335">
            <v>315123</v>
          </cell>
          <cell r="G2335" t="str">
            <v>Esdras Daniel Pablo Solis</v>
          </cell>
        </row>
        <row r="2336">
          <cell r="F2336">
            <v>315491</v>
          </cell>
          <cell r="G2336" t="str">
            <v>Esdras Eduardo Hernadez Morales</v>
          </cell>
        </row>
        <row r="2337">
          <cell r="F2337">
            <v>314068</v>
          </cell>
          <cell r="G2337" t="str">
            <v>Esdras Manases Vasquez Vasquez</v>
          </cell>
        </row>
        <row r="2338">
          <cell r="F2338">
            <v>313871</v>
          </cell>
          <cell r="G2338" t="str">
            <v>Eskarleth Julieta Coloma Camey</v>
          </cell>
        </row>
        <row r="2339">
          <cell r="F2339">
            <v>312554</v>
          </cell>
          <cell r="G2339" t="str">
            <v>Esmaylin Alexis Melchor Lopez</v>
          </cell>
        </row>
        <row r="2340">
          <cell r="F2340">
            <v>315510</v>
          </cell>
          <cell r="G2340" t="str">
            <v>Esteban Alfonso Gonzalez Osuna</v>
          </cell>
        </row>
        <row r="2341">
          <cell r="F2341">
            <v>313644</v>
          </cell>
          <cell r="G2341" t="str">
            <v>Estefani Elizabeth Tzul Macario</v>
          </cell>
        </row>
        <row r="2342">
          <cell r="F2342">
            <v>312323</v>
          </cell>
          <cell r="G2342" t="str">
            <v>Estefani Mishel Carpio Alvarado</v>
          </cell>
        </row>
        <row r="2343">
          <cell r="F2343">
            <v>313428</v>
          </cell>
          <cell r="G2343" t="str">
            <v>Estefany Catalina Suazo Garcia</v>
          </cell>
        </row>
        <row r="2344">
          <cell r="F2344">
            <v>311094</v>
          </cell>
          <cell r="G2344" t="str">
            <v>Estefany Virginia Perez Leiva</v>
          </cell>
        </row>
        <row r="2345">
          <cell r="F2345">
            <v>313151</v>
          </cell>
          <cell r="G2345" t="str">
            <v>Ester Yulissa Salazar Sanches</v>
          </cell>
        </row>
        <row r="2346">
          <cell r="F2346">
            <v>308702</v>
          </cell>
          <cell r="G2346" t="str">
            <v>Estuardo Alejandro Us Chanchavac</v>
          </cell>
        </row>
        <row r="2347">
          <cell r="F2347">
            <v>315564</v>
          </cell>
          <cell r="G2347" t="str">
            <v>Esvin Rolando Orozco Mulul</v>
          </cell>
        </row>
        <row r="2348">
          <cell r="F2348">
            <v>314285</v>
          </cell>
          <cell r="G2348" t="str">
            <v>Eswin Antonio Carrillo Barrera</v>
          </cell>
        </row>
        <row r="2349">
          <cell r="F2349">
            <v>311882</v>
          </cell>
          <cell r="G2349" t="str">
            <v>Eswin Aroldo Ordoñez Robles</v>
          </cell>
        </row>
        <row r="2350">
          <cell r="F2350">
            <v>315041</v>
          </cell>
          <cell r="G2350" t="str">
            <v>Eugenia Azucely Lopez De De Aguirre</v>
          </cell>
        </row>
        <row r="2351">
          <cell r="F2351">
            <v>313219</v>
          </cell>
          <cell r="G2351" t="str">
            <v>Eunice Alejandrina Simon Gonzalez</v>
          </cell>
        </row>
        <row r="2352">
          <cell r="F2352">
            <v>314553</v>
          </cell>
          <cell r="G2352" t="str">
            <v>Eva Argentina Ramirez Perez</v>
          </cell>
        </row>
        <row r="2353">
          <cell r="F2353">
            <v>313803</v>
          </cell>
          <cell r="G2353" t="str">
            <v>Eva Yustinia Lopez Zuñiga</v>
          </cell>
        </row>
        <row r="2354">
          <cell r="F2354">
            <v>314445</v>
          </cell>
          <cell r="G2354" t="str">
            <v>Evelin Lorena Noguera García</v>
          </cell>
        </row>
        <row r="2355">
          <cell r="F2355">
            <v>314320</v>
          </cell>
          <cell r="G2355" t="str">
            <v>Evelin Maria Padilla Garcia</v>
          </cell>
        </row>
        <row r="2356">
          <cell r="F2356">
            <v>313699</v>
          </cell>
          <cell r="G2356" t="str">
            <v>Evelin Yulissa Lopez Villar</v>
          </cell>
        </row>
        <row r="2357">
          <cell r="F2357">
            <v>307498</v>
          </cell>
          <cell r="G2357" t="str">
            <v>Evelyn Julieta Lopez Peralta</v>
          </cell>
        </row>
        <row r="2358">
          <cell r="F2358">
            <v>312811</v>
          </cell>
          <cell r="G2358" t="str">
            <v>Evelyn Maritza Chumil Monroy</v>
          </cell>
        </row>
        <row r="2359">
          <cell r="F2359">
            <v>313353</v>
          </cell>
          <cell r="G2359" t="str">
            <v>Evelyn Marleny Rosales Cutz</v>
          </cell>
        </row>
        <row r="2360">
          <cell r="F2360">
            <v>313264</v>
          </cell>
          <cell r="G2360" t="str">
            <v>Evelyn Mishell Catalan Pixtun</v>
          </cell>
        </row>
        <row r="2361">
          <cell r="F2361">
            <v>314528</v>
          </cell>
          <cell r="G2361" t="str">
            <v>Evelyn Nohemi Morales Lopez</v>
          </cell>
        </row>
        <row r="2362">
          <cell r="F2362">
            <v>311933</v>
          </cell>
          <cell r="G2362" t="str">
            <v>Evelyn Rocio Chiquival Piquic</v>
          </cell>
        </row>
        <row r="2363">
          <cell r="F2363">
            <v>315213</v>
          </cell>
          <cell r="G2363" t="str">
            <v>Evelyn Susana Hernandez Ambrosio</v>
          </cell>
        </row>
        <row r="2364">
          <cell r="F2364">
            <v>311721</v>
          </cell>
          <cell r="G2364" t="str">
            <v>Evelyn Yaneth Aceituno Lara</v>
          </cell>
        </row>
        <row r="2365">
          <cell r="F2365">
            <v>313016</v>
          </cell>
          <cell r="G2365" t="str">
            <v>Ever Josue Del Valle Rivera</v>
          </cell>
        </row>
        <row r="2366">
          <cell r="F2366">
            <v>313552</v>
          </cell>
          <cell r="G2366" t="str">
            <v>Everilda Choc Caal</v>
          </cell>
        </row>
        <row r="2367">
          <cell r="F2367">
            <v>313091</v>
          </cell>
          <cell r="G2367" t="str">
            <v>Fabian De Jesus Ramirez Icute</v>
          </cell>
        </row>
        <row r="2368">
          <cell r="F2368">
            <v>312169</v>
          </cell>
          <cell r="G2368" t="str">
            <v>Fabiola Hernandez Bartolon</v>
          </cell>
        </row>
        <row r="2369">
          <cell r="F2369">
            <v>308284</v>
          </cell>
          <cell r="G2369" t="str">
            <v>Fabiola Ninett Beteta Barillas</v>
          </cell>
        </row>
        <row r="2370">
          <cell r="F2370">
            <v>312293</v>
          </cell>
          <cell r="G2370" t="str">
            <v>Fabricio Daniel Cajas Cifuentes</v>
          </cell>
        </row>
        <row r="2371">
          <cell r="F2371">
            <v>315582</v>
          </cell>
          <cell r="G2371" t="str">
            <v>Fatima Mercedes Montes Quezada</v>
          </cell>
        </row>
        <row r="2372">
          <cell r="F2372">
            <v>314263</v>
          </cell>
          <cell r="G2372" t="str">
            <v>Feliciana Isabel Ramirez Raymundo</v>
          </cell>
        </row>
        <row r="2373">
          <cell r="F2373">
            <v>314012</v>
          </cell>
          <cell r="G2373" t="str">
            <v>Felix Rodolfo Alvarado Jimenez</v>
          </cell>
        </row>
        <row r="2374">
          <cell r="F2374">
            <v>314349</v>
          </cell>
          <cell r="G2374" t="str">
            <v>Fernanda Lucia Lopez Estrada</v>
          </cell>
        </row>
        <row r="2375">
          <cell r="F2375">
            <v>312409</v>
          </cell>
          <cell r="G2375" t="str">
            <v>Fernanda Rene Villatoro Guarcas</v>
          </cell>
        </row>
        <row r="2376">
          <cell r="F2376">
            <v>314934</v>
          </cell>
          <cell r="G2376" t="str">
            <v>Fernando Jose Monzon Castañeda</v>
          </cell>
        </row>
        <row r="2377">
          <cell r="F2377">
            <v>315303</v>
          </cell>
          <cell r="G2377" t="str">
            <v>Flavio Ernesto Monzón Rummler</v>
          </cell>
        </row>
        <row r="2378">
          <cell r="F2378">
            <v>315309</v>
          </cell>
          <cell r="G2378" t="str">
            <v>Flor De Maria Lopez Garcia</v>
          </cell>
        </row>
        <row r="2379">
          <cell r="F2379">
            <v>307917</v>
          </cell>
          <cell r="G2379" t="str">
            <v>Flor De Maria Mux Ramos</v>
          </cell>
        </row>
        <row r="2380">
          <cell r="F2380">
            <v>315038</v>
          </cell>
          <cell r="G2380" t="str">
            <v>Flor Sylvestre Orellana Gonzalez</v>
          </cell>
        </row>
        <row r="2381">
          <cell r="F2381">
            <v>101729</v>
          </cell>
          <cell r="G2381" t="str">
            <v>Florencio Monterroso Estrada</v>
          </cell>
        </row>
        <row r="2382">
          <cell r="F2382">
            <v>314230</v>
          </cell>
          <cell r="G2382" t="str">
            <v>Floridalma Leticia Lopez Ramirez</v>
          </cell>
        </row>
        <row r="2383">
          <cell r="F2383">
            <v>314093</v>
          </cell>
          <cell r="G2383" t="str">
            <v>Floridalma Nicolas Yos</v>
          </cell>
        </row>
        <row r="2384">
          <cell r="F2384">
            <v>312717</v>
          </cell>
          <cell r="G2384" t="str">
            <v>Florita Reyes Roblero Morales</v>
          </cell>
        </row>
        <row r="2385">
          <cell r="F2385">
            <v>314785</v>
          </cell>
          <cell r="G2385" t="str">
            <v>Flory Azucena De Leon Ventura</v>
          </cell>
        </row>
        <row r="2386">
          <cell r="F2386">
            <v>310144</v>
          </cell>
          <cell r="G2386" t="str">
            <v>Francisco Javier Diaz Avila</v>
          </cell>
        </row>
        <row r="2387">
          <cell r="F2387">
            <v>315457</v>
          </cell>
          <cell r="G2387" t="str">
            <v>Francisco Joel Gomez Rodriguez</v>
          </cell>
        </row>
        <row r="2388">
          <cell r="F2388">
            <v>311612</v>
          </cell>
          <cell r="G2388" t="str">
            <v>Franklin Alexander Perez Paiz</v>
          </cell>
        </row>
        <row r="2389">
          <cell r="F2389">
            <v>315204</v>
          </cell>
          <cell r="G2389" t="str">
            <v>Gabriel Antonio Rodas Domingo</v>
          </cell>
        </row>
        <row r="2390">
          <cell r="F2390">
            <v>311548</v>
          </cell>
          <cell r="G2390" t="str">
            <v>Gabriela Alejandra Estrada Aroche</v>
          </cell>
        </row>
        <row r="2391">
          <cell r="F2391">
            <v>306667</v>
          </cell>
          <cell r="G2391" t="str">
            <v>Gabriela Elizabeth Flores Santos</v>
          </cell>
        </row>
        <row r="2392">
          <cell r="F2392">
            <v>314533</v>
          </cell>
          <cell r="G2392" t="str">
            <v>Gabriela Liseth Perez Monzon</v>
          </cell>
        </row>
        <row r="2393">
          <cell r="F2393">
            <v>311817</v>
          </cell>
          <cell r="G2393" t="str">
            <v>Gabriela Paola Macario Lopez</v>
          </cell>
        </row>
        <row r="2394">
          <cell r="F2394">
            <v>301309</v>
          </cell>
          <cell r="G2394" t="str">
            <v>Gabriela Pelaez Gonzalez</v>
          </cell>
        </row>
        <row r="2395">
          <cell r="F2395">
            <v>315530</v>
          </cell>
          <cell r="G2395" t="str">
            <v>Gabriela Raquel Pixtun Trujillo</v>
          </cell>
        </row>
        <row r="2396">
          <cell r="F2396">
            <v>315343</v>
          </cell>
          <cell r="G2396" t="str">
            <v>Gabriela Valeska Lemus Cotuc</v>
          </cell>
        </row>
        <row r="2397">
          <cell r="F2397">
            <v>309911</v>
          </cell>
          <cell r="G2397" t="str">
            <v>Gaby Beatriz Lopez Lopez</v>
          </cell>
        </row>
        <row r="2398">
          <cell r="F2398">
            <v>315485</v>
          </cell>
          <cell r="G2398" t="str">
            <v>Geraldy Daleska Cuyan Giron</v>
          </cell>
        </row>
        <row r="2399">
          <cell r="F2399">
            <v>307104</v>
          </cell>
          <cell r="G2399" t="str">
            <v>Gerber Ariel De Leon Elias</v>
          </cell>
        </row>
        <row r="2400">
          <cell r="F2400">
            <v>312975</v>
          </cell>
          <cell r="G2400" t="str">
            <v>Gerberth Aridmendi Arevalo Zepeda</v>
          </cell>
        </row>
        <row r="2401">
          <cell r="F2401">
            <v>306654</v>
          </cell>
          <cell r="G2401" t="str">
            <v>Gerson Arcadio Hernandez Barrios</v>
          </cell>
        </row>
        <row r="2402">
          <cell r="F2402">
            <v>315035</v>
          </cell>
          <cell r="G2402" t="str">
            <v>Gerson David Ortega Soto</v>
          </cell>
        </row>
        <row r="2403">
          <cell r="F2403">
            <v>315255</v>
          </cell>
          <cell r="G2403" t="str">
            <v>Gerson Rene Galicia Alvarez</v>
          </cell>
        </row>
        <row r="2404">
          <cell r="F2404">
            <v>313730</v>
          </cell>
          <cell r="G2404" t="str">
            <v>Gerson Rolando Alcantara Gonzalez</v>
          </cell>
        </row>
        <row r="2405">
          <cell r="F2405">
            <v>315273</v>
          </cell>
          <cell r="G2405" t="str">
            <v>Gladis Guadalupe Tuyuc Ramirez</v>
          </cell>
        </row>
        <row r="2406">
          <cell r="F2406">
            <v>309429</v>
          </cell>
          <cell r="G2406" t="str">
            <v>Gladis Mishel Aguilar Garcia</v>
          </cell>
        </row>
        <row r="2407">
          <cell r="F2407">
            <v>315265</v>
          </cell>
          <cell r="G2407" t="str">
            <v>Gladis Nohemi Noj Hernandez De De Leon</v>
          </cell>
        </row>
        <row r="2408">
          <cell r="F2408">
            <v>301514</v>
          </cell>
          <cell r="G2408" t="str">
            <v>Gladiz Maricela Guamuch Caracun De Lopez</v>
          </cell>
        </row>
        <row r="2409">
          <cell r="F2409">
            <v>309950</v>
          </cell>
          <cell r="G2409" t="str">
            <v>Gladys Maribel Chamale Cotzajay</v>
          </cell>
        </row>
        <row r="2410">
          <cell r="F2410">
            <v>315349</v>
          </cell>
          <cell r="G2410" t="str">
            <v>Gladys Marleny Rodriguez Tzoc</v>
          </cell>
        </row>
        <row r="2411">
          <cell r="F2411">
            <v>306248</v>
          </cell>
          <cell r="G2411" t="str">
            <v>Gladys Susana Marin De Leon</v>
          </cell>
        </row>
        <row r="2412">
          <cell r="F2412">
            <v>310719</v>
          </cell>
          <cell r="G2412" t="str">
            <v>Gladyz Ninett Sanchez Perez</v>
          </cell>
        </row>
        <row r="2413">
          <cell r="F2413">
            <v>309945</v>
          </cell>
          <cell r="G2413" t="str">
            <v>Glenda Flor De Maria Caal</v>
          </cell>
        </row>
        <row r="2414">
          <cell r="F2414">
            <v>314619</v>
          </cell>
          <cell r="G2414" t="str">
            <v>Glenda Isabel Perez Velasquez</v>
          </cell>
        </row>
        <row r="2415">
          <cell r="F2415">
            <v>315263</v>
          </cell>
          <cell r="G2415" t="str">
            <v>Glendy Aracely Arevalo Estrada</v>
          </cell>
        </row>
        <row r="2416">
          <cell r="F2416">
            <v>312140</v>
          </cell>
          <cell r="G2416" t="str">
            <v>Glendy Elizabeth Aspuac Xunux</v>
          </cell>
        </row>
        <row r="2417">
          <cell r="F2417">
            <v>304949</v>
          </cell>
          <cell r="G2417" t="str">
            <v>Glendy Modesta Orellana Sanabria</v>
          </cell>
        </row>
        <row r="2418">
          <cell r="F2418">
            <v>314189</v>
          </cell>
          <cell r="G2418" t="str">
            <v>Gloria Angelica Torres Franco</v>
          </cell>
        </row>
        <row r="2419">
          <cell r="F2419">
            <v>304943</v>
          </cell>
          <cell r="G2419" t="str">
            <v>Gloria Hernandez Reyes</v>
          </cell>
        </row>
        <row r="2420">
          <cell r="F2420">
            <v>314569</v>
          </cell>
          <cell r="G2420" t="str">
            <v>Gonzalo Danilo Castillo Miche</v>
          </cell>
        </row>
        <row r="2421">
          <cell r="F2421">
            <v>310114</v>
          </cell>
          <cell r="G2421" t="str">
            <v>Guadalupe Marroquin Mayen</v>
          </cell>
        </row>
        <row r="2422">
          <cell r="F2422">
            <v>313710</v>
          </cell>
          <cell r="G2422" t="str">
            <v>Gustavo Adolfo Mixtun Sunun</v>
          </cell>
        </row>
        <row r="2423">
          <cell r="F2423">
            <v>314863</v>
          </cell>
          <cell r="G2423" t="str">
            <v>Gustavo Manuel Cifuentes De Mata</v>
          </cell>
        </row>
        <row r="2424">
          <cell r="F2424">
            <v>315412</v>
          </cell>
          <cell r="G2424" t="str">
            <v>Hairo Andre Contreras Paz</v>
          </cell>
        </row>
        <row r="2425">
          <cell r="F2425">
            <v>311419</v>
          </cell>
          <cell r="G2425" t="str">
            <v>Hallari Michel Orozco Chapen</v>
          </cell>
        </row>
        <row r="2426">
          <cell r="F2426">
            <v>312961</v>
          </cell>
          <cell r="G2426" t="str">
            <v>Hans Estuard Milian Alarcon</v>
          </cell>
        </row>
        <row r="2427">
          <cell r="F2427">
            <v>315569</v>
          </cell>
          <cell r="G2427" t="str">
            <v>Heber Benjamin Gomez Ramirez</v>
          </cell>
        </row>
        <row r="2428">
          <cell r="F2428">
            <v>315175</v>
          </cell>
          <cell r="G2428" t="str">
            <v>Heber Nehemias Velasquez Lorenzo</v>
          </cell>
        </row>
        <row r="2429">
          <cell r="F2429">
            <v>315576</v>
          </cell>
          <cell r="G2429" t="str">
            <v>Heber Uziel Ruiz Escobar</v>
          </cell>
        </row>
        <row r="2430">
          <cell r="F2430">
            <v>315154</v>
          </cell>
          <cell r="G2430" t="str">
            <v>Hector Estuardo Velasquez Carvajal</v>
          </cell>
        </row>
        <row r="2431">
          <cell r="F2431">
            <v>312588</v>
          </cell>
          <cell r="G2431" t="str">
            <v>Hector Manuel Pojoy Berduo</v>
          </cell>
        </row>
        <row r="2432">
          <cell r="F2432">
            <v>309925</v>
          </cell>
          <cell r="G2432" t="str">
            <v>Hector Marco Tulio Torres Garcia</v>
          </cell>
        </row>
        <row r="2433">
          <cell r="F2433">
            <v>312114</v>
          </cell>
          <cell r="G2433" t="str">
            <v>Hegner Aquino Mateo Recinos</v>
          </cell>
        </row>
        <row r="2434">
          <cell r="F2434">
            <v>310694</v>
          </cell>
          <cell r="G2434" t="str">
            <v>Heidy Carolina Monterroso Monterroso</v>
          </cell>
        </row>
        <row r="2435">
          <cell r="F2435">
            <v>315300</v>
          </cell>
          <cell r="G2435" t="str">
            <v>Heidy Karina Gil Quinti</v>
          </cell>
        </row>
        <row r="2436">
          <cell r="F2436">
            <v>314029</v>
          </cell>
          <cell r="G2436" t="str">
            <v>Heidy Noely Yupe Hernandez</v>
          </cell>
        </row>
        <row r="2437">
          <cell r="F2437">
            <v>313510</v>
          </cell>
          <cell r="G2437" t="str">
            <v>Heidy Patricia Santizo López</v>
          </cell>
        </row>
        <row r="2438">
          <cell r="F2438">
            <v>308951</v>
          </cell>
          <cell r="G2438" t="str">
            <v>Heidy Sucely Boc Monroy</v>
          </cell>
        </row>
        <row r="2439">
          <cell r="F2439">
            <v>301847</v>
          </cell>
          <cell r="G2439" t="str">
            <v>Heidy Yanet Reyes Presencin</v>
          </cell>
        </row>
        <row r="2440">
          <cell r="F2440">
            <v>314009</v>
          </cell>
          <cell r="G2440" t="str">
            <v>Heily Marie Taracena Diaz</v>
          </cell>
        </row>
        <row r="2441">
          <cell r="F2441">
            <v>303959</v>
          </cell>
          <cell r="G2441" t="str">
            <v>Helen Editt Solorzano Estrada</v>
          </cell>
        </row>
        <row r="2442">
          <cell r="F2442">
            <v>308028</v>
          </cell>
          <cell r="G2442" t="str">
            <v>Helen Eunice Hernandez Recinos</v>
          </cell>
        </row>
        <row r="2443">
          <cell r="F2443">
            <v>302479</v>
          </cell>
          <cell r="G2443" t="str">
            <v>Helen Xiomara Roldan Sagastume</v>
          </cell>
        </row>
        <row r="2444">
          <cell r="F2444">
            <v>313041</v>
          </cell>
          <cell r="G2444" t="str">
            <v>Hellen Marisol Velasquez Ciprian</v>
          </cell>
        </row>
        <row r="2445">
          <cell r="F2445">
            <v>313729</v>
          </cell>
          <cell r="G2445" t="str">
            <v>Henry David Lopez Perez</v>
          </cell>
        </row>
        <row r="2446">
          <cell r="F2446">
            <v>307713</v>
          </cell>
          <cell r="G2446" t="str">
            <v>Henry Donaldo Rodriguez Perez</v>
          </cell>
        </row>
        <row r="2447">
          <cell r="F2447">
            <v>315304</v>
          </cell>
          <cell r="G2447" t="str">
            <v>Henry Gabriel Morales Chinchilla</v>
          </cell>
        </row>
        <row r="2448">
          <cell r="F2448">
            <v>314630</v>
          </cell>
          <cell r="G2448" t="str">
            <v>Henry Misael Serech Ramon</v>
          </cell>
        </row>
        <row r="2449">
          <cell r="F2449">
            <v>312139</v>
          </cell>
          <cell r="G2449" t="str">
            <v>Herber Ardany Lucho Samayoa</v>
          </cell>
        </row>
        <row r="2450">
          <cell r="F2450">
            <v>310725</v>
          </cell>
          <cell r="G2450" t="str">
            <v>Herber Humberto Cax Gonzales</v>
          </cell>
        </row>
        <row r="2451">
          <cell r="F2451">
            <v>309034</v>
          </cell>
          <cell r="G2451" t="str">
            <v>Herbert Josue Mucia Garcia</v>
          </cell>
        </row>
        <row r="2452">
          <cell r="F2452">
            <v>315218</v>
          </cell>
          <cell r="G2452" t="str">
            <v>Herberth Alberto Barrios Perez</v>
          </cell>
        </row>
        <row r="2453">
          <cell r="F2453">
            <v>315050</v>
          </cell>
          <cell r="G2453" t="str">
            <v>Hercy Dayana Hidalgo Romero</v>
          </cell>
        </row>
        <row r="2454">
          <cell r="F2454">
            <v>312377</v>
          </cell>
          <cell r="G2454" t="str">
            <v>Hesler Jonathan Quevedo De La Cruz</v>
          </cell>
        </row>
        <row r="2455">
          <cell r="F2455">
            <v>315495</v>
          </cell>
          <cell r="G2455" t="str">
            <v>Heydee Johana Marisol Cho Del Valle</v>
          </cell>
        </row>
        <row r="2456">
          <cell r="F2456">
            <v>302285</v>
          </cell>
          <cell r="G2456" t="str">
            <v>Heydi Yaneth Sales Mazariegos</v>
          </cell>
        </row>
        <row r="2457">
          <cell r="F2457">
            <v>309528</v>
          </cell>
          <cell r="G2457" t="str">
            <v>Heydi Zuleyma Gue Cac</v>
          </cell>
        </row>
        <row r="2458">
          <cell r="F2458">
            <v>310612</v>
          </cell>
          <cell r="G2458" t="str">
            <v>Heydy Mariela Santiago Armas</v>
          </cell>
        </row>
        <row r="2459">
          <cell r="F2459">
            <v>301649</v>
          </cell>
          <cell r="G2459" t="str">
            <v>Hilda Paola Lopez Cano</v>
          </cell>
        </row>
        <row r="2460">
          <cell r="F2460">
            <v>306404</v>
          </cell>
          <cell r="G2460" t="str">
            <v>Hugo Leonel Tahual Ramos</v>
          </cell>
        </row>
        <row r="2461">
          <cell r="F2461">
            <v>313743</v>
          </cell>
          <cell r="G2461" t="str">
            <v>Hugo Rolando Ruiz Alquijay</v>
          </cell>
        </row>
        <row r="2462">
          <cell r="F2462">
            <v>310888</v>
          </cell>
          <cell r="G2462" t="str">
            <v>Hugo Vinicio Chavez Barrios</v>
          </cell>
        </row>
        <row r="2463">
          <cell r="F2463">
            <v>302261</v>
          </cell>
          <cell r="G2463" t="str">
            <v>Idalia Ester Espino Lopez</v>
          </cell>
        </row>
        <row r="2464">
          <cell r="F2464">
            <v>304392</v>
          </cell>
          <cell r="G2464" t="str">
            <v>Ilda Gricelda Garcia Zacarias</v>
          </cell>
        </row>
        <row r="2465">
          <cell r="F2465">
            <v>313703</v>
          </cell>
          <cell r="G2465" t="str">
            <v>Ilda Magnolia Lopez Ramirez</v>
          </cell>
        </row>
        <row r="2466">
          <cell r="F2466">
            <v>310432</v>
          </cell>
          <cell r="G2466" t="str">
            <v>Ilda Merary Calachij Mendez</v>
          </cell>
        </row>
        <row r="2467">
          <cell r="F2467">
            <v>309389</v>
          </cell>
          <cell r="G2467" t="str">
            <v>Ilsy Meliza Matzir Lebon</v>
          </cell>
        </row>
        <row r="2468">
          <cell r="F2468">
            <v>303674</v>
          </cell>
          <cell r="G2468" t="str">
            <v>Imelda Elizabeth Castro Rodas</v>
          </cell>
        </row>
        <row r="2469">
          <cell r="F2469">
            <v>301644</v>
          </cell>
          <cell r="G2469" t="str">
            <v>Imelda Eugenia Recinos Martinez</v>
          </cell>
        </row>
        <row r="2470">
          <cell r="F2470">
            <v>307030</v>
          </cell>
          <cell r="G2470" t="str">
            <v>Ingrid Alejandra Juarez Yanes</v>
          </cell>
        </row>
        <row r="2471">
          <cell r="F2471">
            <v>315503</v>
          </cell>
          <cell r="G2471" t="str">
            <v>Ingrid Benita Tojin Chuc</v>
          </cell>
        </row>
        <row r="2472">
          <cell r="F2472">
            <v>312398</v>
          </cell>
          <cell r="G2472" t="str">
            <v>Ingrid Esteffany Salazar Sosa</v>
          </cell>
        </row>
        <row r="2473">
          <cell r="F2473">
            <v>301199</v>
          </cell>
          <cell r="G2473" t="str">
            <v>Ingrid Haydee Minchez Monzon</v>
          </cell>
        </row>
        <row r="2474">
          <cell r="F2474">
            <v>304317</v>
          </cell>
          <cell r="G2474" t="str">
            <v>Ingrid Johana Muñoz Choc</v>
          </cell>
        </row>
        <row r="2475">
          <cell r="F2475">
            <v>311286</v>
          </cell>
          <cell r="G2475" t="str">
            <v>Ingrid Lorena Anleu Morales</v>
          </cell>
        </row>
        <row r="2476">
          <cell r="F2476">
            <v>311133</v>
          </cell>
          <cell r="G2476" t="str">
            <v>Ingrid Mariela Maldonado Tubac</v>
          </cell>
        </row>
        <row r="2477">
          <cell r="F2477">
            <v>313304</v>
          </cell>
          <cell r="G2477" t="str">
            <v>Ingrid Yojana Ramos Sacalxot</v>
          </cell>
        </row>
        <row r="2478">
          <cell r="F2478">
            <v>311997</v>
          </cell>
          <cell r="G2478" t="str">
            <v>Irene Lizbeth Rodas Cuc</v>
          </cell>
        </row>
        <row r="2479">
          <cell r="F2479">
            <v>313128</v>
          </cell>
          <cell r="G2479" t="str">
            <v>Iris Elizabeth Cardona Gonzalez</v>
          </cell>
        </row>
        <row r="2480">
          <cell r="F2480">
            <v>314232</v>
          </cell>
          <cell r="G2480" t="str">
            <v>Iris Yulisa Camposeco Funes</v>
          </cell>
        </row>
        <row r="2481">
          <cell r="F2481">
            <v>312920</v>
          </cell>
          <cell r="G2481" t="str">
            <v>Irma Leticia Raquec Yos</v>
          </cell>
        </row>
        <row r="2482">
          <cell r="F2482">
            <v>314336</v>
          </cell>
          <cell r="G2482" t="str">
            <v>Isaac David Ismael Calderon Socop</v>
          </cell>
        </row>
        <row r="2483">
          <cell r="F2483">
            <v>315186</v>
          </cell>
          <cell r="G2483" t="str">
            <v>Isabelita Retana Zepeda</v>
          </cell>
        </row>
        <row r="2484">
          <cell r="F2484">
            <v>311913</v>
          </cell>
          <cell r="G2484" t="str">
            <v>Isai Bernabe Quiroa Alvarez</v>
          </cell>
        </row>
        <row r="2485">
          <cell r="F2485">
            <v>315302</v>
          </cell>
          <cell r="G2485" t="str">
            <v>Isai De Jesus Cabrera Tirado</v>
          </cell>
        </row>
        <row r="2486">
          <cell r="F2486">
            <v>314983</v>
          </cell>
          <cell r="G2486" t="str">
            <v>Ismael Josafat Barrios</v>
          </cell>
        </row>
        <row r="2487">
          <cell r="F2487">
            <v>313569</v>
          </cell>
          <cell r="G2487" t="str">
            <v>Ismar Manfredo Gomez Batres</v>
          </cell>
        </row>
        <row r="2488">
          <cell r="F2488">
            <v>315034</v>
          </cell>
          <cell r="G2488" t="str">
            <v>Jackeline Andrea Yancor Wilhelm</v>
          </cell>
        </row>
        <row r="2489">
          <cell r="F2489">
            <v>315352</v>
          </cell>
          <cell r="G2489" t="str">
            <v>Jackeline Ester Vasquez Pernillo</v>
          </cell>
        </row>
        <row r="2490">
          <cell r="F2490">
            <v>100717</v>
          </cell>
          <cell r="G2490" t="str">
            <v>Jackeline Larisa De Leon Roldan</v>
          </cell>
        </row>
        <row r="2491">
          <cell r="F2491">
            <v>313656</v>
          </cell>
          <cell r="G2491" t="str">
            <v>Jackelinne Judith Paz Morales</v>
          </cell>
        </row>
        <row r="2492">
          <cell r="F2492">
            <v>312255</v>
          </cell>
          <cell r="G2492" t="str">
            <v>Jacqueline Mercedes Portuguez Simaj</v>
          </cell>
        </row>
        <row r="2493">
          <cell r="F2493">
            <v>314780</v>
          </cell>
          <cell r="G2493" t="str">
            <v>Jacqueline Michell Arroyo Mendoza</v>
          </cell>
        </row>
        <row r="2494">
          <cell r="F2494">
            <v>301265</v>
          </cell>
          <cell r="G2494" t="str">
            <v>Jaime Estuardo Gonzalez Lopez</v>
          </cell>
        </row>
        <row r="2495">
          <cell r="F2495">
            <v>314552</v>
          </cell>
          <cell r="G2495" t="str">
            <v>Jaime Ottoniel Del Aguila Pineda</v>
          </cell>
        </row>
        <row r="2496">
          <cell r="F2496">
            <v>301608</v>
          </cell>
          <cell r="G2496" t="str">
            <v>Jaime Rene Guzman Muy</v>
          </cell>
        </row>
        <row r="2497">
          <cell r="F2497">
            <v>314866</v>
          </cell>
          <cell r="G2497" t="str">
            <v>Jaime Wilfredo Chub Coc</v>
          </cell>
        </row>
        <row r="2498">
          <cell r="F2498">
            <v>314935</v>
          </cell>
          <cell r="G2498" t="str">
            <v>Jairo Anibal Veliz Carrera</v>
          </cell>
        </row>
        <row r="2499">
          <cell r="F2499">
            <v>313086</v>
          </cell>
          <cell r="G2499" t="str">
            <v>Jairo Onesimo Aguilar Cabrera</v>
          </cell>
        </row>
        <row r="2500">
          <cell r="F2500">
            <v>314146</v>
          </cell>
          <cell r="G2500" t="str">
            <v>Jairo Saul Lopez Quinteros</v>
          </cell>
        </row>
        <row r="2501">
          <cell r="F2501">
            <v>315130</v>
          </cell>
          <cell r="G2501" t="str">
            <v>Jakelyn Estrella Erazo Asencio</v>
          </cell>
        </row>
        <row r="2502">
          <cell r="F2502">
            <v>315546</v>
          </cell>
          <cell r="G2502" t="str">
            <v>James Alexander Marquez Salazar</v>
          </cell>
        </row>
        <row r="2503">
          <cell r="F2503">
            <v>314261</v>
          </cell>
          <cell r="G2503" t="str">
            <v>Jannely Darlene Telon Giron</v>
          </cell>
        </row>
        <row r="2504">
          <cell r="F2504">
            <v>313187</v>
          </cell>
          <cell r="G2504" t="str">
            <v>Janyer Violeta Aguirre Alvarez</v>
          </cell>
        </row>
        <row r="2505">
          <cell r="F2505">
            <v>308525</v>
          </cell>
          <cell r="G2505" t="str">
            <v>Jaquelin Paola Lopez Bocel</v>
          </cell>
        </row>
        <row r="2506">
          <cell r="F2506">
            <v>308189</v>
          </cell>
          <cell r="G2506" t="str">
            <v>Jaquelin Rocxana Cantey De Leon</v>
          </cell>
        </row>
        <row r="2507">
          <cell r="F2507">
            <v>312758</v>
          </cell>
          <cell r="G2507" t="str">
            <v>Jaqueline Gabriela Vasquez Icute De Padilla</v>
          </cell>
        </row>
        <row r="2508">
          <cell r="F2508">
            <v>301462</v>
          </cell>
          <cell r="G2508" t="str">
            <v>Jaqueline Johana Hernandez Masaya</v>
          </cell>
        </row>
        <row r="2509">
          <cell r="F2509">
            <v>310027</v>
          </cell>
          <cell r="G2509" t="str">
            <v>Jaqueline Mishel Zetino Culan</v>
          </cell>
        </row>
        <row r="2510">
          <cell r="F2510">
            <v>313663</v>
          </cell>
          <cell r="G2510" t="str">
            <v>Jaqueline Mishell Perez Sanic</v>
          </cell>
        </row>
        <row r="2511">
          <cell r="F2511">
            <v>314697</v>
          </cell>
          <cell r="G2511" t="str">
            <v>Jaqueline Noemi Cojon Franco</v>
          </cell>
        </row>
        <row r="2512">
          <cell r="F2512">
            <v>314526</v>
          </cell>
          <cell r="G2512" t="str">
            <v>Jaqueline Sarai Reynoso Perez</v>
          </cell>
        </row>
        <row r="2513">
          <cell r="F2513">
            <v>314952</v>
          </cell>
          <cell r="G2513" t="str">
            <v>Jaqueline Stephanie Espinoza Espinoza</v>
          </cell>
        </row>
        <row r="2514">
          <cell r="F2514">
            <v>315467</v>
          </cell>
          <cell r="G2514" t="str">
            <v>Jaqueline Vanessa Cardona Del Cid</v>
          </cell>
        </row>
        <row r="2515">
          <cell r="F2515">
            <v>314066</v>
          </cell>
          <cell r="G2515" t="str">
            <v>Jaquelyn Marleny Fernandez</v>
          </cell>
        </row>
        <row r="2516">
          <cell r="F2516">
            <v>314639</v>
          </cell>
          <cell r="G2516" t="str">
            <v>Jarod Emanuel Prado Sanchez</v>
          </cell>
        </row>
        <row r="2517">
          <cell r="F2517">
            <v>311320</v>
          </cell>
          <cell r="G2517" t="str">
            <v>Jasly Elisama Escobar Mayen</v>
          </cell>
        </row>
        <row r="2518">
          <cell r="F2518">
            <v>304531</v>
          </cell>
          <cell r="G2518" t="str">
            <v>Jasmin Cristabel Rosales</v>
          </cell>
        </row>
        <row r="2519">
          <cell r="F2519">
            <v>315500</v>
          </cell>
          <cell r="G2519" t="str">
            <v>Jasson Daniel Morales Garcia</v>
          </cell>
        </row>
        <row r="2520">
          <cell r="F2520">
            <v>315383</v>
          </cell>
          <cell r="G2520" t="str">
            <v>Javier Estuardo Calderon Caceres</v>
          </cell>
        </row>
        <row r="2521">
          <cell r="F2521">
            <v>307598</v>
          </cell>
          <cell r="G2521" t="str">
            <v>Javier Ignacio Monzon Leon</v>
          </cell>
        </row>
        <row r="2522">
          <cell r="F2522">
            <v>312743</v>
          </cell>
          <cell r="G2522" t="str">
            <v>Jayro Vinicio Alvarado Rodriguez</v>
          </cell>
        </row>
        <row r="2523">
          <cell r="F2523">
            <v>313435</v>
          </cell>
          <cell r="G2523" t="str">
            <v>Jefferson Marvin Baudilio Aldana Lozano</v>
          </cell>
        </row>
        <row r="2524">
          <cell r="F2524">
            <v>310987</v>
          </cell>
          <cell r="G2524" t="str">
            <v>Jeffrey Donely Alvarez Garcia</v>
          </cell>
        </row>
        <row r="2525">
          <cell r="F2525">
            <v>315307</v>
          </cell>
          <cell r="G2525" t="str">
            <v>Jeicob Manrique Argueta Ovalle</v>
          </cell>
        </row>
        <row r="2526">
          <cell r="F2526">
            <v>313167</v>
          </cell>
          <cell r="G2526" t="str">
            <v>Jency Julissa Chavarria Garcia</v>
          </cell>
        </row>
        <row r="2527">
          <cell r="F2527">
            <v>309592</v>
          </cell>
          <cell r="G2527" t="str">
            <v>Jenifer Estrella Alvarez Cruz</v>
          </cell>
        </row>
        <row r="2528">
          <cell r="F2528">
            <v>308871</v>
          </cell>
          <cell r="G2528" t="str">
            <v>Jenifer Lisset Chicol Solis</v>
          </cell>
        </row>
        <row r="2529">
          <cell r="F2529">
            <v>310744</v>
          </cell>
          <cell r="G2529" t="str">
            <v>Jenifer Lucrecia Herrera Gonzalez</v>
          </cell>
        </row>
        <row r="2530">
          <cell r="F2530">
            <v>312022</v>
          </cell>
          <cell r="G2530" t="str">
            <v>Jenifer Maria Lopez Jimenez</v>
          </cell>
        </row>
        <row r="2531">
          <cell r="F2531">
            <v>311998</v>
          </cell>
          <cell r="G2531" t="str">
            <v>Jenifer Patricia Ruano Camo</v>
          </cell>
        </row>
        <row r="2532">
          <cell r="F2532">
            <v>314393</v>
          </cell>
          <cell r="G2532" t="str">
            <v>Jeniffer Yadaris Villegas Montepeque</v>
          </cell>
        </row>
        <row r="2533">
          <cell r="F2533">
            <v>312144</v>
          </cell>
          <cell r="G2533" t="str">
            <v>Jennie Beatriz Aguilar Gonzalez</v>
          </cell>
        </row>
        <row r="2534">
          <cell r="F2534">
            <v>310751</v>
          </cell>
          <cell r="G2534" t="str">
            <v>Jennifer Alejandra Escobar De Leon</v>
          </cell>
        </row>
        <row r="2535">
          <cell r="F2535">
            <v>311804</v>
          </cell>
          <cell r="G2535" t="str">
            <v>Jennifer Carolina Xitimul Aguilar</v>
          </cell>
        </row>
        <row r="2536">
          <cell r="F2536">
            <v>315185</v>
          </cell>
          <cell r="G2536" t="str">
            <v>Jennifer Estefany Argueta De Leon</v>
          </cell>
        </row>
        <row r="2537">
          <cell r="F2537">
            <v>313611</v>
          </cell>
          <cell r="G2537" t="str">
            <v>Jennifer Mishel Reyes Solis</v>
          </cell>
        </row>
        <row r="2538">
          <cell r="F2538">
            <v>314306</v>
          </cell>
          <cell r="G2538" t="str">
            <v>Jennifer Noemi Soch Castro</v>
          </cell>
        </row>
        <row r="2539">
          <cell r="F2539">
            <v>312876</v>
          </cell>
          <cell r="G2539" t="str">
            <v>Jennifer Pahola Calderon Lopez</v>
          </cell>
        </row>
        <row r="2540">
          <cell r="F2540">
            <v>311421</v>
          </cell>
          <cell r="G2540" t="str">
            <v>Jennifer Scarlett Garcia Perez</v>
          </cell>
        </row>
        <row r="2541">
          <cell r="F2541">
            <v>312270</v>
          </cell>
          <cell r="G2541" t="str">
            <v>Jennifer Vanessa Rodriguez Hernandez</v>
          </cell>
        </row>
        <row r="2542">
          <cell r="F2542">
            <v>313387</v>
          </cell>
          <cell r="G2542" t="str">
            <v>Jennifer Waleska Arévalo Barrios</v>
          </cell>
        </row>
        <row r="2543">
          <cell r="F2543">
            <v>312117</v>
          </cell>
          <cell r="G2543" t="str">
            <v>Jenniffer Jazmin Ramos Madriles</v>
          </cell>
        </row>
        <row r="2544">
          <cell r="F2544">
            <v>310238</v>
          </cell>
          <cell r="G2544" t="str">
            <v>Jennyfer Cristina Zamora Rosales</v>
          </cell>
        </row>
        <row r="2545">
          <cell r="F2545">
            <v>312732</v>
          </cell>
          <cell r="G2545" t="str">
            <v>Jerson Herminio Melchor Vasquez</v>
          </cell>
        </row>
        <row r="2546">
          <cell r="F2546">
            <v>314962</v>
          </cell>
          <cell r="G2546" t="str">
            <v>Jessica Alejandra Castillo Alvarado</v>
          </cell>
        </row>
        <row r="2547">
          <cell r="F2547">
            <v>314100</v>
          </cell>
          <cell r="G2547" t="str">
            <v>Jessica Elizabeth Perez Noriega</v>
          </cell>
        </row>
        <row r="2548">
          <cell r="F2548">
            <v>311601</v>
          </cell>
          <cell r="G2548" t="str">
            <v>Jessica Haydee Garcia Cuyuche</v>
          </cell>
        </row>
        <row r="2549">
          <cell r="F2549">
            <v>314620</v>
          </cell>
          <cell r="G2549" t="str">
            <v>Jessica Jasmin Baltazar Fuentes</v>
          </cell>
        </row>
        <row r="2550">
          <cell r="F2550">
            <v>302841</v>
          </cell>
          <cell r="G2550" t="str">
            <v>Jessica Maria Jose Santizo Guzman</v>
          </cell>
        </row>
        <row r="2551">
          <cell r="F2551">
            <v>306420</v>
          </cell>
          <cell r="G2551" t="str">
            <v>Jessica Paola Espinoza Solares</v>
          </cell>
        </row>
        <row r="2552">
          <cell r="F2552">
            <v>313826</v>
          </cell>
          <cell r="G2552" t="str">
            <v>Jesus Alberto Vasquez</v>
          </cell>
        </row>
        <row r="2553">
          <cell r="F2553">
            <v>314641</v>
          </cell>
          <cell r="G2553" t="str">
            <v>Jesus Emanuel Ramos Perez</v>
          </cell>
        </row>
        <row r="2554">
          <cell r="F2554">
            <v>314554</v>
          </cell>
          <cell r="G2554" t="str">
            <v>Jhonatan Alexis Ramos Tecun</v>
          </cell>
        </row>
        <row r="2555">
          <cell r="F2555">
            <v>309115</v>
          </cell>
          <cell r="G2555" t="str">
            <v>Jhony Ivan Perez Castillo</v>
          </cell>
        </row>
        <row r="2556">
          <cell r="F2556">
            <v>311171</v>
          </cell>
          <cell r="G2556" t="str">
            <v>Jhoselyn Guadalupe Aquino Maldonado</v>
          </cell>
        </row>
        <row r="2557">
          <cell r="F2557">
            <v>311987</v>
          </cell>
          <cell r="G2557" t="str">
            <v>Jhosseline Stefanie Zermeño Ayala</v>
          </cell>
        </row>
        <row r="2558">
          <cell r="F2558">
            <v>315116</v>
          </cell>
          <cell r="G2558" t="str">
            <v>Jocelyn Fabiola Negro Vasquez</v>
          </cell>
        </row>
        <row r="2559">
          <cell r="F2559">
            <v>314644</v>
          </cell>
          <cell r="G2559" t="str">
            <v>Joel Bernardino Pu Vicente</v>
          </cell>
        </row>
        <row r="2560">
          <cell r="F2560">
            <v>314368</v>
          </cell>
          <cell r="G2560" t="str">
            <v>Johanna Cecilia Hernandez Ixtecoc</v>
          </cell>
        </row>
        <row r="2561">
          <cell r="F2561">
            <v>314339</v>
          </cell>
          <cell r="G2561" t="str">
            <v>Jonatan Estuardo Lopez Gonzalez</v>
          </cell>
        </row>
        <row r="2562">
          <cell r="F2562">
            <v>313157</v>
          </cell>
          <cell r="G2562" t="str">
            <v>Jonatan Guillermo Soto Urbina</v>
          </cell>
        </row>
        <row r="2563">
          <cell r="F2563">
            <v>315492</v>
          </cell>
          <cell r="G2563" t="str">
            <v>Jonathan Daniel Perez Marroquin</v>
          </cell>
        </row>
        <row r="2564">
          <cell r="F2564">
            <v>315156</v>
          </cell>
          <cell r="G2564" t="str">
            <v>Jonathan Donely Sandoval Soch</v>
          </cell>
        </row>
        <row r="2565">
          <cell r="F2565">
            <v>315451</v>
          </cell>
          <cell r="G2565" t="str">
            <v>Jonathan Estuardo Boteo Hernandez</v>
          </cell>
        </row>
        <row r="2566">
          <cell r="F2566">
            <v>314228</v>
          </cell>
          <cell r="G2566" t="str">
            <v>Jordi Alexander Yuman Ramos</v>
          </cell>
        </row>
        <row r="2567">
          <cell r="F2567">
            <v>305955</v>
          </cell>
          <cell r="G2567" t="str">
            <v>Jorge Alfredo Gutierrez Rodriguez</v>
          </cell>
        </row>
        <row r="2568">
          <cell r="F2568">
            <v>309695</v>
          </cell>
          <cell r="G2568" t="str">
            <v>Jorge Andres Sunum Sacul</v>
          </cell>
        </row>
        <row r="2569">
          <cell r="F2569">
            <v>310641</v>
          </cell>
          <cell r="G2569" t="str">
            <v>Jorge Antonio Ramirez Sicay</v>
          </cell>
        </row>
        <row r="2570">
          <cell r="F2570">
            <v>300150</v>
          </cell>
          <cell r="G2570" t="str">
            <v>Jorge Ckristian Murga</v>
          </cell>
        </row>
        <row r="2571">
          <cell r="F2571">
            <v>315114</v>
          </cell>
          <cell r="G2571" t="str">
            <v>Jorge Enrique Tzic Cruz</v>
          </cell>
        </row>
        <row r="2572">
          <cell r="F2572">
            <v>300590</v>
          </cell>
          <cell r="G2572" t="str">
            <v>Jorge Luis Hernandez Corado</v>
          </cell>
        </row>
        <row r="2573">
          <cell r="F2573">
            <v>315173</v>
          </cell>
          <cell r="G2573" t="str">
            <v>Jorge Luis Morales Lopez</v>
          </cell>
        </row>
        <row r="2574">
          <cell r="F2574">
            <v>315067</v>
          </cell>
          <cell r="G2574" t="str">
            <v>Jorge Luis Rizo Melgar</v>
          </cell>
        </row>
        <row r="2575">
          <cell r="F2575">
            <v>309498</v>
          </cell>
          <cell r="G2575" t="str">
            <v>Jorge Ramiro Ixpec Tinti</v>
          </cell>
        </row>
        <row r="2576">
          <cell r="F2576">
            <v>313405</v>
          </cell>
          <cell r="G2576" t="str">
            <v>Josabet Anai Paz Lobos</v>
          </cell>
        </row>
        <row r="2577">
          <cell r="F2577">
            <v>315268</v>
          </cell>
          <cell r="G2577" t="str">
            <v>Jose Alberto Alveno Chacon</v>
          </cell>
        </row>
        <row r="2578">
          <cell r="F2578">
            <v>312319</v>
          </cell>
          <cell r="G2578" t="str">
            <v>Jose Alberto Sosa</v>
          </cell>
        </row>
        <row r="2579">
          <cell r="F2579">
            <v>315039</v>
          </cell>
          <cell r="G2579" t="str">
            <v>Jose Alejandro Hernandez Escobar</v>
          </cell>
        </row>
        <row r="2580">
          <cell r="F2580">
            <v>310674</v>
          </cell>
          <cell r="G2580" t="str">
            <v>Jose Armando Bamaca De Leon</v>
          </cell>
        </row>
        <row r="2581">
          <cell r="F2581">
            <v>313612</v>
          </cell>
          <cell r="G2581" t="str">
            <v>Jose Baldemar Galicia Muñoz</v>
          </cell>
        </row>
        <row r="2582">
          <cell r="F2582">
            <v>314216</v>
          </cell>
          <cell r="G2582" t="str">
            <v>Jose Bernardo Yax Pop</v>
          </cell>
        </row>
        <row r="2583">
          <cell r="F2583">
            <v>314504</v>
          </cell>
          <cell r="G2583" t="str">
            <v>Jose Carlos Lopez Santisteban</v>
          </cell>
        </row>
        <row r="2584">
          <cell r="F2584">
            <v>310673</v>
          </cell>
          <cell r="G2584" t="str">
            <v>Jose Carlos Orozco Lopez</v>
          </cell>
        </row>
        <row r="2585">
          <cell r="F2585">
            <v>308982</v>
          </cell>
          <cell r="G2585" t="str">
            <v>Jose Daniel Sosa Torres</v>
          </cell>
        </row>
        <row r="2586">
          <cell r="F2586">
            <v>314510</v>
          </cell>
          <cell r="G2586" t="str">
            <v>Jose David Flores Enriquez</v>
          </cell>
        </row>
        <row r="2587">
          <cell r="F2587">
            <v>315261</v>
          </cell>
          <cell r="G2587" t="str">
            <v>Jose Emmanuel Ixcajo Higueros</v>
          </cell>
        </row>
        <row r="2588">
          <cell r="F2588">
            <v>313766</v>
          </cell>
          <cell r="G2588" t="str">
            <v>Jose Francisco Aquino Monterroso</v>
          </cell>
        </row>
        <row r="2589">
          <cell r="F2589">
            <v>315415</v>
          </cell>
          <cell r="G2589" t="str">
            <v>Jose Guillermo Marroquin Alvarado</v>
          </cell>
        </row>
        <row r="2590">
          <cell r="F2590">
            <v>306915</v>
          </cell>
          <cell r="G2590" t="str">
            <v>Jose Luis Chinchilla</v>
          </cell>
        </row>
        <row r="2591">
          <cell r="F2591">
            <v>309765</v>
          </cell>
          <cell r="G2591" t="str">
            <v>Jose Luis Velasquez Miche</v>
          </cell>
        </row>
        <row r="2592">
          <cell r="F2592">
            <v>314262</v>
          </cell>
          <cell r="G2592" t="str">
            <v>Jose Manuel Carreto Lopez</v>
          </cell>
        </row>
        <row r="2593">
          <cell r="F2593">
            <v>315487</v>
          </cell>
          <cell r="G2593" t="str">
            <v>Jose Manuel Vasquez Osoy</v>
          </cell>
        </row>
        <row r="2594">
          <cell r="F2594">
            <v>304892</v>
          </cell>
          <cell r="G2594" t="str">
            <v>Jose Mario Alberto Ordoñez Quiñonez</v>
          </cell>
        </row>
        <row r="2595">
          <cell r="F2595">
            <v>313023</v>
          </cell>
          <cell r="G2595" t="str">
            <v>Jose Miguel Angel Noj Aguilar</v>
          </cell>
        </row>
        <row r="2596">
          <cell r="F2596">
            <v>312573</v>
          </cell>
          <cell r="G2596" t="str">
            <v>Jose Miguel Santos Roca</v>
          </cell>
        </row>
        <row r="2597">
          <cell r="F2597">
            <v>311802</v>
          </cell>
          <cell r="G2597" t="str">
            <v>Jose Roberto Samayoa Bernal</v>
          </cell>
        </row>
        <row r="2598">
          <cell r="F2598">
            <v>314614</v>
          </cell>
          <cell r="G2598" t="str">
            <v>Jose Rodrigo Choc Turcios</v>
          </cell>
        </row>
        <row r="2599">
          <cell r="F2599">
            <v>314729</v>
          </cell>
          <cell r="G2599" t="str">
            <v>Joselin Rocio Galicia Mendez</v>
          </cell>
        </row>
        <row r="2600">
          <cell r="F2600">
            <v>315496</v>
          </cell>
          <cell r="G2600" t="str">
            <v>Joseline Otilia Lorenzana Obando</v>
          </cell>
        </row>
        <row r="2601">
          <cell r="F2601">
            <v>310302</v>
          </cell>
          <cell r="G2601" t="str">
            <v>Joselyn Amparo Jolon Arenas</v>
          </cell>
        </row>
        <row r="2602">
          <cell r="F2602">
            <v>315573</v>
          </cell>
          <cell r="G2602" t="str">
            <v>Joselyn Marilu Lima Hernandez</v>
          </cell>
        </row>
        <row r="2603">
          <cell r="F2603">
            <v>313361</v>
          </cell>
          <cell r="G2603" t="str">
            <v>Joselyne Elizabeth Sanchez Rodriguez</v>
          </cell>
        </row>
        <row r="2604">
          <cell r="F2604">
            <v>309870</v>
          </cell>
          <cell r="G2604" t="str">
            <v>Joselyne Gabriela Ruiz Serra</v>
          </cell>
        </row>
        <row r="2605">
          <cell r="F2605">
            <v>311407</v>
          </cell>
          <cell r="G2605" t="str">
            <v>Joshelyn Andrea Ozuna Rosales</v>
          </cell>
        </row>
        <row r="2606">
          <cell r="F2606">
            <v>315066</v>
          </cell>
          <cell r="G2606" t="str">
            <v>Joshua Leonel Pardo Carrera</v>
          </cell>
        </row>
        <row r="2607">
          <cell r="F2607">
            <v>314433</v>
          </cell>
          <cell r="G2607" t="str">
            <v>Josselin Azucena Cortez Hernandez</v>
          </cell>
        </row>
        <row r="2608">
          <cell r="F2608">
            <v>315560</v>
          </cell>
          <cell r="G2608" t="str">
            <v>Josseline Maribel Sarceno Guerra</v>
          </cell>
        </row>
        <row r="2609">
          <cell r="F2609">
            <v>314268</v>
          </cell>
          <cell r="G2609" t="str">
            <v>Josseline Mishel Flores Baren</v>
          </cell>
        </row>
        <row r="2610">
          <cell r="F2610">
            <v>313034</v>
          </cell>
          <cell r="G2610" t="str">
            <v>Josselyn Raab Morales Arana</v>
          </cell>
        </row>
        <row r="2611">
          <cell r="F2611">
            <v>314989</v>
          </cell>
          <cell r="G2611" t="str">
            <v>Josue Adrian Gutierrez Garcia</v>
          </cell>
        </row>
        <row r="2612">
          <cell r="F2612">
            <v>308461</v>
          </cell>
          <cell r="G2612" t="str">
            <v>Josue Gamaliel Rivera</v>
          </cell>
        </row>
        <row r="2613">
          <cell r="F2613">
            <v>315155</v>
          </cell>
          <cell r="G2613" t="str">
            <v>Josue Helaman Delgado Rivera</v>
          </cell>
        </row>
        <row r="2614">
          <cell r="F2614">
            <v>315011</v>
          </cell>
          <cell r="G2614" t="str">
            <v>Josue Ivan Escobar De Leon</v>
          </cell>
        </row>
        <row r="2615">
          <cell r="F2615">
            <v>313389</v>
          </cell>
          <cell r="G2615" t="str">
            <v>Josue Leonel Hernandez Diaz</v>
          </cell>
        </row>
        <row r="2616">
          <cell r="F2616">
            <v>301059</v>
          </cell>
          <cell r="G2616" t="str">
            <v>Jovita Vasquez Cuestas</v>
          </cell>
        </row>
        <row r="2617">
          <cell r="F2617">
            <v>314492</v>
          </cell>
          <cell r="G2617" t="str">
            <v>Juan Antonio Alvarez Paniagua</v>
          </cell>
        </row>
        <row r="2618">
          <cell r="F2618">
            <v>313594</v>
          </cell>
          <cell r="G2618" t="str">
            <v>Juan Carlos Enrique Molina Ramirez</v>
          </cell>
        </row>
        <row r="2619">
          <cell r="F2619">
            <v>314452</v>
          </cell>
          <cell r="G2619" t="str">
            <v>Juan Carlos Ivan Garcia Garcia</v>
          </cell>
        </row>
        <row r="2620">
          <cell r="F2620">
            <v>307279</v>
          </cell>
          <cell r="G2620" t="str">
            <v>Juan Carlos Perez Cahueque</v>
          </cell>
        </row>
        <row r="2621">
          <cell r="F2621">
            <v>315455</v>
          </cell>
          <cell r="G2621" t="str">
            <v>Juan Daniel Davila Juarez</v>
          </cell>
        </row>
        <row r="2622">
          <cell r="F2622">
            <v>312318</v>
          </cell>
          <cell r="G2622" t="str">
            <v>Juan Enrique Garcia</v>
          </cell>
        </row>
        <row r="2623">
          <cell r="F2623">
            <v>314669</v>
          </cell>
          <cell r="G2623" t="str">
            <v>Juan Enrique Jul Coc</v>
          </cell>
        </row>
        <row r="2624">
          <cell r="F2624">
            <v>311223</v>
          </cell>
          <cell r="G2624" t="str">
            <v>Juan Francisco Gudiel Castillo</v>
          </cell>
        </row>
        <row r="2625">
          <cell r="F2625">
            <v>313343</v>
          </cell>
          <cell r="G2625" t="str">
            <v>Juan Francisco Lopez Salic</v>
          </cell>
        </row>
        <row r="2626">
          <cell r="F2626">
            <v>300401</v>
          </cell>
          <cell r="G2626" t="str">
            <v>Juan Gabriel Mendoza Alvarez</v>
          </cell>
        </row>
        <row r="2627">
          <cell r="F2627">
            <v>313617</v>
          </cell>
          <cell r="G2627" t="str">
            <v>Juan Isael Amador</v>
          </cell>
        </row>
        <row r="2628">
          <cell r="F2628">
            <v>314961</v>
          </cell>
          <cell r="G2628" t="str">
            <v>Juan Jose Cifuentes Chavez</v>
          </cell>
        </row>
        <row r="2629">
          <cell r="F2629">
            <v>300919</v>
          </cell>
          <cell r="G2629" t="str">
            <v>Juan Jose Rodriguez Catu</v>
          </cell>
        </row>
        <row r="2630">
          <cell r="F2630">
            <v>313044</v>
          </cell>
          <cell r="G2630" t="str">
            <v>Juan Luis Ajcet Xicay</v>
          </cell>
        </row>
        <row r="2631">
          <cell r="F2631">
            <v>314665</v>
          </cell>
          <cell r="G2631" t="str">
            <v>Juan Manuel Lopez Hernandez</v>
          </cell>
        </row>
        <row r="2632">
          <cell r="F2632">
            <v>315275</v>
          </cell>
          <cell r="G2632" t="str">
            <v>Juana Del Carmen Arias Lopez</v>
          </cell>
        </row>
        <row r="2633">
          <cell r="F2633">
            <v>314557</v>
          </cell>
          <cell r="G2633" t="str">
            <v>Juana Ester Alvarez Tuluxan</v>
          </cell>
        </row>
        <row r="2634">
          <cell r="F2634">
            <v>313604</v>
          </cell>
          <cell r="G2634" t="str">
            <v>Julia Damaris Raquel Ramirez Torres</v>
          </cell>
        </row>
        <row r="2635">
          <cell r="F2635">
            <v>315411</v>
          </cell>
          <cell r="G2635" t="str">
            <v>Julio Alberto Guerra Jacinto</v>
          </cell>
        </row>
        <row r="2636">
          <cell r="F2636">
            <v>306242</v>
          </cell>
          <cell r="G2636" t="str">
            <v>Julio Amilcar Oswaldo Ico Rey</v>
          </cell>
        </row>
        <row r="2637">
          <cell r="F2637">
            <v>310693</v>
          </cell>
          <cell r="G2637" t="str">
            <v>Julio Antonio Gonzalez Izaguirre</v>
          </cell>
        </row>
        <row r="2638">
          <cell r="F2638">
            <v>302559</v>
          </cell>
          <cell r="G2638" t="str">
            <v>Julio Belarmino Mendez Camey</v>
          </cell>
        </row>
        <row r="2639">
          <cell r="F2639">
            <v>314740</v>
          </cell>
          <cell r="G2639" t="str">
            <v>Julio Cesar Cuellar Revolorio</v>
          </cell>
        </row>
        <row r="2640">
          <cell r="F2640">
            <v>308266</v>
          </cell>
          <cell r="G2640" t="str">
            <v>Julio Cesar De Leon Huinac</v>
          </cell>
        </row>
        <row r="2641">
          <cell r="F2641">
            <v>311388</v>
          </cell>
          <cell r="G2641" t="str">
            <v>Julio David Ambrosio Hernandez</v>
          </cell>
        </row>
        <row r="2642">
          <cell r="F2642">
            <v>313493</v>
          </cell>
          <cell r="G2642" t="str">
            <v>Julio Rene Medina Mendez</v>
          </cell>
        </row>
        <row r="2643">
          <cell r="F2643">
            <v>314194</v>
          </cell>
          <cell r="G2643" t="str">
            <v>Junior Stiven Gonzalez Fuentes</v>
          </cell>
        </row>
        <row r="2644">
          <cell r="F2644">
            <v>308411</v>
          </cell>
          <cell r="G2644" t="str">
            <v>Karen Alejandra Cotoc Valdes</v>
          </cell>
        </row>
        <row r="2645">
          <cell r="F2645">
            <v>313225</v>
          </cell>
          <cell r="G2645" t="str">
            <v>Karen Deniss Lucas Chavez</v>
          </cell>
        </row>
        <row r="2646">
          <cell r="F2646">
            <v>311553</v>
          </cell>
          <cell r="G2646" t="str">
            <v>Karen Elizabeth Racancoj Tin</v>
          </cell>
        </row>
        <row r="2647">
          <cell r="F2647">
            <v>312029</v>
          </cell>
          <cell r="G2647" t="str">
            <v>Karen Faviola Lutin Sanchez</v>
          </cell>
        </row>
        <row r="2648">
          <cell r="F2648">
            <v>314954</v>
          </cell>
          <cell r="G2648" t="str">
            <v>Karen Jeanet Pacheco Gomez</v>
          </cell>
        </row>
        <row r="2649">
          <cell r="F2649">
            <v>305618</v>
          </cell>
          <cell r="G2649" t="str">
            <v>Karen Julisa Fernandez Vides</v>
          </cell>
        </row>
        <row r="2650">
          <cell r="F2650">
            <v>308561</v>
          </cell>
          <cell r="G2650" t="str">
            <v>Karen Leticia Vasquez Castañeda</v>
          </cell>
        </row>
        <row r="2651">
          <cell r="F2651">
            <v>313722</v>
          </cell>
          <cell r="G2651" t="str">
            <v>Karen Marilu Chavez Suchite</v>
          </cell>
        </row>
        <row r="2652">
          <cell r="F2652">
            <v>315110</v>
          </cell>
          <cell r="G2652" t="str">
            <v>Karen Marleny Perez Fuentes</v>
          </cell>
        </row>
        <row r="2653">
          <cell r="F2653">
            <v>311616</v>
          </cell>
          <cell r="G2653" t="str">
            <v>Karen Meliza Saavedra Morataya</v>
          </cell>
        </row>
        <row r="2654">
          <cell r="F2654">
            <v>309014</v>
          </cell>
          <cell r="G2654" t="str">
            <v>Karen Mishelle Chavez Segura</v>
          </cell>
        </row>
        <row r="2655">
          <cell r="F2655">
            <v>314217</v>
          </cell>
          <cell r="G2655" t="str">
            <v>Karen Nohemi Perez Santos</v>
          </cell>
        </row>
        <row r="2656">
          <cell r="F2656">
            <v>315274</v>
          </cell>
          <cell r="G2656" t="str">
            <v>Karen Rubi Perez Calderon</v>
          </cell>
        </row>
        <row r="2657">
          <cell r="F2657">
            <v>308426</v>
          </cell>
          <cell r="G2657" t="str">
            <v>Karen Susana Marcos Yupe</v>
          </cell>
        </row>
        <row r="2658">
          <cell r="F2658">
            <v>311722</v>
          </cell>
          <cell r="G2658" t="str">
            <v>Karen Verali Sagastume Oliveros</v>
          </cell>
        </row>
        <row r="2659">
          <cell r="F2659">
            <v>308244</v>
          </cell>
          <cell r="G2659" t="str">
            <v>Karen Yamileth Rosales Alarcon</v>
          </cell>
        </row>
        <row r="2660">
          <cell r="F2660">
            <v>312215</v>
          </cell>
          <cell r="G2660" t="str">
            <v>Karin Liseth Son Chonay</v>
          </cell>
        </row>
        <row r="2661">
          <cell r="F2661">
            <v>301583</v>
          </cell>
          <cell r="G2661" t="str">
            <v>Karin Yesenia Nova Posadas</v>
          </cell>
        </row>
        <row r="2662">
          <cell r="F2662">
            <v>313918</v>
          </cell>
          <cell r="G2662" t="str">
            <v>Karina Lizeth Pineda Ortiz</v>
          </cell>
        </row>
        <row r="2663">
          <cell r="F2663">
            <v>312403</v>
          </cell>
          <cell r="G2663" t="str">
            <v>Karla Elizabeth Lopez Tupul</v>
          </cell>
        </row>
        <row r="2664">
          <cell r="F2664">
            <v>304664</v>
          </cell>
          <cell r="G2664" t="str">
            <v>Karla Eunice Godinez Mendoza</v>
          </cell>
        </row>
        <row r="2665">
          <cell r="F2665">
            <v>315490</v>
          </cell>
          <cell r="G2665" t="str">
            <v>Karla Jasmin Pelen Rafael</v>
          </cell>
        </row>
        <row r="2666">
          <cell r="F2666">
            <v>314673</v>
          </cell>
          <cell r="G2666" t="str">
            <v>Karla Maria Montejo Martinez</v>
          </cell>
        </row>
        <row r="2667">
          <cell r="F2667">
            <v>313079</v>
          </cell>
          <cell r="G2667" t="str">
            <v>Karla Mariela Lopez Salguero</v>
          </cell>
        </row>
        <row r="2668">
          <cell r="F2668">
            <v>314464</v>
          </cell>
          <cell r="G2668" t="str">
            <v>Karla Melisa Trejo Lopez</v>
          </cell>
        </row>
        <row r="2669">
          <cell r="F2669">
            <v>314206</v>
          </cell>
          <cell r="G2669" t="str">
            <v>Karla Nineth Guzman Carrera De Velasquez</v>
          </cell>
        </row>
        <row r="2670">
          <cell r="F2670">
            <v>314831</v>
          </cell>
          <cell r="G2670" t="str">
            <v>Karla Paola Solorzano Monroy</v>
          </cell>
        </row>
        <row r="2671">
          <cell r="F2671">
            <v>309957</v>
          </cell>
          <cell r="G2671" t="str">
            <v>Karla Veronica Zepeda Moran</v>
          </cell>
        </row>
        <row r="2672">
          <cell r="F2672">
            <v>310487</v>
          </cell>
          <cell r="G2672" t="str">
            <v>Karla Yaneth Vasquez Gomez</v>
          </cell>
        </row>
        <row r="2673">
          <cell r="F2673">
            <v>314444</v>
          </cell>
          <cell r="G2673" t="str">
            <v>Karla Yanira Francisco Morales</v>
          </cell>
        </row>
        <row r="2674">
          <cell r="F2674">
            <v>305608</v>
          </cell>
          <cell r="G2674" t="str">
            <v>Karla Yanira Franco Perez</v>
          </cell>
        </row>
        <row r="2675">
          <cell r="F2675">
            <v>312982</v>
          </cell>
          <cell r="G2675" t="str">
            <v>Karla Yessenia Garcia Lopez</v>
          </cell>
        </row>
        <row r="2676">
          <cell r="F2676">
            <v>314044</v>
          </cell>
          <cell r="G2676" t="str">
            <v>Karol Liset Reyes Alvarez</v>
          </cell>
        </row>
        <row r="2677">
          <cell r="F2677">
            <v>311039</v>
          </cell>
          <cell r="G2677" t="str">
            <v>Karolyn Gisselle Palma Ramirez</v>
          </cell>
        </row>
        <row r="2678">
          <cell r="F2678">
            <v>309255</v>
          </cell>
          <cell r="G2678" t="str">
            <v>Katerin Mariela Miranda Perez</v>
          </cell>
        </row>
        <row r="2679">
          <cell r="F2679">
            <v>308909</v>
          </cell>
          <cell r="G2679" t="str">
            <v>Katerine Andrea Mansilla Vasquez</v>
          </cell>
        </row>
        <row r="2680">
          <cell r="F2680">
            <v>314344</v>
          </cell>
          <cell r="G2680" t="str">
            <v>Katherin Maria Del Rosario Curiales Catalan</v>
          </cell>
        </row>
        <row r="2681">
          <cell r="F2681">
            <v>311930</v>
          </cell>
          <cell r="G2681" t="str">
            <v>Katherine Andreina Rodriguez Flores</v>
          </cell>
        </row>
        <row r="2682">
          <cell r="F2682">
            <v>314987</v>
          </cell>
          <cell r="G2682" t="str">
            <v>Katherine Dayana Sinay Colindres</v>
          </cell>
        </row>
        <row r="2683">
          <cell r="F2683">
            <v>313018</v>
          </cell>
          <cell r="G2683" t="str">
            <v>Katherine Guissele Camey Gonzalez</v>
          </cell>
        </row>
        <row r="2684">
          <cell r="F2684">
            <v>305303</v>
          </cell>
          <cell r="G2684" t="str">
            <v>Katherine Stephani Cazanga Giron</v>
          </cell>
        </row>
        <row r="2685">
          <cell r="F2685">
            <v>310764</v>
          </cell>
          <cell r="G2685" t="str">
            <v>Katherine Yorleny Montepeque Echeverria</v>
          </cell>
        </row>
        <row r="2686">
          <cell r="F2686">
            <v>312313</v>
          </cell>
          <cell r="G2686" t="str">
            <v>Katherinne Marleny Ruano Vasquez</v>
          </cell>
        </row>
        <row r="2687">
          <cell r="F2687">
            <v>312966</v>
          </cell>
          <cell r="G2687" t="str">
            <v>Katheryn Nohemi Pineda Sun</v>
          </cell>
        </row>
        <row r="2688">
          <cell r="F2688">
            <v>314949</v>
          </cell>
          <cell r="G2688" t="str">
            <v>Kathleen Yadira Martinez Salazar</v>
          </cell>
        </row>
        <row r="2689">
          <cell r="F2689">
            <v>307014</v>
          </cell>
          <cell r="G2689" t="str">
            <v>Keila Abigail Lopez Argueta</v>
          </cell>
        </row>
        <row r="2690">
          <cell r="F2690">
            <v>315508</v>
          </cell>
          <cell r="G2690" t="str">
            <v>Keila Betsaida Mendoza Pineda</v>
          </cell>
        </row>
        <row r="2691">
          <cell r="F2691">
            <v>315062</v>
          </cell>
          <cell r="G2691" t="str">
            <v>Keili Yanira Arceno Solano</v>
          </cell>
        </row>
        <row r="2692">
          <cell r="F2692">
            <v>314165</v>
          </cell>
          <cell r="G2692" t="str">
            <v>Kelly Dayanna Patzan Giron</v>
          </cell>
        </row>
        <row r="2693">
          <cell r="F2693">
            <v>315570</v>
          </cell>
          <cell r="G2693" t="str">
            <v>Kemberly Del Rosario Zecena Ramos</v>
          </cell>
        </row>
        <row r="2694">
          <cell r="F2694">
            <v>314804</v>
          </cell>
          <cell r="G2694" t="str">
            <v>Kendy Daniela Ramirez Lopez</v>
          </cell>
        </row>
        <row r="2695">
          <cell r="F2695">
            <v>313433</v>
          </cell>
          <cell r="G2695" t="str">
            <v>Kenia Estefania Mateo Castro</v>
          </cell>
        </row>
        <row r="2696">
          <cell r="F2696">
            <v>314991</v>
          </cell>
          <cell r="G2696" t="str">
            <v>Kevin Alberto Castillo Matias</v>
          </cell>
        </row>
        <row r="2697">
          <cell r="F2697">
            <v>314026</v>
          </cell>
          <cell r="G2697" t="str">
            <v>Kevin Alberto Lopez Ortiz</v>
          </cell>
        </row>
        <row r="2698">
          <cell r="F2698">
            <v>315246</v>
          </cell>
          <cell r="G2698" t="str">
            <v>Kevin Alexander Escobar Cante</v>
          </cell>
        </row>
        <row r="2699">
          <cell r="F2699">
            <v>312218</v>
          </cell>
          <cell r="G2699" t="str">
            <v>Kevin Amilcar Cor Guzman</v>
          </cell>
        </row>
        <row r="2700">
          <cell r="F2700">
            <v>311369</v>
          </cell>
          <cell r="G2700" t="str">
            <v>Kevin Antonio Perez Gonzalez</v>
          </cell>
        </row>
        <row r="2701">
          <cell r="F2701">
            <v>314627</v>
          </cell>
          <cell r="G2701" t="str">
            <v>Kevin Daniel Chonay Perez</v>
          </cell>
        </row>
        <row r="2702">
          <cell r="F2702">
            <v>311228</v>
          </cell>
          <cell r="G2702" t="str">
            <v>Kevin Doley Alexander Gomez Lopez</v>
          </cell>
        </row>
        <row r="2703">
          <cell r="F2703">
            <v>309148</v>
          </cell>
          <cell r="G2703" t="str">
            <v>Kevin Estuardo Yac Garcia</v>
          </cell>
        </row>
        <row r="2704">
          <cell r="F2704">
            <v>311643</v>
          </cell>
          <cell r="G2704" t="str">
            <v>Kevin Javier Ortiz Gonzalez</v>
          </cell>
        </row>
        <row r="2705">
          <cell r="F2705">
            <v>311034</v>
          </cell>
          <cell r="G2705" t="str">
            <v>Kevin Jordano Barrios Chin</v>
          </cell>
        </row>
        <row r="2706">
          <cell r="F2706">
            <v>314011</v>
          </cell>
          <cell r="G2706" t="str">
            <v>Kevin Jose Mijangos Vasquez</v>
          </cell>
        </row>
        <row r="2707">
          <cell r="F2707">
            <v>314743</v>
          </cell>
          <cell r="G2707" t="str">
            <v>Kevin Josue Sevilla Nieto</v>
          </cell>
        </row>
        <row r="2708">
          <cell r="F2708">
            <v>311639</v>
          </cell>
          <cell r="G2708" t="str">
            <v>Kevin Omar Ortiz Contreras</v>
          </cell>
        </row>
        <row r="2709">
          <cell r="F2709">
            <v>310538</v>
          </cell>
          <cell r="G2709" t="str">
            <v>Kevin Orlando Ventura Lopez</v>
          </cell>
        </row>
        <row r="2710">
          <cell r="F2710">
            <v>311932</v>
          </cell>
          <cell r="G2710" t="str">
            <v>Kevin Rene Medrano Sarceño</v>
          </cell>
        </row>
        <row r="2711">
          <cell r="F2711">
            <v>308269</v>
          </cell>
          <cell r="G2711" t="str">
            <v>Kevin Ruben Perez Lopez</v>
          </cell>
        </row>
        <row r="2712">
          <cell r="F2712">
            <v>313566</v>
          </cell>
          <cell r="G2712" t="str">
            <v>Kevin Saul Rodriguez Vasquez</v>
          </cell>
        </row>
        <row r="2713">
          <cell r="F2713">
            <v>313520</v>
          </cell>
          <cell r="G2713" t="str">
            <v>Kevin Winston Chavez Alvarez</v>
          </cell>
        </row>
        <row r="2714">
          <cell r="F2714">
            <v>312178</v>
          </cell>
          <cell r="G2714" t="str">
            <v>Keyla Cristy Dubon Pernillo</v>
          </cell>
        </row>
        <row r="2715">
          <cell r="F2715">
            <v>305666</v>
          </cell>
          <cell r="G2715" t="str">
            <v>Kezmi Romani Garcia Mendez</v>
          </cell>
        </row>
        <row r="2716">
          <cell r="F2716">
            <v>314754</v>
          </cell>
          <cell r="G2716" t="str">
            <v>Kimberly Anayanci Tello Morales</v>
          </cell>
        </row>
        <row r="2717">
          <cell r="F2717">
            <v>314051</v>
          </cell>
          <cell r="G2717" t="str">
            <v>Kimberly Dayanna Herrera Marroquin</v>
          </cell>
        </row>
        <row r="2718">
          <cell r="F2718">
            <v>313302</v>
          </cell>
          <cell r="G2718" t="str">
            <v>Kimberly Guadalupe Mulul Pelico</v>
          </cell>
        </row>
        <row r="2719">
          <cell r="F2719">
            <v>314218</v>
          </cell>
          <cell r="G2719" t="str">
            <v>Kimberly Guadalupe Soto</v>
          </cell>
        </row>
        <row r="2720">
          <cell r="F2720">
            <v>305285</v>
          </cell>
          <cell r="G2720" t="str">
            <v>Kimberly Judith Lopez Amaya</v>
          </cell>
        </row>
        <row r="2721">
          <cell r="F2721">
            <v>309753</v>
          </cell>
          <cell r="G2721" t="str">
            <v>Kimberly Melissa Juarez Ramirez</v>
          </cell>
        </row>
        <row r="2722">
          <cell r="F2722">
            <v>312174</v>
          </cell>
          <cell r="G2722" t="str">
            <v>Kimberly Mishel Merida Cortez</v>
          </cell>
        </row>
        <row r="2723">
          <cell r="F2723">
            <v>310926</v>
          </cell>
          <cell r="G2723" t="str">
            <v>Kimberly Nohemi Alvarado Toj</v>
          </cell>
        </row>
        <row r="2724">
          <cell r="F2724">
            <v>315095</v>
          </cell>
          <cell r="G2724" t="str">
            <v>Kimberly Suseli Ibarra Barahona</v>
          </cell>
        </row>
        <row r="2725">
          <cell r="F2725">
            <v>313601</v>
          </cell>
          <cell r="G2725" t="str">
            <v>Kimberly Yasmin Alvarado Veliz</v>
          </cell>
        </row>
        <row r="2726">
          <cell r="F2726">
            <v>310820</v>
          </cell>
          <cell r="G2726" t="str">
            <v>Kleidy Smaily Lopez Lopez De Vicente</v>
          </cell>
        </row>
        <row r="2727">
          <cell r="F2727">
            <v>315345</v>
          </cell>
          <cell r="G2727" t="str">
            <v>Klisman Julio Rolando Lopez Garcia</v>
          </cell>
        </row>
        <row r="2728">
          <cell r="F2728">
            <v>315369</v>
          </cell>
          <cell r="G2728" t="str">
            <v>Krisla Mayte Madrigales Palencia</v>
          </cell>
        </row>
        <row r="2729">
          <cell r="F2729">
            <v>314417</v>
          </cell>
          <cell r="G2729" t="str">
            <v>Krisley Mary Dayana Mazariegos Vega</v>
          </cell>
        </row>
        <row r="2730">
          <cell r="F2730">
            <v>311096</v>
          </cell>
          <cell r="G2730" t="str">
            <v>Larry Noel Gomez Cuellar</v>
          </cell>
        </row>
        <row r="2731">
          <cell r="F2731">
            <v>315400</v>
          </cell>
          <cell r="G2731" t="str">
            <v>Laura Cecilia De Leon Zapeta</v>
          </cell>
        </row>
        <row r="2732">
          <cell r="F2732">
            <v>312722</v>
          </cell>
          <cell r="G2732" t="str">
            <v>Laura Dairis Analy Zeceña Minera</v>
          </cell>
        </row>
        <row r="2733">
          <cell r="F2733">
            <v>314274</v>
          </cell>
          <cell r="G2733" t="str">
            <v>Laura Estefania Cardona Mateo</v>
          </cell>
        </row>
        <row r="2734">
          <cell r="F2734">
            <v>309643</v>
          </cell>
          <cell r="G2734" t="str">
            <v>Laura Gabriela Hernandez Merida</v>
          </cell>
        </row>
        <row r="2735">
          <cell r="F2735">
            <v>312253</v>
          </cell>
          <cell r="G2735" t="str">
            <v>Laura Jajairy Ramirez Veron</v>
          </cell>
        </row>
        <row r="2736">
          <cell r="F2736">
            <v>315183</v>
          </cell>
          <cell r="G2736" t="str">
            <v>Laura Lisbeth Gonzalez Ajin</v>
          </cell>
        </row>
        <row r="2737">
          <cell r="F2737">
            <v>315144</v>
          </cell>
          <cell r="G2737" t="str">
            <v>Lazaro Castro Cajanti</v>
          </cell>
        </row>
        <row r="2738">
          <cell r="F2738">
            <v>314220</v>
          </cell>
          <cell r="G2738" t="str">
            <v>Lea Maria Lopez Agustin</v>
          </cell>
        </row>
        <row r="2739">
          <cell r="F2739">
            <v>303284</v>
          </cell>
          <cell r="G2739" t="str">
            <v>Legbi Evangelina Martinez Vicente</v>
          </cell>
        </row>
        <row r="2740">
          <cell r="F2740">
            <v>304200</v>
          </cell>
          <cell r="G2740" t="str">
            <v>Legna Magali Juarez Aroche</v>
          </cell>
        </row>
        <row r="2741">
          <cell r="F2741">
            <v>310692</v>
          </cell>
          <cell r="G2741" t="str">
            <v>Leidy Ana Deisy Macz Valey</v>
          </cell>
        </row>
        <row r="2742">
          <cell r="F2742">
            <v>303971</v>
          </cell>
          <cell r="G2742" t="str">
            <v>Leidy Marisol Perez Arias</v>
          </cell>
        </row>
        <row r="2743">
          <cell r="F2743">
            <v>312969</v>
          </cell>
          <cell r="G2743" t="str">
            <v>Lely Herrera Molina</v>
          </cell>
        </row>
        <row r="2744">
          <cell r="F2744">
            <v>315278</v>
          </cell>
          <cell r="G2744" t="str">
            <v>Leon Vicente Estuardo Ical Chub</v>
          </cell>
        </row>
        <row r="2745">
          <cell r="F2745">
            <v>306895</v>
          </cell>
          <cell r="G2745" t="str">
            <v>Leonardo Bocel Lopez</v>
          </cell>
        </row>
        <row r="2746">
          <cell r="F2746">
            <v>315257</v>
          </cell>
          <cell r="G2746" t="str">
            <v>Lesli Carolina Iquique Chamale</v>
          </cell>
        </row>
        <row r="2747">
          <cell r="F2747">
            <v>310605</v>
          </cell>
          <cell r="G2747" t="str">
            <v>Lesli Paola Mendez Palencia</v>
          </cell>
        </row>
        <row r="2748">
          <cell r="F2748">
            <v>307367</v>
          </cell>
          <cell r="G2748" t="str">
            <v>Lesli Paola Vasquez Villalta</v>
          </cell>
        </row>
        <row r="2749">
          <cell r="F2749">
            <v>314870</v>
          </cell>
          <cell r="G2749" t="str">
            <v>Leslie Karina Peliz Garcia</v>
          </cell>
        </row>
        <row r="2750">
          <cell r="F2750">
            <v>314382</v>
          </cell>
          <cell r="G2750" t="str">
            <v>Leslie Veronica Varela Echeverria</v>
          </cell>
        </row>
        <row r="2751">
          <cell r="F2751">
            <v>310067</v>
          </cell>
          <cell r="G2751" t="str">
            <v>Lesly Alejandra Estrada Chacon</v>
          </cell>
        </row>
        <row r="2752">
          <cell r="F2752">
            <v>307352</v>
          </cell>
          <cell r="G2752" t="str">
            <v>Lesly Anali Monterroso Ramirez</v>
          </cell>
        </row>
        <row r="2753">
          <cell r="F2753">
            <v>310143</v>
          </cell>
          <cell r="G2753" t="str">
            <v>Lesly Aurora Hernandez Godoy</v>
          </cell>
        </row>
        <row r="2754">
          <cell r="F2754">
            <v>312833</v>
          </cell>
          <cell r="G2754" t="str">
            <v>Lesly Fabiola Solorzano Garcia</v>
          </cell>
        </row>
        <row r="2755">
          <cell r="F2755">
            <v>315132</v>
          </cell>
          <cell r="G2755" t="str">
            <v>Lesly Lisseth Ligorria Torres</v>
          </cell>
        </row>
        <row r="2756">
          <cell r="F2756">
            <v>309366</v>
          </cell>
          <cell r="G2756" t="str">
            <v>Lesly Maribel Hidalgo Barrios</v>
          </cell>
        </row>
        <row r="2757">
          <cell r="F2757">
            <v>314328</v>
          </cell>
          <cell r="G2757" t="str">
            <v>Lesly Marileny De Leon De Leon</v>
          </cell>
        </row>
        <row r="2758">
          <cell r="F2758">
            <v>315317</v>
          </cell>
          <cell r="G2758" t="str">
            <v>Lesly Nereyda Ixquiac Vidaurre</v>
          </cell>
        </row>
        <row r="2759">
          <cell r="F2759">
            <v>313889</v>
          </cell>
          <cell r="G2759" t="str">
            <v>Lesly Noemi Morales Molina</v>
          </cell>
        </row>
        <row r="2760">
          <cell r="F2760">
            <v>310261</v>
          </cell>
          <cell r="G2760" t="str">
            <v>Lesly Rosibel Asencio Estrada</v>
          </cell>
        </row>
        <row r="2761">
          <cell r="F2761">
            <v>311985</v>
          </cell>
          <cell r="G2761" t="str">
            <v>Lesly Vanessa Jerez Herrera</v>
          </cell>
        </row>
        <row r="2762">
          <cell r="F2762">
            <v>307718</v>
          </cell>
          <cell r="G2762" t="str">
            <v>Lesly Yohanna Ramirez Sarceño</v>
          </cell>
        </row>
        <row r="2763">
          <cell r="F2763">
            <v>307269</v>
          </cell>
          <cell r="G2763" t="str">
            <v>Lester Alexander Rodriguez Arevalo</v>
          </cell>
        </row>
        <row r="2764">
          <cell r="F2764">
            <v>102070</v>
          </cell>
          <cell r="G2764" t="str">
            <v>Lester Giovanni Barrios Gonzalez</v>
          </cell>
        </row>
        <row r="2765">
          <cell r="F2765">
            <v>313030</v>
          </cell>
          <cell r="G2765" t="str">
            <v>Lester Ottoniel Martinez Gonzalez</v>
          </cell>
        </row>
        <row r="2766">
          <cell r="F2766">
            <v>314628</v>
          </cell>
          <cell r="G2766" t="str">
            <v>Levy Jhafreth Molina Castellanos</v>
          </cell>
        </row>
        <row r="2767">
          <cell r="F2767">
            <v>315074</v>
          </cell>
          <cell r="G2767" t="str">
            <v>Leyvis Anihela Melendez Garcia</v>
          </cell>
        </row>
        <row r="2768">
          <cell r="F2768">
            <v>310347</v>
          </cell>
          <cell r="G2768" t="str">
            <v>Lidia Sarahi Rodriguez Zamora</v>
          </cell>
        </row>
        <row r="2769">
          <cell r="F2769">
            <v>313802</v>
          </cell>
          <cell r="G2769" t="str">
            <v>Ligia Delfina Caal Coy</v>
          </cell>
        </row>
        <row r="2770">
          <cell r="F2770">
            <v>303594</v>
          </cell>
          <cell r="G2770" t="str">
            <v>Ligia Iveth Marroquin Lechuga</v>
          </cell>
        </row>
        <row r="2771">
          <cell r="F2771">
            <v>311440</v>
          </cell>
          <cell r="G2771" t="str">
            <v>Lili Azucena Perez Yantuch</v>
          </cell>
        </row>
        <row r="2772">
          <cell r="F2772">
            <v>310148</v>
          </cell>
          <cell r="G2772" t="str">
            <v>Lilian Carolina Quiñonez Garcia</v>
          </cell>
        </row>
        <row r="2773">
          <cell r="F2773">
            <v>300280</v>
          </cell>
          <cell r="G2773" t="str">
            <v>Lilian Del Carmen Franco Curin</v>
          </cell>
        </row>
        <row r="2774">
          <cell r="F2774">
            <v>306962</v>
          </cell>
          <cell r="G2774" t="str">
            <v>Lilian Elizabeth Diaz Rivera</v>
          </cell>
        </row>
        <row r="2775">
          <cell r="F2775">
            <v>314279</v>
          </cell>
          <cell r="G2775" t="str">
            <v>Lilian Evelyn Sajbochol Garcia</v>
          </cell>
        </row>
        <row r="2776">
          <cell r="F2776">
            <v>305035</v>
          </cell>
          <cell r="G2776" t="str">
            <v>Lilian Nohemi Santos Bailon</v>
          </cell>
        </row>
        <row r="2777">
          <cell r="F2777">
            <v>314899</v>
          </cell>
          <cell r="G2777" t="str">
            <v>Lilian Vanessa Tezó Monterroso</v>
          </cell>
        </row>
        <row r="2778">
          <cell r="F2778">
            <v>314728</v>
          </cell>
          <cell r="G2778" t="str">
            <v>Lilian Yomara Perez Ajxup</v>
          </cell>
        </row>
        <row r="2779">
          <cell r="F2779">
            <v>313768</v>
          </cell>
          <cell r="G2779" t="str">
            <v>Liliana Marisela Chamorro Tax</v>
          </cell>
        </row>
        <row r="2780">
          <cell r="F2780">
            <v>314091</v>
          </cell>
          <cell r="G2780" t="str">
            <v>Linda Gineli Segura Perez</v>
          </cell>
        </row>
        <row r="2781">
          <cell r="F2781">
            <v>310198</v>
          </cell>
          <cell r="G2781" t="str">
            <v>Linsi Mishell Batz Marroquin</v>
          </cell>
        </row>
        <row r="2782">
          <cell r="F2782">
            <v>309262</v>
          </cell>
          <cell r="G2782" t="str">
            <v>Lisbeth Carolina Hernandez Urrutia</v>
          </cell>
        </row>
        <row r="2783">
          <cell r="F2783">
            <v>315486</v>
          </cell>
          <cell r="G2783" t="str">
            <v>Lisbeth Jeaneth Sucup</v>
          </cell>
        </row>
        <row r="2784">
          <cell r="F2784">
            <v>311492</v>
          </cell>
          <cell r="G2784" t="str">
            <v>Liseth Aldai De La Cruz Lopez</v>
          </cell>
        </row>
        <row r="2785">
          <cell r="F2785">
            <v>315403</v>
          </cell>
          <cell r="G2785" t="str">
            <v>Lizbeth Liliana Peren Velasquez</v>
          </cell>
        </row>
        <row r="2786">
          <cell r="F2786">
            <v>312792</v>
          </cell>
          <cell r="G2786" t="str">
            <v>Llori Eriselda Zuñiga Gomez</v>
          </cell>
        </row>
        <row r="2787">
          <cell r="F2787">
            <v>314774</v>
          </cell>
          <cell r="G2787" t="str">
            <v>Loida Eunice Celada Panjoj</v>
          </cell>
        </row>
        <row r="2788">
          <cell r="F2788">
            <v>310872</v>
          </cell>
          <cell r="G2788" t="str">
            <v>Loida Raquel Juarez Ixpata</v>
          </cell>
        </row>
        <row r="2789">
          <cell r="F2789">
            <v>312765</v>
          </cell>
          <cell r="G2789" t="str">
            <v>Londy Yazmin Gonzalez Ramirez</v>
          </cell>
        </row>
        <row r="2790">
          <cell r="F2790">
            <v>303967</v>
          </cell>
          <cell r="G2790" t="str">
            <v>Loren Alejandra Gutierrez Perez</v>
          </cell>
        </row>
        <row r="2791">
          <cell r="F2791">
            <v>311367</v>
          </cell>
          <cell r="G2791" t="str">
            <v>Lorena Elisbeth Gomez Ajanel</v>
          </cell>
        </row>
        <row r="2792">
          <cell r="F2792">
            <v>310502</v>
          </cell>
          <cell r="G2792" t="str">
            <v>Lourdes Cristina Flores Tahuite</v>
          </cell>
        </row>
        <row r="2793">
          <cell r="F2793">
            <v>315124</v>
          </cell>
          <cell r="G2793" t="str">
            <v>Lourdes Guadalupe Solorzano Herrera</v>
          </cell>
        </row>
        <row r="2794">
          <cell r="F2794">
            <v>313529</v>
          </cell>
          <cell r="G2794" t="str">
            <v>Lucia Adali Alvarado Juarez</v>
          </cell>
        </row>
        <row r="2795">
          <cell r="F2795">
            <v>314022</v>
          </cell>
          <cell r="G2795" t="str">
            <v>Lucinda Nova Garcia</v>
          </cell>
        </row>
        <row r="2796">
          <cell r="F2796">
            <v>309747</v>
          </cell>
          <cell r="G2796" t="str">
            <v>Ludwin Enrique Pineda Soto</v>
          </cell>
        </row>
        <row r="2797">
          <cell r="F2797">
            <v>315489</v>
          </cell>
          <cell r="G2797" t="str">
            <v>Ludwyn Alejandro Estrada Giron</v>
          </cell>
        </row>
        <row r="2798">
          <cell r="F2798">
            <v>313595</v>
          </cell>
          <cell r="G2798" t="str">
            <v>Luis Alan Caceros Chub</v>
          </cell>
        </row>
        <row r="2799">
          <cell r="F2799">
            <v>311207</v>
          </cell>
          <cell r="G2799" t="str">
            <v>Luis Alberto Figueroa Vasquez</v>
          </cell>
        </row>
        <row r="2800">
          <cell r="F2800">
            <v>304473</v>
          </cell>
          <cell r="G2800" t="str">
            <v>Luis Alberto Najera Solis</v>
          </cell>
        </row>
        <row r="2801">
          <cell r="F2801">
            <v>314202</v>
          </cell>
          <cell r="G2801" t="str">
            <v>Luis Antonio Cotzajay Quelex</v>
          </cell>
        </row>
        <row r="2802">
          <cell r="F2802">
            <v>302484</v>
          </cell>
          <cell r="G2802" t="str">
            <v>Luis Armando Ramirez De Leon</v>
          </cell>
        </row>
        <row r="2803">
          <cell r="F2803">
            <v>315385</v>
          </cell>
          <cell r="G2803" t="str">
            <v>Luis Carlos Xitimul Ramirez</v>
          </cell>
        </row>
        <row r="2804">
          <cell r="F2804">
            <v>308614</v>
          </cell>
          <cell r="G2804" t="str">
            <v>Luis De Jesus Julian Lopez</v>
          </cell>
        </row>
        <row r="2805">
          <cell r="F2805">
            <v>315222</v>
          </cell>
          <cell r="G2805" t="str">
            <v>Luis Diego Figueroa Coronado</v>
          </cell>
        </row>
        <row r="2806">
          <cell r="F2806">
            <v>306213</v>
          </cell>
          <cell r="G2806" t="str">
            <v>Luis Eduardo Corado Lara</v>
          </cell>
        </row>
        <row r="2807">
          <cell r="F2807">
            <v>315363</v>
          </cell>
          <cell r="G2807" t="str">
            <v>Luis Eduardo Fuentes Flores</v>
          </cell>
        </row>
        <row r="2808">
          <cell r="F2808">
            <v>314162</v>
          </cell>
          <cell r="G2808" t="str">
            <v>Luis Eduardo Gonzalez Arriaza</v>
          </cell>
        </row>
        <row r="2809">
          <cell r="F2809">
            <v>311975</v>
          </cell>
          <cell r="G2809" t="str">
            <v>Luis Eduardo Ramirez Arriaza</v>
          </cell>
        </row>
        <row r="2810">
          <cell r="F2810">
            <v>300922</v>
          </cell>
          <cell r="G2810" t="str">
            <v>Luis Ernesto Medrano Chajon</v>
          </cell>
        </row>
        <row r="2811">
          <cell r="F2811">
            <v>308519</v>
          </cell>
          <cell r="G2811" t="str">
            <v>Luis Felipe Cuzal Gomez</v>
          </cell>
        </row>
        <row r="2812">
          <cell r="F2812">
            <v>314812</v>
          </cell>
          <cell r="G2812" t="str">
            <v>Luis Fernando Alvarado Tocay</v>
          </cell>
        </row>
        <row r="2813">
          <cell r="F2813">
            <v>304509</v>
          </cell>
          <cell r="G2813" t="str">
            <v>Luis Fernando Jerez Perez</v>
          </cell>
        </row>
        <row r="2814">
          <cell r="F2814">
            <v>313479</v>
          </cell>
          <cell r="G2814" t="str">
            <v>Luis Fernando Lopez Lopez</v>
          </cell>
        </row>
        <row r="2815">
          <cell r="F2815">
            <v>310923</v>
          </cell>
          <cell r="G2815" t="str">
            <v>Luis Fernando Lopez Lopez</v>
          </cell>
        </row>
        <row r="2816">
          <cell r="F2816">
            <v>307904</v>
          </cell>
          <cell r="G2816" t="str">
            <v>Luis Fernando Martin Mateo</v>
          </cell>
        </row>
        <row r="2817">
          <cell r="F2817">
            <v>312303</v>
          </cell>
          <cell r="G2817" t="str">
            <v>Luis Fernando Morales Chocoy</v>
          </cell>
        </row>
        <row r="2818">
          <cell r="F2818">
            <v>314124</v>
          </cell>
          <cell r="G2818" t="str">
            <v>Luis Fernando Perez Torres</v>
          </cell>
        </row>
        <row r="2819">
          <cell r="F2819">
            <v>306713</v>
          </cell>
          <cell r="G2819" t="str">
            <v>Luis Fernando Santos Aguilar</v>
          </cell>
        </row>
        <row r="2820">
          <cell r="F2820">
            <v>315342</v>
          </cell>
          <cell r="G2820" t="str">
            <v>Luis Fernando Valle Cuyun</v>
          </cell>
        </row>
        <row r="2821">
          <cell r="F2821">
            <v>312257</v>
          </cell>
          <cell r="G2821" t="str">
            <v>Luis Giovanni Coronado Vasquez</v>
          </cell>
        </row>
        <row r="2822">
          <cell r="F2822">
            <v>307113</v>
          </cell>
          <cell r="G2822" t="str">
            <v>Luis Pedro Herrera España</v>
          </cell>
        </row>
        <row r="2823">
          <cell r="F2823">
            <v>303961</v>
          </cell>
          <cell r="G2823" t="str">
            <v>Luis Rene Morales Lopez</v>
          </cell>
        </row>
        <row r="2824">
          <cell r="F2824">
            <v>308796</v>
          </cell>
          <cell r="G2824" t="str">
            <v>Luis Tito Rene Esquivel Yancor</v>
          </cell>
        </row>
        <row r="2825">
          <cell r="F2825">
            <v>307862</v>
          </cell>
          <cell r="G2825" t="str">
            <v>Luisa Fernanda Castro Garcia</v>
          </cell>
        </row>
        <row r="2826">
          <cell r="F2826">
            <v>310734</v>
          </cell>
          <cell r="G2826" t="str">
            <v>Lupita Genesis Samanta Granados Valenzuela</v>
          </cell>
        </row>
        <row r="2827">
          <cell r="F2827">
            <v>309761</v>
          </cell>
          <cell r="G2827" t="str">
            <v>Lusi Angelica Coyoy Hernandez</v>
          </cell>
        </row>
        <row r="2828">
          <cell r="F2828">
            <v>310867</v>
          </cell>
          <cell r="G2828" t="str">
            <v>Madelin Raquel Garcia Punay</v>
          </cell>
        </row>
        <row r="2829">
          <cell r="F2829">
            <v>310796</v>
          </cell>
          <cell r="G2829" t="str">
            <v>Madelyn Estefany Vega Velasquez</v>
          </cell>
        </row>
        <row r="2830">
          <cell r="F2830">
            <v>314563</v>
          </cell>
          <cell r="G2830" t="str">
            <v>Madelyn Siomara Mazul De Leon</v>
          </cell>
        </row>
        <row r="2831">
          <cell r="F2831">
            <v>304658</v>
          </cell>
          <cell r="G2831" t="str">
            <v>Madelyn Virginia Lopez Ortega</v>
          </cell>
        </row>
        <row r="2832">
          <cell r="F2832">
            <v>315181</v>
          </cell>
          <cell r="G2832" t="str">
            <v>Magda Beatriz Galvez Fernandez</v>
          </cell>
        </row>
        <row r="2833">
          <cell r="F2833">
            <v>311615</v>
          </cell>
          <cell r="G2833" t="str">
            <v>Magda Corina Gutierrez Yool</v>
          </cell>
        </row>
        <row r="2834">
          <cell r="F2834">
            <v>312044</v>
          </cell>
          <cell r="G2834" t="str">
            <v>Magda Danira Catalan Paz</v>
          </cell>
        </row>
        <row r="2835">
          <cell r="F2835">
            <v>307582</v>
          </cell>
          <cell r="G2835" t="str">
            <v>Mahely Elva Maria Franco Gualim</v>
          </cell>
        </row>
        <row r="2836">
          <cell r="F2836">
            <v>301669</v>
          </cell>
          <cell r="G2836" t="str">
            <v>Manfredo Alexander Castillo Quex</v>
          </cell>
        </row>
        <row r="2837">
          <cell r="F2837">
            <v>309811</v>
          </cell>
          <cell r="G2837" t="str">
            <v>Manfredo Isaias Orozco Perez</v>
          </cell>
        </row>
        <row r="2838">
          <cell r="F2838">
            <v>314136</v>
          </cell>
          <cell r="G2838" t="str">
            <v>Manlio Alcides Godinez Yanez</v>
          </cell>
        </row>
        <row r="2839">
          <cell r="F2839">
            <v>315094</v>
          </cell>
          <cell r="G2839" t="str">
            <v>Manuel Enrique Espinoza Cermeño</v>
          </cell>
        </row>
        <row r="2840">
          <cell r="F2840">
            <v>312835</v>
          </cell>
          <cell r="G2840" t="str">
            <v>Manuel Estuardo Arriaga Garcia</v>
          </cell>
        </row>
        <row r="2841">
          <cell r="F2841">
            <v>314608</v>
          </cell>
          <cell r="G2841" t="str">
            <v>Marbin Yobani Calderon Vicente</v>
          </cell>
        </row>
        <row r="2842">
          <cell r="F2842">
            <v>314041</v>
          </cell>
          <cell r="G2842" t="str">
            <v>Marcela Isabel Medrano Ajquiy</v>
          </cell>
        </row>
        <row r="2843">
          <cell r="F2843">
            <v>308478</v>
          </cell>
          <cell r="G2843" t="str">
            <v>Marco Antonio Tejada Herrera</v>
          </cell>
        </row>
        <row r="2844">
          <cell r="F2844">
            <v>315216</v>
          </cell>
          <cell r="G2844" t="str">
            <v>Marcos Avilio Santizo Roman</v>
          </cell>
        </row>
        <row r="2845">
          <cell r="F2845">
            <v>312919</v>
          </cell>
          <cell r="G2845" t="str">
            <v>Marcos Daniel Miranda Ordoñez</v>
          </cell>
        </row>
        <row r="2846">
          <cell r="F2846">
            <v>306192</v>
          </cell>
          <cell r="G2846" t="str">
            <v>Marenda Mishel Galeano Lopez</v>
          </cell>
        </row>
        <row r="2847">
          <cell r="F2847">
            <v>311597</v>
          </cell>
          <cell r="G2847" t="str">
            <v>Maria Alejandra Estrada Morales</v>
          </cell>
        </row>
        <row r="2848">
          <cell r="F2848">
            <v>315488</v>
          </cell>
          <cell r="G2848" t="str">
            <v>Maria Alejandra Lanuza Perez</v>
          </cell>
        </row>
        <row r="2849">
          <cell r="F2849">
            <v>315414</v>
          </cell>
          <cell r="G2849" t="str">
            <v>Maria Alejandra Perez Martinez</v>
          </cell>
        </row>
        <row r="2850">
          <cell r="F2850">
            <v>314383</v>
          </cell>
          <cell r="G2850" t="str">
            <v>Maria De La Luz Masaya Moreno</v>
          </cell>
        </row>
        <row r="2851">
          <cell r="F2851">
            <v>314419</v>
          </cell>
          <cell r="G2851" t="str">
            <v>Maria De Los Angeles Hernandez Oliva</v>
          </cell>
        </row>
        <row r="2852">
          <cell r="F2852">
            <v>309455</v>
          </cell>
          <cell r="G2852" t="str">
            <v>Maria Del Rosario De Leon Puac</v>
          </cell>
        </row>
        <row r="2853">
          <cell r="F2853">
            <v>310240</v>
          </cell>
          <cell r="G2853" t="str">
            <v>Maria Del Rosario Sion Calel</v>
          </cell>
        </row>
        <row r="2854">
          <cell r="F2854">
            <v>311583</v>
          </cell>
          <cell r="G2854" t="str">
            <v>Maria Elizabeth Recinos Villagran</v>
          </cell>
        </row>
        <row r="2855">
          <cell r="F2855">
            <v>315128</v>
          </cell>
          <cell r="G2855" t="str">
            <v>Maria Eugenia Alvarez Lopez</v>
          </cell>
        </row>
        <row r="2856">
          <cell r="F2856">
            <v>309571</v>
          </cell>
          <cell r="G2856" t="str">
            <v>Maria Fernanda Aldana Fernandez</v>
          </cell>
        </row>
        <row r="2857">
          <cell r="F2857">
            <v>305630</v>
          </cell>
          <cell r="G2857" t="str">
            <v>Maria Fernanda Duran Barrera De De De Leon</v>
          </cell>
        </row>
        <row r="2858">
          <cell r="F2858">
            <v>315325</v>
          </cell>
          <cell r="G2858" t="str">
            <v>Maria Fernanda García Patzán</v>
          </cell>
        </row>
        <row r="2859">
          <cell r="F2859">
            <v>315310</v>
          </cell>
          <cell r="G2859" t="str">
            <v>Maria Fernanda Reyes Trinidad</v>
          </cell>
        </row>
        <row r="2860">
          <cell r="F2860">
            <v>314265</v>
          </cell>
          <cell r="G2860" t="str">
            <v>Maria Fernanda Sanches Yoc</v>
          </cell>
        </row>
        <row r="2861">
          <cell r="F2861">
            <v>313724</v>
          </cell>
          <cell r="G2861" t="str">
            <v>Maria Fernanda Tomas</v>
          </cell>
        </row>
        <row r="2862">
          <cell r="F2862">
            <v>315252</v>
          </cell>
          <cell r="G2862" t="str">
            <v>Maria Gabriela Giron De Leon</v>
          </cell>
        </row>
        <row r="2863">
          <cell r="F2863">
            <v>309515</v>
          </cell>
          <cell r="G2863" t="str">
            <v>Maria Guadalupe Marroquin Camargo</v>
          </cell>
        </row>
        <row r="2864">
          <cell r="F2864">
            <v>313732</v>
          </cell>
          <cell r="G2864" t="str">
            <v>Maria Isabel Martinez</v>
          </cell>
        </row>
        <row r="2865">
          <cell r="F2865">
            <v>314027</v>
          </cell>
          <cell r="G2865" t="str">
            <v>Maria Isabel Reyes Aguirre</v>
          </cell>
        </row>
        <row r="2866">
          <cell r="F2866">
            <v>311474</v>
          </cell>
          <cell r="G2866" t="str">
            <v>Maria Jose Alvarado Lopez De Barrientos</v>
          </cell>
        </row>
        <row r="2867">
          <cell r="F2867">
            <v>312356</v>
          </cell>
          <cell r="G2867" t="str">
            <v>Maria Jose Fernandez Melendez</v>
          </cell>
        </row>
        <row r="2868">
          <cell r="F2868">
            <v>313800</v>
          </cell>
          <cell r="G2868" t="str">
            <v>Maria Jose Flores Alvarez</v>
          </cell>
        </row>
        <row r="2869">
          <cell r="F2869">
            <v>314566</v>
          </cell>
          <cell r="G2869" t="str">
            <v>Maria Jose Gonzalez Orellana</v>
          </cell>
        </row>
        <row r="2870">
          <cell r="F2870">
            <v>311569</v>
          </cell>
          <cell r="G2870" t="str">
            <v>Maria Jose Gramajo Garcia De Monzon</v>
          </cell>
        </row>
        <row r="2871">
          <cell r="F2871">
            <v>313095</v>
          </cell>
          <cell r="G2871" t="str">
            <v>Maria Jose Meza De Leon</v>
          </cell>
        </row>
        <row r="2872">
          <cell r="F2872">
            <v>300191</v>
          </cell>
          <cell r="G2872" t="str">
            <v>Maria Jose Salazar Rueda</v>
          </cell>
        </row>
        <row r="2873">
          <cell r="F2873">
            <v>314226</v>
          </cell>
          <cell r="G2873" t="str">
            <v>Maria Josee Morales Vaides</v>
          </cell>
        </row>
        <row r="2874">
          <cell r="F2874">
            <v>315362</v>
          </cell>
          <cell r="G2874" t="str">
            <v>Maria Lourdes Ajpuz Julajuj</v>
          </cell>
        </row>
        <row r="2875">
          <cell r="F2875">
            <v>306697</v>
          </cell>
          <cell r="G2875" t="str">
            <v>Maria Luisa Ramos Lopez</v>
          </cell>
        </row>
        <row r="2876">
          <cell r="F2876">
            <v>314180</v>
          </cell>
          <cell r="G2876" t="str">
            <v>Maria Ruby Tzamol Pacay</v>
          </cell>
        </row>
        <row r="2877">
          <cell r="F2877">
            <v>311686</v>
          </cell>
          <cell r="G2877" t="str">
            <v>Maria Teresa Recinos Estrada</v>
          </cell>
        </row>
        <row r="2878">
          <cell r="F2878">
            <v>315351</v>
          </cell>
          <cell r="G2878" t="str">
            <v>Maria Vicenta Lopez Mancilla</v>
          </cell>
        </row>
        <row r="2879">
          <cell r="F2879">
            <v>311755</v>
          </cell>
          <cell r="G2879" t="str">
            <v>Marian Rebeca Gallardo Alvarez</v>
          </cell>
        </row>
        <row r="2880">
          <cell r="F2880">
            <v>313660</v>
          </cell>
          <cell r="G2880" t="str">
            <v>Mariana Del Rosario Escobar Sanchez</v>
          </cell>
        </row>
        <row r="2881">
          <cell r="F2881">
            <v>314169</v>
          </cell>
          <cell r="G2881" t="str">
            <v>Mariano Jose Lopez Cojon</v>
          </cell>
        </row>
        <row r="2882">
          <cell r="F2882">
            <v>314341</v>
          </cell>
          <cell r="G2882" t="str">
            <v>Mariano Jose Trujillo Baldizon</v>
          </cell>
        </row>
        <row r="2883">
          <cell r="F2883">
            <v>314050</v>
          </cell>
          <cell r="G2883" t="str">
            <v>Mariela Alejandra Batz De Leon</v>
          </cell>
        </row>
        <row r="2884">
          <cell r="F2884">
            <v>311273</v>
          </cell>
          <cell r="G2884" t="str">
            <v>Marili Cecilia Ramirez Cardona</v>
          </cell>
        </row>
        <row r="2885">
          <cell r="F2885">
            <v>312576</v>
          </cell>
          <cell r="G2885" t="str">
            <v>Marilin Melisa Lopez Yoc</v>
          </cell>
        </row>
        <row r="2886">
          <cell r="F2886">
            <v>314530</v>
          </cell>
          <cell r="G2886" t="str">
            <v>Marilyn Alexandra Davila Chavez</v>
          </cell>
        </row>
        <row r="2887">
          <cell r="F2887">
            <v>315099</v>
          </cell>
          <cell r="G2887" t="str">
            <v>Marilyn Yulissa Alvarez Toscano</v>
          </cell>
        </row>
        <row r="2888">
          <cell r="F2888">
            <v>311405</v>
          </cell>
          <cell r="G2888" t="str">
            <v>Marina Elena Giron Roldan</v>
          </cell>
        </row>
        <row r="2889">
          <cell r="F2889">
            <v>314803</v>
          </cell>
          <cell r="G2889" t="str">
            <v>Mario David Quilo Hernandez</v>
          </cell>
        </row>
        <row r="2890">
          <cell r="F2890">
            <v>306487</v>
          </cell>
          <cell r="G2890" t="str">
            <v>Mario Estuardo Chavez Zelada</v>
          </cell>
        </row>
        <row r="2891">
          <cell r="F2891">
            <v>315445</v>
          </cell>
          <cell r="G2891" t="str">
            <v>Mario Guberlindo Gonzalez Velasquez</v>
          </cell>
        </row>
        <row r="2892">
          <cell r="F2892">
            <v>313107</v>
          </cell>
          <cell r="G2892" t="str">
            <v>Mario Jose Mejia Escobar</v>
          </cell>
        </row>
        <row r="2893">
          <cell r="F2893">
            <v>314737</v>
          </cell>
          <cell r="G2893" t="str">
            <v>Mario Rene Lopez Gudiel</v>
          </cell>
        </row>
        <row r="2894">
          <cell r="F2894">
            <v>309842</v>
          </cell>
          <cell r="G2894" t="str">
            <v>Maritza Morales Tzoc</v>
          </cell>
        </row>
        <row r="2895">
          <cell r="F2895">
            <v>312996</v>
          </cell>
          <cell r="G2895" t="str">
            <v>Marlen Aida Pelaez Ramirez</v>
          </cell>
        </row>
        <row r="2896">
          <cell r="F2896">
            <v>310203</v>
          </cell>
          <cell r="G2896" t="str">
            <v>Marlen Brigitt Rosales De Leon</v>
          </cell>
        </row>
        <row r="2897">
          <cell r="F2897">
            <v>314089</v>
          </cell>
          <cell r="G2897" t="str">
            <v>Marlin Yesenia Chacon Garcia</v>
          </cell>
        </row>
        <row r="2898">
          <cell r="F2898">
            <v>314054</v>
          </cell>
          <cell r="G2898" t="str">
            <v>Marlon Eduardo Arreaga Escobar</v>
          </cell>
        </row>
        <row r="2899">
          <cell r="F2899">
            <v>315505</v>
          </cell>
          <cell r="G2899" t="str">
            <v>Marlon Eduardo Medrano Sandoval</v>
          </cell>
        </row>
        <row r="2900">
          <cell r="F2900">
            <v>310727</v>
          </cell>
          <cell r="G2900" t="str">
            <v>Marlon Ivan Dardon Hernandez</v>
          </cell>
        </row>
        <row r="2901">
          <cell r="F2901">
            <v>315341</v>
          </cell>
          <cell r="G2901" t="str">
            <v>Marlon Miguelangel Morales Jerez</v>
          </cell>
        </row>
        <row r="2902">
          <cell r="F2902">
            <v>311604</v>
          </cell>
          <cell r="G2902" t="str">
            <v>Marolet Patricia Palacios Argueta</v>
          </cell>
        </row>
        <row r="2903">
          <cell r="F2903">
            <v>310466</v>
          </cell>
          <cell r="G2903" t="str">
            <v>Marta Emilia Moran Lopez</v>
          </cell>
        </row>
        <row r="2904">
          <cell r="F2904">
            <v>314611</v>
          </cell>
          <cell r="G2904" t="str">
            <v>Marta Iris Martinez Sete</v>
          </cell>
        </row>
        <row r="2905">
          <cell r="F2905">
            <v>312109</v>
          </cell>
          <cell r="G2905" t="str">
            <v>Martha Julia Shar Velasquez</v>
          </cell>
        </row>
        <row r="2906">
          <cell r="F2906">
            <v>315103</v>
          </cell>
          <cell r="G2906" t="str">
            <v>Martin Aroldo Lorenzana Flores</v>
          </cell>
        </row>
        <row r="2907">
          <cell r="F2907">
            <v>315481</v>
          </cell>
          <cell r="G2907" t="str">
            <v>Marvin Alejandro Puac Mulul</v>
          </cell>
        </row>
        <row r="2908">
          <cell r="F2908">
            <v>306655</v>
          </cell>
          <cell r="G2908" t="str">
            <v>Marvin Alexander Choguix Chex</v>
          </cell>
        </row>
        <row r="2909">
          <cell r="F2909">
            <v>311176</v>
          </cell>
          <cell r="G2909" t="str">
            <v>Marvin Andolfo Garcia De Leon</v>
          </cell>
        </row>
        <row r="2910">
          <cell r="F2910">
            <v>315475</v>
          </cell>
          <cell r="G2910" t="str">
            <v>Marvin Eduardo Coxaj Sanic</v>
          </cell>
        </row>
        <row r="2911">
          <cell r="F2911">
            <v>312374</v>
          </cell>
          <cell r="G2911" t="str">
            <v>Marvin Eleazar Sunun Acuta</v>
          </cell>
        </row>
        <row r="2912">
          <cell r="F2912">
            <v>310680</v>
          </cell>
          <cell r="G2912" t="str">
            <v>Marvin Estuardo Xiloj De Leon</v>
          </cell>
        </row>
        <row r="2913">
          <cell r="F2913">
            <v>315460</v>
          </cell>
          <cell r="G2913" t="str">
            <v>Marvin Leonel Hernandez Alvarez</v>
          </cell>
        </row>
        <row r="2914">
          <cell r="F2914">
            <v>307409</v>
          </cell>
          <cell r="G2914" t="str">
            <v>Marvin Rodolfo Santizo Rosales</v>
          </cell>
        </row>
        <row r="2915">
          <cell r="F2915">
            <v>313194</v>
          </cell>
          <cell r="G2915" t="str">
            <v>Mary Isabel Xiloj Tajiboy</v>
          </cell>
        </row>
        <row r="2916">
          <cell r="F2916">
            <v>314092</v>
          </cell>
          <cell r="G2916" t="str">
            <v>Maryory Marilu Ramos Reyes</v>
          </cell>
        </row>
        <row r="2917">
          <cell r="F2917">
            <v>314207</v>
          </cell>
          <cell r="G2917" t="str">
            <v>Maryury Yasmin Suret Mejia</v>
          </cell>
        </row>
        <row r="2918">
          <cell r="F2918">
            <v>314618</v>
          </cell>
          <cell r="G2918" t="str">
            <v>Mauro Gilberto Rax Suc</v>
          </cell>
        </row>
        <row r="2919">
          <cell r="F2919">
            <v>304166</v>
          </cell>
          <cell r="G2919" t="str">
            <v>Maviela Bibianeth Castillo Avila</v>
          </cell>
        </row>
        <row r="2920">
          <cell r="F2920">
            <v>309285</v>
          </cell>
          <cell r="G2920" t="str">
            <v>Mavilin Griselda Jacome Molina</v>
          </cell>
        </row>
        <row r="2921">
          <cell r="F2921">
            <v>315042</v>
          </cell>
          <cell r="G2921" t="str">
            <v>Mayki Waleska Alvarez Guzman</v>
          </cell>
        </row>
        <row r="2922">
          <cell r="F2922">
            <v>314691</v>
          </cell>
          <cell r="G2922" t="str">
            <v>Maylin Fernanda Cifuentes Guevara</v>
          </cell>
        </row>
        <row r="2923">
          <cell r="F2923">
            <v>314857</v>
          </cell>
          <cell r="G2923" t="str">
            <v>Maynor Alexander Chen Franco</v>
          </cell>
        </row>
        <row r="2924">
          <cell r="F2924">
            <v>315320</v>
          </cell>
          <cell r="G2924" t="str">
            <v>Maynor David Montufar De La Cruz</v>
          </cell>
        </row>
        <row r="2925">
          <cell r="F2925">
            <v>314784</v>
          </cell>
          <cell r="G2925" t="str">
            <v>Mayra Alejandra Perez Cordero</v>
          </cell>
        </row>
        <row r="2926">
          <cell r="F2926">
            <v>307616</v>
          </cell>
          <cell r="G2926" t="str">
            <v>Mayra Ester Lopez Gonzalez</v>
          </cell>
        </row>
        <row r="2927">
          <cell r="F2927">
            <v>304234</v>
          </cell>
          <cell r="G2927" t="str">
            <v>Mayra Julieta Sincal Coy</v>
          </cell>
        </row>
        <row r="2928">
          <cell r="F2928">
            <v>314324</v>
          </cell>
          <cell r="G2928" t="str">
            <v>Mayra Karina Soc Ovalle</v>
          </cell>
        </row>
        <row r="2929">
          <cell r="F2929">
            <v>313096</v>
          </cell>
          <cell r="G2929" t="str">
            <v>Mayra Noemi Godoy Carrera</v>
          </cell>
        </row>
        <row r="2930">
          <cell r="F2930">
            <v>315528</v>
          </cell>
          <cell r="G2930" t="str">
            <v>Melanie Azucena Choc Garcia</v>
          </cell>
        </row>
        <row r="2931">
          <cell r="F2931">
            <v>309903</v>
          </cell>
          <cell r="G2931" t="str">
            <v>Melanie Vanessa Chacon Godoy</v>
          </cell>
        </row>
        <row r="2932">
          <cell r="F2932">
            <v>301165</v>
          </cell>
          <cell r="G2932" t="str">
            <v>Melissa Lissette Recinos Massella</v>
          </cell>
        </row>
        <row r="2933">
          <cell r="F2933">
            <v>314782</v>
          </cell>
          <cell r="G2933" t="str">
            <v>Melissandra Ruiz Ramirez</v>
          </cell>
        </row>
        <row r="2934">
          <cell r="F2934">
            <v>314053</v>
          </cell>
          <cell r="G2934" t="str">
            <v>Melody Arelis Elvira Monterroso</v>
          </cell>
        </row>
        <row r="2935">
          <cell r="F2935">
            <v>314777</v>
          </cell>
          <cell r="G2935" t="str">
            <v>Melvin Antonio Hernandez Gutierrez</v>
          </cell>
        </row>
        <row r="2936">
          <cell r="F2936">
            <v>315452</v>
          </cell>
          <cell r="G2936" t="str">
            <v>Melvin Everardo Morales Navas</v>
          </cell>
        </row>
        <row r="2937">
          <cell r="F2937">
            <v>315416</v>
          </cell>
          <cell r="G2937" t="str">
            <v>Melvin Hermenegildo Yagut Monterroso</v>
          </cell>
        </row>
        <row r="2938">
          <cell r="F2938">
            <v>315107</v>
          </cell>
          <cell r="G2938" t="str">
            <v>Merari Abigail Orantes Gonzalez</v>
          </cell>
        </row>
        <row r="2939">
          <cell r="F2939">
            <v>304528</v>
          </cell>
          <cell r="G2939" t="str">
            <v>Merari Abigail Veliz Samayoa</v>
          </cell>
        </row>
        <row r="2940">
          <cell r="F2940">
            <v>311310</v>
          </cell>
          <cell r="G2940" t="str">
            <v>Merari Madai Arana Erazo</v>
          </cell>
        </row>
        <row r="2941">
          <cell r="F2941">
            <v>314447</v>
          </cell>
          <cell r="G2941" t="str">
            <v>Mercy Roxana Galvez Canales</v>
          </cell>
        </row>
        <row r="2942">
          <cell r="F2942">
            <v>314610</v>
          </cell>
          <cell r="G2942" t="str">
            <v>Merly Carolina Lopez Laynez</v>
          </cell>
        </row>
        <row r="2943">
          <cell r="F2943">
            <v>315402</v>
          </cell>
          <cell r="G2943" t="str">
            <v>Merly Sorayda Ramirez Mendez</v>
          </cell>
        </row>
        <row r="2944">
          <cell r="F2944">
            <v>315499</v>
          </cell>
          <cell r="G2944" t="str">
            <v>Miguel Angel Arias Maquin</v>
          </cell>
        </row>
        <row r="2945">
          <cell r="F2945">
            <v>302368</v>
          </cell>
          <cell r="G2945" t="str">
            <v>Miguel Angel Moya Cabnal</v>
          </cell>
        </row>
        <row r="2946">
          <cell r="F2946">
            <v>307315</v>
          </cell>
          <cell r="G2946" t="str">
            <v>Miguel Angel Vicente Morales</v>
          </cell>
        </row>
        <row r="2947">
          <cell r="F2947">
            <v>307063</v>
          </cell>
          <cell r="G2947" t="str">
            <v>Miguel Omar Zuleta Solorzano</v>
          </cell>
        </row>
        <row r="2948">
          <cell r="F2948">
            <v>311165</v>
          </cell>
          <cell r="G2948" t="str">
            <v>Miguel Orlando Sebastian Juchan</v>
          </cell>
        </row>
        <row r="2949">
          <cell r="F2949">
            <v>310954</v>
          </cell>
          <cell r="G2949" t="str">
            <v>Mildre Fabiola Gomez Barillas</v>
          </cell>
        </row>
        <row r="2950">
          <cell r="F2950">
            <v>315346</v>
          </cell>
          <cell r="G2950" t="str">
            <v>Mildred Elizabeth Solis Quevedo</v>
          </cell>
        </row>
        <row r="2951">
          <cell r="F2951">
            <v>314330</v>
          </cell>
          <cell r="G2951" t="str">
            <v>Mildred Magaly Ortega Pac</v>
          </cell>
        </row>
        <row r="2952">
          <cell r="F2952">
            <v>314985</v>
          </cell>
          <cell r="G2952" t="str">
            <v>Mildred Magaly Sul Lopez</v>
          </cell>
        </row>
        <row r="2953">
          <cell r="F2953">
            <v>309503</v>
          </cell>
          <cell r="G2953" t="str">
            <v>Mildred Yaneth Figueroa Garcia</v>
          </cell>
        </row>
        <row r="2954">
          <cell r="F2954">
            <v>301826</v>
          </cell>
          <cell r="G2954" t="str">
            <v>Mildred Yanett Cruz Alvarez</v>
          </cell>
        </row>
        <row r="2955">
          <cell r="F2955">
            <v>313864</v>
          </cell>
          <cell r="G2955" t="str">
            <v>Milena Maria Mendez Cheguen</v>
          </cell>
        </row>
        <row r="2956">
          <cell r="F2956">
            <v>314919</v>
          </cell>
          <cell r="G2956" t="str">
            <v>Milton Enrique Yax Sosa</v>
          </cell>
        </row>
        <row r="2957">
          <cell r="F2957">
            <v>312699</v>
          </cell>
          <cell r="G2957" t="str">
            <v>Milton Rene Estrada Coc</v>
          </cell>
        </row>
        <row r="2958">
          <cell r="F2958">
            <v>310468</v>
          </cell>
          <cell r="G2958" t="str">
            <v>Milton Roberto Juarez Lemus</v>
          </cell>
        </row>
        <row r="2959">
          <cell r="F2959">
            <v>313534</v>
          </cell>
          <cell r="G2959" t="str">
            <v>Milver Moises Maldonado Pelico</v>
          </cell>
        </row>
        <row r="2960">
          <cell r="F2960">
            <v>314555</v>
          </cell>
          <cell r="G2960" t="str">
            <v>Milvia Fernanda Talento Urbina</v>
          </cell>
        </row>
        <row r="2961">
          <cell r="F2961">
            <v>301347</v>
          </cell>
          <cell r="G2961" t="str">
            <v>Miriam Betsabe Rodas Perez</v>
          </cell>
        </row>
        <row r="2962">
          <cell r="F2962">
            <v>313439</v>
          </cell>
          <cell r="G2962" t="str">
            <v>Miriam Elizabeth Pérez Guerra</v>
          </cell>
        </row>
        <row r="2963">
          <cell r="F2963">
            <v>307748</v>
          </cell>
          <cell r="G2963" t="str">
            <v>Miriam Judith Cermeño Cetino</v>
          </cell>
        </row>
        <row r="2964">
          <cell r="F2964">
            <v>313772</v>
          </cell>
          <cell r="G2964" t="str">
            <v>Miriam Mineidy Moscoso Mayen</v>
          </cell>
        </row>
        <row r="2965">
          <cell r="F2965">
            <v>306649</v>
          </cell>
          <cell r="G2965" t="str">
            <v>Miriam Stefanie Hernandez Subuyuj</v>
          </cell>
        </row>
        <row r="2966">
          <cell r="F2966">
            <v>201909</v>
          </cell>
          <cell r="G2966" t="str">
            <v>Mirian Del Carmen Guzman Maldonado</v>
          </cell>
        </row>
        <row r="2967">
          <cell r="F2967">
            <v>314023</v>
          </cell>
          <cell r="G2967" t="str">
            <v>Mirna Consuelo Muñoz Ordoñez</v>
          </cell>
        </row>
        <row r="2968">
          <cell r="F2968">
            <v>315506</v>
          </cell>
          <cell r="G2968" t="str">
            <v>Mirna Elizabeth Zolote Patzan</v>
          </cell>
        </row>
        <row r="2969">
          <cell r="F2969">
            <v>101866</v>
          </cell>
          <cell r="G2969" t="str">
            <v>Mirna Violeta Carrillo Gonzalez</v>
          </cell>
        </row>
        <row r="2970">
          <cell r="F2970">
            <v>310687</v>
          </cell>
          <cell r="G2970" t="str">
            <v>Mirna Yesenia Umaña Ramos</v>
          </cell>
        </row>
        <row r="2971">
          <cell r="F2971">
            <v>313842</v>
          </cell>
          <cell r="G2971" t="str">
            <v>Mirza Johana Cosigua Rabinal</v>
          </cell>
        </row>
        <row r="2972">
          <cell r="F2972">
            <v>313441</v>
          </cell>
          <cell r="G2972" t="str">
            <v>Moises Dario Flores Amaya</v>
          </cell>
        </row>
        <row r="2973">
          <cell r="F2973">
            <v>313480</v>
          </cell>
          <cell r="G2973" t="str">
            <v>Monica Cecilia Perez Lopez</v>
          </cell>
        </row>
        <row r="2974">
          <cell r="F2974">
            <v>313674</v>
          </cell>
          <cell r="G2974" t="str">
            <v>Monica Gabriela Canizales Santos</v>
          </cell>
        </row>
        <row r="2975">
          <cell r="F2975">
            <v>307706</v>
          </cell>
          <cell r="G2975" t="str">
            <v>Monica Guadalupe Garcia Rivera</v>
          </cell>
        </row>
        <row r="2976">
          <cell r="F2976">
            <v>314918</v>
          </cell>
          <cell r="G2976" t="str">
            <v>Monica Isabel Castillo Avila</v>
          </cell>
        </row>
        <row r="2977">
          <cell r="F2977">
            <v>313553</v>
          </cell>
          <cell r="G2977" t="str">
            <v>Monica Laj De La Cruz</v>
          </cell>
        </row>
        <row r="2978">
          <cell r="F2978">
            <v>308910</v>
          </cell>
          <cell r="G2978" t="str">
            <v>Monica Lisseth Marroquin Salazar</v>
          </cell>
        </row>
        <row r="2979">
          <cell r="F2979">
            <v>302232</v>
          </cell>
          <cell r="G2979" t="str">
            <v>Monica Lizbeth Franco Chacon</v>
          </cell>
        </row>
        <row r="2980">
          <cell r="F2980">
            <v>311945</v>
          </cell>
          <cell r="G2980" t="str">
            <v>Monica Michelle Diaz De Leon De Baltazar</v>
          </cell>
        </row>
        <row r="2981">
          <cell r="F2981">
            <v>315559</v>
          </cell>
          <cell r="G2981" t="str">
            <v>Monica Mishell Perez Ballesteros</v>
          </cell>
        </row>
        <row r="2982">
          <cell r="F2982">
            <v>313346</v>
          </cell>
          <cell r="G2982" t="str">
            <v>Monica Mishell Rendon Gamboa</v>
          </cell>
        </row>
        <row r="2983">
          <cell r="F2983">
            <v>314616</v>
          </cell>
          <cell r="G2983" t="str">
            <v>Monica Raquel Palacios Piedrasanta</v>
          </cell>
        </row>
        <row r="2984">
          <cell r="F2984">
            <v>314653</v>
          </cell>
          <cell r="G2984" t="str">
            <v>Monica Yulissa Sun Pacay</v>
          </cell>
        </row>
        <row r="2985">
          <cell r="F2985">
            <v>311311</v>
          </cell>
          <cell r="G2985" t="str">
            <v>Monica Yulissa Vicente Velasquez</v>
          </cell>
        </row>
        <row r="2986">
          <cell r="F2986">
            <v>313427</v>
          </cell>
          <cell r="G2986" t="str">
            <v>Mynor Genaro Salazar Merida</v>
          </cell>
        </row>
        <row r="2987">
          <cell r="F2987">
            <v>201518</v>
          </cell>
          <cell r="G2987" t="str">
            <v>Myriam Aracely Rivera Gonzalez</v>
          </cell>
        </row>
        <row r="2988">
          <cell r="F2988">
            <v>315266</v>
          </cell>
          <cell r="G2988" t="str">
            <v>Myrka Jessel Rivera Camo</v>
          </cell>
        </row>
        <row r="2989">
          <cell r="F2989">
            <v>314223</v>
          </cell>
          <cell r="G2989" t="str">
            <v>Nadia Estefania Gramajo Archila</v>
          </cell>
        </row>
        <row r="2990">
          <cell r="F2990">
            <v>314959</v>
          </cell>
          <cell r="G2990" t="str">
            <v>Nanci Magali Noj Santos</v>
          </cell>
        </row>
        <row r="2991">
          <cell r="F2991">
            <v>302592</v>
          </cell>
          <cell r="G2991" t="str">
            <v>Nanci Paola Con Morales</v>
          </cell>
        </row>
        <row r="2992">
          <cell r="F2992">
            <v>301700</v>
          </cell>
          <cell r="G2992" t="str">
            <v>Nanci Yanira Navas Garcia</v>
          </cell>
        </row>
        <row r="2993">
          <cell r="F2993">
            <v>312111</v>
          </cell>
          <cell r="G2993" t="str">
            <v>Nancy Corina Quiñonez Rodriguez</v>
          </cell>
        </row>
        <row r="2994">
          <cell r="F2994">
            <v>303538</v>
          </cell>
          <cell r="G2994" t="str">
            <v>Nancy Magaly Izaguirre Galicia</v>
          </cell>
        </row>
        <row r="2995">
          <cell r="F2995">
            <v>305223</v>
          </cell>
          <cell r="G2995" t="str">
            <v>Nancy Pahola De Leon Patzan</v>
          </cell>
        </row>
        <row r="2996">
          <cell r="F2996">
            <v>311423</v>
          </cell>
          <cell r="G2996" t="str">
            <v>Nancy Paola Jimenez Pamal</v>
          </cell>
        </row>
        <row r="2997">
          <cell r="F2997">
            <v>310510</v>
          </cell>
          <cell r="G2997" t="str">
            <v>Nancy Paola Morales Rodriguez</v>
          </cell>
        </row>
        <row r="2998">
          <cell r="F2998">
            <v>312587</v>
          </cell>
          <cell r="G2998" t="str">
            <v>Nancy Roxana Chuy Ponce</v>
          </cell>
        </row>
        <row r="2999">
          <cell r="F2999">
            <v>314745</v>
          </cell>
          <cell r="G2999" t="str">
            <v>Nancy Yaneth Vasquez Chiguichon</v>
          </cell>
        </row>
        <row r="3000">
          <cell r="F3000">
            <v>309809</v>
          </cell>
          <cell r="G3000" t="str">
            <v>Nancy Yessenia Set Iquite</v>
          </cell>
        </row>
        <row r="3001">
          <cell r="F3001">
            <v>311261</v>
          </cell>
          <cell r="G3001" t="str">
            <v>Nasly Abigail Cazian Lopez</v>
          </cell>
        </row>
        <row r="3002">
          <cell r="F3002">
            <v>312545</v>
          </cell>
          <cell r="G3002" t="str">
            <v>Nataly Pamela Fransheska Aguilar Escobar</v>
          </cell>
        </row>
        <row r="3003">
          <cell r="F3003">
            <v>314192</v>
          </cell>
          <cell r="G3003" t="str">
            <v>Neftaly Eliseo Aguilar Hernandez</v>
          </cell>
        </row>
        <row r="3004">
          <cell r="F3004">
            <v>314024</v>
          </cell>
          <cell r="G3004" t="str">
            <v>Nelson Aurelio Portillo Martinez</v>
          </cell>
        </row>
        <row r="3005">
          <cell r="F3005">
            <v>314913</v>
          </cell>
          <cell r="G3005" t="str">
            <v>Nelson Humberto Caal Güe</v>
          </cell>
        </row>
        <row r="3006">
          <cell r="F3006">
            <v>314631</v>
          </cell>
          <cell r="G3006" t="str">
            <v>Nelsy Adali Nova Vivar</v>
          </cell>
        </row>
        <row r="3007">
          <cell r="F3007">
            <v>309216</v>
          </cell>
          <cell r="G3007" t="str">
            <v>Nery Daniel Chipin Lindo</v>
          </cell>
        </row>
        <row r="3008">
          <cell r="F3008">
            <v>313499</v>
          </cell>
          <cell r="G3008" t="str">
            <v>Nestor Donaldo Xiloj Quiej</v>
          </cell>
        </row>
        <row r="3009">
          <cell r="F3009">
            <v>312176</v>
          </cell>
          <cell r="G3009" t="str">
            <v>Nestor Edgardo Gutierrez Lazaro</v>
          </cell>
        </row>
        <row r="3010">
          <cell r="F3010">
            <v>309178</v>
          </cell>
          <cell r="G3010" t="str">
            <v>Nestor Enmanuel Retana Castellanos</v>
          </cell>
        </row>
        <row r="3011">
          <cell r="F3011">
            <v>313878</v>
          </cell>
          <cell r="G3011" t="str">
            <v>Nestor Orlando Aguilar Santos</v>
          </cell>
        </row>
        <row r="3012">
          <cell r="F3012">
            <v>305532</v>
          </cell>
          <cell r="G3012" t="str">
            <v>Nicolas Ajiquichi Ibate</v>
          </cell>
        </row>
        <row r="3013">
          <cell r="F3013">
            <v>312763</v>
          </cell>
          <cell r="G3013" t="str">
            <v>Nicolas Walter Toma Zacarias</v>
          </cell>
        </row>
        <row r="3014">
          <cell r="F3014">
            <v>315413</v>
          </cell>
          <cell r="G3014" t="str">
            <v>Nicomedes Israel Echeverria Pacheco</v>
          </cell>
        </row>
        <row r="3015">
          <cell r="F3015">
            <v>310907</v>
          </cell>
          <cell r="G3015" t="str">
            <v>Nidia Dalila Bantes Segura De Manchame</v>
          </cell>
        </row>
        <row r="3016">
          <cell r="F3016">
            <v>314818</v>
          </cell>
          <cell r="G3016" t="str">
            <v>Nidia Lucy Herrera Lopez</v>
          </cell>
        </row>
        <row r="3017">
          <cell r="F3017">
            <v>301486</v>
          </cell>
          <cell r="G3017" t="str">
            <v>Nidia Maribel Carpio Roca</v>
          </cell>
        </row>
        <row r="3018">
          <cell r="F3018">
            <v>306850</v>
          </cell>
          <cell r="G3018" t="str">
            <v>Nilda Julieta Boror Xuya</v>
          </cell>
        </row>
        <row r="3019">
          <cell r="F3019">
            <v>311624</v>
          </cell>
          <cell r="G3019" t="str">
            <v>Noe Amos Marroquin Sicajol</v>
          </cell>
        </row>
        <row r="3020">
          <cell r="F3020">
            <v>309912</v>
          </cell>
          <cell r="G3020" t="str">
            <v>Noelia Azucena Garcia Mazariegos</v>
          </cell>
        </row>
        <row r="3021">
          <cell r="F3021">
            <v>102045</v>
          </cell>
          <cell r="G3021" t="str">
            <v>Noemi Ruth Hernandez Urrutia</v>
          </cell>
        </row>
        <row r="3022">
          <cell r="F3022">
            <v>310375</v>
          </cell>
          <cell r="G3022" t="str">
            <v>Nora Lisseth Lam Sanchez</v>
          </cell>
        </row>
        <row r="3023">
          <cell r="F3023">
            <v>313429</v>
          </cell>
          <cell r="G3023" t="str">
            <v>Norman Alessandro Madrid Garcia</v>
          </cell>
        </row>
        <row r="3024">
          <cell r="F3024">
            <v>309744</v>
          </cell>
          <cell r="G3024" t="str">
            <v>Odalis Ruby Garcia Siquina</v>
          </cell>
        </row>
        <row r="3025">
          <cell r="F3025">
            <v>315554</v>
          </cell>
          <cell r="G3025" t="str">
            <v>Odalys Faviola Reyes Rivera</v>
          </cell>
        </row>
        <row r="3026">
          <cell r="F3026">
            <v>315037</v>
          </cell>
          <cell r="G3026" t="str">
            <v>Odiel Armando Guerra Aguirre</v>
          </cell>
        </row>
        <row r="3027">
          <cell r="F3027">
            <v>307511</v>
          </cell>
          <cell r="G3027" t="str">
            <v>Odra Arcadia Barduel Sarat</v>
          </cell>
        </row>
        <row r="3028">
          <cell r="F3028">
            <v>310763</v>
          </cell>
          <cell r="G3028" t="str">
            <v>Olga Gabriela Lopez Tzic</v>
          </cell>
        </row>
        <row r="3029">
          <cell r="F3029">
            <v>309989</v>
          </cell>
          <cell r="G3029" t="str">
            <v>Olga Maricela Guarcas Tol</v>
          </cell>
        </row>
        <row r="3030">
          <cell r="F3030">
            <v>315281</v>
          </cell>
          <cell r="G3030" t="str">
            <v>Olinda Juarez Figueno</v>
          </cell>
        </row>
        <row r="3031">
          <cell r="F3031">
            <v>312972</v>
          </cell>
          <cell r="G3031" t="str">
            <v>Omar Anibal Barreda Valenzuela</v>
          </cell>
        </row>
        <row r="3032">
          <cell r="F3032">
            <v>302263</v>
          </cell>
          <cell r="G3032" t="str">
            <v>Oneida Del Carmen Corzo Morales</v>
          </cell>
        </row>
        <row r="3033">
          <cell r="F3033">
            <v>308263</v>
          </cell>
          <cell r="G3033" t="str">
            <v>Oscar Eduardo Xoyon Gomez</v>
          </cell>
        </row>
        <row r="3034">
          <cell r="F3034">
            <v>314104</v>
          </cell>
          <cell r="G3034" t="str">
            <v>Oscar Emilio Gomez Orozco</v>
          </cell>
        </row>
        <row r="3035">
          <cell r="F3035">
            <v>314270</v>
          </cell>
          <cell r="G3035" t="str">
            <v>Oscar Enrique Garcia Gualip</v>
          </cell>
        </row>
        <row r="3036">
          <cell r="F3036">
            <v>315507</v>
          </cell>
          <cell r="G3036" t="str">
            <v>Oscar Estuardo Mancilla Najarro</v>
          </cell>
        </row>
        <row r="3037">
          <cell r="F3037">
            <v>314914</v>
          </cell>
          <cell r="G3037" t="str">
            <v>Oscar Geovany Patzan Patzan</v>
          </cell>
        </row>
        <row r="3038">
          <cell r="F3038">
            <v>308805</v>
          </cell>
          <cell r="G3038" t="str">
            <v>Oscar Israel Thiel Hidalgo</v>
          </cell>
        </row>
        <row r="3039">
          <cell r="F3039">
            <v>315115</v>
          </cell>
          <cell r="G3039" t="str">
            <v>Osman Amilcar Zarate Ixcoy</v>
          </cell>
        </row>
        <row r="3040">
          <cell r="F3040">
            <v>315497</v>
          </cell>
          <cell r="G3040" t="str">
            <v>Osman Ivan Boanerges Coc Coronado</v>
          </cell>
        </row>
        <row r="3041">
          <cell r="F3041">
            <v>310031</v>
          </cell>
          <cell r="G3041" t="str">
            <v>Osvin Daniel Gomez Gonzalez</v>
          </cell>
        </row>
        <row r="3042">
          <cell r="F3042">
            <v>307209</v>
          </cell>
          <cell r="G3042" t="str">
            <v>Oswaldo Marcelino Huix Gomez</v>
          </cell>
        </row>
        <row r="3043">
          <cell r="F3043">
            <v>309656</v>
          </cell>
          <cell r="G3043" t="str">
            <v>Otto Alejandro Barahona Lopez</v>
          </cell>
        </row>
        <row r="3044">
          <cell r="F3044">
            <v>312335</v>
          </cell>
          <cell r="G3044" t="str">
            <v>Otto Leonel Zavala Rodas</v>
          </cell>
        </row>
        <row r="3045">
          <cell r="F3045">
            <v>314894</v>
          </cell>
          <cell r="G3045" t="str">
            <v>Ottoniel Amilcar Gomez Rodriguez</v>
          </cell>
        </row>
        <row r="3046">
          <cell r="F3046">
            <v>315122</v>
          </cell>
          <cell r="G3046" t="str">
            <v>Ottoniel De Jesus Castellanos Ordoñez</v>
          </cell>
        </row>
        <row r="3047">
          <cell r="F3047">
            <v>315454</v>
          </cell>
          <cell r="G3047" t="str">
            <v>Pablo Jose Barillas Sobalvarro</v>
          </cell>
        </row>
        <row r="3048">
          <cell r="F3048">
            <v>314010</v>
          </cell>
          <cell r="G3048" t="str">
            <v>Pablo Raul Calimayor</v>
          </cell>
        </row>
        <row r="3049">
          <cell r="F3049">
            <v>313530</v>
          </cell>
          <cell r="G3049" t="str">
            <v>Paola Veronica Cardenas Toscano</v>
          </cell>
        </row>
        <row r="3050">
          <cell r="F3050">
            <v>314884</v>
          </cell>
          <cell r="G3050" t="str">
            <v>Paula Eliza Santos Corado</v>
          </cell>
        </row>
        <row r="3051">
          <cell r="F3051">
            <v>309035</v>
          </cell>
          <cell r="G3051" t="str">
            <v>Pedro Alexander Sazo Machac</v>
          </cell>
        </row>
        <row r="3052">
          <cell r="F3052">
            <v>308158</v>
          </cell>
          <cell r="G3052" t="str">
            <v>Pedro David Ixcoy Chiquin</v>
          </cell>
        </row>
        <row r="3053">
          <cell r="F3053">
            <v>314694</v>
          </cell>
          <cell r="G3053" t="str">
            <v>Pedro Karol Gomez Lopez</v>
          </cell>
        </row>
        <row r="3054">
          <cell r="F3054">
            <v>311221</v>
          </cell>
          <cell r="G3054" t="str">
            <v>Pedro Natanahel Caxaj Rodriguez</v>
          </cell>
        </row>
        <row r="3055">
          <cell r="F3055">
            <v>314951</v>
          </cell>
          <cell r="G3055" t="str">
            <v>Pedro Rene Ramirez Guzman</v>
          </cell>
        </row>
        <row r="3056">
          <cell r="F3056">
            <v>306911</v>
          </cell>
          <cell r="G3056" t="str">
            <v>Perla Michelle Giron Galdamez</v>
          </cell>
        </row>
        <row r="3057">
          <cell r="F3057">
            <v>303664</v>
          </cell>
          <cell r="G3057" t="str">
            <v>Priscila Merari Sosa Sanabria</v>
          </cell>
        </row>
        <row r="3058">
          <cell r="F3058">
            <v>314450</v>
          </cell>
          <cell r="G3058" t="str">
            <v>Rafael Anibal Sut Tucubal</v>
          </cell>
        </row>
        <row r="3059">
          <cell r="F3059">
            <v>315367</v>
          </cell>
          <cell r="G3059" t="str">
            <v>Raul Adrian Priego Castellanos</v>
          </cell>
        </row>
        <row r="3060">
          <cell r="F3060">
            <v>311720</v>
          </cell>
          <cell r="G3060" t="str">
            <v>Raul Estuardo Roquel Suyuc</v>
          </cell>
        </row>
        <row r="3061">
          <cell r="F3061">
            <v>313341</v>
          </cell>
          <cell r="G3061" t="str">
            <v>Raul Geovanny Garcia Fuentes</v>
          </cell>
        </row>
        <row r="3062">
          <cell r="F3062">
            <v>309191</v>
          </cell>
          <cell r="G3062" t="str">
            <v>Raul Matias Matias</v>
          </cell>
        </row>
        <row r="3063">
          <cell r="F3063">
            <v>315321</v>
          </cell>
          <cell r="G3063" t="str">
            <v>Reina Lorena Canán</v>
          </cell>
        </row>
        <row r="3064">
          <cell r="F3064">
            <v>312312</v>
          </cell>
          <cell r="G3064" t="str">
            <v>Remigio Alexander Gonzalez Suchite</v>
          </cell>
        </row>
        <row r="3065">
          <cell r="F3065">
            <v>306619</v>
          </cell>
          <cell r="G3065" t="str">
            <v>Reyna Angelica Ba Vega</v>
          </cell>
        </row>
        <row r="3066">
          <cell r="F3066">
            <v>315347</v>
          </cell>
          <cell r="G3066" t="str">
            <v>Reyna Floridalma Donis Marroquin</v>
          </cell>
        </row>
        <row r="3067">
          <cell r="F3067">
            <v>314960</v>
          </cell>
          <cell r="G3067" t="str">
            <v>Reyna Sebastiana Reyes Zurdo</v>
          </cell>
        </row>
        <row r="3068">
          <cell r="F3068">
            <v>315170</v>
          </cell>
          <cell r="G3068" t="str">
            <v>Ricardo Alexander Morales Moran</v>
          </cell>
        </row>
        <row r="3069">
          <cell r="F3069">
            <v>315179</v>
          </cell>
          <cell r="G3069" t="str">
            <v>Ricardo Alfonso Chan Lopez</v>
          </cell>
        </row>
        <row r="3070">
          <cell r="F3070">
            <v>311846</v>
          </cell>
          <cell r="G3070" t="str">
            <v>Ricardo Antonio Vasquez Meza</v>
          </cell>
        </row>
        <row r="3071">
          <cell r="F3071">
            <v>314666</v>
          </cell>
          <cell r="G3071" t="str">
            <v>Ricardo Esau Hernandez Baten</v>
          </cell>
        </row>
        <row r="3072">
          <cell r="F3072">
            <v>310610</v>
          </cell>
          <cell r="G3072" t="str">
            <v>Ricky Edson Lux Cassia</v>
          </cell>
        </row>
        <row r="3073">
          <cell r="F3073">
            <v>314813</v>
          </cell>
          <cell r="G3073" t="str">
            <v>Roberto Ardon Ramos</v>
          </cell>
        </row>
        <row r="3074">
          <cell r="F3074">
            <v>312901</v>
          </cell>
          <cell r="G3074" t="str">
            <v>Roberto Augusto Silva Hernandez</v>
          </cell>
        </row>
        <row r="3075">
          <cell r="F3075">
            <v>308852</v>
          </cell>
          <cell r="G3075" t="str">
            <v>Roberto Caal Sente</v>
          </cell>
        </row>
        <row r="3076">
          <cell r="F3076">
            <v>306098</v>
          </cell>
          <cell r="G3076" t="str">
            <v>Roderico Simeon Lopez Lopez</v>
          </cell>
        </row>
        <row r="3077">
          <cell r="F3077">
            <v>313517</v>
          </cell>
          <cell r="G3077" t="str">
            <v>Rogelio Waldemar Aldana Turcios</v>
          </cell>
        </row>
        <row r="3078">
          <cell r="F3078">
            <v>314945</v>
          </cell>
          <cell r="G3078" t="str">
            <v>Rolando Esau Solis Santos</v>
          </cell>
        </row>
        <row r="3079">
          <cell r="F3079">
            <v>313403</v>
          </cell>
          <cell r="G3079" t="str">
            <v>Rolman Eliseo Bautista Mazariegos</v>
          </cell>
        </row>
        <row r="3080">
          <cell r="F3080">
            <v>314776</v>
          </cell>
          <cell r="G3080" t="str">
            <v>Romario Humberto Perez Us</v>
          </cell>
        </row>
        <row r="3081">
          <cell r="F3081">
            <v>315539</v>
          </cell>
          <cell r="G3081" t="str">
            <v>Ronald Arturo Sanchez Mijangos</v>
          </cell>
        </row>
        <row r="3082">
          <cell r="F3082">
            <v>314096</v>
          </cell>
          <cell r="G3082" t="str">
            <v>Ronald Erickson Hernandez Bamac</v>
          </cell>
        </row>
        <row r="3083">
          <cell r="F3083">
            <v>307943</v>
          </cell>
          <cell r="G3083" t="str">
            <v>Ronald Guillermo Garcia</v>
          </cell>
        </row>
        <row r="3084">
          <cell r="F3084">
            <v>315118</v>
          </cell>
          <cell r="G3084" t="str">
            <v>Ronald Ottoniel Ramos Argueta</v>
          </cell>
        </row>
        <row r="3085">
          <cell r="F3085">
            <v>315165</v>
          </cell>
          <cell r="G3085" t="str">
            <v>Ronie Ernesto Gonzalez Alvarado</v>
          </cell>
        </row>
        <row r="3086">
          <cell r="F3086">
            <v>312877</v>
          </cell>
          <cell r="G3086" t="str">
            <v>Rony David Ruano Vasquez</v>
          </cell>
        </row>
        <row r="3087">
          <cell r="F3087">
            <v>310267</v>
          </cell>
          <cell r="G3087" t="str">
            <v>Rony Josue Giron Roca</v>
          </cell>
        </row>
        <row r="3088">
          <cell r="F3088">
            <v>314930</v>
          </cell>
          <cell r="G3088" t="str">
            <v>Rony Oswaldo Gonzalez Lemus</v>
          </cell>
        </row>
        <row r="3089">
          <cell r="F3089">
            <v>315305</v>
          </cell>
          <cell r="G3089" t="str">
            <v>Rosa Isabel Garcia Menchu De Itzep</v>
          </cell>
        </row>
        <row r="3090">
          <cell r="F3090">
            <v>305255</v>
          </cell>
          <cell r="G3090" t="str">
            <v>Rosa Maria Raxtun Estrada</v>
          </cell>
        </row>
        <row r="3091">
          <cell r="F3091">
            <v>313771</v>
          </cell>
          <cell r="G3091" t="str">
            <v>Rosa Maribel Par Gutierrez De Parada</v>
          </cell>
        </row>
        <row r="3092">
          <cell r="F3092">
            <v>315353</v>
          </cell>
          <cell r="G3092" t="str">
            <v>Rosa Mariela Muñoz Samayoa</v>
          </cell>
        </row>
        <row r="3093">
          <cell r="F3093">
            <v>301835</v>
          </cell>
          <cell r="G3093" t="str">
            <v>Rosa Melia Isales Reyes</v>
          </cell>
        </row>
        <row r="3094">
          <cell r="F3094">
            <v>315389</v>
          </cell>
          <cell r="G3094" t="str">
            <v>Rosa Yadira Salguero Ceballos</v>
          </cell>
        </row>
        <row r="3095">
          <cell r="F3095">
            <v>312729</v>
          </cell>
          <cell r="G3095" t="str">
            <v>Rosalbina Magdali Alvarado Ramirez</v>
          </cell>
        </row>
        <row r="3096">
          <cell r="F3096">
            <v>300594</v>
          </cell>
          <cell r="G3096" t="str">
            <v>Rosaura Grisleny Perez Rios</v>
          </cell>
        </row>
        <row r="3097">
          <cell r="F3097">
            <v>303901</v>
          </cell>
          <cell r="G3097" t="str">
            <v>Rosmery Ana Lee Cojom Rodriguez</v>
          </cell>
        </row>
        <row r="3098">
          <cell r="F3098">
            <v>312040</v>
          </cell>
          <cell r="G3098" t="str">
            <v>Rosmery Figueroa Ramirez</v>
          </cell>
        </row>
        <row r="3099">
          <cell r="F3099">
            <v>313606</v>
          </cell>
          <cell r="G3099" t="str">
            <v>Rossana Alejandra Rodas Salguero</v>
          </cell>
        </row>
        <row r="3100">
          <cell r="F3100">
            <v>310534</v>
          </cell>
          <cell r="G3100" t="str">
            <v>Rossel Jose Hernandez Oliva</v>
          </cell>
        </row>
        <row r="3101">
          <cell r="F3101">
            <v>315045</v>
          </cell>
          <cell r="G3101" t="str">
            <v>Roxana Leticia Avila Villatoro</v>
          </cell>
        </row>
        <row r="3102">
          <cell r="F3102">
            <v>314308</v>
          </cell>
          <cell r="G3102" t="str">
            <v>Ruben Dario Peñate Aquino</v>
          </cell>
        </row>
        <row r="3103">
          <cell r="F3103">
            <v>311511</v>
          </cell>
          <cell r="G3103" t="str">
            <v>Ruby Alejandra Merida Rivas</v>
          </cell>
        </row>
        <row r="3104">
          <cell r="F3104">
            <v>312888</v>
          </cell>
          <cell r="G3104" t="str">
            <v>Rudy Alexander Gramajo Reyes</v>
          </cell>
        </row>
        <row r="3105">
          <cell r="F3105">
            <v>314814</v>
          </cell>
          <cell r="G3105" t="str">
            <v>Rudy Fernando Lopez Ajcabal</v>
          </cell>
        </row>
        <row r="3106">
          <cell r="F3106">
            <v>311551</v>
          </cell>
          <cell r="G3106" t="str">
            <v>Ruth Betsabe Campos Vargas</v>
          </cell>
        </row>
        <row r="3107">
          <cell r="F3107">
            <v>312546</v>
          </cell>
          <cell r="G3107" t="str">
            <v>Ruth Hermelinda Cardona Blanco</v>
          </cell>
        </row>
        <row r="3108">
          <cell r="F3108">
            <v>313599</v>
          </cell>
          <cell r="G3108" t="str">
            <v>Ruth Noemi Solis Contreras</v>
          </cell>
        </row>
        <row r="3109">
          <cell r="F3109">
            <v>301658</v>
          </cell>
          <cell r="G3109" t="str">
            <v>Ruth Nohemi Contreras Hernandez</v>
          </cell>
        </row>
        <row r="3110">
          <cell r="F3110">
            <v>301786</v>
          </cell>
          <cell r="G3110" t="str">
            <v>Ruth Nohemi Perez Esteban</v>
          </cell>
        </row>
        <row r="3111">
          <cell r="F3111">
            <v>314606</v>
          </cell>
          <cell r="G3111" t="str">
            <v>Saida Yasmin Garcia Xot</v>
          </cell>
        </row>
        <row r="3112">
          <cell r="F3112">
            <v>312383</v>
          </cell>
          <cell r="G3112" t="str">
            <v>Samuel Everardo Garcia Lemus</v>
          </cell>
        </row>
        <row r="3113">
          <cell r="F3113">
            <v>313592</v>
          </cell>
          <cell r="G3113" t="str">
            <v>Samuel Nehemias Nuñez Michicoj</v>
          </cell>
        </row>
        <row r="3114">
          <cell r="F3114">
            <v>305099</v>
          </cell>
          <cell r="G3114" t="str">
            <v>Sandi Anavela Mejia Alvarado</v>
          </cell>
        </row>
        <row r="3115">
          <cell r="F3115">
            <v>312923</v>
          </cell>
          <cell r="G3115" t="str">
            <v>Sandra Esmeralda Martinez Baeza</v>
          </cell>
        </row>
        <row r="3116">
          <cell r="F3116">
            <v>314420</v>
          </cell>
          <cell r="G3116" t="str">
            <v>Sandra Jeaneth Ajcuc Garcia</v>
          </cell>
        </row>
        <row r="3117">
          <cell r="F3117">
            <v>301460</v>
          </cell>
          <cell r="G3117" t="str">
            <v>Sandra Judith Vasquez Fernandez</v>
          </cell>
        </row>
        <row r="3118">
          <cell r="F3118">
            <v>312012</v>
          </cell>
          <cell r="G3118" t="str">
            <v>Sandra Lucrecia Hernandez Aceituno</v>
          </cell>
        </row>
        <row r="3119">
          <cell r="F3119">
            <v>200872</v>
          </cell>
          <cell r="G3119" t="str">
            <v>Sandra Maritza Mus Chaman</v>
          </cell>
        </row>
        <row r="3120">
          <cell r="F3120">
            <v>314820</v>
          </cell>
          <cell r="G3120" t="str">
            <v>Sandra Mishell Amarilis Gutierrez Palma</v>
          </cell>
        </row>
        <row r="3121">
          <cell r="F3121">
            <v>313875</v>
          </cell>
          <cell r="G3121" t="str">
            <v>Sandra Patricia Mejia Raguex</v>
          </cell>
        </row>
        <row r="3122">
          <cell r="F3122">
            <v>311092</v>
          </cell>
          <cell r="G3122" t="str">
            <v>Sandra Patricia Ochoa Sanchez</v>
          </cell>
        </row>
        <row r="3123">
          <cell r="F3123">
            <v>306416</v>
          </cell>
          <cell r="G3123" t="str">
            <v>Sandy Claribel Barrientos Caal</v>
          </cell>
        </row>
        <row r="3124">
          <cell r="F3124">
            <v>315024</v>
          </cell>
          <cell r="G3124" t="str">
            <v>Sandy Jasmyn Gonzalez Catun</v>
          </cell>
        </row>
        <row r="3125">
          <cell r="F3125">
            <v>312908</v>
          </cell>
          <cell r="G3125" t="str">
            <v>Sandy Maria Flores</v>
          </cell>
        </row>
        <row r="3126">
          <cell r="F3126">
            <v>313078</v>
          </cell>
          <cell r="G3126" t="str">
            <v>Sandy Maribel Herrera Mazariegos</v>
          </cell>
        </row>
        <row r="3127">
          <cell r="F3127">
            <v>301438</v>
          </cell>
          <cell r="G3127" t="str">
            <v>Sandy Mariela Batres Orozco</v>
          </cell>
        </row>
        <row r="3128">
          <cell r="F3128">
            <v>313622</v>
          </cell>
          <cell r="G3128" t="str">
            <v>Sandy Nohemy Sontay Agueda</v>
          </cell>
        </row>
        <row r="3129">
          <cell r="F3129">
            <v>315408</v>
          </cell>
          <cell r="G3129" t="str">
            <v>Sandy Suset Morales Barrientos</v>
          </cell>
        </row>
        <row r="3130">
          <cell r="F3130">
            <v>307105</v>
          </cell>
          <cell r="G3130" t="str">
            <v>Santiago Isaias Barreno Rosales</v>
          </cell>
        </row>
        <row r="3131">
          <cell r="F3131">
            <v>315254</v>
          </cell>
          <cell r="G3131" t="str">
            <v>Santos Ismael Najera Culajay</v>
          </cell>
        </row>
        <row r="3132">
          <cell r="F3132">
            <v>313402</v>
          </cell>
          <cell r="G3132" t="str">
            <v>Santos Valentin Coroy Ruyan</v>
          </cell>
        </row>
        <row r="3133">
          <cell r="F3133">
            <v>312501</v>
          </cell>
          <cell r="G3133" t="str">
            <v>Sara Elizabeth Guzman Linares</v>
          </cell>
        </row>
        <row r="3134">
          <cell r="F3134">
            <v>313492</v>
          </cell>
          <cell r="G3134" t="str">
            <v>Sarvia Bitia Orellana Ortiz</v>
          </cell>
        </row>
        <row r="3135">
          <cell r="F3135">
            <v>309816</v>
          </cell>
          <cell r="G3135" t="str">
            <v>Sayra Elizabeth Reyes Zuñiga</v>
          </cell>
        </row>
        <row r="3136">
          <cell r="F3136">
            <v>314956</v>
          </cell>
          <cell r="G3136" t="str">
            <v>Sebastian Geovanny Calel Ixtuc</v>
          </cell>
        </row>
        <row r="3137">
          <cell r="F3137">
            <v>314855</v>
          </cell>
          <cell r="G3137" t="str">
            <v>Selvin Adan Garcia Portillo</v>
          </cell>
        </row>
        <row r="3138">
          <cell r="F3138">
            <v>312294</v>
          </cell>
          <cell r="G3138" t="str">
            <v>Selvin Geronimo Aguilar</v>
          </cell>
        </row>
        <row r="3139">
          <cell r="F3139">
            <v>302278</v>
          </cell>
          <cell r="G3139" t="str">
            <v>Selvin Manolo Montepeque Merida</v>
          </cell>
        </row>
        <row r="3140">
          <cell r="F3140">
            <v>314266</v>
          </cell>
          <cell r="G3140" t="str">
            <v>Selvin Rodolfo De La Cruz Contreras</v>
          </cell>
        </row>
        <row r="3141">
          <cell r="F3141">
            <v>301308</v>
          </cell>
          <cell r="G3141" t="str">
            <v>Selvyn Ivan Sierra Ramirez</v>
          </cell>
        </row>
        <row r="3142">
          <cell r="F3142">
            <v>312346</v>
          </cell>
          <cell r="G3142" t="str">
            <v>Sendy Vanessa Villagran Garcia</v>
          </cell>
        </row>
        <row r="3143">
          <cell r="F3143">
            <v>314559</v>
          </cell>
          <cell r="G3143" t="str">
            <v>Sergio Alejandro Aguilar Perez</v>
          </cell>
        </row>
        <row r="3144">
          <cell r="F3144">
            <v>101896</v>
          </cell>
          <cell r="G3144" t="str">
            <v>Sergio Estuardo Mejia Lopez</v>
          </cell>
        </row>
        <row r="3145">
          <cell r="F3145">
            <v>315294</v>
          </cell>
          <cell r="G3145" t="str">
            <v>Sergio Obdulio Chali Chocojay</v>
          </cell>
        </row>
        <row r="3146">
          <cell r="F3146">
            <v>314079</v>
          </cell>
          <cell r="G3146" t="str">
            <v>Sharon Klarivel Santis Najarro</v>
          </cell>
        </row>
        <row r="3147">
          <cell r="F3147">
            <v>311147</v>
          </cell>
          <cell r="G3147" t="str">
            <v>Shaury Jazmeny Garcia Arias</v>
          </cell>
        </row>
        <row r="3148">
          <cell r="F3148">
            <v>310599</v>
          </cell>
          <cell r="G3148" t="str">
            <v>Sheila Nineth Mendez Lopez</v>
          </cell>
        </row>
        <row r="3149">
          <cell r="F3149">
            <v>315541</v>
          </cell>
          <cell r="G3149" t="str">
            <v>Sheily Nahomy Oliva Morales</v>
          </cell>
        </row>
        <row r="3150">
          <cell r="F3150">
            <v>304805</v>
          </cell>
          <cell r="G3150" t="str">
            <v>Sheily Raquel Angel Arreaga</v>
          </cell>
        </row>
        <row r="3151">
          <cell r="F3151">
            <v>312357</v>
          </cell>
          <cell r="G3151" t="str">
            <v>Shirley Andrea Lopez Lopez</v>
          </cell>
        </row>
        <row r="3152">
          <cell r="F3152">
            <v>311646</v>
          </cell>
          <cell r="G3152" t="str">
            <v>Shirley Leticia Lissette Lopez Guzman</v>
          </cell>
        </row>
        <row r="3153">
          <cell r="F3153">
            <v>312096</v>
          </cell>
          <cell r="G3153" t="str">
            <v>Silvia Edelmira Garcia Donis</v>
          </cell>
        </row>
        <row r="3154">
          <cell r="F3154">
            <v>301371</v>
          </cell>
          <cell r="G3154" t="str">
            <v>Silvia Gabriela Gonzalez Siliezar</v>
          </cell>
        </row>
        <row r="3155">
          <cell r="F3155">
            <v>313328</v>
          </cell>
          <cell r="G3155" t="str">
            <v>Silvia Leticia Morales Perez</v>
          </cell>
        </row>
        <row r="3156">
          <cell r="F3156">
            <v>309948</v>
          </cell>
          <cell r="G3156" t="str">
            <v>Silvia Lucrecia Gonzalez Char</v>
          </cell>
        </row>
        <row r="3157">
          <cell r="F3157">
            <v>305230</v>
          </cell>
          <cell r="G3157" t="str">
            <v>Silvia Marleni Rac Yoc</v>
          </cell>
        </row>
        <row r="3158">
          <cell r="F3158">
            <v>305427</v>
          </cell>
          <cell r="G3158" t="str">
            <v>Silvia Noemi Calderon</v>
          </cell>
        </row>
        <row r="3159">
          <cell r="F3159">
            <v>306034</v>
          </cell>
          <cell r="G3159" t="str">
            <v>Silvia Patricia Gonzalez Hernandez</v>
          </cell>
        </row>
        <row r="3160">
          <cell r="F3160">
            <v>310105</v>
          </cell>
          <cell r="G3160" t="str">
            <v>Simeon Valentin Gomez Flores</v>
          </cell>
        </row>
        <row r="3161">
          <cell r="F3161">
            <v>313981</v>
          </cell>
          <cell r="G3161" t="str">
            <v>Sindy Beatriz Perez Sanchez</v>
          </cell>
        </row>
        <row r="3162">
          <cell r="F3162">
            <v>314976</v>
          </cell>
          <cell r="G3162" t="str">
            <v>Sindy Carolina Ramirez Pur</v>
          </cell>
        </row>
        <row r="3163">
          <cell r="F3163">
            <v>312881</v>
          </cell>
          <cell r="G3163" t="str">
            <v>Sindy Karina Ramirez Lopez</v>
          </cell>
        </row>
        <row r="3164">
          <cell r="F3164">
            <v>310066</v>
          </cell>
          <cell r="G3164" t="str">
            <v>Sindy Paola Vargas Calderon</v>
          </cell>
        </row>
        <row r="3165">
          <cell r="F3165">
            <v>315466</v>
          </cell>
          <cell r="G3165" t="str">
            <v>Siomara Victoria Valle Sac</v>
          </cell>
        </row>
        <row r="3166">
          <cell r="F3166">
            <v>313593</v>
          </cell>
          <cell r="G3166" t="str">
            <v>Slayker Andony Santiago Natareno</v>
          </cell>
        </row>
        <row r="3167">
          <cell r="F3167">
            <v>315439</v>
          </cell>
          <cell r="G3167" t="str">
            <v>Smaylin Sarita Villatoro Angel</v>
          </cell>
        </row>
        <row r="3168">
          <cell r="F3168">
            <v>310731</v>
          </cell>
          <cell r="G3168" t="str">
            <v>Sofia Etelvina Lopez Perez</v>
          </cell>
        </row>
        <row r="3169">
          <cell r="F3169">
            <v>314735</v>
          </cell>
          <cell r="G3169" t="str">
            <v>Sofia Ines Bermudez Avila</v>
          </cell>
        </row>
        <row r="3170">
          <cell r="F3170">
            <v>315340</v>
          </cell>
          <cell r="G3170" t="str">
            <v>Stefanny Manuela Azaneth Garcia Garcia</v>
          </cell>
        </row>
        <row r="3171">
          <cell r="F3171">
            <v>308054</v>
          </cell>
          <cell r="G3171" t="str">
            <v>Stephanie Abigail De Los Angeles Villalta</v>
          </cell>
        </row>
        <row r="3172">
          <cell r="F3172">
            <v>303382</v>
          </cell>
          <cell r="G3172" t="str">
            <v>Sucely Abigail Nerios Rodriguez</v>
          </cell>
        </row>
        <row r="3173">
          <cell r="F3173">
            <v>314787</v>
          </cell>
          <cell r="G3173" t="str">
            <v>Sucely Analy Arias Paredes</v>
          </cell>
        </row>
        <row r="3174">
          <cell r="F3174">
            <v>310671</v>
          </cell>
          <cell r="G3174" t="str">
            <v>Sucely Paola Godinez Gomez De Perez</v>
          </cell>
        </row>
        <row r="3175">
          <cell r="F3175">
            <v>315386</v>
          </cell>
          <cell r="G3175" t="str">
            <v>Sulibeth Estela Ortega Mendez</v>
          </cell>
        </row>
        <row r="3176">
          <cell r="F3176">
            <v>314347</v>
          </cell>
          <cell r="G3176" t="str">
            <v>Suri Mireidy Perez Estrada</v>
          </cell>
        </row>
        <row r="3177">
          <cell r="F3177">
            <v>313630</v>
          </cell>
          <cell r="G3177" t="str">
            <v>Susan Andrea Perez Lima</v>
          </cell>
        </row>
        <row r="3178">
          <cell r="F3178">
            <v>313395</v>
          </cell>
          <cell r="G3178" t="str">
            <v>Susan Maria Jose Rodas Carranza</v>
          </cell>
        </row>
        <row r="3179">
          <cell r="F3179">
            <v>309883</v>
          </cell>
          <cell r="G3179" t="str">
            <v>Susana Alvarado Gonzalez</v>
          </cell>
        </row>
        <row r="3180">
          <cell r="F3180">
            <v>307664</v>
          </cell>
          <cell r="G3180" t="str">
            <v>Susana Jeanneth Lemus Pineda</v>
          </cell>
        </row>
        <row r="3181">
          <cell r="F3181">
            <v>315313</v>
          </cell>
          <cell r="G3181" t="str">
            <v>Tayme Gabriela Uzu Ramirez</v>
          </cell>
        </row>
        <row r="3182">
          <cell r="F3182">
            <v>314575</v>
          </cell>
          <cell r="G3182" t="str">
            <v>Telma Esperanza Santos Orantes</v>
          </cell>
        </row>
        <row r="3183">
          <cell r="F3183">
            <v>302658</v>
          </cell>
          <cell r="G3183" t="str">
            <v>Telma Sucely Solis Merida</v>
          </cell>
        </row>
        <row r="3184">
          <cell r="F3184">
            <v>315048</v>
          </cell>
          <cell r="G3184" t="str">
            <v>Thania Lucia Romero Garcia</v>
          </cell>
        </row>
        <row r="3185">
          <cell r="F3185">
            <v>302332</v>
          </cell>
          <cell r="G3185" t="str">
            <v>Thelma Patricia Mena Melchor</v>
          </cell>
        </row>
        <row r="3186">
          <cell r="F3186">
            <v>314108</v>
          </cell>
          <cell r="G3186" t="str">
            <v>Thelma Yolanda De Candelaria Garcia Sanchez</v>
          </cell>
        </row>
        <row r="3187">
          <cell r="F3187">
            <v>315049</v>
          </cell>
          <cell r="G3187" t="str">
            <v>Tomas Amador Manuel Martin</v>
          </cell>
        </row>
        <row r="3188">
          <cell r="F3188">
            <v>315373</v>
          </cell>
          <cell r="G3188" t="str">
            <v>Tomas Xiloj Mejia</v>
          </cell>
        </row>
        <row r="3189">
          <cell r="F3189">
            <v>311866</v>
          </cell>
          <cell r="G3189" t="str">
            <v>Treisy Lisbeth Orozco Orozco</v>
          </cell>
        </row>
        <row r="3190">
          <cell r="F3190">
            <v>310220</v>
          </cell>
          <cell r="G3190" t="str">
            <v>Urias Samuel Velasquez Ardeano</v>
          </cell>
        </row>
        <row r="3191">
          <cell r="F3191">
            <v>305903</v>
          </cell>
          <cell r="G3191" t="str">
            <v>Valeska Paola Rivas Gomez</v>
          </cell>
        </row>
        <row r="3192">
          <cell r="F3192">
            <v>314544</v>
          </cell>
          <cell r="G3192" t="str">
            <v>Velvet Sofia Estrada Ruiz</v>
          </cell>
        </row>
        <row r="3193">
          <cell r="F3193">
            <v>314405</v>
          </cell>
          <cell r="G3193" t="str">
            <v>Veronica Alejandra Barahona Santa Cruz</v>
          </cell>
        </row>
        <row r="3194">
          <cell r="F3194">
            <v>311048</v>
          </cell>
          <cell r="G3194" t="str">
            <v>Veronica Dalila Barrios Hernandez</v>
          </cell>
        </row>
        <row r="3195">
          <cell r="F3195">
            <v>311005</v>
          </cell>
          <cell r="G3195" t="str">
            <v>Veronica Sierra Xo</v>
          </cell>
        </row>
        <row r="3196">
          <cell r="F3196">
            <v>304024</v>
          </cell>
          <cell r="G3196" t="str">
            <v>Vicky Roxana Lopez Hernandez</v>
          </cell>
        </row>
        <row r="3197">
          <cell r="F3197">
            <v>300999</v>
          </cell>
          <cell r="G3197" t="str">
            <v>Victor Adolfo Barrios Monzon</v>
          </cell>
        </row>
        <row r="3198">
          <cell r="F3198">
            <v>309689</v>
          </cell>
          <cell r="G3198" t="str">
            <v>Victor Demecio Leon Villeda</v>
          </cell>
        </row>
        <row r="3199">
          <cell r="F3199">
            <v>311258</v>
          </cell>
          <cell r="G3199" t="str">
            <v>Victor Otoniel Sebastian Cardona</v>
          </cell>
        </row>
        <row r="3200">
          <cell r="F3200">
            <v>314367</v>
          </cell>
          <cell r="G3200" t="str">
            <v>Victoria Maria Llamas Perez</v>
          </cell>
        </row>
        <row r="3201">
          <cell r="F3201">
            <v>315399</v>
          </cell>
          <cell r="G3201" t="str">
            <v>Vilma Rossibel Mendez Vasquez</v>
          </cell>
        </row>
        <row r="3202">
          <cell r="F3202">
            <v>312875</v>
          </cell>
          <cell r="G3202" t="str">
            <v>Virginia Nohemi Perez Ajtum</v>
          </cell>
        </row>
        <row r="3203">
          <cell r="F3203">
            <v>313671</v>
          </cell>
          <cell r="G3203" t="str">
            <v>Virginia Yesenia Merida Lopez De Lopez</v>
          </cell>
        </row>
        <row r="3204">
          <cell r="F3204">
            <v>315529</v>
          </cell>
          <cell r="G3204" t="str">
            <v>Vivian Alejandra Ramirez Samayoa</v>
          </cell>
        </row>
        <row r="3205">
          <cell r="F3205">
            <v>310009</v>
          </cell>
          <cell r="G3205" t="str">
            <v>Vivian Celeste De Leon Rian</v>
          </cell>
        </row>
        <row r="3206">
          <cell r="F3206">
            <v>308693</v>
          </cell>
          <cell r="G3206" t="str">
            <v>Vivian Dinora Fuentes Carrillo</v>
          </cell>
        </row>
        <row r="3207">
          <cell r="F3207">
            <v>300347</v>
          </cell>
          <cell r="G3207" t="str">
            <v>Vivian Roxana Piedrasanta Rodriguez</v>
          </cell>
        </row>
        <row r="3208">
          <cell r="F3208">
            <v>306597</v>
          </cell>
          <cell r="G3208" t="str">
            <v>Vivian Samara Sanchez Lopez</v>
          </cell>
        </row>
        <row r="3209">
          <cell r="F3209">
            <v>312772</v>
          </cell>
          <cell r="G3209" t="str">
            <v>Viviana Isabet Machic Tiño</v>
          </cell>
        </row>
        <row r="3210">
          <cell r="F3210">
            <v>314636</v>
          </cell>
          <cell r="G3210" t="str">
            <v>Walkiria Anais Herrera Castillo</v>
          </cell>
        </row>
        <row r="3211">
          <cell r="F3211">
            <v>301033</v>
          </cell>
          <cell r="G3211" t="str">
            <v>Walter Daniel Perea Flores</v>
          </cell>
        </row>
        <row r="3212">
          <cell r="F3212">
            <v>305935</v>
          </cell>
          <cell r="G3212" t="str">
            <v>Walter David De Leon Gomez</v>
          </cell>
        </row>
        <row r="3213">
          <cell r="F3213">
            <v>315324</v>
          </cell>
          <cell r="G3213" t="str">
            <v>Walter Estuardo Guerra López</v>
          </cell>
        </row>
        <row r="3214">
          <cell r="F3214">
            <v>310994</v>
          </cell>
          <cell r="G3214" t="str">
            <v>Walter Geovany Hernandez Hernandez</v>
          </cell>
        </row>
        <row r="3215">
          <cell r="F3215">
            <v>315577</v>
          </cell>
          <cell r="G3215" t="str">
            <v>Walter Yovany Sequec Lopic</v>
          </cell>
        </row>
        <row r="3216">
          <cell r="F3216">
            <v>312305</v>
          </cell>
          <cell r="G3216" t="str">
            <v>Wanda Marisol Cabrera Lemus</v>
          </cell>
        </row>
        <row r="3217">
          <cell r="F3217">
            <v>313388</v>
          </cell>
          <cell r="G3217" t="str">
            <v>Wander Andres Grijlava Porras</v>
          </cell>
        </row>
        <row r="3218">
          <cell r="F3218">
            <v>312738</v>
          </cell>
          <cell r="G3218" t="str">
            <v>Wendoly Beatriz Morales Cornel</v>
          </cell>
        </row>
        <row r="3219">
          <cell r="F3219">
            <v>304802</v>
          </cell>
          <cell r="G3219" t="str">
            <v>Wendy Alejandra Cuyan Alvarez</v>
          </cell>
        </row>
        <row r="3220">
          <cell r="F3220">
            <v>315438</v>
          </cell>
          <cell r="G3220" t="str">
            <v>Wendy Alejandra Monzon Lopez</v>
          </cell>
        </row>
        <row r="3221">
          <cell r="F3221">
            <v>309177</v>
          </cell>
          <cell r="G3221" t="str">
            <v>Wendy Carolina Lopez Alvizuriz</v>
          </cell>
        </row>
        <row r="3222">
          <cell r="F3222">
            <v>315364</v>
          </cell>
          <cell r="G3222" t="str">
            <v>Wendy Corina Najera Vasquez</v>
          </cell>
        </row>
        <row r="3223">
          <cell r="F3223">
            <v>308431</v>
          </cell>
          <cell r="G3223" t="str">
            <v>Wendy Jessenia Arredondo Lopez</v>
          </cell>
        </row>
        <row r="3224">
          <cell r="F3224">
            <v>315096</v>
          </cell>
          <cell r="G3224" t="str">
            <v>Wendy Mariela Diaz Hernandez</v>
          </cell>
        </row>
        <row r="3225">
          <cell r="F3225">
            <v>314551</v>
          </cell>
          <cell r="G3225" t="str">
            <v>Wendy Nineth Perez Roque</v>
          </cell>
        </row>
        <row r="3226">
          <cell r="F3226">
            <v>312886</v>
          </cell>
          <cell r="G3226" t="str">
            <v>Wendy Paola Baquiax Cu</v>
          </cell>
        </row>
        <row r="3227">
          <cell r="F3227">
            <v>306851</v>
          </cell>
          <cell r="G3227" t="str">
            <v>Wendy Paola De Paz Prado</v>
          </cell>
        </row>
        <row r="3228">
          <cell r="F3228">
            <v>313707</v>
          </cell>
          <cell r="G3228" t="str">
            <v>Wendy Paola Rodriguez Gonzalez</v>
          </cell>
        </row>
        <row r="3229">
          <cell r="F3229">
            <v>314055</v>
          </cell>
          <cell r="G3229" t="str">
            <v>Wendy Patricia Lopez Gonzalez</v>
          </cell>
        </row>
        <row r="3230">
          <cell r="F3230">
            <v>310388</v>
          </cell>
          <cell r="G3230" t="str">
            <v>Wendy Susana Chinchilla Cotill</v>
          </cell>
        </row>
        <row r="3231">
          <cell r="F3231">
            <v>315106</v>
          </cell>
          <cell r="G3231" t="str">
            <v>Wendy Victoria Rodriguez Chacon</v>
          </cell>
        </row>
        <row r="3232">
          <cell r="F3232">
            <v>314063</v>
          </cell>
          <cell r="G3232" t="str">
            <v>Wensler David Obando Polanco</v>
          </cell>
        </row>
        <row r="3233">
          <cell r="F3233">
            <v>308069</v>
          </cell>
          <cell r="G3233" t="str">
            <v>Wilda Yohandra Atz Cruz</v>
          </cell>
        </row>
        <row r="3234">
          <cell r="F3234">
            <v>313300</v>
          </cell>
          <cell r="G3234" t="str">
            <v>Wilfido Abraham Cardona Garcia</v>
          </cell>
        </row>
        <row r="3235">
          <cell r="F3235">
            <v>309284</v>
          </cell>
          <cell r="G3235" t="str">
            <v>Wilian Aroldo Lucero Cardona</v>
          </cell>
        </row>
        <row r="3236">
          <cell r="F3236">
            <v>314821</v>
          </cell>
          <cell r="G3236" t="str">
            <v>William Alexander Tobias Gomez</v>
          </cell>
        </row>
        <row r="3237">
          <cell r="F3237">
            <v>314881</v>
          </cell>
          <cell r="G3237" t="str">
            <v>William Eduardo Velasquez Castillo</v>
          </cell>
        </row>
        <row r="3238">
          <cell r="F3238">
            <v>313027</v>
          </cell>
          <cell r="G3238" t="str">
            <v>William Rodolfo Yool Tucux</v>
          </cell>
        </row>
        <row r="3239">
          <cell r="F3239">
            <v>314221</v>
          </cell>
          <cell r="G3239" t="str">
            <v>Willian Baldemar Castillo Ramirez</v>
          </cell>
        </row>
        <row r="3240">
          <cell r="F3240">
            <v>314947</v>
          </cell>
          <cell r="G3240" t="str">
            <v>Wilmer Arnoldo Diaz Martinez</v>
          </cell>
        </row>
        <row r="3241">
          <cell r="F3241">
            <v>306656</v>
          </cell>
          <cell r="G3241" t="str">
            <v>Wilmer Benjamin Vasquez Puac</v>
          </cell>
        </row>
        <row r="3242">
          <cell r="F3242">
            <v>314391</v>
          </cell>
          <cell r="G3242" t="str">
            <v>Wilmer Esteban Lopez Hernandez</v>
          </cell>
        </row>
        <row r="3243">
          <cell r="F3243">
            <v>308506</v>
          </cell>
          <cell r="G3243" t="str">
            <v>Wilmer Estuardo Salama Golon</v>
          </cell>
        </row>
        <row r="3244">
          <cell r="F3244">
            <v>308686</v>
          </cell>
          <cell r="G3244" t="str">
            <v>Wilson Arnoldo Lopez Revolorio</v>
          </cell>
        </row>
        <row r="3245">
          <cell r="F3245">
            <v>312770</v>
          </cell>
          <cell r="G3245" t="str">
            <v>Wilson Manuel Zuñiga Perez</v>
          </cell>
        </row>
        <row r="3246">
          <cell r="F3246">
            <v>300978</v>
          </cell>
          <cell r="G3246" t="str">
            <v>Wuangler Geovane Cal Sucup</v>
          </cell>
        </row>
        <row r="3247">
          <cell r="F3247">
            <v>305989</v>
          </cell>
          <cell r="G3247" t="str">
            <v>Wuilson Ottoniel Hernandez Alonzo</v>
          </cell>
        </row>
        <row r="3248">
          <cell r="F3248">
            <v>314819</v>
          </cell>
          <cell r="G3248" t="str">
            <v>Xiomara Karina Rendon Peinado</v>
          </cell>
        </row>
        <row r="3249">
          <cell r="F3249">
            <v>306493</v>
          </cell>
          <cell r="G3249" t="str">
            <v>Yackelin Maribel Zamora Medina</v>
          </cell>
        </row>
        <row r="3250">
          <cell r="F3250">
            <v>309963</v>
          </cell>
          <cell r="G3250" t="str">
            <v>Yajaira Emiliana Reyes Zapet</v>
          </cell>
        </row>
        <row r="3251">
          <cell r="F3251">
            <v>312248</v>
          </cell>
          <cell r="G3251" t="str">
            <v>Yakelin Consuelo Zapeta Perez</v>
          </cell>
        </row>
        <row r="3252">
          <cell r="F3252">
            <v>310159</v>
          </cell>
          <cell r="G3252" t="str">
            <v>Yaquelin Dinora Xicara Mejia</v>
          </cell>
        </row>
        <row r="3253">
          <cell r="F3253">
            <v>309920</v>
          </cell>
          <cell r="G3253" t="str">
            <v>Yaquelin Karina Virula Patzan</v>
          </cell>
        </row>
        <row r="3254">
          <cell r="F3254">
            <v>312505</v>
          </cell>
          <cell r="G3254" t="str">
            <v>Yaquelin Yessenia Sapon Gonzalez</v>
          </cell>
        </row>
        <row r="3255">
          <cell r="F3255">
            <v>309463</v>
          </cell>
          <cell r="G3255" t="str">
            <v>Yasmin Paola Sicay Marroquin</v>
          </cell>
        </row>
        <row r="3256">
          <cell r="F3256">
            <v>313857</v>
          </cell>
          <cell r="G3256" t="str">
            <v>Yefersson Zabala Aviles</v>
          </cell>
        </row>
        <row r="3257">
          <cell r="F3257">
            <v>313628</v>
          </cell>
          <cell r="G3257" t="str">
            <v>Yefry Jesus Soto</v>
          </cell>
        </row>
        <row r="3258">
          <cell r="F3258">
            <v>310318</v>
          </cell>
          <cell r="G3258" t="str">
            <v>Yeimi Yareli Moscoso Guzman</v>
          </cell>
        </row>
        <row r="3259">
          <cell r="F3259">
            <v>313558</v>
          </cell>
          <cell r="G3259" t="str">
            <v>Yener Catarino Chilel Velasquez</v>
          </cell>
        </row>
        <row r="3260">
          <cell r="F3260">
            <v>303083</v>
          </cell>
          <cell r="G3260" t="str">
            <v>Yeni Elizabeth Carrillo Barrios</v>
          </cell>
        </row>
        <row r="3261">
          <cell r="F3261">
            <v>313221</v>
          </cell>
          <cell r="G3261" t="str">
            <v>Yeni Jannet Morales Sintud</v>
          </cell>
        </row>
        <row r="3262">
          <cell r="F3262">
            <v>315374</v>
          </cell>
          <cell r="G3262" t="str">
            <v>Yeni Sabrina Ordonez Gonzalez De Chicas</v>
          </cell>
        </row>
        <row r="3263">
          <cell r="F3263">
            <v>314613</v>
          </cell>
          <cell r="G3263" t="str">
            <v>Yenifer Alicia Yessenia Tzib Lemus</v>
          </cell>
        </row>
        <row r="3264">
          <cell r="F3264">
            <v>308434</v>
          </cell>
          <cell r="G3264" t="str">
            <v>Yenifer Antonieta Borja Aragon</v>
          </cell>
        </row>
        <row r="3265">
          <cell r="F3265">
            <v>313725</v>
          </cell>
          <cell r="G3265" t="str">
            <v>Yenner Antonio Perez Castro</v>
          </cell>
        </row>
        <row r="3266">
          <cell r="F3266">
            <v>314562</v>
          </cell>
          <cell r="G3266" t="str">
            <v>Yesenia Noemi Gutierrez Argueta</v>
          </cell>
        </row>
        <row r="3267">
          <cell r="F3267">
            <v>311581</v>
          </cell>
          <cell r="G3267" t="str">
            <v>Yesi Lisbet Fuentes Velarde</v>
          </cell>
        </row>
        <row r="3268">
          <cell r="F3268">
            <v>312579</v>
          </cell>
          <cell r="G3268" t="str">
            <v>Yesica Elizabet Marroquin Vielman</v>
          </cell>
        </row>
        <row r="3269">
          <cell r="F3269">
            <v>315433</v>
          </cell>
          <cell r="G3269" t="str">
            <v>Yessica Paola Perez Poma</v>
          </cell>
        </row>
        <row r="3270">
          <cell r="F3270">
            <v>311486</v>
          </cell>
          <cell r="G3270" t="str">
            <v>Yolisma Yaneth Vasquez Najera</v>
          </cell>
        </row>
        <row r="3271">
          <cell r="F3271">
            <v>315060</v>
          </cell>
          <cell r="G3271" t="str">
            <v>Yonatan Alexander Perez Scott</v>
          </cell>
        </row>
        <row r="3272">
          <cell r="F3272">
            <v>312632</v>
          </cell>
          <cell r="G3272" t="str">
            <v>Yonatan Nazareth Zapeta Gomez</v>
          </cell>
        </row>
        <row r="3273">
          <cell r="F3273">
            <v>312988</v>
          </cell>
          <cell r="G3273" t="str">
            <v>Yonathan Neftali Moran Velasquez</v>
          </cell>
        </row>
        <row r="3274">
          <cell r="F3274">
            <v>305872</v>
          </cell>
          <cell r="G3274" t="str">
            <v>Yoni Adan Gutierrez Veliz</v>
          </cell>
        </row>
        <row r="3275">
          <cell r="F3275">
            <v>312087</v>
          </cell>
          <cell r="G3275" t="str">
            <v>Yoni Yosuen Rodriguez Sosa</v>
          </cell>
        </row>
        <row r="3276">
          <cell r="F3276">
            <v>312317</v>
          </cell>
          <cell r="G3276" t="str">
            <v>Yoselin Alejandra Barrios Reyes</v>
          </cell>
        </row>
        <row r="3277">
          <cell r="F3277">
            <v>313057</v>
          </cell>
          <cell r="G3277" t="str">
            <v>Yoselin Alejandra Moran Burgos</v>
          </cell>
        </row>
        <row r="3278">
          <cell r="F3278">
            <v>314700</v>
          </cell>
          <cell r="G3278" t="str">
            <v>Yoselin Andrea Cipriano Garcia</v>
          </cell>
        </row>
        <row r="3279">
          <cell r="F3279">
            <v>314280</v>
          </cell>
          <cell r="G3279" t="str">
            <v>Yoselin Ninet Lopez Quibaja</v>
          </cell>
        </row>
        <row r="3280">
          <cell r="F3280">
            <v>314388</v>
          </cell>
          <cell r="G3280" t="str">
            <v>Yubithza Azucena Gamez Agustin De Cordova</v>
          </cell>
        </row>
        <row r="3281">
          <cell r="F3281">
            <v>310717</v>
          </cell>
          <cell r="G3281" t="str">
            <v>Yuliana Elizabeth Hernandez Lopez</v>
          </cell>
        </row>
        <row r="3282">
          <cell r="F3282">
            <v>314472</v>
          </cell>
          <cell r="G3282" t="str">
            <v>Yuri Madali Cabrera Garcia</v>
          </cell>
        </row>
        <row r="3283">
          <cell r="F3283">
            <v>310871</v>
          </cell>
          <cell r="G3283" t="str">
            <v>Yuri Vanessa Bac Caal</v>
          </cell>
        </row>
        <row r="3284">
          <cell r="F3284">
            <v>302802</v>
          </cell>
          <cell r="G3284" t="str">
            <v>Yuri Yesenia Beza Ramirez</v>
          </cell>
        </row>
        <row r="3285">
          <cell r="F3285">
            <v>310778</v>
          </cell>
          <cell r="G3285" t="str">
            <v>Zacarias Rigoberto Cuc Tiul</v>
          </cell>
        </row>
        <row r="3286">
          <cell r="F3286">
            <v>309651</v>
          </cell>
          <cell r="G3286" t="str">
            <v>Zaira Eloiza Orantes Ramirez</v>
          </cell>
        </row>
        <row r="3287">
          <cell r="F3287">
            <v>315308</v>
          </cell>
          <cell r="G3287" t="str">
            <v>Zalma Esmeralda Flores Tojin</v>
          </cell>
        </row>
        <row r="3288">
          <cell r="F3288">
            <v>306856</v>
          </cell>
          <cell r="G3288" t="str">
            <v>Zoraida Marisol Martinez Perez</v>
          </cell>
        </row>
        <row r="3289">
          <cell r="F3289">
            <v>313411</v>
          </cell>
          <cell r="G3289" t="str">
            <v>Zulema Noemy Aristondo Lopez</v>
          </cell>
        </row>
        <row r="3290">
          <cell r="F3290">
            <v>312665</v>
          </cell>
          <cell r="G3290" t="str">
            <v>Zulma Damaris Menchu Mendez</v>
          </cell>
        </row>
        <row r="3291">
          <cell r="F3291">
            <v>314042</v>
          </cell>
          <cell r="G3291" t="str">
            <v>Zulmy Paola Mateo Salazar</v>
          </cell>
        </row>
        <row r="3292">
          <cell r="F3292">
            <v>313161</v>
          </cell>
          <cell r="G3292" t="str">
            <v>Zuly Beatriz De Jesus Lopez Martinez</v>
          </cell>
        </row>
        <row r="3293">
          <cell r="F3293">
            <v>314783</v>
          </cell>
          <cell r="G3293" t="str">
            <v>Jency Noeli Estrada Paredes</v>
          </cell>
        </row>
        <row r="3294">
          <cell r="F3294">
            <v>311880</v>
          </cell>
          <cell r="G3294" t="str">
            <v>Patricia Alejandra Ramos Velasquez</v>
          </cell>
        </row>
        <row r="3295">
          <cell r="F3295">
            <v>313031</v>
          </cell>
          <cell r="G3295" t="str">
            <v>Lesly Sucely Ramirez Maxin</v>
          </cell>
        </row>
        <row r="3296">
          <cell r="F3296">
            <v>313155</v>
          </cell>
          <cell r="G3296" t="str">
            <v>Aylin Jiceli Romero Cruz</v>
          </cell>
        </row>
        <row r="3297">
          <cell r="F3297">
            <v>314858</v>
          </cell>
          <cell r="G3297" t="str">
            <v>Henry De Jesus Mujo Garcia</v>
          </cell>
        </row>
        <row r="3298">
          <cell r="F3298">
            <v>315188</v>
          </cell>
          <cell r="G3298" t="str">
            <v>Zoila Edmunda Pirir Tezen</v>
          </cell>
        </row>
        <row r="3299">
          <cell r="F3299">
            <v>314690</v>
          </cell>
          <cell r="G3299" t="str">
            <v>Scarlet Iveth Rosales Rivera</v>
          </cell>
        </row>
        <row r="3300">
          <cell r="F3300">
            <v>309417</v>
          </cell>
          <cell r="G3300" t="str">
            <v>Lisbeth Sarai Gutierrez Oscal</v>
          </cell>
        </row>
        <row r="3301">
          <cell r="F3301">
            <v>314284</v>
          </cell>
          <cell r="G3301" t="str">
            <v>William Alexander Gonzalez Mendoza</v>
          </cell>
        </row>
        <row r="3302">
          <cell r="F3302">
            <v>312424</v>
          </cell>
          <cell r="G3302" t="str">
            <v>Andrea Fernanda Martin Flores</v>
          </cell>
        </row>
        <row r="3303">
          <cell r="F3303">
            <v>313081</v>
          </cell>
          <cell r="G3303" t="str">
            <v>Alba Mariana Higueros Micheo</v>
          </cell>
        </row>
        <row r="3304">
          <cell r="F3304">
            <v>315184</v>
          </cell>
          <cell r="G3304" t="str">
            <v>Leysly Rubi Panchoy Rivera</v>
          </cell>
        </row>
        <row r="3305">
          <cell r="F3305">
            <v>315248</v>
          </cell>
          <cell r="G3305" t="str">
            <v>Claudia Marissa Chuquiej Granados</v>
          </cell>
        </row>
        <row r="3306">
          <cell r="F3306">
            <v>314982</v>
          </cell>
          <cell r="G3306" t="str">
            <v>Alvin David Cush Roman</v>
          </cell>
        </row>
        <row r="3307">
          <cell r="F3307">
            <v>312859</v>
          </cell>
          <cell r="G3307" t="str">
            <v>Wilson Eli Pineda Argueta</v>
          </cell>
        </row>
        <row r="3308">
          <cell r="F3308">
            <v>315040</v>
          </cell>
          <cell r="G3308" t="str">
            <v>Renny Camilo Ixcopal Ramirez</v>
          </cell>
        </row>
        <row r="3309">
          <cell r="F3309">
            <v>315061</v>
          </cell>
          <cell r="G3309" t="str">
            <v>Durvin Dayanara Mejicanos Ramos</v>
          </cell>
        </row>
        <row r="3310">
          <cell r="F3310">
            <v>314923</v>
          </cell>
          <cell r="G3310" t="str">
            <v>Sergio Alexander Urizar Godínez</v>
          </cell>
        </row>
        <row r="3311">
          <cell r="F3311">
            <v>314511</v>
          </cell>
          <cell r="G3311" t="str">
            <v>Dulce Maria Fajardo Ramos</v>
          </cell>
        </row>
        <row r="3312">
          <cell r="F3312">
            <v>315316</v>
          </cell>
          <cell r="G3312" t="str">
            <v>Axel Alexander Lemus Ovando</v>
          </cell>
        </row>
        <row r="3313">
          <cell r="F3313">
            <v>314538</v>
          </cell>
          <cell r="G3313" t="str">
            <v>Cristofer Melgar Ortega</v>
          </cell>
        </row>
        <row r="3314">
          <cell r="F3314">
            <v>315046</v>
          </cell>
          <cell r="G3314" t="str">
            <v>Maria Damaris Noemi Asig Cu</v>
          </cell>
        </row>
        <row r="3315">
          <cell r="F3315">
            <v>314652</v>
          </cell>
          <cell r="G3315" t="str">
            <v>Leyvi Diana Morales Garrido</v>
          </cell>
        </row>
        <row r="3316">
          <cell r="F3316">
            <v>314440</v>
          </cell>
          <cell r="G3316" t="str">
            <v>Luis Alexsander Barco Ramirez</v>
          </cell>
        </row>
        <row r="3317">
          <cell r="F3317">
            <v>315249</v>
          </cell>
          <cell r="G3317" t="str">
            <v>Estuardo Rocael Chivalan Caal</v>
          </cell>
        </row>
        <row r="3318">
          <cell r="F3318">
            <v>315301</v>
          </cell>
          <cell r="G3318" t="str">
            <v>Carlos Edmundo Hernandez Miranda</v>
          </cell>
        </row>
        <row r="3319">
          <cell r="F3319">
            <v>313008</v>
          </cell>
          <cell r="G3319" t="str">
            <v>Jose Guillermo Ixen Queche</v>
          </cell>
        </row>
        <row r="3320">
          <cell r="F3320">
            <v>309110</v>
          </cell>
          <cell r="G3320" t="str">
            <v>Josselyn Fabiola Xunic Taquiej</v>
          </cell>
        </row>
        <row r="3321">
          <cell r="F3321">
            <v>312944</v>
          </cell>
          <cell r="G3321" t="str">
            <v>Lesly Araceli Mendez Gonzalez</v>
          </cell>
        </row>
        <row r="3322">
          <cell r="F3322">
            <v>314043</v>
          </cell>
          <cell r="G3322" t="str">
            <v>Luis Miguel Camaja Recinos</v>
          </cell>
        </row>
        <row r="3323">
          <cell r="F3323">
            <v>308753</v>
          </cell>
          <cell r="G3323" t="str">
            <v>Wilson Estuardo Vicente Tzun</v>
          </cell>
        </row>
        <row r="3324">
          <cell r="F3324">
            <v>312219</v>
          </cell>
          <cell r="G3324" t="str">
            <v>Yenifer Magali Arana Tezen</v>
          </cell>
        </row>
        <row r="3325">
          <cell r="F3325">
            <v>314664</v>
          </cell>
          <cell r="G3325" t="str">
            <v>Favio Juan Manuel Citalan Gomez</v>
          </cell>
        </row>
        <row r="3326">
          <cell r="F3326">
            <v>315314</v>
          </cell>
          <cell r="G3326" t="str">
            <v>Katherine Maria Pereira Estacuy</v>
          </cell>
        </row>
        <row r="3327">
          <cell r="F3327">
            <v>309750</v>
          </cell>
          <cell r="G3327" t="str">
            <v>Maria Teresa Hom Guit</v>
          </cell>
        </row>
        <row r="3328">
          <cell r="F3328">
            <v>307867</v>
          </cell>
          <cell r="G3328" t="str">
            <v>Alex Jose Bamaca Baltazar</v>
          </cell>
        </row>
        <row r="3329">
          <cell r="F3329">
            <v>313410</v>
          </cell>
          <cell r="G3329" t="str">
            <v>Esmeralda Claribel Velasquez Hernandez</v>
          </cell>
        </row>
        <row r="3330">
          <cell r="F3330">
            <v>315157</v>
          </cell>
          <cell r="G3330" t="str">
            <v>Nancy Rocio Maldonado Lopez</v>
          </cell>
        </row>
        <row r="3331">
          <cell r="F3331">
            <v>303878</v>
          </cell>
          <cell r="G3331" t="str">
            <v>Milka Patricia Merida Muñoz</v>
          </cell>
        </row>
        <row r="3332">
          <cell r="F3332">
            <v>315187</v>
          </cell>
          <cell r="G3332" t="str">
            <v>Luis Fernando Ramos Reynoso</v>
          </cell>
        </row>
        <row r="3333">
          <cell r="F3333">
            <v>310537</v>
          </cell>
          <cell r="G3333" t="str">
            <v>Astrid Anybeth Ochoa Sac</v>
          </cell>
        </row>
        <row r="3334">
          <cell r="F3334">
            <v>314578</v>
          </cell>
          <cell r="G3334" t="str">
            <v>Ana Gabriela Garcia Ajanel</v>
          </cell>
        </row>
        <row r="3335">
          <cell r="F3335">
            <v>315331</v>
          </cell>
          <cell r="G3335" t="str">
            <v>Dallynn Eunice Perez Herrera</v>
          </cell>
        </row>
        <row r="3336">
          <cell r="F3336">
            <v>314950</v>
          </cell>
          <cell r="G3336" t="str">
            <v>Saul Rodrigo Monterroso Belteton</v>
          </cell>
        </row>
        <row r="3337">
          <cell r="F3337">
            <v>312575</v>
          </cell>
          <cell r="G3337" t="str">
            <v>Sugey Alejandrina Ramirez Zepeda</v>
          </cell>
        </row>
        <row r="3338">
          <cell r="F3338">
            <v>309102</v>
          </cell>
          <cell r="G3338" t="str">
            <v>Josselyn Jasmin Asencio Revolorio De Lopez</v>
          </cell>
        </row>
        <row r="3339">
          <cell r="F3339">
            <v>313516</v>
          </cell>
          <cell r="G3339" t="str">
            <v>Mayra Leticia Diaz Armas</v>
          </cell>
        </row>
        <row r="3340">
          <cell r="F3340">
            <v>314786</v>
          </cell>
          <cell r="G3340" t="str">
            <v>Andrea Stephany Villeda Bran</v>
          </cell>
        </row>
        <row r="3341">
          <cell r="F3341">
            <v>313482</v>
          </cell>
          <cell r="G3341" t="str">
            <v>Alexandra Stefania Estrada Flores</v>
          </cell>
        </row>
        <row r="3342">
          <cell r="F3342">
            <v>313642</v>
          </cell>
          <cell r="G3342" t="str">
            <v>Jose Luis Landaverry Arana</v>
          </cell>
        </row>
        <row r="3343">
          <cell r="F3343">
            <v>314734</v>
          </cell>
          <cell r="G3343" t="str">
            <v>Maria Teresa Barrientos Perdomo</v>
          </cell>
        </row>
        <row r="3344">
          <cell r="F3344">
            <v>312551</v>
          </cell>
          <cell r="G3344" t="str">
            <v>Zenia Estefania Alvarado Alvarado</v>
          </cell>
        </row>
        <row r="3345">
          <cell r="F3345">
            <v>311524</v>
          </cell>
          <cell r="G3345" t="str">
            <v>Iris Marleny Alvarado Barrios</v>
          </cell>
        </row>
        <row r="3346">
          <cell r="F3346">
            <v>309360</v>
          </cell>
          <cell r="G3346" t="str">
            <v>Diana Violeta Yaguas Carin</v>
          </cell>
        </row>
        <row r="3347">
          <cell r="F3347">
            <v>309560</v>
          </cell>
          <cell r="G3347" t="str">
            <v>Astrid Gabriela Carin Castillo</v>
          </cell>
        </row>
        <row r="3348">
          <cell r="F3348">
            <v>313834</v>
          </cell>
          <cell r="G3348" t="str">
            <v>Luis Fernando Cuque Marquez</v>
          </cell>
        </row>
        <row r="3349">
          <cell r="F3349">
            <v>312983</v>
          </cell>
          <cell r="G3349" t="str">
            <v>Jennifer Jeaneth Patzan Urizar</v>
          </cell>
        </row>
        <row r="3350">
          <cell r="F3350">
            <v>313043</v>
          </cell>
          <cell r="G3350" t="str">
            <v>Saul Alexander Sicay Ramirez</v>
          </cell>
        </row>
        <row r="3351">
          <cell r="F3351">
            <v>315052</v>
          </cell>
          <cell r="G3351" t="str">
            <v>Ana Ruth Garcia Garcia</v>
          </cell>
        </row>
        <row r="3352">
          <cell r="F3352">
            <v>311322</v>
          </cell>
          <cell r="G3352" t="str">
            <v>Valerie Andrea Rivas Del Valle</v>
          </cell>
        </row>
        <row r="3353">
          <cell r="F3353">
            <v>313852</v>
          </cell>
          <cell r="G3353" t="str">
            <v>Brandon Steven Quiñonez Garcia</v>
          </cell>
        </row>
        <row r="3354">
          <cell r="F3354">
            <v>310326</v>
          </cell>
          <cell r="G3354" t="str">
            <v>Bryan Daniel Donado Ortiz</v>
          </cell>
        </row>
        <row r="3355">
          <cell r="F3355">
            <v>312039</v>
          </cell>
          <cell r="G3355" t="str">
            <v>Lourdes Yamileth Escobar Recinos</v>
          </cell>
        </row>
        <row r="3356">
          <cell r="F3356">
            <v>315030</v>
          </cell>
          <cell r="G3356" t="str">
            <v>Daniel Antonio Gonzalez Del Cid</v>
          </cell>
        </row>
        <row r="3357">
          <cell r="F3357">
            <v>314898</v>
          </cell>
          <cell r="G3357" t="str">
            <v>Jose Danilo Chacar Saguach</v>
          </cell>
        </row>
        <row r="3358">
          <cell r="F3358">
            <v>315306</v>
          </cell>
          <cell r="G3358" t="str">
            <v>Karen Melissa Munoz Guevara</v>
          </cell>
        </row>
        <row r="3359">
          <cell r="F3359">
            <v>315370</v>
          </cell>
          <cell r="G3359" t="str">
            <v>Mario Eduardo Reyes Argueta</v>
          </cell>
        </row>
        <row r="3360">
          <cell r="F3360">
            <v>315354</v>
          </cell>
          <cell r="G3360" t="str">
            <v>Diego Rodrigo Morales Camacho</v>
          </cell>
        </row>
        <row r="3361">
          <cell r="F3361">
            <v>314676</v>
          </cell>
          <cell r="G3361" t="str">
            <v>Irvin Lizardo Miranda Guzman</v>
          </cell>
        </row>
        <row r="3362">
          <cell r="F3362">
            <v>314069</v>
          </cell>
          <cell r="G3362" t="str">
            <v>Yesenia Nataly Alvarado Sarpec</v>
          </cell>
        </row>
        <row r="3363">
          <cell r="F3363">
            <v>315328</v>
          </cell>
          <cell r="G3363" t="str">
            <v xml:space="preserve">Ludwin Oscar David Chavez </v>
          </cell>
        </row>
        <row r="3364">
          <cell r="F3364">
            <v>314629</v>
          </cell>
          <cell r="G3364" t="str">
            <v>Heidy Azucena Martinez Garcia</v>
          </cell>
        </row>
        <row r="3365">
          <cell r="F3365">
            <v>314358</v>
          </cell>
          <cell r="G3365" t="str">
            <v>Manuel Eduardo Garcia Diaz</v>
          </cell>
        </row>
        <row r="3366">
          <cell r="F3366">
            <v>314090</v>
          </cell>
          <cell r="G3366" t="str">
            <v>Dayana Mishell Mazariegos Gomez</v>
          </cell>
        </row>
        <row r="3367">
          <cell r="F3367">
            <v>311202</v>
          </cell>
          <cell r="G3367" t="str">
            <v>Vilma Lizeth Caal Yantuche</v>
          </cell>
        </row>
        <row r="3368">
          <cell r="F3368">
            <v>314693</v>
          </cell>
          <cell r="G3368" t="str">
            <v>Oscar Javier Veliz Galvez</v>
          </cell>
        </row>
        <row r="3369">
          <cell r="F3369">
            <v>307008</v>
          </cell>
          <cell r="G3369" t="str">
            <v>Evelyn Rebeca Lopez Socoy</v>
          </cell>
        </row>
        <row r="3370">
          <cell r="F3370">
            <v>313003</v>
          </cell>
          <cell r="G3370" t="str">
            <v>Jonathan Renato Chete Urias</v>
          </cell>
        </row>
        <row r="3371">
          <cell r="F3371">
            <v>315224</v>
          </cell>
          <cell r="G3371" t="str">
            <v>Dina Nohemi Solano Juarez</v>
          </cell>
        </row>
        <row r="3372">
          <cell r="F3372">
            <v>315178</v>
          </cell>
          <cell r="G3372" t="str">
            <v>Melany Nohemi Velasquez Solorzano</v>
          </cell>
        </row>
        <row r="3373">
          <cell r="F3373">
            <v>314040</v>
          </cell>
          <cell r="G3373" t="str">
            <v>Cindy Abigail Patzan Perez</v>
          </cell>
        </row>
        <row r="3374">
          <cell r="F3374">
            <v>315172</v>
          </cell>
          <cell r="G3374" t="str">
            <v>Merlyn Esther Pérez Girón</v>
          </cell>
        </row>
        <row r="3375">
          <cell r="F3375">
            <v>314726</v>
          </cell>
          <cell r="G3375" t="str">
            <v>Bryan Roberto Sanchez Echeverria</v>
          </cell>
        </row>
        <row r="3376">
          <cell r="F3376">
            <v>306350</v>
          </cell>
          <cell r="G3376" t="str">
            <v>Andrea Eunice Velasquez Mazariegos</v>
          </cell>
        </row>
        <row r="3377">
          <cell r="F3377">
            <v>314282</v>
          </cell>
          <cell r="G3377" t="str">
            <v>Yolanda Genoveva Lopez Bamaca</v>
          </cell>
        </row>
        <row r="3378">
          <cell r="F3378">
            <v>314675</v>
          </cell>
          <cell r="G3378" t="str">
            <v>Edson Romeo Maldonado Reyes</v>
          </cell>
        </row>
        <row r="3379">
          <cell r="F3379">
            <v>313056</v>
          </cell>
          <cell r="G3379" t="str">
            <v>Suceli Isamar Orozco Fuentes</v>
          </cell>
        </row>
        <row r="3380">
          <cell r="F3380">
            <v>311573</v>
          </cell>
          <cell r="G3380" t="str">
            <v>Karen Gabriela Uz Shalix</v>
          </cell>
        </row>
        <row r="3381">
          <cell r="F3381">
            <v>313661</v>
          </cell>
          <cell r="G3381" t="str">
            <v>Mario Jose Herrera De Leon</v>
          </cell>
        </row>
        <row r="3382">
          <cell r="F3382">
            <v>314134</v>
          </cell>
          <cell r="G3382" t="str">
            <v>Rogelia Emperatriz Ortiz Alcantara</v>
          </cell>
        </row>
        <row r="3383">
          <cell r="F3383">
            <v>315207</v>
          </cell>
          <cell r="G3383" t="str">
            <v>Yeison Lemuel Lopez Vasquez</v>
          </cell>
        </row>
        <row r="3384">
          <cell r="F3384">
            <v>312659</v>
          </cell>
          <cell r="G3384" t="str">
            <v>Danny Johana Perez Reyes</v>
          </cell>
        </row>
        <row r="3385">
          <cell r="F3385">
            <v>315587</v>
          </cell>
          <cell r="G3385" t="str">
            <v>Pedro Jose Castañeda Velasquez</v>
          </cell>
        </row>
        <row r="3386">
          <cell r="F3386">
            <v>315590</v>
          </cell>
          <cell r="G3386" t="str">
            <v>Jamileth Andreina Arreaga Quin</v>
          </cell>
        </row>
        <row r="3387">
          <cell r="F3387">
            <v>315602</v>
          </cell>
          <cell r="G3387" t="str">
            <v>Ventura Rivera, Rhode Esperanza</v>
          </cell>
        </row>
        <row r="3388">
          <cell r="F3388">
            <v>315607</v>
          </cell>
          <cell r="G3388" t="str">
            <v>Ruiz Castillo, Maria Antonia</v>
          </cell>
        </row>
        <row r="3389">
          <cell r="F3389">
            <v>315611</v>
          </cell>
          <cell r="G3389" t="str">
            <v>Cordova Newbery, Allison Alejandra</v>
          </cell>
        </row>
        <row r="3390">
          <cell r="F3390">
            <v>315612</v>
          </cell>
          <cell r="G3390" t="str">
            <v>Castanon Lopez, Brandon Eliberto</v>
          </cell>
        </row>
        <row r="3391">
          <cell r="F3391">
            <v>315616</v>
          </cell>
          <cell r="G3391" t="str">
            <v>Diaz Calderon, Josue Noe</v>
          </cell>
        </row>
        <row r="3392">
          <cell r="F3392">
            <v>315629</v>
          </cell>
          <cell r="G3392" t="str">
            <v>Rucuch Choguaj, Miguel</v>
          </cell>
        </row>
        <row r="3393">
          <cell r="F3393">
            <v>315630</v>
          </cell>
          <cell r="G3393" t="str">
            <v>Zavala Soto, Alisson Yisel</v>
          </cell>
        </row>
        <row r="3394">
          <cell r="F3394">
            <v>309658</v>
          </cell>
          <cell r="G3394" t="str">
            <v xml:space="preserve">Otto Alejandro Barahona López </v>
          </cell>
        </row>
        <row r="3395">
          <cell r="F3395">
            <v>301291</v>
          </cell>
          <cell r="G3395" t="str">
            <v>Alexandra Carolina Valdez Vasquez</v>
          </cell>
        </row>
        <row r="3396">
          <cell r="F3396">
            <v>307550</v>
          </cell>
          <cell r="G3396" t="str">
            <v>Aura Marleny Perez Ventura</v>
          </cell>
        </row>
        <row r="3397">
          <cell r="F3397">
            <v>312210</v>
          </cell>
          <cell r="G3397" t="str">
            <v>Carlos Enrique Saenz Cardona</v>
          </cell>
        </row>
        <row r="3398">
          <cell r="F3398">
            <v>304801</v>
          </cell>
          <cell r="G3398" t="str">
            <v>Celeste Azucena Estrada Salvador De Estrada</v>
          </cell>
        </row>
        <row r="3399">
          <cell r="F3399">
            <v>314684</v>
          </cell>
          <cell r="G3399" t="str">
            <v>Escarlet Liliana Molina Herrera De Bolaños</v>
          </cell>
        </row>
        <row r="3400">
          <cell r="F3400">
            <v>309956</v>
          </cell>
          <cell r="G3400" t="str">
            <v>Heidy Celeste San Jose Diaz</v>
          </cell>
        </row>
        <row r="3401">
          <cell r="F3401">
            <v>314978</v>
          </cell>
          <cell r="G3401" t="str">
            <v>Jhoseline Esmeralda Medina Rivas</v>
          </cell>
        </row>
        <row r="3402">
          <cell r="F3402">
            <v>302674</v>
          </cell>
          <cell r="G3402" t="str">
            <v>Karen Elizabeth Roman Castellanos</v>
          </cell>
        </row>
        <row r="3403">
          <cell r="F3403">
            <v>315147</v>
          </cell>
          <cell r="G3403" t="str">
            <v>Karin Zulema Molina Fonseca</v>
          </cell>
        </row>
        <row r="3404">
          <cell r="F3404">
            <v>312838</v>
          </cell>
          <cell r="G3404" t="str">
            <v>Katherine Lucia Carranza Ortega</v>
          </cell>
        </row>
        <row r="3405">
          <cell r="F3405">
            <v>305064</v>
          </cell>
          <cell r="G3405" t="str">
            <v>Lilian Jose Lopez Quevedo</v>
          </cell>
        </row>
        <row r="3406">
          <cell r="F3406">
            <v>308754</v>
          </cell>
          <cell r="G3406" t="str">
            <v>Luis Alberto Perez Barrios</v>
          </cell>
        </row>
        <row r="3407">
          <cell r="F3407">
            <v>313396</v>
          </cell>
          <cell r="G3407" t="str">
            <v>Luz Mariela Donis Gonzalez</v>
          </cell>
        </row>
        <row r="3408">
          <cell r="F3408">
            <v>306330</v>
          </cell>
          <cell r="G3408" t="str">
            <v>Maria Andree Gonzalez</v>
          </cell>
        </row>
        <row r="3409">
          <cell r="F3409">
            <v>307198</v>
          </cell>
          <cell r="G3409" t="str">
            <v>Maria Gabriela Coloma Morales</v>
          </cell>
        </row>
        <row r="3410">
          <cell r="F3410">
            <v>307786</v>
          </cell>
          <cell r="G3410" t="str">
            <v>Marvin Alfredo Asturias Mendez</v>
          </cell>
        </row>
        <row r="3411">
          <cell r="F3411">
            <v>300268</v>
          </cell>
          <cell r="G3411" t="str">
            <v>Monica Carolina Pappa Dominguez</v>
          </cell>
        </row>
        <row r="3412">
          <cell r="F3412">
            <v>313636</v>
          </cell>
          <cell r="G3412" t="str">
            <v>Pablo Cesar Oliva Lopez</v>
          </cell>
        </row>
        <row r="3413">
          <cell r="F3413">
            <v>307702</v>
          </cell>
          <cell r="G3413" t="str">
            <v>Rosmeri Elizabeth Alvarez Lopez De Corado</v>
          </cell>
        </row>
        <row r="3414">
          <cell r="F3414">
            <v>314648</v>
          </cell>
          <cell r="G3414" t="str">
            <v>Sergio Vinicio Natareno Paredes</v>
          </cell>
        </row>
        <row r="3415">
          <cell r="F3415">
            <v>309567</v>
          </cell>
          <cell r="G3415" t="str">
            <v>Sindy Elizabeth Chavez Guzman</v>
          </cell>
        </row>
        <row r="3416">
          <cell r="F3416">
            <v>313649</v>
          </cell>
          <cell r="G3416" t="str">
            <v>Victor Hugo Turriz Flores</v>
          </cell>
        </row>
        <row r="3417">
          <cell r="F3417">
            <v>302684</v>
          </cell>
          <cell r="G3417" t="str">
            <v>Ana Melisa Giron Gonzalez</v>
          </cell>
        </row>
        <row r="3418">
          <cell r="F3418">
            <v>302866</v>
          </cell>
          <cell r="G3418" t="str">
            <v>Maria Magdalena Solis Carrera</v>
          </cell>
        </row>
        <row r="3419">
          <cell r="F3419">
            <v>313111</v>
          </cell>
          <cell r="G3419" t="str">
            <v>Mynor Arturo Barrios Reyes</v>
          </cell>
        </row>
        <row r="3420">
          <cell r="F3420">
            <v>313203</v>
          </cell>
          <cell r="G3420" t="str">
            <v>Marvin Alejandro Lopez Solis</v>
          </cell>
        </row>
        <row r="3421">
          <cell r="F3421">
            <v>302596</v>
          </cell>
          <cell r="G3421" t="str">
            <v>Victor Alfonso Ortega Torres</v>
          </cell>
        </row>
        <row r="3422">
          <cell r="F3422">
            <v>310241</v>
          </cell>
          <cell r="G3422" t="str">
            <v>Heidi Marleny Fajardo Ortiz De Cojon</v>
          </cell>
        </row>
        <row r="3423">
          <cell r="F3423">
            <v>313342</v>
          </cell>
          <cell r="G3423" t="str">
            <v>Magda Karina Mendoza Hernandez</v>
          </cell>
        </row>
        <row r="3424">
          <cell r="F3424">
            <v>301234</v>
          </cell>
          <cell r="G3424" t="str">
            <v>Ana Bertha Guzman Yaggi</v>
          </cell>
        </row>
        <row r="3425">
          <cell r="F3425">
            <v>307154</v>
          </cell>
          <cell r="G3425" t="str">
            <v>Evelin Gicela Burgos Franco</v>
          </cell>
        </row>
        <row r="3426">
          <cell r="F3426">
            <v>305181</v>
          </cell>
          <cell r="G3426" t="str">
            <v>Jose Luis Chay Machic</v>
          </cell>
        </row>
        <row r="3427">
          <cell r="F3427">
            <v>303552</v>
          </cell>
          <cell r="G3427" t="str">
            <v>Liliam Lisseth Santizo Mejia De Cordova</v>
          </cell>
        </row>
        <row r="3428">
          <cell r="F3428">
            <v>303704</v>
          </cell>
          <cell r="G3428" t="str">
            <v>Lisbeth Noemi Hernandez Giron</v>
          </cell>
        </row>
        <row r="3429">
          <cell r="F3429">
            <v>102171</v>
          </cell>
          <cell r="G3429" t="str">
            <v>Maritza Isabel Hernandez Cruz</v>
          </cell>
        </row>
        <row r="3430">
          <cell r="F3430">
            <v>310126</v>
          </cell>
          <cell r="G3430" t="str">
            <v>Jony Estuardo Gamarro Chinchilla</v>
          </cell>
        </row>
        <row r="3431">
          <cell r="F3431">
            <v>307812</v>
          </cell>
          <cell r="G3431" t="str">
            <v>Kevin Josue Moscoso Espino</v>
          </cell>
        </row>
        <row r="3432">
          <cell r="F3432">
            <v>308137</v>
          </cell>
          <cell r="G3432" t="str">
            <v>Oscar Rene Zacarias Jordan</v>
          </cell>
        </row>
        <row r="3433">
          <cell r="F3433">
            <v>311466</v>
          </cell>
          <cell r="G3433" t="str">
            <v>Edgar Estuardo Guerra Romero</v>
          </cell>
        </row>
        <row r="3434">
          <cell r="F3434">
            <v>301374</v>
          </cell>
          <cell r="G3434" t="str">
            <v>Karla Paola Martinez Salazar</v>
          </cell>
        </row>
        <row r="3435">
          <cell r="F3435">
            <v>313446</v>
          </cell>
          <cell r="G3435" t="str">
            <v>Ursula Deyanira Molina Mendoza</v>
          </cell>
        </row>
        <row r="3436">
          <cell r="F3436">
            <v>313780</v>
          </cell>
          <cell r="G3436" t="str">
            <v>Habraham Cesar Torres Alfaro</v>
          </cell>
        </row>
        <row r="3437">
          <cell r="F3437">
            <v>313576</v>
          </cell>
          <cell r="G3437" t="str">
            <v>Hilda Janina Diaz</v>
          </cell>
        </row>
        <row r="3438">
          <cell r="F3438">
            <v>314171</v>
          </cell>
          <cell r="G3438" t="str">
            <v>Jose Alejandro Carrera Tecun</v>
          </cell>
        </row>
        <row r="3439">
          <cell r="F3439">
            <v>313022</v>
          </cell>
          <cell r="G3439" t="str">
            <v>Karim Yaneth Mendez Hidalgo</v>
          </cell>
        </row>
        <row r="3440">
          <cell r="F3440">
            <v>313141</v>
          </cell>
          <cell r="G3440" t="str">
            <v>Edith Carolina Rojas Moreno</v>
          </cell>
        </row>
        <row r="3441">
          <cell r="F3441">
            <v>312615</v>
          </cell>
          <cell r="G3441" t="str">
            <v>Juan Jose Sarceño Siquiej</v>
          </cell>
        </row>
        <row r="3442">
          <cell r="F3442">
            <v>312858</v>
          </cell>
          <cell r="G3442" t="str">
            <v>Juan Pablo Marroquin Franco</v>
          </cell>
        </row>
        <row r="3443">
          <cell r="F3443">
            <v>314739</v>
          </cell>
          <cell r="G3443" t="str">
            <v>Elmer Josue Chinchilla Mendoza</v>
          </cell>
        </row>
        <row r="3444">
          <cell r="F3444">
            <v>315299</v>
          </cell>
          <cell r="G3444" t="str">
            <v>Luis Rodrigo Polanco Marroquin</v>
          </cell>
        </row>
        <row r="3445">
          <cell r="F3445">
            <v>315357</v>
          </cell>
          <cell r="G3445" t="str">
            <v>Linda Garcia          </v>
          </cell>
        </row>
        <row r="3446">
          <cell r="F3446">
            <v>315315</v>
          </cell>
          <cell r="G3446" t="str">
            <v xml:space="preserve">Shirley Guadalupe Munguia Gil </v>
          </cell>
        </row>
        <row r="3447">
          <cell r="F3447">
            <v>315477</v>
          </cell>
          <cell r="G3447" t="str">
            <v xml:space="preserve">Yesenia Guadalupe Ajcu Castillo </v>
          </cell>
        </row>
        <row r="3448">
          <cell r="F3448">
            <v>314170</v>
          </cell>
          <cell r="G3448" t="str">
            <v>Herman Gabriel Mendez Castellanos</v>
          </cell>
        </row>
        <row r="3449">
          <cell r="F3449">
            <v>312053</v>
          </cell>
          <cell r="G3449" t="str">
            <v xml:space="preserve"> Erick Estuardo Gonzalez Culajay</v>
          </cell>
        </row>
        <row r="3450">
          <cell r="F3450">
            <v>309795</v>
          </cell>
          <cell r="G3450" t="str">
            <v xml:space="preserve"> Evelin Johana Perez Fajardo De Estayul</v>
          </cell>
        </row>
        <row r="3451">
          <cell r="F3451">
            <v>308490</v>
          </cell>
          <cell r="G3451" t="str">
            <v xml:space="preserve"> Gabriela Poitan Ordoñez De Garcia</v>
          </cell>
        </row>
        <row r="3452">
          <cell r="F3452">
            <v>311663</v>
          </cell>
          <cell r="G3452" t="str">
            <v xml:space="preserve"> Jenny Betzabel Solis De Hernandez</v>
          </cell>
        </row>
        <row r="3453">
          <cell r="F3453">
            <v>300878</v>
          </cell>
          <cell r="G3453" t="str">
            <v xml:space="preserve"> Juan Francisco Lara Villavicencio</v>
          </cell>
        </row>
        <row r="3454">
          <cell r="F3454">
            <v>311195</v>
          </cell>
          <cell r="G3454" t="str">
            <v xml:space="preserve"> Julia Mariela Lourdette Gonzalez Rosales</v>
          </cell>
        </row>
        <row r="3455">
          <cell r="F3455">
            <v>311073</v>
          </cell>
          <cell r="G3455" t="str">
            <v xml:space="preserve"> Julio Roberto Castellanos Ordoñez</v>
          </cell>
        </row>
        <row r="3456">
          <cell r="F3456">
            <v>309602</v>
          </cell>
          <cell r="G3456" t="str">
            <v xml:space="preserve"> Linda Aracely Garcia Beteta De Cuxulic</v>
          </cell>
        </row>
        <row r="3457">
          <cell r="F3457">
            <v>311706</v>
          </cell>
          <cell r="G3457" t="str">
            <v xml:space="preserve"> Mailyn Anely Chavez Gonzalez</v>
          </cell>
        </row>
        <row r="3458">
          <cell r="F3458">
            <v>311347</v>
          </cell>
          <cell r="G3458" t="str">
            <v xml:space="preserve"> Mario Adolfo Telon Pedroza</v>
          </cell>
        </row>
        <row r="3459">
          <cell r="F3459">
            <v>311236</v>
          </cell>
          <cell r="G3459" t="str">
            <v xml:space="preserve"> Marlon Aroldo De Leon Juarez</v>
          </cell>
        </row>
        <row r="3460">
          <cell r="F3460">
            <v>304620</v>
          </cell>
          <cell r="G3460" t="str">
            <v xml:space="preserve"> Mayra Judith Marroquin Guevara De Melendez</v>
          </cell>
        </row>
        <row r="3461">
          <cell r="F3461">
            <v>311196</v>
          </cell>
          <cell r="G3461" t="str">
            <v xml:space="preserve"> Nancy Mariela Estrada Calel De Samayoa</v>
          </cell>
        </row>
        <row r="3462">
          <cell r="F3462">
            <v>309398</v>
          </cell>
          <cell r="G3462" t="str">
            <v xml:space="preserve"> Sindy Yesenia Fuentes Alvarez De Flores</v>
          </cell>
        </row>
        <row r="3463">
          <cell r="F3463">
            <v>311588</v>
          </cell>
          <cell r="G3463" t="str">
            <v xml:space="preserve"> Wendy Carolina Flores Garcia</v>
          </cell>
        </row>
        <row r="3464">
          <cell r="F3464">
            <v>313885</v>
          </cell>
          <cell r="G3464" t="str">
            <v>Adrian Emanuel Turcios Azurdia</v>
          </cell>
        </row>
        <row r="3465">
          <cell r="F3465">
            <v>314224</v>
          </cell>
          <cell r="G3465" t="str">
            <v>Ana Ruth Wong Mejia</v>
          </cell>
        </row>
        <row r="3466">
          <cell r="F3466">
            <v>314304</v>
          </cell>
          <cell r="G3466" t="str">
            <v>Brenda Yaneth Perez Lucas</v>
          </cell>
        </row>
        <row r="3467">
          <cell r="F3467">
            <v>313839</v>
          </cell>
          <cell r="G3467" t="str">
            <v>Carlos Enrique Dighero Lopez</v>
          </cell>
        </row>
        <row r="3468">
          <cell r="F3468">
            <v>311901</v>
          </cell>
          <cell r="G3468" t="str">
            <v>Edith Veranice Palacios</v>
          </cell>
        </row>
        <row r="3469">
          <cell r="F3469">
            <v>314439</v>
          </cell>
          <cell r="G3469" t="str">
            <v>Hersson Eduardo Leal Garcia</v>
          </cell>
        </row>
        <row r="3470">
          <cell r="F3470">
            <v>313884</v>
          </cell>
          <cell r="G3470" t="str">
            <v>Jasminia Sarai Cotzajay Peñate</v>
          </cell>
        </row>
        <row r="3471">
          <cell r="F3471">
            <v>309852</v>
          </cell>
          <cell r="G3471" t="str">
            <v>Jonathan Rene Villavicencio Soto</v>
          </cell>
        </row>
        <row r="3472">
          <cell r="F3472">
            <v>312709</v>
          </cell>
          <cell r="G3472" t="str">
            <v>Jorge Alfonso Hernandez Chinchilla</v>
          </cell>
        </row>
        <row r="3473">
          <cell r="F3473">
            <v>314436</v>
          </cell>
          <cell r="G3473" t="str">
            <v xml:space="preserve">Jorge Francisco Saban Lopez </v>
          </cell>
        </row>
        <row r="3474">
          <cell r="F3474">
            <v>313114</v>
          </cell>
          <cell r="G3474" t="str">
            <v xml:space="preserve">Jose Albino Albeño Galicia </v>
          </cell>
        </row>
        <row r="3475">
          <cell r="F3475">
            <v>308558</v>
          </cell>
          <cell r="G3475" t="str">
            <v>Jose Emilio Yuman Roche</v>
          </cell>
        </row>
        <row r="3476">
          <cell r="F3476">
            <v>313233</v>
          </cell>
          <cell r="G3476" t="str">
            <v>Jose Miguel Silva Contreras</v>
          </cell>
        </row>
        <row r="3477">
          <cell r="F3477">
            <v>313739</v>
          </cell>
          <cell r="G3477" t="str">
            <v>Lester Onelio Lopez Rosales</v>
          </cell>
        </row>
        <row r="3478">
          <cell r="F3478">
            <v>315361</v>
          </cell>
          <cell r="G3478" t="str">
            <v>Luis Fernando Roche Valenzuela</v>
          </cell>
        </row>
        <row r="3479">
          <cell r="F3479">
            <v>314103</v>
          </cell>
          <cell r="G3479" t="str">
            <v>Luisa Fernanda Marroquin Tiguila</v>
          </cell>
        </row>
        <row r="3480">
          <cell r="F3480">
            <v>313680</v>
          </cell>
          <cell r="G3480" t="str">
            <v>Marco Antonio Salazar Alinzo</v>
          </cell>
        </row>
        <row r="3481">
          <cell r="F3481">
            <v>314359</v>
          </cell>
          <cell r="G3481" t="str">
            <v>Maynor Alexander Perez Surque</v>
          </cell>
        </row>
        <row r="3482">
          <cell r="F3482">
            <v>309332</v>
          </cell>
          <cell r="G3482" t="str">
            <v>Melani Mishell Vasquez Castillo</v>
          </cell>
        </row>
        <row r="3483">
          <cell r="F3483">
            <v>314547</v>
          </cell>
          <cell r="G3483" t="str">
            <v>Nancy Elizabeth Lopez Perez</v>
          </cell>
        </row>
        <row r="3484">
          <cell r="F3484">
            <v>314370</v>
          </cell>
          <cell r="G3484" t="str">
            <v>Olga Roxana Gomez</v>
          </cell>
        </row>
        <row r="3485">
          <cell r="F3485">
            <v>315419</v>
          </cell>
          <cell r="G3485" t="str">
            <v>Rubeldi Ajaniel Roblero Gonzales</v>
          </cell>
        </row>
        <row r="3486">
          <cell r="F3486">
            <v>314769</v>
          </cell>
          <cell r="G3486" t="str">
            <v>Abel Eduardo Lopez Lopez</v>
          </cell>
        </row>
        <row r="3487">
          <cell r="F3487">
            <v>314839</v>
          </cell>
          <cell r="G3487" t="str">
            <v>Ana Gabriela Samayoa Lopez</v>
          </cell>
        </row>
        <row r="3488">
          <cell r="F3488">
            <v>315422</v>
          </cell>
          <cell r="G3488" t="str">
            <v xml:space="preserve">Carlos Alberto Roque </v>
          </cell>
        </row>
        <row r="3489">
          <cell r="F3489">
            <v>314836</v>
          </cell>
          <cell r="G3489" t="str">
            <v xml:space="preserve">Carlos David Ajmac </v>
          </cell>
        </row>
        <row r="3490">
          <cell r="F3490">
            <v>314759</v>
          </cell>
          <cell r="G3490" t="str">
            <v>Carlos Roberto Hernandez Gonzalez</v>
          </cell>
        </row>
        <row r="3491">
          <cell r="F3491">
            <v>314757</v>
          </cell>
          <cell r="G3491" t="str">
            <v>Cristal Estephania Juarroz Muñoz</v>
          </cell>
        </row>
        <row r="3492">
          <cell r="F3492">
            <v>314817</v>
          </cell>
          <cell r="G3492" t="str">
            <v>Cristian Orlando Monzon De Leon</v>
          </cell>
        </row>
        <row r="3493">
          <cell r="F3493">
            <v>314815</v>
          </cell>
          <cell r="G3493" t="str">
            <v>Gabriela Elizabeth Alvarez Mix</v>
          </cell>
        </row>
        <row r="3494">
          <cell r="F3494">
            <v>315421</v>
          </cell>
          <cell r="G3494" t="str">
            <v xml:space="preserve">Gladis Morales Cutzal </v>
          </cell>
        </row>
        <row r="3495">
          <cell r="F3495">
            <v>314794</v>
          </cell>
          <cell r="G3495" t="str">
            <v>Herbert Wellington Rodriguez Ramirez</v>
          </cell>
        </row>
        <row r="3496">
          <cell r="F3496">
            <v>314760</v>
          </cell>
          <cell r="G3496" t="str">
            <v>Jadurani Devi Dasi Archila Lool</v>
          </cell>
        </row>
        <row r="3497">
          <cell r="F3497">
            <v>314838</v>
          </cell>
          <cell r="G3497" t="str">
            <v>Jenifer Lucerito Sique Mayorga</v>
          </cell>
        </row>
        <row r="3498">
          <cell r="F3498">
            <v>314790</v>
          </cell>
          <cell r="G3498" t="str">
            <v>Johana Vidalia Chach Ixcoy</v>
          </cell>
        </row>
        <row r="3499">
          <cell r="F3499">
            <v>314846</v>
          </cell>
          <cell r="G3499" t="str">
            <v>Jonnathan Josue Rodas Florian</v>
          </cell>
        </row>
        <row r="3500">
          <cell r="F3500">
            <v>314761</v>
          </cell>
          <cell r="G3500" t="str">
            <v>Jorge Eduardo Fonseca Palacios</v>
          </cell>
        </row>
        <row r="3501">
          <cell r="F3501">
            <v>314842</v>
          </cell>
          <cell r="G3501" t="str">
            <v>Jose Geovanni Castañeda Galindo</v>
          </cell>
        </row>
        <row r="3502">
          <cell r="F3502">
            <v>314756</v>
          </cell>
          <cell r="G3502" t="str">
            <v>Juan Manuel Gomez Sampuel</v>
          </cell>
        </row>
        <row r="3503">
          <cell r="F3503">
            <v>315366</v>
          </cell>
          <cell r="G3503" t="str">
            <v xml:space="preserve">Mario Enrique Morales Escobar </v>
          </cell>
        </row>
        <row r="3504">
          <cell r="F3504">
            <v>315392</v>
          </cell>
          <cell r="G3504" t="str">
            <v xml:space="preserve">Mijail Erick Joaquín Morales Ortiz </v>
          </cell>
        </row>
        <row r="3505">
          <cell r="F3505">
            <v>314843</v>
          </cell>
          <cell r="G3505" t="str">
            <v>Nancy Pahola Arevalo Yuman</v>
          </cell>
        </row>
        <row r="3506">
          <cell r="F3506">
            <v>314791</v>
          </cell>
          <cell r="G3506" t="str">
            <v>Norman Scott Castillo Rivera</v>
          </cell>
        </row>
        <row r="3507">
          <cell r="F3507">
            <v>314799</v>
          </cell>
          <cell r="G3507" t="str">
            <v>Rusbelindo  Miguel Lopez</v>
          </cell>
        </row>
        <row r="3508">
          <cell r="F3508">
            <v>314751</v>
          </cell>
          <cell r="G3508" t="str">
            <v>Ana Lucia Veliz Solares</v>
          </cell>
        </row>
        <row r="3509">
          <cell r="F3509">
            <v>315169</v>
          </cell>
          <cell r="G3509" t="str">
            <v>Andy Oswaldo Pineda Arriola</v>
          </cell>
        </row>
        <row r="3510">
          <cell r="F3510">
            <v>314903</v>
          </cell>
          <cell r="G3510" t="str">
            <v>Cindy Julissa Herrera</v>
          </cell>
        </row>
        <row r="3511">
          <cell r="F3511">
            <v>314800</v>
          </cell>
          <cell r="G3511" t="str">
            <v>Elmer Eduardo Castillo</v>
          </cell>
        </row>
        <row r="3512">
          <cell r="F3512">
            <v>314748</v>
          </cell>
          <cell r="G3512" t="str">
            <v>Freddy Reynaldo Velarde Valenzuela</v>
          </cell>
        </row>
        <row r="3513">
          <cell r="F3513">
            <v>314795</v>
          </cell>
          <cell r="G3513" t="str">
            <v>Gustavo Ernesto Altan Gonzalez</v>
          </cell>
        </row>
        <row r="3514">
          <cell r="F3514">
            <v>315148</v>
          </cell>
          <cell r="G3514" t="str">
            <v>Irene Beatriz Pena Orellana</v>
          </cell>
        </row>
        <row r="3515">
          <cell r="F3515">
            <v>314906</v>
          </cell>
          <cell r="G3515" t="str">
            <v>Juan Pedro Tiney Cax</v>
          </cell>
        </row>
        <row r="3516">
          <cell r="F3516">
            <v>315322</v>
          </cell>
          <cell r="G3516" t="str">
            <v>Lester Juan Jose Arevalo Reynoso</v>
          </cell>
        </row>
        <row r="3517">
          <cell r="F3517">
            <v>315368</v>
          </cell>
          <cell r="G3517" t="str">
            <v>Marlon Enrique Del Cid Roque</v>
          </cell>
        </row>
        <row r="3518">
          <cell r="F3518">
            <v>315093</v>
          </cell>
          <cell r="G3518" t="str">
            <v>Miriam Eugenia Santizo Montenegro</v>
          </cell>
        </row>
        <row r="3519">
          <cell r="F3519">
            <v>314902</v>
          </cell>
          <cell r="G3519" t="str">
            <v>Roberto Alejandro Alvarez Abularach</v>
          </cell>
        </row>
        <row r="3520">
          <cell r="F3520">
            <v>314755</v>
          </cell>
          <cell r="G3520" t="str">
            <v>Sergio David Gonzalez Perez</v>
          </cell>
        </row>
        <row r="3521">
          <cell r="F3521">
            <v>314967</v>
          </cell>
          <cell r="G3521" t="str">
            <v>Sergio Javier Cortez Tunchez</v>
          </cell>
        </row>
        <row r="3522">
          <cell r="F3522">
            <v>314968</v>
          </cell>
          <cell r="G3522" t="str">
            <v>Sharon Dayana Ninoshka López Márquez</v>
          </cell>
        </row>
        <row r="3523">
          <cell r="F3523">
            <v>311961</v>
          </cell>
          <cell r="G3523" t="str">
            <v xml:space="preserve"> Abner Eli Gonzalez Gonzalez</v>
          </cell>
        </row>
        <row r="3524">
          <cell r="F3524">
            <v>311188</v>
          </cell>
          <cell r="G3524" t="str">
            <v xml:space="preserve"> Ana Ester Cuyan Aguilar De Dominguez</v>
          </cell>
        </row>
        <row r="3525">
          <cell r="F3525">
            <v>311894</v>
          </cell>
          <cell r="G3525" t="str">
            <v xml:space="preserve"> Christyan Stuardo Ronquillo Saravia</v>
          </cell>
        </row>
        <row r="3526">
          <cell r="F3526">
            <v>308901</v>
          </cell>
          <cell r="G3526" t="str">
            <v xml:space="preserve"> David Estuardo Rosales Corado</v>
          </cell>
        </row>
        <row r="3527">
          <cell r="F3527">
            <v>312069</v>
          </cell>
          <cell r="G3527" t="str">
            <v xml:space="preserve"> De Leon Cach Roberto Carlos</v>
          </cell>
        </row>
        <row r="3528">
          <cell r="F3528">
            <v>310331</v>
          </cell>
          <cell r="G3528" t="str">
            <v xml:space="preserve"> Elda Luzbina Valdez Guerra De Fuentes</v>
          </cell>
        </row>
        <row r="3529">
          <cell r="F3529">
            <v>310822</v>
          </cell>
          <cell r="G3529" t="str">
            <v xml:space="preserve"> Jennifer Leticia Gonzalez Pineda</v>
          </cell>
        </row>
        <row r="3530">
          <cell r="F3530">
            <v>308012</v>
          </cell>
          <cell r="G3530" t="str">
            <v xml:space="preserve"> Jocelyn Sucel Yantuche Chin</v>
          </cell>
        </row>
        <row r="3531">
          <cell r="F3531">
            <v>312160</v>
          </cell>
          <cell r="G3531" t="str">
            <v xml:space="preserve"> Jose Rigoberto Osorio Abarca</v>
          </cell>
        </row>
        <row r="3532">
          <cell r="F3532">
            <v>311465</v>
          </cell>
          <cell r="G3532" t="str">
            <v xml:space="preserve"> Kevin Alejandro Corado Estrada</v>
          </cell>
        </row>
        <row r="3533">
          <cell r="F3533">
            <v>311294</v>
          </cell>
          <cell r="G3533" t="str">
            <v xml:space="preserve"> Lotar Robson Araujo Perez</v>
          </cell>
        </row>
        <row r="3534">
          <cell r="F3534">
            <v>310910</v>
          </cell>
          <cell r="G3534" t="str">
            <v xml:space="preserve"> Luis Fernando Lopez Vasquez</v>
          </cell>
        </row>
        <row r="3535">
          <cell r="F3535">
            <v>304279</v>
          </cell>
          <cell r="G3535" t="str">
            <v xml:space="preserve"> Marlon Estuardo Hernandez</v>
          </cell>
        </row>
        <row r="3536">
          <cell r="F3536">
            <v>308911</v>
          </cell>
          <cell r="G3536" t="str">
            <v xml:space="preserve"> Rudy Fernando Orozco Tejeda</v>
          </cell>
        </row>
        <row r="3537">
          <cell r="F3537">
            <v>310214</v>
          </cell>
          <cell r="G3537" t="str">
            <v xml:space="preserve"> Vivian Pamela Rodas Lopez</v>
          </cell>
        </row>
        <row r="3538">
          <cell r="F3538">
            <v>314928</v>
          </cell>
          <cell r="G3538" t="str">
            <v xml:space="preserve">
Brandon Steve Juarez Arrazola </v>
          </cell>
        </row>
        <row r="3539">
          <cell r="F3539">
            <v>313239</v>
          </cell>
          <cell r="G3539" t="str">
            <v>Addy Aida Cifuentes Coronado</v>
          </cell>
        </row>
        <row r="3540">
          <cell r="F3540">
            <v>313694</v>
          </cell>
          <cell r="G3540" t="str">
            <v>Alex Humberto Montezuma</v>
          </cell>
        </row>
        <row r="3541">
          <cell r="F3541">
            <v>313241</v>
          </cell>
          <cell r="G3541" t="str">
            <v>Angel Arturo Mauricio Ayapan</v>
          </cell>
        </row>
        <row r="3542">
          <cell r="F3542">
            <v>314323</v>
          </cell>
          <cell r="G3542" t="str">
            <v>Angel Arturo Mauricio Ayapan</v>
          </cell>
        </row>
        <row r="3543">
          <cell r="F3543">
            <v>312327</v>
          </cell>
          <cell r="G3543" t="str">
            <v>Armando Andree Quiñonez Flores</v>
          </cell>
        </row>
        <row r="3544">
          <cell r="F3544">
            <v>313749</v>
          </cell>
          <cell r="G3544" t="str">
            <v>Cesar Haroldo Ixcayau Castro</v>
          </cell>
        </row>
        <row r="3545">
          <cell r="F3545">
            <v>313840</v>
          </cell>
          <cell r="G3545" t="str">
            <v>Claudia Maria Orozco Garcia</v>
          </cell>
        </row>
        <row r="3546">
          <cell r="F3546">
            <v>314119</v>
          </cell>
          <cell r="G3546" t="str">
            <v>Cristian David Urizar Canteo</v>
          </cell>
        </row>
        <row r="3547">
          <cell r="F3547">
            <v>313242</v>
          </cell>
          <cell r="G3547" t="str">
            <v>Guillermo Alejandro Pirir</v>
          </cell>
        </row>
        <row r="3548">
          <cell r="F3548">
            <v>313539</v>
          </cell>
          <cell r="G3548" t="str">
            <v>Joaquin Alonso Murillo Perez</v>
          </cell>
        </row>
        <row r="3549">
          <cell r="F3549">
            <v>314082</v>
          </cell>
          <cell r="G3549" t="str">
            <v>Johanna Amarilis Hernandez Perez</v>
          </cell>
        </row>
        <row r="3550">
          <cell r="F3550">
            <v>313983</v>
          </cell>
          <cell r="G3550" t="str">
            <v>Jose Anibal Reyes Sandoval</v>
          </cell>
        </row>
        <row r="3551">
          <cell r="F3551">
            <v>308875</v>
          </cell>
          <cell r="G3551" t="str">
            <v>Joselyn Manuela Sandoval De Leon</v>
          </cell>
        </row>
        <row r="3552">
          <cell r="F3552">
            <v>313240</v>
          </cell>
          <cell r="G3552" t="str">
            <v>Karen Jamara Luna Menendez</v>
          </cell>
        </row>
        <row r="3553">
          <cell r="F3553">
            <v>314083</v>
          </cell>
          <cell r="G3553" t="str">
            <v>Luis Alfredo Ruben Castillo Mejia</v>
          </cell>
        </row>
        <row r="3554">
          <cell r="F3554">
            <v>312489</v>
          </cell>
          <cell r="G3554" t="str">
            <v>Marliz Irene Bonifaz Lopez</v>
          </cell>
        </row>
        <row r="3555">
          <cell r="F3555">
            <v>313823</v>
          </cell>
          <cell r="G3555" t="str">
            <v>Mildred Mazciel Almazan Lemus Codigo</v>
          </cell>
        </row>
        <row r="3556">
          <cell r="F3556">
            <v>313289</v>
          </cell>
          <cell r="G3556" t="str">
            <v>Orellana Alvarez, Nestor Giovanni</v>
          </cell>
        </row>
        <row r="3557">
          <cell r="F3557">
            <v>312476</v>
          </cell>
          <cell r="G3557" t="str">
            <v>Oscar Oswaldo Ramirez Tahuite</v>
          </cell>
        </row>
        <row r="3558">
          <cell r="F3558">
            <v>313392</v>
          </cell>
          <cell r="G3558" t="str">
            <v>Sandra Marisol Ramirez Solis</v>
          </cell>
        </row>
        <row r="3559">
          <cell r="F3559">
            <v>315101</v>
          </cell>
          <cell r="G3559" t="str">
            <v>Alvaro Oswaldo De La Rosa Hernandez</v>
          </cell>
        </row>
        <row r="3560">
          <cell r="F3560">
            <v>314905</v>
          </cell>
          <cell r="G3560" t="str">
            <v>Antonio Carlos Alvarenga Diaz</v>
          </cell>
        </row>
        <row r="3561">
          <cell r="F3561">
            <v>314885</v>
          </cell>
          <cell r="G3561" t="str">
            <v>Edi Ibander Osoy Lopez</v>
          </cell>
        </row>
        <row r="3562">
          <cell r="F3562">
            <v>314750</v>
          </cell>
          <cell r="G3562" t="str">
            <v>Eswin Leonel Fernandez Diaz</v>
          </cell>
        </row>
        <row r="3563">
          <cell r="F3563">
            <v>314753</v>
          </cell>
          <cell r="G3563" t="str">
            <v>Gabriel Antonio Mucur Arriaga</v>
          </cell>
        </row>
        <row r="3564">
          <cell r="F3564">
            <v>315318</v>
          </cell>
          <cell r="G3564" t="str">
            <v>Gabriela Melissa Arias Ovando</v>
          </cell>
        </row>
        <row r="3565">
          <cell r="F3565">
            <v>315164</v>
          </cell>
          <cell r="G3565" t="str">
            <v>Hernan Antonio Castro Guzman</v>
          </cell>
        </row>
        <row r="3566">
          <cell r="F3566">
            <v>315149</v>
          </cell>
          <cell r="G3566" t="str">
            <v>Jennifer Karla Maria De Leon Yoc</v>
          </cell>
        </row>
        <row r="3567">
          <cell r="F3567">
            <v>315065</v>
          </cell>
          <cell r="G3567" t="str">
            <v>Jennifer Veronica Flores Pineda</v>
          </cell>
        </row>
        <row r="3568">
          <cell r="F3568">
            <v>314797</v>
          </cell>
          <cell r="G3568" t="str">
            <v>Jimmy Alfredo Coronado Cabrera</v>
          </cell>
        </row>
        <row r="3569">
          <cell r="F3569">
            <v>314746</v>
          </cell>
          <cell r="G3569" t="str">
            <v>Jose Luis Quisquinay Inay</v>
          </cell>
        </row>
        <row r="3570">
          <cell r="F3570">
            <v>315231</v>
          </cell>
          <cell r="G3570" t="str">
            <v>Juan Fernando Alvarez Argueta</v>
          </cell>
        </row>
        <row r="3571">
          <cell r="F3571">
            <v>314752</v>
          </cell>
          <cell r="G3571" t="str">
            <v>Luis Arturo Fuentes Jerez</v>
          </cell>
        </row>
        <row r="3572">
          <cell r="F3572">
            <v>314990</v>
          </cell>
          <cell r="G3572" t="str">
            <v>Maria Fernanda Ambrocio Reyes</v>
          </cell>
        </row>
        <row r="3573">
          <cell r="F3573">
            <v>314966</v>
          </cell>
          <cell r="G3573" t="str">
            <v>Marlin Argelia Herrera Claveria</v>
          </cell>
        </row>
        <row r="3574">
          <cell r="F3574">
            <v>314904</v>
          </cell>
          <cell r="G3574" t="str">
            <v>Miguel Estuardo Marín</v>
          </cell>
        </row>
        <row r="3575">
          <cell r="F3575">
            <v>314796</v>
          </cell>
          <cell r="G3575" t="str">
            <v>Ricardo Antonio Ruiz Orozco</v>
          </cell>
        </row>
        <row r="3576">
          <cell r="F3576">
            <v>315365</v>
          </cell>
          <cell r="G3576" t="str">
            <v>Ruth Liliana Reyes Rivas</v>
          </cell>
        </row>
        <row r="3577">
          <cell r="F3577">
            <v>314758</v>
          </cell>
          <cell r="G3577" t="str">
            <v>Sergio Alejandro Estrada Velasco</v>
          </cell>
        </row>
        <row r="3578">
          <cell r="F3578">
            <v>312045</v>
          </cell>
          <cell r="G3578" t="str">
            <v xml:space="preserve"> Edgar Marco Tulio Sanchez Ochoa</v>
          </cell>
        </row>
        <row r="3579">
          <cell r="F3579">
            <v>309496</v>
          </cell>
          <cell r="G3579" t="str">
            <v xml:space="preserve"> Elcira Livduvina Perez Lopez De Merlos</v>
          </cell>
        </row>
        <row r="3580">
          <cell r="F3580">
            <v>311750</v>
          </cell>
          <cell r="G3580" t="str">
            <v xml:space="preserve"> Juan Toma Torrez</v>
          </cell>
        </row>
        <row r="3581">
          <cell r="F3581">
            <v>311539</v>
          </cell>
          <cell r="G3581" t="str">
            <v xml:space="preserve"> Luis Eduardo Garcia Gomez</v>
          </cell>
        </row>
        <row r="3582">
          <cell r="F3582">
            <v>311898</v>
          </cell>
          <cell r="G3582" t="str">
            <v xml:space="preserve"> Nori Liseth Bautista</v>
          </cell>
        </row>
        <row r="3583">
          <cell r="F3583">
            <v>312283</v>
          </cell>
          <cell r="G3583" t="str">
            <v xml:space="preserve"> Oscar Javier Galvez</v>
          </cell>
        </row>
        <row r="3584">
          <cell r="F3584">
            <v>311190</v>
          </cell>
          <cell r="G3584" t="str">
            <v xml:space="preserve"> Pedro Chas Morales</v>
          </cell>
        </row>
        <row r="3585">
          <cell r="F3585">
            <v>311632</v>
          </cell>
          <cell r="G3585" t="str">
            <v>Virginia Del Rosario Matilde Garcia Ico</v>
          </cell>
        </row>
        <row r="3586">
          <cell r="F3586">
            <v>311906</v>
          </cell>
          <cell r="G3586" t="str">
            <v xml:space="preserve"> Yenifer Alejandra Ordoñez</v>
          </cell>
        </row>
        <row r="3587">
          <cell r="F3587">
            <v>314705</v>
          </cell>
          <cell r="G3587" t="str">
            <v>Alex Eduardo Gil Paniagua</v>
          </cell>
        </row>
        <row r="3588">
          <cell r="F3588">
            <v>313182</v>
          </cell>
          <cell r="G3588" t="str">
            <v>Allan Kenneth Chiguichon Solis</v>
          </cell>
        </row>
        <row r="3589">
          <cell r="F3589">
            <v>314363</v>
          </cell>
          <cell r="G3589" t="str">
            <v xml:space="preserve">Anderson Noe Chunix Morales </v>
          </cell>
        </row>
        <row r="3590">
          <cell r="F3590">
            <v>314241</v>
          </cell>
          <cell r="G3590" t="str">
            <v>Andres Simon Sunun</v>
          </cell>
        </row>
        <row r="3591">
          <cell r="F3591">
            <v>309341</v>
          </cell>
          <cell r="G3591" t="str">
            <v>Angel Estuardo Perez Veliz</v>
          </cell>
        </row>
        <row r="3592">
          <cell r="F3592">
            <v>312093</v>
          </cell>
          <cell r="G3592" t="str">
            <v xml:space="preserve">Bobadilla Romero Alan Gonzalo </v>
          </cell>
        </row>
        <row r="3593">
          <cell r="F3593">
            <v>314080</v>
          </cell>
          <cell r="G3593" t="str">
            <v>Bryan Leonardo Lopez</v>
          </cell>
        </row>
        <row r="3594">
          <cell r="F3594">
            <v>314704</v>
          </cell>
          <cell r="G3594" t="str">
            <v xml:space="preserve">Cindy Damaris Villagran Castellano </v>
          </cell>
        </row>
        <row r="3595">
          <cell r="F3595">
            <v>314085</v>
          </cell>
          <cell r="G3595" t="str">
            <v>Cristian Ottoniel Lopez Alvarado</v>
          </cell>
        </row>
        <row r="3596">
          <cell r="F3596">
            <v>314364</v>
          </cell>
          <cell r="G3596" t="str">
            <v xml:space="preserve">Donel Omar Landaverry Solis </v>
          </cell>
        </row>
        <row r="3597">
          <cell r="F3597">
            <v>313373</v>
          </cell>
          <cell r="G3597" t="str">
            <v>Edgar Francisco Yanes Carrera</v>
          </cell>
        </row>
        <row r="3598">
          <cell r="F3598">
            <v>315056</v>
          </cell>
          <cell r="G3598" t="str">
            <v>Esvin David De Jesus Calanche</v>
          </cell>
        </row>
        <row r="3599">
          <cell r="F3599">
            <v>314118</v>
          </cell>
          <cell r="G3599" t="str">
            <v>Ginni Andrea Gramajo Lucas</v>
          </cell>
        </row>
        <row r="3600">
          <cell r="F3600">
            <v>313049</v>
          </cell>
          <cell r="G3600" t="str">
            <v>Herberth Ivan Garcia Davila</v>
          </cell>
        </row>
        <row r="3601">
          <cell r="F3601">
            <v>312162</v>
          </cell>
          <cell r="G3601" t="str">
            <v xml:space="preserve">Hernandez Andrea Yoselin Cristina </v>
          </cell>
        </row>
        <row r="3602">
          <cell r="F3602">
            <v>313692</v>
          </cell>
          <cell r="G3602" t="str">
            <v xml:space="preserve">Ingrid Leticia Paredes Pulido    </v>
          </cell>
        </row>
        <row r="3603">
          <cell r="F3603">
            <v>314500</v>
          </cell>
          <cell r="G3603" t="str">
            <v xml:space="preserve">Jairo Noel Linarez Gomez </v>
          </cell>
        </row>
        <row r="3604">
          <cell r="F3604">
            <v>312369</v>
          </cell>
          <cell r="G3604" t="str">
            <v>Jorge Luis Hernandez Juarez</v>
          </cell>
        </row>
        <row r="3605">
          <cell r="F3605">
            <v>314039</v>
          </cell>
          <cell r="G3605" t="str">
            <v>Juan Humberto Barrios Escobar</v>
          </cell>
        </row>
        <row r="3606">
          <cell r="F3606">
            <v>313540</v>
          </cell>
          <cell r="G3606" t="str">
            <v xml:space="preserve">Juan Manuel Macario Reyna </v>
          </cell>
        </row>
        <row r="3607">
          <cell r="F3607">
            <v>314355</v>
          </cell>
          <cell r="G3607" t="str">
            <v>Kevin Samuel Guamuch Guardado</v>
          </cell>
        </row>
        <row r="3608">
          <cell r="F3608">
            <v>314299</v>
          </cell>
          <cell r="G3608" t="str">
            <v>Lopez Morales, Andrea Lucia</v>
          </cell>
        </row>
        <row r="3609">
          <cell r="F3609">
            <v>314747</v>
          </cell>
          <cell r="G3609" t="str">
            <v>Mayra Azucena Perez Guzman</v>
          </cell>
        </row>
        <row r="3610">
          <cell r="F3610">
            <v>313572</v>
          </cell>
          <cell r="G3610" t="str">
            <v xml:space="preserve">Milton Hardany Dominguez Martinez </v>
          </cell>
        </row>
        <row r="3611">
          <cell r="F3611">
            <v>313541</v>
          </cell>
          <cell r="G3611" t="str">
            <v xml:space="preserve">Mirna Lorena Argueta Ayala </v>
          </cell>
        </row>
        <row r="3612">
          <cell r="F3612">
            <v>315319</v>
          </cell>
          <cell r="G3612" t="str">
            <v xml:space="preserve">Noe Rubell Garcia Cerna </v>
          </cell>
        </row>
        <row r="3613">
          <cell r="F3613">
            <v>314502</v>
          </cell>
          <cell r="G3613" t="str">
            <v>Reyna Elizabeth Panadero</v>
          </cell>
        </row>
        <row r="3614">
          <cell r="F3614">
            <v>313284</v>
          </cell>
          <cell r="G3614" t="str">
            <v>Sebastian Quino Morales</v>
          </cell>
        </row>
        <row r="3615">
          <cell r="F3615">
            <v>311460</v>
          </cell>
          <cell r="G3615" t="str">
            <v xml:space="preserve"> Ana Vilma Bamaca Cardona</v>
          </cell>
        </row>
        <row r="3616">
          <cell r="F3616">
            <v>306579</v>
          </cell>
          <cell r="G3616" t="str">
            <v xml:space="preserve"> Angel Emilio De Jesus Morales Ramirez</v>
          </cell>
        </row>
        <row r="3617">
          <cell r="F3617">
            <v>311234</v>
          </cell>
          <cell r="G3617" t="str">
            <v xml:space="preserve"> Astrid Marlene Diaz</v>
          </cell>
        </row>
        <row r="3618">
          <cell r="F3618">
            <v>308361</v>
          </cell>
          <cell r="G3618" t="str">
            <v xml:space="preserve"> Brenda Maribel Orozco Mendoza</v>
          </cell>
        </row>
        <row r="3619">
          <cell r="F3619">
            <v>311060</v>
          </cell>
          <cell r="G3619" t="str">
            <v xml:space="preserve"> Dora Lissette Higueros Trejo</v>
          </cell>
        </row>
        <row r="3620">
          <cell r="F3620">
            <v>305555</v>
          </cell>
          <cell r="G3620" t="str">
            <v xml:space="preserve"> Heber Antonio Olivares Alvarado</v>
          </cell>
        </row>
        <row r="3621">
          <cell r="F3621">
            <v>308210</v>
          </cell>
          <cell r="G3621" t="str">
            <v xml:space="preserve"> Isaias Ramirez Jimenez</v>
          </cell>
        </row>
        <row r="3622">
          <cell r="F3622">
            <v>310790</v>
          </cell>
          <cell r="G3622" t="str">
            <v xml:space="preserve"> Karina Del Rosario Castro Lopez De Guzman</v>
          </cell>
        </row>
        <row r="3623">
          <cell r="F3623">
            <v>309544</v>
          </cell>
          <cell r="G3623" t="str">
            <v xml:space="preserve"> Lorena Alexandra Lopez Yax</v>
          </cell>
        </row>
        <row r="3624">
          <cell r="F3624">
            <v>308493</v>
          </cell>
          <cell r="G3624" t="str">
            <v xml:space="preserve"> Sandra Beatriz Ardiano De Leon</v>
          </cell>
        </row>
        <row r="3625">
          <cell r="F3625">
            <v>312483</v>
          </cell>
          <cell r="G3625" t="str">
            <v>Berta Elizabeth Rodas Rosales</v>
          </cell>
        </row>
        <row r="3626">
          <cell r="F3626">
            <v>314431</v>
          </cell>
          <cell r="G3626" t="str">
            <v>Cristian Rene Contreras Sales</v>
          </cell>
        </row>
        <row r="3627">
          <cell r="F3627">
            <v>307394</v>
          </cell>
          <cell r="G3627" t="str">
            <v>Damaris Judith Rivas Benitez</v>
          </cell>
        </row>
        <row r="3628">
          <cell r="F3628">
            <v>311082</v>
          </cell>
          <cell r="G3628" t="str">
            <v>Janz Vincent Tunche</v>
          </cell>
        </row>
        <row r="3629">
          <cell r="F3629">
            <v>314301</v>
          </cell>
          <cell r="G3629" t="str">
            <v>Jose Carlos Puluc</v>
          </cell>
        </row>
        <row r="3630">
          <cell r="F3630">
            <v>308405</v>
          </cell>
          <cell r="G3630" t="str">
            <v>Juan Aquino Rac</v>
          </cell>
        </row>
        <row r="3631">
          <cell r="F3631">
            <v>312485</v>
          </cell>
          <cell r="G3631" t="str">
            <v>Juan Ramon Guerra Martinez</v>
          </cell>
        </row>
        <row r="3632">
          <cell r="F3632">
            <v>314527</v>
          </cell>
          <cell r="G3632" t="str">
            <v>Luis Fernando Rodas Pineda</v>
          </cell>
        </row>
        <row r="3633">
          <cell r="F3633">
            <v>312481</v>
          </cell>
          <cell r="G3633" t="str">
            <v>Magdalena Noemi Leonardo Ventura</v>
          </cell>
        </row>
        <row r="3634">
          <cell r="F3634">
            <v>312482</v>
          </cell>
          <cell r="G3634" t="str">
            <v>Mildred Elizabeth Rivera Tenas</v>
          </cell>
        </row>
        <row r="3635">
          <cell r="F3635">
            <v>307005</v>
          </cell>
          <cell r="G3635" t="str">
            <v>Miriam Leticia Romero Torres</v>
          </cell>
        </row>
        <row r="3636">
          <cell r="F3636">
            <v>314227</v>
          </cell>
          <cell r="G3636" t="str">
            <v xml:space="preserve">Mirna Janeth Ordoñez </v>
          </cell>
        </row>
        <row r="3637">
          <cell r="F3637">
            <v>308474</v>
          </cell>
          <cell r="G3637" t="str">
            <v>Victor Abraham Alvarado De La Cruz</v>
          </cell>
        </row>
        <row r="3638">
          <cell r="F3638">
            <v>312480</v>
          </cell>
          <cell r="G3638" t="str">
            <v>Wilson Moises Carias Santos</v>
          </cell>
        </row>
        <row r="3639">
          <cell r="F3639">
            <v>305051</v>
          </cell>
          <cell r="G3639" t="str">
            <v xml:space="preserve"> Amalia Cifuentes Gramajo</v>
          </cell>
        </row>
        <row r="3640">
          <cell r="F3640">
            <v>308201</v>
          </cell>
          <cell r="G3640" t="str">
            <v xml:space="preserve"> Amparo Janet Cardona Linares</v>
          </cell>
        </row>
        <row r="3641">
          <cell r="F3641">
            <v>311232</v>
          </cell>
          <cell r="G3641" t="str">
            <v xml:space="preserve"> Carlos Alberto Roque Galicia</v>
          </cell>
        </row>
        <row r="3642">
          <cell r="F3642">
            <v>310382</v>
          </cell>
          <cell r="G3642" t="str">
            <v xml:space="preserve"> David Gilberto Perez Mayorga</v>
          </cell>
        </row>
        <row r="3643">
          <cell r="F3643">
            <v>305796</v>
          </cell>
          <cell r="G3643" t="str">
            <v xml:space="preserve"> Elias Perez Sequen</v>
          </cell>
        </row>
        <row r="3644">
          <cell r="F3644">
            <v>310823</v>
          </cell>
          <cell r="G3644" t="str">
            <v xml:space="preserve"> Francisca Yesenia Aceytuno Quevedo</v>
          </cell>
        </row>
        <row r="3645">
          <cell r="F3645">
            <v>311152</v>
          </cell>
          <cell r="G3645" t="str">
            <v xml:space="preserve"> Heidi Natali Chacon De La Rosa De Diaz</v>
          </cell>
        </row>
        <row r="3646">
          <cell r="F3646">
            <v>309785</v>
          </cell>
          <cell r="G3646" t="str">
            <v xml:space="preserve"> Jose Esteban Diaz Montufar</v>
          </cell>
        </row>
        <row r="3647">
          <cell r="F3647">
            <v>310787</v>
          </cell>
          <cell r="G3647" t="str">
            <v xml:space="preserve"> Marilin Janeth Sanchez De Rodriguez</v>
          </cell>
        </row>
        <row r="3648">
          <cell r="F3648">
            <v>305520</v>
          </cell>
          <cell r="G3648" t="str">
            <v xml:space="preserve"> Milton Orlando Lopez</v>
          </cell>
        </row>
        <row r="3649">
          <cell r="F3649">
            <v>308978</v>
          </cell>
          <cell r="G3649" t="str">
            <v xml:space="preserve"> Oscar Amilcar Najera Segura</v>
          </cell>
        </row>
        <row r="3650">
          <cell r="F3650">
            <v>311776</v>
          </cell>
          <cell r="G3650" t="str">
            <v xml:space="preserve"> Susan Jackelinne Cristal Sanchez</v>
          </cell>
        </row>
        <row r="3651">
          <cell r="F3651">
            <v>309732</v>
          </cell>
          <cell r="G3651" t="str">
            <v xml:space="preserve"> Wilfredo Noe Tobar Valenzuela</v>
          </cell>
        </row>
        <row r="3652">
          <cell r="F3652">
            <v>314741</v>
          </cell>
          <cell r="G3652" t="str">
            <v>Angelica Lorena Garcia Gonzalez</v>
          </cell>
        </row>
        <row r="3653">
          <cell r="F3653">
            <v>314546</v>
          </cell>
          <cell r="G3653" t="str">
            <v xml:space="preserve">Cinthia Irene Paz Caal   </v>
          </cell>
        </row>
        <row r="3654">
          <cell r="F3654">
            <v>313746</v>
          </cell>
          <cell r="G3654" t="str">
            <v>Cristian Omar Cruz Mata</v>
          </cell>
        </row>
        <row r="3655">
          <cell r="F3655">
            <v>315327</v>
          </cell>
          <cell r="G3655" t="str">
            <v>Daninyer Alfonso Orellana Madrid</v>
          </cell>
        </row>
        <row r="3656">
          <cell r="F3656">
            <v>314084</v>
          </cell>
          <cell r="G3656" t="str">
            <v>Edgar Emilio Gomez Bobadilla</v>
          </cell>
        </row>
        <row r="3657">
          <cell r="F3657">
            <v>313195</v>
          </cell>
          <cell r="G3657" t="str">
            <v>Edna Helenin Benitez Guzman De Altan</v>
          </cell>
        </row>
        <row r="3658">
          <cell r="F3658">
            <v>313259</v>
          </cell>
          <cell r="G3658" t="str">
            <v>Edvin Orlando Tuis Guerra</v>
          </cell>
        </row>
        <row r="3659">
          <cell r="F3659">
            <v>314524</v>
          </cell>
          <cell r="G3659" t="str">
            <v>Francisco Antonio Davila Morales</v>
          </cell>
        </row>
        <row r="3660">
          <cell r="F3660">
            <v>314329</v>
          </cell>
          <cell r="G3660" t="str">
            <v>Fredy Joel Lopez Santiago</v>
          </cell>
        </row>
        <row r="3661">
          <cell r="F3661">
            <v>314305</v>
          </cell>
          <cell r="G3661" t="str">
            <v>Henry Gustavo Vasquez Robledo</v>
          </cell>
        </row>
        <row r="3662">
          <cell r="F3662">
            <v>311962</v>
          </cell>
          <cell r="G3662" t="str">
            <v>Hugo David Monroy Pichola</v>
          </cell>
        </row>
        <row r="3663">
          <cell r="F3663">
            <v>311075</v>
          </cell>
          <cell r="G3663" t="str">
            <v>Jorge Alberto Buch Patzan</v>
          </cell>
        </row>
        <row r="3664">
          <cell r="F3664">
            <v>311233</v>
          </cell>
          <cell r="G3664" t="str">
            <v>Maria Fernanda Del Rosario Orellana Lima De Orellana</v>
          </cell>
        </row>
        <row r="3665">
          <cell r="F3665">
            <v>314811</v>
          </cell>
          <cell r="G3665" t="str">
            <v>Marlon Estuardo Hernandez Moreira</v>
          </cell>
        </row>
        <row r="3666">
          <cell r="F3666">
            <v>313745</v>
          </cell>
          <cell r="G3666" t="str">
            <v>Milvia Alejandra Lopez Marroquin</v>
          </cell>
        </row>
        <row r="3667">
          <cell r="F3667">
            <v>312288</v>
          </cell>
          <cell r="G3667" t="str">
            <v>Miriam Marilisa Herrera Perez</v>
          </cell>
        </row>
        <row r="3668">
          <cell r="F3668">
            <v>312474</v>
          </cell>
          <cell r="G3668" t="str">
            <v>Nancy Paola Ramirez Garcia</v>
          </cell>
        </row>
        <row r="3669">
          <cell r="F3669">
            <v>313756</v>
          </cell>
          <cell r="G3669" t="str">
            <v>Walter Josue Corona Barrera</v>
          </cell>
        </row>
        <row r="3670">
          <cell r="F3670">
            <v>312284</v>
          </cell>
          <cell r="G3670" t="str">
            <v xml:space="preserve"> Arnoldo Coque Hernandez</v>
          </cell>
        </row>
        <row r="3671">
          <cell r="F3671">
            <v>312015</v>
          </cell>
          <cell r="G3671" t="str">
            <v xml:space="preserve"> Carlos Alfredo Cuc Cuxe</v>
          </cell>
        </row>
        <row r="3672">
          <cell r="F3672">
            <v>310710</v>
          </cell>
          <cell r="G3672" t="str">
            <v xml:space="preserve"> Edgar Enrique Garcia Cortave</v>
          </cell>
        </row>
        <row r="3673">
          <cell r="F3673">
            <v>311459</v>
          </cell>
          <cell r="G3673" t="str">
            <v xml:space="preserve"> Gandy Baygesus Sanchez Estrada</v>
          </cell>
        </row>
        <row r="3674">
          <cell r="F3674">
            <v>303585</v>
          </cell>
          <cell r="G3674" t="str">
            <v xml:space="preserve"> Gerber Estuardo Albizures Archila</v>
          </cell>
        </row>
        <row r="3675">
          <cell r="F3675">
            <v>310704</v>
          </cell>
          <cell r="G3675" t="str">
            <v xml:space="preserve"> Henry Samuel De Leon Menchu</v>
          </cell>
        </row>
        <row r="3676">
          <cell r="F3676">
            <v>311359</v>
          </cell>
          <cell r="G3676" t="str">
            <v xml:space="preserve"> Jania Nataly De Leon Ramirez De Suret</v>
          </cell>
        </row>
        <row r="3677">
          <cell r="F3677">
            <v>306643</v>
          </cell>
          <cell r="G3677" t="str">
            <v xml:space="preserve"> Marvin Saul Sical Ventura</v>
          </cell>
        </row>
        <row r="3678">
          <cell r="F3678">
            <v>307846</v>
          </cell>
          <cell r="G3678" t="str">
            <v xml:space="preserve"> Sandra Patricia Baran Avila</v>
          </cell>
        </row>
        <row r="3679">
          <cell r="F3679">
            <v>307962</v>
          </cell>
          <cell r="G3679" t="str">
            <v xml:space="preserve"> Selvyn David Payola Ayala</v>
          </cell>
        </row>
        <row r="3680">
          <cell r="F3680">
            <v>307891</v>
          </cell>
          <cell r="G3680" t="str">
            <v xml:space="preserve"> Susana Rodriguez Cordova</v>
          </cell>
        </row>
        <row r="3681">
          <cell r="F3681">
            <v>314936</v>
          </cell>
          <cell r="G3681" t="str">
            <v>Alex Fernando Garcia De Leon</v>
          </cell>
        </row>
        <row r="3682">
          <cell r="F3682">
            <v>313295</v>
          </cell>
          <cell r="G3682" t="str">
            <v>Amed Carlos Eduardo Matheu Cabrera</v>
          </cell>
        </row>
        <row r="3683">
          <cell r="F3683">
            <v>314413</v>
          </cell>
          <cell r="G3683" t="str">
            <v>Carmen Arely Perez Escobar</v>
          </cell>
        </row>
        <row r="3684">
          <cell r="F3684">
            <v>315237</v>
          </cell>
          <cell r="G3684" t="str">
            <v>Celia Mariela Castillo Beteta</v>
          </cell>
        </row>
        <row r="3685">
          <cell r="F3685">
            <v>311345</v>
          </cell>
          <cell r="G3685" t="str">
            <v>Darwin Ruben Martinez Ramirez</v>
          </cell>
        </row>
        <row r="3686">
          <cell r="F3686">
            <v>314250</v>
          </cell>
          <cell r="G3686" t="str">
            <v>Diego Armando Contreras Flores</v>
          </cell>
        </row>
        <row r="3687">
          <cell r="F3687">
            <v>314281</v>
          </cell>
          <cell r="G3687" t="str">
            <v>Edward Josue Cortez Belloso</v>
          </cell>
        </row>
        <row r="3688">
          <cell r="F3688">
            <v>313451</v>
          </cell>
          <cell r="G3688" t="str">
            <v>Erick Dionicio Alvarez Flores</v>
          </cell>
        </row>
        <row r="3689">
          <cell r="F3689">
            <v>313497</v>
          </cell>
          <cell r="G3689" t="str">
            <v>Francisco Roman Aceytuno Ramos</v>
          </cell>
        </row>
        <row r="3690">
          <cell r="F3690">
            <v>314013</v>
          </cell>
          <cell r="G3690" t="str">
            <v>Jose Orlando Lopez Matzar</v>
          </cell>
        </row>
        <row r="3691">
          <cell r="F3691">
            <v>313262</v>
          </cell>
          <cell r="G3691" t="str">
            <v>Juan Luis Soyos Tzoy</v>
          </cell>
        </row>
        <row r="3692">
          <cell r="F3692">
            <v>313583</v>
          </cell>
          <cell r="G3692" t="str">
            <v>Laiza Marleny Gomez Garcia De Gomez</v>
          </cell>
        </row>
        <row r="3693">
          <cell r="F3693">
            <v>314762</v>
          </cell>
          <cell r="G3693" t="str">
            <v>Mario Ernesto Alvarado Molina</v>
          </cell>
        </row>
        <row r="3694">
          <cell r="F3694">
            <v>311902</v>
          </cell>
          <cell r="G3694" t="str">
            <v>Mario Raul Monroy Monroy</v>
          </cell>
        </row>
        <row r="3695">
          <cell r="F3695">
            <v>313251</v>
          </cell>
          <cell r="G3695" t="str">
            <v>Mario Ricardo Gabriel Monterroso</v>
          </cell>
        </row>
        <row r="3696">
          <cell r="F3696">
            <v>312564</v>
          </cell>
          <cell r="G3696" t="str">
            <v xml:space="preserve">Marlyn Carolina Hernandez Escobar De Dubon </v>
          </cell>
        </row>
        <row r="3697">
          <cell r="F3697">
            <v>313011</v>
          </cell>
          <cell r="G3697" t="str">
            <v>Miguel David Boch Cifuentes</v>
          </cell>
        </row>
        <row r="3698">
          <cell r="F3698">
            <v>313750</v>
          </cell>
          <cell r="G3698" t="str">
            <v xml:space="preserve">Mildred Alejandra Sapon Ruano   </v>
          </cell>
        </row>
        <row r="3699">
          <cell r="F3699">
            <v>313212</v>
          </cell>
          <cell r="G3699" t="str">
            <v>Shirley Mariana Lopez Natarengo</v>
          </cell>
        </row>
        <row r="3700">
          <cell r="F3700">
            <v>313261</v>
          </cell>
          <cell r="G3700" t="str">
            <v>Viviana Maribel Ortiz Barrios</v>
          </cell>
        </row>
        <row r="3701">
          <cell r="F3701">
            <v>309678</v>
          </cell>
          <cell r="G3701" t="str">
            <v xml:space="preserve"> Carla Noemi Irias Alvarez</v>
          </cell>
        </row>
        <row r="3702">
          <cell r="F3702">
            <v>311704</v>
          </cell>
          <cell r="G3702" t="str">
            <v xml:space="preserve"> Celedonia Isabel Chan Batz De Iscaya</v>
          </cell>
        </row>
        <row r="3703">
          <cell r="F3703">
            <v>308464</v>
          </cell>
          <cell r="G3703" t="str">
            <v xml:space="preserve"> Enmanuel Antonio Ochoa Hernandez</v>
          </cell>
        </row>
        <row r="3704">
          <cell r="F3704">
            <v>311964</v>
          </cell>
          <cell r="G3704" t="str">
            <v xml:space="preserve"> Estephanie Michelle Mendez Cano De Rivera</v>
          </cell>
        </row>
        <row r="3705">
          <cell r="F3705">
            <v>311963</v>
          </cell>
          <cell r="G3705" t="str">
            <v xml:space="preserve"> Giovanni Noel Valdez Rodriguez</v>
          </cell>
        </row>
        <row r="3706">
          <cell r="F3706">
            <v>308771</v>
          </cell>
          <cell r="G3706" t="str">
            <v xml:space="preserve"> Gloria Estefanilla Espinoza Garcia</v>
          </cell>
        </row>
        <row r="3707">
          <cell r="F3707">
            <v>311530</v>
          </cell>
          <cell r="G3707" t="str">
            <v xml:space="preserve"> Laura Ninoshka Mogollon Galvez De Ortiz</v>
          </cell>
        </row>
        <row r="3708">
          <cell r="F3708">
            <v>309348</v>
          </cell>
          <cell r="G3708" t="str">
            <v xml:space="preserve"> Ludbind Alexander Noriega Chavez</v>
          </cell>
        </row>
        <row r="3709">
          <cell r="F3709">
            <v>303093</v>
          </cell>
          <cell r="G3709" t="str">
            <v xml:space="preserve"> Rony Armando Choche Perez</v>
          </cell>
        </row>
        <row r="3710">
          <cell r="F3710">
            <v>311838</v>
          </cell>
          <cell r="G3710" t="str">
            <v xml:space="preserve"> Sarah Noemy Sandoval Poggio</v>
          </cell>
        </row>
        <row r="3711">
          <cell r="F3711">
            <v>310071</v>
          </cell>
          <cell r="G3711" t="str">
            <v xml:space="preserve"> Victoria Aracely Gomez Ochoa</v>
          </cell>
        </row>
        <row r="3712">
          <cell r="F3712">
            <v>315129</v>
          </cell>
          <cell r="G3712" t="str">
            <v xml:space="preserve">Angel Israel Perez Perez </v>
          </cell>
        </row>
        <row r="3713">
          <cell r="F3713">
            <v>314522</v>
          </cell>
          <cell r="G3713" t="str">
            <v>Argentina Frisdy Juarez Lopez</v>
          </cell>
        </row>
        <row r="3714">
          <cell r="F3714">
            <v>311595</v>
          </cell>
          <cell r="G3714" t="str">
            <v>Billy Giovanny Avalos Castillo</v>
          </cell>
        </row>
        <row r="3715">
          <cell r="F3715">
            <v>312457</v>
          </cell>
          <cell r="G3715" t="str">
            <v>Edgar Estuardo Moran Lopez</v>
          </cell>
        </row>
        <row r="3716">
          <cell r="F3716">
            <v>313314</v>
          </cell>
          <cell r="G3716" t="str">
            <v>Elida Bertilia Donis Aguilar</v>
          </cell>
        </row>
        <row r="3717">
          <cell r="F3717">
            <v>313108</v>
          </cell>
          <cell r="G3717" t="str">
            <v>Evelyn Karina Lorenzana Gomez</v>
          </cell>
        </row>
        <row r="3718">
          <cell r="F3718">
            <v>313313</v>
          </cell>
          <cell r="G3718" t="str">
            <v>Francisco Roberto Contreras Bernardino</v>
          </cell>
        </row>
        <row r="3719">
          <cell r="F3719">
            <v>313757</v>
          </cell>
          <cell r="G3719" t="str">
            <v>Geydi Yanira Roque Esquivel</v>
          </cell>
        </row>
        <row r="3720">
          <cell r="F3720">
            <v>309122</v>
          </cell>
          <cell r="G3720" t="str">
            <v>Greyci Yulissa Aliñado Rodriguez</v>
          </cell>
        </row>
        <row r="3721">
          <cell r="F3721">
            <v>314362</v>
          </cell>
          <cell r="G3721" t="str">
            <v>Heber Adiel Dardon Batres</v>
          </cell>
        </row>
        <row r="3722">
          <cell r="F3722">
            <v>315073</v>
          </cell>
          <cell r="G3722" t="str">
            <v xml:space="preserve">Jose Manuel Molina Gaitan </v>
          </cell>
        </row>
        <row r="3723">
          <cell r="F3723">
            <v>314490</v>
          </cell>
          <cell r="G3723" t="str">
            <v xml:space="preserve">Josue Omar Rosas Vasquez </v>
          </cell>
        </row>
        <row r="3724">
          <cell r="F3724">
            <v>311662</v>
          </cell>
          <cell r="G3724" t="str">
            <v>Juan Antonio Juarez Recinos</v>
          </cell>
        </row>
        <row r="3725">
          <cell r="F3725">
            <v>312848</v>
          </cell>
          <cell r="G3725" t="str">
            <v>Juan Humberto Castillo Garcia</v>
          </cell>
        </row>
        <row r="3726">
          <cell r="F3726">
            <v>313196</v>
          </cell>
          <cell r="G3726" t="str">
            <v>Maria Fernanda Palencia Campo</v>
          </cell>
        </row>
        <row r="3727">
          <cell r="F3727">
            <v>315406</v>
          </cell>
          <cell r="G3727" t="str">
            <v>Maria Fernandez Perez Rangel</v>
          </cell>
        </row>
        <row r="3728">
          <cell r="F3728">
            <v>314302</v>
          </cell>
          <cell r="G3728" t="str">
            <v>Mario Rene Garcia Paredes</v>
          </cell>
        </row>
        <row r="3729">
          <cell r="F3729">
            <v>313758</v>
          </cell>
          <cell r="G3729" t="str">
            <v>Melani Andrea Salcedo Acevedo</v>
          </cell>
        </row>
        <row r="3730">
          <cell r="F3730">
            <v>314656</v>
          </cell>
          <cell r="G3730" t="str">
            <v>Nancy Johana Flores Barrera</v>
          </cell>
        </row>
        <row r="3731">
          <cell r="F3731">
            <v>313835</v>
          </cell>
          <cell r="G3731" t="str">
            <v>Rainer Daniel Melgar Chajon</v>
          </cell>
        </row>
        <row r="3732">
          <cell r="F3732">
            <v>312478</v>
          </cell>
          <cell r="G3732" t="str">
            <v>Walter Josue Ampudia Martinez</v>
          </cell>
        </row>
        <row r="3733">
          <cell r="F3733">
            <v>315200</v>
          </cell>
          <cell r="G3733" t="str">
            <v xml:space="preserve">Yeni Amarilis Ruano </v>
          </cell>
        </row>
        <row r="3734">
          <cell r="F3734">
            <v>315029</v>
          </cell>
          <cell r="G3734" t="str">
            <v>Camelia Bocel Tun</v>
          </cell>
        </row>
        <row r="3735">
          <cell r="F3735">
            <v>314847</v>
          </cell>
          <cell r="G3735" t="str">
            <v>Donald Jacshon Abac Velasquez</v>
          </cell>
        </row>
        <row r="3736">
          <cell r="F3736">
            <v>314911</v>
          </cell>
          <cell r="G3736" t="str">
            <v>Jose Armando Valdez Juarez</v>
          </cell>
        </row>
        <row r="3737">
          <cell r="F3737">
            <v>314907</v>
          </cell>
          <cell r="G3737" t="str">
            <v>Jose Gabriel Armas Sandoval</v>
          </cell>
        </row>
        <row r="3738">
          <cell r="F3738">
            <v>315190</v>
          </cell>
          <cell r="G3738" t="str">
            <v xml:space="preserve">Edy Alexander Gonzalez Ramos </v>
          </cell>
        </row>
        <row r="3739">
          <cell r="F3739">
            <v>315176</v>
          </cell>
          <cell r="G3739" t="str">
            <v xml:space="preserve">Etson Samuel Villatoro Saballos </v>
          </cell>
        </row>
        <row r="3740">
          <cell r="F3740">
            <v>315080</v>
          </cell>
          <cell r="G3740" t="str">
            <v>Horacio Rafael Molina Avila</v>
          </cell>
        </row>
        <row r="3741">
          <cell r="F3741">
            <v>315177</v>
          </cell>
          <cell r="G3741" t="str">
            <v xml:space="preserve">Keitlin Anahi Martinez Castillo </v>
          </cell>
        </row>
        <row r="3742">
          <cell r="F3742">
            <v>315189</v>
          </cell>
          <cell r="G3742" t="str">
            <v xml:space="preserve">Milthon Yobany Castillo Martinez </v>
          </cell>
        </row>
        <row r="3743">
          <cell r="F3743">
            <v>315469</v>
          </cell>
          <cell r="G3743" t="str">
            <v xml:space="preserve">Milvia Fabiola Velasquez </v>
          </cell>
        </row>
        <row r="3744">
          <cell r="F3744">
            <v>315360</v>
          </cell>
          <cell r="G3744" t="str">
            <v>Eneas Valdez Colop</v>
          </cell>
        </row>
        <row r="3745">
          <cell r="F3745">
            <v>315461</v>
          </cell>
          <cell r="G3745" t="str">
            <v>Teylor Cuyuch</v>
          </cell>
        </row>
        <row r="3746">
          <cell r="F3746">
            <v>315390</v>
          </cell>
          <cell r="G3746" t="str">
            <v>Jose Carlos Morales</v>
          </cell>
        </row>
        <row r="3747">
          <cell r="F3747">
            <v>315464</v>
          </cell>
          <cell r="G3747" t="str">
            <v>Maria Alejandra Mazariegos</v>
          </cell>
        </row>
        <row r="3748">
          <cell r="F3748">
            <v>315574</v>
          </cell>
          <cell r="G3748" t="str">
            <v>Maryury De Los Angeles Garcia Romero</v>
          </cell>
        </row>
        <row r="3749">
          <cell r="F3749">
            <v>315596</v>
          </cell>
          <cell r="G3749" t="str">
            <v>Etson Eduardo Hernandez Campos</v>
          </cell>
        </row>
        <row r="3750">
          <cell r="F3750">
            <v>315593</v>
          </cell>
          <cell r="G3750" t="str">
            <v>Flora Anabella Yaxcal Fernandez</v>
          </cell>
        </row>
        <row r="3751">
          <cell r="F3751">
            <v>315595</v>
          </cell>
          <cell r="G3751" t="str">
            <v xml:space="preserve">Jaqueline Paola Santizo Roman </v>
          </cell>
        </row>
        <row r="3752">
          <cell r="F3752">
            <v>315292</v>
          </cell>
          <cell r="G3752" t="str">
            <v>Mijail Erick Joaquin Morales Ortiz</v>
          </cell>
        </row>
        <row r="3753">
          <cell r="F3753">
            <v>860486</v>
          </cell>
          <cell r="G3753" t="str">
            <v>Brenda Lucrecia Velasquez Cifuentes</v>
          </cell>
        </row>
        <row r="3754">
          <cell r="F3754">
            <v>860236</v>
          </cell>
          <cell r="G3754" t="str">
            <v>Emmanuel Gonzalez</v>
          </cell>
        </row>
        <row r="3755">
          <cell r="F3755" t="str">
            <v>UN</v>
          </cell>
          <cell r="G3755" t="str">
            <v>UN</v>
          </cell>
        </row>
        <row r="3756">
          <cell r="F3756">
            <v>315625</v>
          </cell>
          <cell r="G3756" t="str">
            <v>CLAUDIA ELIZABETH CARRERA MARROQUIN</v>
          </cell>
        </row>
        <row r="3757">
          <cell r="F3757">
            <v>315666</v>
          </cell>
          <cell r="G3757" t="str">
            <v>SINDY AMARILIS SANCHEZ MONTERROSO</v>
          </cell>
        </row>
        <row r="3758">
          <cell r="F3758">
            <v>315691</v>
          </cell>
          <cell r="G3758" t="str">
            <v>JAIME RENE JUAREZ SANCHEZ</v>
          </cell>
        </row>
        <row r="3759">
          <cell r="F3759">
            <v>315750</v>
          </cell>
          <cell r="G3759" t="str">
            <v>KEILA PAOLA CALDERON LOPEZ</v>
          </cell>
        </row>
        <row r="3760">
          <cell r="F3760">
            <v>315721</v>
          </cell>
          <cell r="G3760" t="str">
            <v>HECTOR LEONEL MEJICANOS CRUZ</v>
          </cell>
        </row>
        <row r="3761">
          <cell r="F3761">
            <v>315847</v>
          </cell>
          <cell r="G3761" t="str">
            <v>YEFRI ESTUARDO LOPEZ VELASQUEZ</v>
          </cell>
        </row>
        <row r="3762">
          <cell r="F3762">
            <v>315833</v>
          </cell>
          <cell r="G3762" t="str">
            <v>MARIA DE LOS ANGELES MURALLES MURALLES</v>
          </cell>
        </row>
        <row r="3763">
          <cell r="F3763">
            <v>315621</v>
          </cell>
          <cell r="G3763" t="str">
            <v>SAYDA ROCIO JUAREZ SANJAY</v>
          </cell>
        </row>
        <row r="3764">
          <cell r="F3764">
            <v>315816</v>
          </cell>
          <cell r="G3764" t="str">
            <v>RANDALL  AREVALO RUIZ</v>
          </cell>
        </row>
        <row r="3765">
          <cell r="F3765">
            <v>315692</v>
          </cell>
          <cell r="G3765" t="str">
            <v>Jose David Jimenez Valle</v>
          </cell>
        </row>
        <row r="3766">
          <cell r="F3766">
            <v>315801</v>
          </cell>
          <cell r="G3766" t="str">
            <v>YENIFFER GUADALUPE CHIQUIN CARBONELL</v>
          </cell>
        </row>
        <row r="3767">
          <cell r="F3767">
            <v>315649</v>
          </cell>
          <cell r="G3767" t="str">
            <v>JOSE LEON CHOGUAJ TOJIN</v>
          </cell>
        </row>
        <row r="3768">
          <cell r="F3768">
            <v>315986</v>
          </cell>
          <cell r="G3768" t="str">
            <v>KELVYN AMERICO SOSA OCHOA</v>
          </cell>
        </row>
        <row r="3769">
          <cell r="F3769">
            <v>315693</v>
          </cell>
          <cell r="G3769" t="str">
            <v>barbara asibinac</v>
          </cell>
        </row>
        <row r="3770">
          <cell r="F3770">
            <v>315974</v>
          </cell>
          <cell r="G3770" t="str">
            <v>Ana Victoria Noj Galindo</v>
          </cell>
        </row>
        <row r="3771">
          <cell r="F3771">
            <v>316040</v>
          </cell>
          <cell r="G3771" t="str">
            <v>Douglas Armando Flores Mendoza</v>
          </cell>
        </row>
        <row r="3772">
          <cell r="F3772">
            <v>315825</v>
          </cell>
          <cell r="G3772" t="str">
            <v>Reina Elizabeth Chacon Vasquez</v>
          </cell>
        </row>
        <row r="3773">
          <cell r="F3773">
            <v>315597</v>
          </cell>
          <cell r="G3773" t="str">
            <v>Edgar Jhonatan Contreras Garcia</v>
          </cell>
        </row>
        <row r="3774">
          <cell r="F3774">
            <v>316083</v>
          </cell>
          <cell r="G3774" t="str">
            <v>Marlen Erendida Rivas Gonzalez</v>
          </cell>
        </row>
        <row r="3775">
          <cell r="F3775">
            <v>315665</v>
          </cell>
          <cell r="G3775" t="str">
            <v>jefferson jose antonio interano solis</v>
          </cell>
        </row>
        <row r="3776">
          <cell r="F3776">
            <v>315913</v>
          </cell>
          <cell r="G3776" t="str">
            <v>HERLY SARAI GONZALEZ VELASQUEZ</v>
          </cell>
        </row>
        <row r="3777">
          <cell r="F3777">
            <v>315765</v>
          </cell>
          <cell r="G3777" t="str">
            <v>JACQUELINE ESTER PATZAN TZUNUN</v>
          </cell>
        </row>
        <row r="3778">
          <cell r="F3778">
            <v>316051</v>
          </cell>
          <cell r="G3778" t="str">
            <v>CHRISTIN ANDREA CASTILLO CALDERON</v>
          </cell>
        </row>
        <row r="3779">
          <cell r="F3779">
            <v>315939</v>
          </cell>
          <cell r="G3779" t="str">
            <v>JOSE DAVID BAMACA</v>
          </cell>
        </row>
        <row r="3780">
          <cell r="F3780">
            <v>315744</v>
          </cell>
          <cell r="G3780" t="str">
            <v>JACKELINE SUSANA HERRARTE BOCHE</v>
          </cell>
        </row>
        <row r="3781">
          <cell r="F3781">
            <v>316187</v>
          </cell>
          <cell r="G3781" t="str">
            <v xml:space="preserve">ADY MICHELLE LOPEZ QUEL </v>
          </cell>
        </row>
        <row r="3782">
          <cell r="F3782">
            <v>315786</v>
          </cell>
          <cell r="G3782" t="str">
            <v>EDUARDO ISAIAS HERNANDEZ AMBROCIO</v>
          </cell>
        </row>
        <row r="3783">
          <cell r="F3783">
            <v>315803</v>
          </cell>
          <cell r="G3783" t="str">
            <v>DEYVID SAUL OSORIO COLIN</v>
          </cell>
        </row>
        <row r="3784">
          <cell r="F3784">
            <v>315893</v>
          </cell>
          <cell r="G3784" t="str">
            <v xml:space="preserve">BRYAN ALEXANDER LAINES MARROQUIN </v>
          </cell>
        </row>
        <row r="3785">
          <cell r="F3785">
            <v>315890</v>
          </cell>
          <cell r="G3785" t="str">
            <v>ERICK JOSUE PINEDA CACEROS</v>
          </cell>
        </row>
        <row r="3786">
          <cell r="F3786">
            <v>316190</v>
          </cell>
          <cell r="G3786" t="str">
            <v>JOSE MANUEL MELLADO ESQUIBEL</v>
          </cell>
        </row>
        <row r="3787">
          <cell r="F3787">
            <v>315843</v>
          </cell>
          <cell r="G3787" t="str">
            <v xml:space="preserve">JENNIFER YESSENIA PEREZ MORALES </v>
          </cell>
        </row>
        <row r="3788">
          <cell r="F3788">
            <v>315840</v>
          </cell>
          <cell r="G3788" t="str">
            <v>Cesar David Perez Garrido</v>
          </cell>
        </row>
        <row r="3789">
          <cell r="F3789">
            <v>315697</v>
          </cell>
          <cell r="G3789" t="str">
            <v xml:space="preserve">Karen Dayana Xiquin Sanchez </v>
          </cell>
        </row>
        <row r="3790">
          <cell r="F3790">
            <v>315946</v>
          </cell>
          <cell r="G3790" t="str">
            <v xml:space="preserve"> MANUEL ADAN SURUY JIMENEZ</v>
          </cell>
        </row>
        <row r="3791">
          <cell r="F3791">
            <v>315784</v>
          </cell>
          <cell r="G3791" t="str">
            <v xml:space="preserve">JORGE MARIO SIC </v>
          </cell>
        </row>
        <row r="3792">
          <cell r="F3792">
            <v>316001</v>
          </cell>
          <cell r="G3792" t="str">
            <v>WENDY DANIELA CAMEY MATEO</v>
          </cell>
        </row>
        <row r="3793">
          <cell r="F3793">
            <v>315777</v>
          </cell>
          <cell r="G3793" t="str">
            <v>Jonatan Mauricio Padilla Marroquin</v>
          </cell>
        </row>
        <row r="3794">
          <cell r="F3794">
            <v>315699</v>
          </cell>
          <cell r="G3794" t="str">
            <v>Gualfer Orlando Dieguez Ibanez</v>
          </cell>
        </row>
        <row r="3795">
          <cell r="F3795">
            <v>315994</v>
          </cell>
          <cell r="G3795" t="str">
            <v>Edwin Wilfredo Pineda Giron</v>
          </cell>
        </row>
        <row r="3796">
          <cell r="F3796">
            <v>315766</v>
          </cell>
          <cell r="G3796" t="str">
            <v>Edgar Omar de Jesus Andrade Monterroso</v>
          </cell>
        </row>
        <row r="3797">
          <cell r="F3797">
            <v>315987</v>
          </cell>
          <cell r="G3797" t="str">
            <v>FRANCISCO DANIEL ARGUETA RAMIREZ</v>
          </cell>
        </row>
        <row r="3798">
          <cell r="F3798">
            <v>316208</v>
          </cell>
          <cell r="G3798" t="str">
            <v>LEYCER ULICES CANA ANDRADE</v>
          </cell>
        </row>
        <row r="3799">
          <cell r="F3799">
            <v>316193</v>
          </cell>
          <cell r="G3799" t="str">
            <v>Maria de Lourdes Leb Nij</v>
          </cell>
        </row>
        <row r="3800">
          <cell r="F3800">
            <v>316176</v>
          </cell>
          <cell r="G3800" t="str">
            <v>ROSA ANGELICA ZURDO GONZALEZ</v>
          </cell>
        </row>
        <row r="3801">
          <cell r="F3801">
            <v>316293</v>
          </cell>
          <cell r="G3801" t="str">
            <v>LUCIO MOISES CHAVEZ CHAVEZ</v>
          </cell>
        </row>
        <row r="3802">
          <cell r="F3802">
            <v>316090</v>
          </cell>
          <cell r="G3802" t="str">
            <v>ASTRID SUCELY VELIZ CAAL</v>
          </cell>
        </row>
        <row r="3803">
          <cell r="F3803">
            <v>316057</v>
          </cell>
          <cell r="G3803" t="str">
            <v>ROGELIO ARMANDO ACEITUNO HERRERA</v>
          </cell>
        </row>
        <row r="3804">
          <cell r="F3804">
            <v>315962</v>
          </cell>
          <cell r="G3804" t="str">
            <v>Jennifer Celeste Delgado Garcia</v>
          </cell>
        </row>
        <row r="3805">
          <cell r="F3805">
            <v>316237</v>
          </cell>
          <cell r="G3805" t="str">
            <v>MARIA DEL ROSARIO ESPINOZA CRUZ</v>
          </cell>
        </row>
        <row r="3806">
          <cell r="F3806">
            <v>316054</v>
          </cell>
          <cell r="G3806" t="str">
            <v>Kevin Steve Barrera Galicia</v>
          </cell>
        </row>
        <row r="3807">
          <cell r="F3807">
            <v>315734</v>
          </cell>
          <cell r="G3807" t="str">
            <v>DULCE MARINA LOPEZ SOLIS</v>
          </cell>
        </row>
        <row r="3808">
          <cell r="F3808">
            <v>316098</v>
          </cell>
          <cell r="G3808" t="str">
            <v>KARLA ALEJANDRA CHAVEZ PEÑA</v>
          </cell>
        </row>
        <row r="3809">
          <cell r="F3809">
            <v>315679</v>
          </cell>
          <cell r="G3809" t="str">
            <v>ANGELA XIOMARA PONCIANO GONZALEZ</v>
          </cell>
        </row>
        <row r="3810">
          <cell r="F3810">
            <v>315769</v>
          </cell>
          <cell r="G3810" t="str">
            <v>URIAS VENANCIO LOPEZ COTON</v>
          </cell>
        </row>
        <row r="3811">
          <cell r="F3811">
            <v>316174</v>
          </cell>
          <cell r="G3811" t="str">
            <v>ENRIQUE ALFONSO LOPEZ RAMREZ</v>
          </cell>
        </row>
        <row r="3812">
          <cell r="F3812">
            <v>316152</v>
          </cell>
          <cell r="G3812" t="str">
            <v>Yenica Limni López Sebastian</v>
          </cell>
        </row>
        <row r="3813">
          <cell r="F3813">
            <v>315882</v>
          </cell>
          <cell r="G3813" t="str">
            <v>RUTH ANAI GOMEZ RAMIREZ</v>
          </cell>
        </row>
        <row r="3814">
          <cell r="F3814">
            <v>316241</v>
          </cell>
          <cell r="G3814" t="str">
            <v>ALLAN ESMAYLIN CABRERA PEREZ</v>
          </cell>
        </row>
        <row r="3815">
          <cell r="F3815">
            <v>315651</v>
          </cell>
          <cell r="G3815" t="str">
            <v>WALTER EDUARDO RODAS RIOS</v>
          </cell>
        </row>
        <row r="3816">
          <cell r="F3816">
            <v>316011</v>
          </cell>
          <cell r="G3816" t="str">
            <v>KEVIN MAUEL PEREZ OROZCO</v>
          </cell>
        </row>
        <row r="3817">
          <cell r="F3817">
            <v>316263</v>
          </cell>
          <cell r="G3817" t="str">
            <v>LUIS FERNANDO LOPEZ VASQUEZ</v>
          </cell>
        </row>
        <row r="3818">
          <cell r="F3818">
            <v>315661</v>
          </cell>
          <cell r="G3818" t="str">
            <v>MIGUEL ANGEL MENDEZ JUAREZ</v>
          </cell>
        </row>
        <row r="3819">
          <cell r="F3819">
            <v>316060</v>
          </cell>
          <cell r="G3819" t="str">
            <v>CARLOS ENRIQUE SOSA HERNANDEZ</v>
          </cell>
        </row>
        <row r="3820">
          <cell r="F3820">
            <v>315992</v>
          </cell>
          <cell r="G3820" t="str">
            <v>LISBETH VICTORIA GARCIA</v>
          </cell>
        </row>
        <row r="3821">
          <cell r="F3821">
            <v>316191</v>
          </cell>
          <cell r="G3821" t="str">
            <v>Katerin Mishel Acosta Lobos</v>
          </cell>
        </row>
        <row r="3822">
          <cell r="F3822">
            <v>316294</v>
          </cell>
          <cell r="G3822" t="str">
            <v>Carmen Fernanda Ramos Jimenez</v>
          </cell>
        </row>
        <row r="3823">
          <cell r="F3823">
            <v>90012428</v>
          </cell>
          <cell r="G3823" t="str">
            <v>Lesly Alejandra Urbina Chojolan</v>
          </cell>
        </row>
        <row r="3824">
          <cell r="F3824">
            <v>90013944</v>
          </cell>
          <cell r="G3824" t="str">
            <v>KARLA ROSARIO MARTINEZ SOTO</v>
          </cell>
        </row>
        <row r="3825">
          <cell r="F3825">
            <v>316240</v>
          </cell>
          <cell r="G3825" t="str">
            <v>WILMER GUILLERMO PEREZ CHAY</v>
          </cell>
        </row>
        <row r="3826">
          <cell r="F3826">
            <v>90014151</v>
          </cell>
          <cell r="G3826" t="str">
            <v>ANDERSON NOE MORALES MARROQUIN</v>
          </cell>
        </row>
        <row r="3827">
          <cell r="F3827">
            <v>90013720</v>
          </cell>
          <cell r="G3827" t="str">
            <v>OBED DANIEL RAMIREZ FUENTES</v>
          </cell>
        </row>
        <row r="3828">
          <cell r="F3828">
            <v>90012315</v>
          </cell>
          <cell r="G3828" t="str">
            <v>Lorenzo Antonio Herrera Tobar</v>
          </cell>
        </row>
        <row r="3829">
          <cell r="F3829">
            <v>90013833</v>
          </cell>
          <cell r="G3829" t="str">
            <v>Melane Alejandra Contreras Sicajan</v>
          </cell>
        </row>
        <row r="3830">
          <cell r="F3830">
            <v>90018997</v>
          </cell>
          <cell r="G3830" t="str">
            <v>Daniel Uvaldo Barreno Meneses</v>
          </cell>
        </row>
        <row r="3831">
          <cell r="F3831">
            <v>90014269</v>
          </cell>
          <cell r="G3831" t="str">
            <v>Lusvin Ariel Villacinda Flores</v>
          </cell>
        </row>
        <row r="3832">
          <cell r="F3832" t="str">
            <v>N/A</v>
          </cell>
          <cell r="G3832" t="str">
            <v>N/A</v>
          </cell>
        </row>
        <row r="3833">
          <cell r="F3833">
            <v>90014281</v>
          </cell>
          <cell r="G3833" t="str">
            <v>MARIO EMANUEL DE JESUS MENDOZA</v>
          </cell>
        </row>
        <row r="3834">
          <cell r="F3834">
            <v>316053</v>
          </cell>
          <cell r="G3834" t="str">
            <v>ANA LETICIA PAAU OXOM</v>
          </cell>
        </row>
        <row r="3835">
          <cell r="F3835">
            <v>315985</v>
          </cell>
          <cell r="G3835" t="str">
            <v>PEDRO ELIAS POP CAAL</v>
          </cell>
        </row>
        <row r="3836">
          <cell r="F3836">
            <v>90009270</v>
          </cell>
          <cell r="G3836" t="str">
            <v>Laura Yessenia Trabanino Interiano</v>
          </cell>
        </row>
        <row r="3837">
          <cell r="F3837">
            <v>315809</v>
          </cell>
          <cell r="G3837" t="str">
            <v>MARIA DOLORES VICTORIA TZOC BEB</v>
          </cell>
        </row>
        <row r="3838">
          <cell r="F3838">
            <v>90009269</v>
          </cell>
          <cell r="G3838" t="str">
            <v>WENDY MISHEL CONTRERAS MARTINEZ</v>
          </cell>
        </row>
        <row r="3839">
          <cell r="F3839">
            <v>90013521</v>
          </cell>
          <cell r="G3839" t="str">
            <v>CAREN ANTONIA SOTO JIMENEZ</v>
          </cell>
        </row>
        <row r="3840">
          <cell r="F3840">
            <v>316124</v>
          </cell>
          <cell r="G3840" t="str">
            <v>HENRY DAVID CORONADO GOMEZ</v>
          </cell>
        </row>
        <row r="3841">
          <cell r="F3841">
            <v>90009271</v>
          </cell>
          <cell r="G3841" t="str">
            <v>SENDER YANEZ</v>
          </cell>
        </row>
        <row r="3842">
          <cell r="F3842">
            <v>316000</v>
          </cell>
          <cell r="G3842" t="str">
            <v>MARLON SAUL CAAL GIRON</v>
          </cell>
        </row>
        <row r="3843">
          <cell r="F3843">
            <v>316423</v>
          </cell>
          <cell r="G3843" t="str">
            <v>JUAN CARLOS EMANUEL CRUZ CO</v>
          </cell>
        </row>
        <row r="3844">
          <cell r="F3844">
            <v>316273</v>
          </cell>
          <cell r="G3844" t="str">
            <v>FEDERICO ANTONIO COC CHOC</v>
          </cell>
        </row>
        <row r="3845">
          <cell r="F3845">
            <v>90014168</v>
          </cell>
          <cell r="G3845" t="str">
            <v>MIGUEL EUDILIO SABAN LOPEZ</v>
          </cell>
        </row>
        <row r="3846">
          <cell r="F3846">
            <v>316424</v>
          </cell>
          <cell r="G3846" t="str">
            <v>HENRY DAVID CORONADO GOMEZ</v>
          </cell>
        </row>
        <row r="3847">
          <cell r="F3847">
            <v>90013726</v>
          </cell>
          <cell r="G3847" t="str">
            <v>EUFEMIA MAZARIEGOS SANCHEZ</v>
          </cell>
        </row>
        <row r="3848">
          <cell r="F3848">
            <v>900015498</v>
          </cell>
          <cell r="G3848" t="str">
            <v>RODOLFO ANTONIO CHIQUIN REYES</v>
          </cell>
        </row>
        <row r="3849">
          <cell r="F3849">
            <v>90009264</v>
          </cell>
          <cell r="G3849" t="str">
            <v>RANDY ALEXIS TUT CUNIL</v>
          </cell>
        </row>
        <row r="3850">
          <cell r="F3850">
            <v>90014229</v>
          </cell>
          <cell r="G3850" t="str">
            <v>Candy Mayerli Salazar Rodriguez</v>
          </cell>
        </row>
        <row r="3851">
          <cell r="F3851">
            <v>90012459</v>
          </cell>
          <cell r="G3851" t="str">
            <v>Gewerson Josias Caal Coc</v>
          </cell>
        </row>
        <row r="3852">
          <cell r="F3852">
            <v>90010411</v>
          </cell>
          <cell r="G3852" t="str">
            <v>Claudia Liliana Munoz Jimenez</v>
          </cell>
        </row>
        <row r="3853">
          <cell r="F3853">
            <v>315812</v>
          </cell>
          <cell r="G3853" t="str">
            <v>JOSUE FELIPE LOPEZ TOJIN</v>
          </cell>
        </row>
        <row r="3854">
          <cell r="F3854">
            <v>316379</v>
          </cell>
          <cell r="G3854" t="str">
            <v>LOURDES MAYARI RAMIREZ RAMIREZ</v>
          </cell>
        </row>
        <row r="3855">
          <cell r="F3855">
            <v>315619</v>
          </cell>
          <cell r="G3855" t="str">
            <v>VIVIAN RODRIGUEZ</v>
          </cell>
        </row>
        <row r="3856">
          <cell r="F3856">
            <v>90009268</v>
          </cell>
          <cell r="G3856" t="str">
            <v>Yosselin Baleska Garcia Valdez</v>
          </cell>
        </row>
        <row r="3857">
          <cell r="F3857">
            <v>315862</v>
          </cell>
          <cell r="G3857" t="str">
            <v xml:space="preserve">KARLA LISBETT REYES PEREZ </v>
          </cell>
        </row>
        <row r="3858">
          <cell r="F3858">
            <v>316320</v>
          </cell>
          <cell r="G3858" t="str">
            <v>GONZALO PEREZ MIGUEL</v>
          </cell>
        </row>
        <row r="3859">
          <cell r="F3859">
            <v>316225</v>
          </cell>
          <cell r="G3859" t="str">
            <v xml:space="preserve">JACKELINE NAYELI MIGUEL DIAZ </v>
          </cell>
        </row>
        <row r="3860">
          <cell r="F3860">
            <v>316096</v>
          </cell>
          <cell r="G3860" t="str">
            <v>YENIFER DEL CARMEN PEREZ ALDANA</v>
          </cell>
        </row>
        <row r="3861">
          <cell r="F3861">
            <v>316218</v>
          </cell>
          <cell r="G3861" t="str">
            <v>HEILYN EUNICE RAMIREZ FLORIAN</v>
          </cell>
        </row>
        <row r="3862">
          <cell r="F3862">
            <v>316255</v>
          </cell>
          <cell r="G3862" t="str">
            <v>ANGELICA ISABELVELASQUEZ QUINTANILLA</v>
          </cell>
        </row>
        <row r="3863">
          <cell r="F3863">
            <v>315855</v>
          </cell>
          <cell r="G3863" t="str">
            <v>JASON RODOLFO JUAREZ BARRERA</v>
          </cell>
        </row>
        <row r="3864">
          <cell r="F3864">
            <v>315877</v>
          </cell>
          <cell r="G3864" t="str">
            <v>AURA CECILIA GREGORIO ASENCIO</v>
          </cell>
        </row>
        <row r="3865">
          <cell r="F3865">
            <v>90009267</v>
          </cell>
          <cell r="G3865" t="str">
            <v xml:space="preserve">DANIEL HUMBERTO MORALES CERVANTES </v>
          </cell>
        </row>
        <row r="3866">
          <cell r="F3866">
            <v>316304</v>
          </cell>
          <cell r="G3866" t="str">
            <v>VICTOR MANUEL DE LA CRUZ XITUMUL</v>
          </cell>
        </row>
        <row r="3867">
          <cell r="F3867">
            <v>90015498</v>
          </cell>
          <cell r="G3867" t="str">
            <v>RODOLFO ANTONIO CHIQUIN REYES</v>
          </cell>
        </row>
        <row r="3868">
          <cell r="F3868">
            <v>90018946</v>
          </cell>
          <cell r="G3868" t="str">
            <v xml:space="preserve">MARVELI BEBERLIN LOPEZ PEREZ </v>
          </cell>
        </row>
        <row r="3869">
          <cell r="F3869">
            <v>90015826</v>
          </cell>
          <cell r="G3869" t="str">
            <v>VIDALIA VANESSA MORALES PLEITEZ</v>
          </cell>
        </row>
        <row r="3870">
          <cell r="F3870">
            <v>315810</v>
          </cell>
          <cell r="G3870" t="str">
            <v>MAGDA MO</v>
          </cell>
        </row>
        <row r="3871">
          <cell r="F3871">
            <v>315799</v>
          </cell>
          <cell r="G3871" t="str">
            <v>YOSELIN PAOLA CASTILLO GUE</v>
          </cell>
        </row>
        <row r="3872">
          <cell r="F3872">
            <v>315975</v>
          </cell>
          <cell r="G3872" t="str">
            <v>ELIAS ISAAC GUEVARA HERNANDEZ</v>
          </cell>
        </row>
        <row r="3873">
          <cell r="F3873">
            <v>316151</v>
          </cell>
          <cell r="G3873" t="str">
            <v xml:space="preserve">KAROL MELINA MONTERROSO MARTIN </v>
          </cell>
        </row>
        <row r="3874">
          <cell r="F3874">
            <v>315617</v>
          </cell>
          <cell r="G3874" t="str">
            <v>LESTER MAURICIO PEREZ MARTINEZ</v>
          </cell>
        </row>
        <row r="3875">
          <cell r="F3875">
            <v>315859</v>
          </cell>
          <cell r="G3875" t="str">
            <v>CLAUDIA ROXANA BEB AC</v>
          </cell>
        </row>
        <row r="3876">
          <cell r="F3876">
            <v>316316</v>
          </cell>
          <cell r="G3876" t="str">
            <v>ALIDA ELIZABETH CAJ AMALEM</v>
          </cell>
        </row>
        <row r="3877">
          <cell r="F3877">
            <v>90009273</v>
          </cell>
          <cell r="G3877" t="str">
            <v>SILVIA ARACELY TZIU POP</v>
          </cell>
        </row>
        <row r="3878">
          <cell r="F3878">
            <v>316140</v>
          </cell>
          <cell r="G3878" t="str">
            <v>Daniel Alberto Alaya Guzman</v>
          </cell>
        </row>
        <row r="3879">
          <cell r="F3879">
            <v>90024066</v>
          </cell>
          <cell r="G3879" t="str">
            <v>Andrea Georgina Orellana Oliva</v>
          </cell>
        </row>
        <row r="3880">
          <cell r="F3880">
            <v>316360</v>
          </cell>
          <cell r="G3880" t="str">
            <v xml:space="preserve">IRMA MICHEL TOBAR NAJARRO </v>
          </cell>
        </row>
        <row r="3881">
          <cell r="F3881">
            <v>90024501</v>
          </cell>
          <cell r="G3881" t="str">
            <v xml:space="preserve">EDVIN ESTUARDO REVOLORIO MARROQUIN </v>
          </cell>
        </row>
        <row r="3882">
          <cell r="F3882">
            <v>90023865</v>
          </cell>
          <cell r="G3882" t="str">
            <v>BENITO ABAD JIMENEZ CARRILLO</v>
          </cell>
        </row>
        <row r="3883">
          <cell r="F3883">
            <v>90024074</v>
          </cell>
          <cell r="G3883" t="str">
            <v>KATHERINE MARIA JOSE ECHEVERRIA ERAZO</v>
          </cell>
        </row>
        <row r="3884">
          <cell r="F3884">
            <v>90023754</v>
          </cell>
          <cell r="G3884" t="str">
            <v>ABNER ELIAS PEC ICAL</v>
          </cell>
        </row>
        <row r="3885">
          <cell r="F3885">
            <v>90016326</v>
          </cell>
          <cell r="G3885" t="str">
            <v>BRENDA YESENIA MONROY AMADO</v>
          </cell>
        </row>
        <row r="3886">
          <cell r="F3886">
            <v>90024328</v>
          </cell>
          <cell r="G3886" t="str">
            <v>GABRIELA FERNANDA RUIZ CERVANTES</v>
          </cell>
        </row>
        <row r="3887">
          <cell r="F3887">
            <v>90024495</v>
          </cell>
          <cell r="G3887" t="str">
            <v>JAZMIN ESTEFANIE RIOS FLORES</v>
          </cell>
        </row>
        <row r="3888">
          <cell r="F3888">
            <v>90025188</v>
          </cell>
          <cell r="G3888" t="str">
            <v>SINDY GABRIELA RIVAS OCHOA</v>
          </cell>
        </row>
        <row r="3889">
          <cell r="F3889">
            <v>90023754</v>
          </cell>
          <cell r="G3889" t="str">
            <v>ABNER ELIAS PEC ICAL</v>
          </cell>
        </row>
        <row r="3890">
          <cell r="F3890">
            <v>90028655</v>
          </cell>
          <cell r="G3890" t="str">
            <v xml:space="preserve">INGRID JENIFER RECINOS RAMIREZ </v>
          </cell>
        </row>
        <row r="3891">
          <cell r="F3891">
            <v>90024122</v>
          </cell>
          <cell r="G3891" t="str">
            <v>ONEIDA MARISELA REYES CUC</v>
          </cell>
        </row>
        <row r="3892">
          <cell r="F3892">
            <v>315709</v>
          </cell>
          <cell r="G3892" t="str">
            <v>ROBIN DANIEL NIMACACHI TERET</v>
          </cell>
        </row>
        <row r="3893">
          <cell r="F3893">
            <v>90025190</v>
          </cell>
          <cell r="G3893" t="str">
            <v>JOSE LEONEL ABAC ORELLANA</v>
          </cell>
        </row>
        <row r="3894">
          <cell r="F3894">
            <v>90027833</v>
          </cell>
          <cell r="G3894" t="str">
            <v>Dulce Flor Jor Rax</v>
          </cell>
        </row>
        <row r="3895">
          <cell r="F3895">
            <v>90024412</v>
          </cell>
          <cell r="G3895" t="str">
            <v>ANGEL ALFONSO PEREZ VELASQUEZ</v>
          </cell>
        </row>
        <row r="3896">
          <cell r="F3896">
            <v>90028954</v>
          </cell>
          <cell r="G3896" t="str">
            <v xml:space="preserve">JONATAN MAREL GUERRA GUERRA </v>
          </cell>
        </row>
        <row r="3897">
          <cell r="F3897">
            <v>90025533</v>
          </cell>
          <cell r="G3897" t="str">
            <v xml:space="preserve">DENIS RAFAEL TUT CUCUL </v>
          </cell>
        </row>
        <row r="3898">
          <cell r="F3898">
            <v>90027823</v>
          </cell>
          <cell r="G3898" t="str">
            <v xml:space="preserve">FRANCISCO MIGUEL JORDAN LOPEZ </v>
          </cell>
        </row>
        <row r="3899">
          <cell r="F3899">
            <v>90027821</v>
          </cell>
          <cell r="G3899" t="str">
            <v>Merlin Areli Gomez Sagastume</v>
          </cell>
        </row>
        <row r="3900">
          <cell r="F3900">
            <v>90033087</v>
          </cell>
          <cell r="G3900" t="str">
            <v xml:space="preserve">LEIDY NATALIA HERNANDEZ LOPEZ </v>
          </cell>
        </row>
        <row r="3901">
          <cell r="F3901">
            <v>90034086</v>
          </cell>
          <cell r="G3901" t="str">
            <v>MIGDAEL JOSUE LOPEZ PINTO</v>
          </cell>
        </row>
        <row r="3902">
          <cell r="F3902">
            <v>90033088</v>
          </cell>
          <cell r="G3902" t="str">
            <v>Cinthia Andreina Valenzuela Lima</v>
          </cell>
        </row>
        <row r="3903">
          <cell r="F3903">
            <v>90033665</v>
          </cell>
          <cell r="G3903" t="str">
            <v>MAYLIN GUERRA</v>
          </cell>
        </row>
        <row r="3904">
          <cell r="F3904">
            <v>90034445</v>
          </cell>
          <cell r="G3904" t="str">
            <v>LESTER ALAIN ALVARADO MORALES</v>
          </cell>
        </row>
        <row r="3905">
          <cell r="F3905">
            <v>90033335</v>
          </cell>
          <cell r="G3905" t="str">
            <v>MARLENE RUBY SIERRA GONZALEZ</v>
          </cell>
        </row>
        <row r="3906">
          <cell r="F3906">
            <v>90033500</v>
          </cell>
          <cell r="G3906" t="str">
            <v>Vivian Vanessa Sintuj Giron</v>
          </cell>
        </row>
        <row r="3907">
          <cell r="F3907">
            <v>90034868</v>
          </cell>
          <cell r="G3907" t="str">
            <v>Marilyn Anayanci Gonzalez James</v>
          </cell>
        </row>
        <row r="3908">
          <cell r="F3908">
            <v>90033763</v>
          </cell>
          <cell r="G3908" t="str">
            <v>Estefany Melissa Gutierrez Franco</v>
          </cell>
        </row>
        <row r="3909">
          <cell r="F3909">
            <v>90028724</v>
          </cell>
          <cell r="G3909" t="str">
            <v>MARILYN AMELY CU QUIB</v>
          </cell>
        </row>
        <row r="3910">
          <cell r="F3910">
            <v>90038417</v>
          </cell>
          <cell r="G3910" t="str">
            <v>VANESSA MARIA LILI MIGUEL INTERIANO</v>
          </cell>
        </row>
        <row r="3911">
          <cell r="F3911">
            <v>90028367</v>
          </cell>
          <cell r="G3911" t="str">
            <v>MARIA DEL CARMEN ICAL PUTUL</v>
          </cell>
        </row>
        <row r="3912">
          <cell r="F3912">
            <v>90034140</v>
          </cell>
          <cell r="G3912" t="str">
            <v>OSVIN ARIEL RAMRIREZ COY</v>
          </cell>
        </row>
        <row r="3913">
          <cell r="F3913">
            <v>90038604</v>
          </cell>
          <cell r="G3913" t="str">
            <v>DAILY TATIANA GODOY AGUILAR</v>
          </cell>
        </row>
        <row r="3914">
          <cell r="F3914">
            <v>90033871</v>
          </cell>
          <cell r="G3914" t="str">
            <v>MORELIA ESPERANZA PAAU MELENDEZ</v>
          </cell>
        </row>
        <row r="3915">
          <cell r="F3915">
            <v>90034941</v>
          </cell>
          <cell r="G3915" t="str">
            <v>SANDRA MARISOL CASTRO ORTIZ</v>
          </cell>
        </row>
        <row r="3916">
          <cell r="F3916">
            <v>90034374</v>
          </cell>
          <cell r="G3916" t="str">
            <v>ZONIA ESPERANZA CHOC REYES</v>
          </cell>
        </row>
        <row r="3917">
          <cell r="F3917">
            <v>90033870</v>
          </cell>
          <cell r="G3917" t="str">
            <v>JOSELYN FABIOLA LUCERO VANEGAS</v>
          </cell>
        </row>
        <row r="3918">
          <cell r="F3918">
            <v>90033656</v>
          </cell>
          <cell r="G3918" t="str">
            <v xml:space="preserve">JORGE DANIEL NERIO REYES </v>
          </cell>
        </row>
        <row r="3919">
          <cell r="F3919">
            <v>90034026</v>
          </cell>
          <cell r="G3919" t="str">
            <v>ANDREA CAMILA MAYORGA MARTINEZ</v>
          </cell>
        </row>
        <row r="3920">
          <cell r="F3920">
            <v>90034447</v>
          </cell>
          <cell r="G3920" t="str">
            <v>PAOLA NOELI AX CU</v>
          </cell>
        </row>
        <row r="3921">
          <cell r="F3921">
            <v>90038946</v>
          </cell>
          <cell r="G3921" t="str">
            <v>ROSA EMILSI TEO SALAZAR</v>
          </cell>
        </row>
        <row r="3922">
          <cell r="F3922">
            <v>90040467</v>
          </cell>
          <cell r="G3922" t="str">
            <v xml:space="preserve">MONICA LAJ DE LA CRUZ </v>
          </cell>
        </row>
        <row r="3923">
          <cell r="F3923">
            <v>90039328</v>
          </cell>
          <cell r="G3923" t="str">
            <v>LIBNI MADAI LOPEZ GOMEZ</v>
          </cell>
        </row>
        <row r="3924">
          <cell r="F3924">
            <v>90034565</v>
          </cell>
          <cell r="G3924" t="str">
            <v>Emely Raquel Reyes Bremer</v>
          </cell>
        </row>
        <row r="3925">
          <cell r="F3925">
            <v>90040440</v>
          </cell>
          <cell r="G3925" t="str">
            <v>ERICKA CAROLINA DIAZ HERNANDEZ</v>
          </cell>
        </row>
        <row r="3926">
          <cell r="F3926">
            <v>90040435</v>
          </cell>
          <cell r="G3926" t="str">
            <v xml:space="preserve">DEILY NOELI RAMIREZ VILLELA </v>
          </cell>
        </row>
        <row r="3927">
          <cell r="F3927">
            <v>90038373</v>
          </cell>
          <cell r="G3927" t="str">
            <v>BRYAN SLEYTER COY TERCERO</v>
          </cell>
        </row>
        <row r="3928">
          <cell r="F3928">
            <v>316486</v>
          </cell>
          <cell r="G3928" t="str">
            <v>MIGUEL RODRIGO GONZALEZ RAMIREZ</v>
          </cell>
        </row>
        <row r="3929">
          <cell r="F3929">
            <v>90028608</v>
          </cell>
          <cell r="G3929" t="str">
            <v>Erlin Roberto Xec Angulo</v>
          </cell>
        </row>
        <row r="3930">
          <cell r="F3930">
            <v>90035174</v>
          </cell>
          <cell r="G3930" t="str">
            <v>VALERIA LUCIA ESCOBAR MAZARIEGOS</v>
          </cell>
        </row>
        <row r="3931">
          <cell r="F3931">
            <v>90028187</v>
          </cell>
          <cell r="G3931" t="str">
            <v>MIRELLI RAMIREZ</v>
          </cell>
        </row>
        <row r="3932">
          <cell r="F3932">
            <v>90028638</v>
          </cell>
          <cell r="G3932" t="str">
            <v>LUIS CARLOS ROBERTO MORALES LOPEZ</v>
          </cell>
        </row>
        <row r="3933">
          <cell r="F3933">
            <v>90013782</v>
          </cell>
          <cell r="G3933" t="str">
            <v>WILLIAMS JOSE GALVEZ JORDAN</v>
          </cell>
        </row>
        <row r="3934">
          <cell r="F3934">
            <v>90024235</v>
          </cell>
          <cell r="G3934" t="str">
            <v>JASON ALBERTO BOLAÑOS GUTIERREZ</v>
          </cell>
        </row>
        <row r="3935">
          <cell r="F3935">
            <v>315925</v>
          </cell>
          <cell r="G3935" t="str">
            <v>JOSTHYN RAUL PARDO OBREGON</v>
          </cell>
        </row>
        <row r="3936">
          <cell r="F3936">
            <v>90028638</v>
          </cell>
          <cell r="G3936" t="str">
            <v>LUIS CARLOS ROBERTO MORALES LOPEZ</v>
          </cell>
        </row>
        <row r="3937">
          <cell r="F3937">
            <v>90039021</v>
          </cell>
          <cell r="G3937" t="str">
            <v>NICOLAS CHUC GARCIA</v>
          </cell>
        </row>
        <row r="3938">
          <cell r="F3938">
            <v>90034859</v>
          </cell>
          <cell r="G3938" t="str">
            <v xml:space="preserve">LESLY JULISA CORDON MUJO </v>
          </cell>
        </row>
        <row r="3939">
          <cell r="F3939">
            <v>90025666</v>
          </cell>
          <cell r="G3939" t="str">
            <v>PAULY MARTINA TOJ</v>
          </cell>
        </row>
        <row r="3940">
          <cell r="F3940">
            <v>90019011</v>
          </cell>
          <cell r="G3940" t="str">
            <v xml:space="preserve">ANGEL JOEL CASTRO COSAJAY </v>
          </cell>
        </row>
        <row r="3941">
          <cell r="F3941">
            <v>90038408</v>
          </cell>
          <cell r="G3941" t="str">
            <v>RUBEN ESTUARDO DONIS CHACON</v>
          </cell>
        </row>
        <row r="3942">
          <cell r="F3942">
            <v>90018838</v>
          </cell>
          <cell r="G3942" t="str">
            <v>PERLA ESPERANZA ORDOÑEZ ZULETA</v>
          </cell>
        </row>
        <row r="3943">
          <cell r="F3943">
            <v>90040904</v>
          </cell>
          <cell r="G3943" t="str">
            <v>Stacy Guadalupe Ramirez Mendoza</v>
          </cell>
        </row>
        <row r="3944">
          <cell r="F3944">
            <v>90040813</v>
          </cell>
          <cell r="G3944" t="str">
            <v>MIRZA KARINA PALMA MARROQUIN</v>
          </cell>
        </row>
        <row r="3945">
          <cell r="F3945">
            <v>90009250</v>
          </cell>
          <cell r="G3945" t="str">
            <v>YOSELIN YESENIA PEREZ JIMENEZ</v>
          </cell>
        </row>
        <row r="3946">
          <cell r="F3946">
            <v>90024632</v>
          </cell>
          <cell r="G3946" t="str">
            <v xml:space="preserve">ERICKA ESPERANZA SANDOVAL HERNANDEZ </v>
          </cell>
        </row>
        <row r="3947">
          <cell r="F3947">
            <v>90028491</v>
          </cell>
          <cell r="G3947" t="str">
            <v>ADOLFO RAFAEL SEGOVIA QUEZADA</v>
          </cell>
        </row>
        <row r="3948">
          <cell r="F3948">
            <v>90013719</v>
          </cell>
          <cell r="G3948" t="str">
            <v xml:space="preserve">MÓNICA CAROLINA LIMA CIFUENTES </v>
          </cell>
        </row>
        <row r="3949">
          <cell r="F3949">
            <v>90039301</v>
          </cell>
          <cell r="G3949" t="str">
            <v>GABBY MARIETT PAMELA BAUTISTA BAUTISTA</v>
          </cell>
        </row>
        <row r="3950">
          <cell r="F3950">
            <v>90046255</v>
          </cell>
          <cell r="G3950" t="str">
            <v xml:space="preserve">VICTOR HUGO FUENTES ORTIZ </v>
          </cell>
        </row>
        <row r="3951">
          <cell r="F3951">
            <v>90024719</v>
          </cell>
          <cell r="G3951" t="str">
            <v>CRISTOPHER JOSUE CHANQUI FLORES</v>
          </cell>
        </row>
        <row r="3952">
          <cell r="F3952">
            <v>315841</v>
          </cell>
          <cell r="G3952" t="str">
            <v>LESBIA ROXANA ROJAS CASTRO</v>
          </cell>
        </row>
        <row r="3953">
          <cell r="F3953">
            <v>90039124</v>
          </cell>
          <cell r="G3953" t="str">
            <v>PABLO JAVIER REINOSA FUENTES</v>
          </cell>
        </row>
        <row r="3954">
          <cell r="F3954">
            <v>90039330</v>
          </cell>
          <cell r="G3954" t="str">
            <v>Diana Ivon Aguilar Gonzalez</v>
          </cell>
        </row>
        <row r="3955">
          <cell r="F3955">
            <v>315555</v>
          </cell>
          <cell r="G3955" t="str">
            <v>ELISEO CARRILLO MACARIO</v>
          </cell>
        </row>
        <row r="3956">
          <cell r="F3956">
            <v>90039321</v>
          </cell>
          <cell r="G3956" t="str">
            <v>ASHLEY MELISSA MEDINA RODRIGUEZ</v>
          </cell>
        </row>
        <row r="3957">
          <cell r="F3957">
            <v>90023868</v>
          </cell>
          <cell r="G3957" t="str">
            <v>FERNANDO RENE GIL DE LEON</v>
          </cell>
        </row>
        <row r="3958">
          <cell r="F3958">
            <v>315657</v>
          </cell>
          <cell r="G3958" t="str">
            <v>HUGO EZEQUIEL GUEVARA GÓMEZ</v>
          </cell>
        </row>
        <row r="3959">
          <cell r="F3959">
            <v>90012180</v>
          </cell>
          <cell r="G3959" t="str">
            <v xml:space="preserve">CINDY MAYROBY OSCAL QUIÑONEZ </v>
          </cell>
        </row>
        <row r="3960">
          <cell r="F3960">
            <v>90015631</v>
          </cell>
          <cell r="G3960" t="str">
            <v>JEISSY DARIELA CASTELLANOS HERNANDEZ</v>
          </cell>
        </row>
        <row r="3961">
          <cell r="F3961">
            <v>90040461</v>
          </cell>
          <cell r="G3961" t="str">
            <v>JONATHAN FERNANDO GOMEZ VILLATORO</v>
          </cell>
        </row>
        <row r="3962">
          <cell r="F3962">
            <v>90028732</v>
          </cell>
          <cell r="G3962" t="str">
            <v>XAVIER ALEJANDRO RAMIREZ DIAZ</v>
          </cell>
        </row>
        <row r="3963">
          <cell r="F3963">
            <v>90040627</v>
          </cell>
          <cell r="G3963" t="str">
            <v>JOSE LEON CHOGUAJ TOJIN</v>
          </cell>
        </row>
        <row r="3964">
          <cell r="F3964">
            <v>90034563</v>
          </cell>
          <cell r="G3964" t="str">
            <v>MARIA VICTORIA MONTENEGRO SARPEC</v>
          </cell>
        </row>
        <row r="3965">
          <cell r="F3965">
            <v>90015630</v>
          </cell>
          <cell r="G3965" t="str">
            <v>MAURICIO LEON RUANO</v>
          </cell>
        </row>
        <row r="3966">
          <cell r="F3966">
            <v>90035252</v>
          </cell>
          <cell r="G3966" t="str">
            <v>Antony Steven Cabrera Muñoz</v>
          </cell>
        </row>
        <row r="3967">
          <cell r="F3967">
            <v>90045911</v>
          </cell>
          <cell r="G3967" t="str">
            <v>Josue Antonio Avila Cuxe</v>
          </cell>
        </row>
        <row r="3968">
          <cell r="F3968">
            <v>90039162</v>
          </cell>
          <cell r="G3968" t="str">
            <v xml:space="preserve">ALICIA MICHELLE ESTRADA REVOLORIO </v>
          </cell>
        </row>
        <row r="3969">
          <cell r="F3969">
            <v>90046332</v>
          </cell>
          <cell r="G3969" t="str">
            <v>DULCE MISHELL ALVARADO TOVAR</v>
          </cell>
        </row>
        <row r="3970">
          <cell r="F3970">
            <v>90048446</v>
          </cell>
          <cell r="G3970" t="str">
            <v>JENNIE JULIECITA GONZALEZ SANCHEZ</v>
          </cell>
        </row>
        <row r="3971">
          <cell r="F3971">
            <v>90040567</v>
          </cell>
          <cell r="G3971" t="str">
            <v>Walter Alberto Gomez Ojot</v>
          </cell>
        </row>
        <row r="3972">
          <cell r="F3972">
            <v>90040767</v>
          </cell>
          <cell r="G3972" t="str">
            <v xml:space="preserve">JOSELIN GABRIELA VASQUEZ VIVAS </v>
          </cell>
        </row>
        <row r="3973">
          <cell r="F3973">
            <v>90049488</v>
          </cell>
          <cell r="G3973" t="str">
            <v>JOSE FERNANDO HERNANDEZ ELIAS</v>
          </cell>
        </row>
        <row r="3974">
          <cell r="F3974">
            <v>90046884</v>
          </cell>
          <cell r="G3974" t="str">
            <v>NORMAN ALEXANDER CHINCHILLA OLMEDO</v>
          </cell>
        </row>
        <row r="3975">
          <cell r="F3975">
            <v>90048444</v>
          </cell>
          <cell r="G3975" t="str">
            <v>KATHERYN ELIZABETH BLANCO ECHEVERRIA</v>
          </cell>
        </row>
        <row r="3976">
          <cell r="F3976">
            <v>90021357</v>
          </cell>
          <cell r="G3976" t="str">
            <v>SANDRA MARICELA HERNANDEZ AVAL</v>
          </cell>
        </row>
        <row r="3977">
          <cell r="F3977">
            <v>307506</v>
          </cell>
          <cell r="G3977" t="str">
            <v>AXEL JONATHAN CASH MENDEZ</v>
          </cell>
        </row>
        <row r="3978">
          <cell r="F3978">
            <v>90049421</v>
          </cell>
          <cell r="G3978" t="str">
            <v>MARVIN ROLANDO FUENTES AGUILAR</v>
          </cell>
        </row>
        <row r="3979">
          <cell r="F3979">
            <v>90051364</v>
          </cell>
          <cell r="G3979" t="str">
            <v>Doris Yanali Cancinos Mejia</v>
          </cell>
        </row>
        <row r="3980">
          <cell r="F3980">
            <v>90050054</v>
          </cell>
          <cell r="G3980" t="str">
            <v>ALEXIS FRANCISCO MARTINEZ QUEME</v>
          </cell>
        </row>
        <row r="3981">
          <cell r="F3981">
            <v>90049072</v>
          </cell>
          <cell r="G3981" t="str">
            <v>DAILY YAMILETH DEL CID VASQUEZ</v>
          </cell>
        </row>
        <row r="3982">
          <cell r="F3982">
            <v>90050146</v>
          </cell>
          <cell r="G3982" t="str">
            <v>WENDY ARACELY MARROQUIN ARIAS</v>
          </cell>
        </row>
        <row r="3983">
          <cell r="F3983">
            <v>90050413</v>
          </cell>
          <cell r="G3983" t="str">
            <v>KAREN JAZMIN RUBIO GALVEZ</v>
          </cell>
        </row>
        <row r="3984">
          <cell r="F3984">
            <v>90033288</v>
          </cell>
          <cell r="G3984" t="str">
            <v>SINTHIA SARAI ACEITUNO GUERRERO</v>
          </cell>
        </row>
        <row r="3985">
          <cell r="F3985">
            <v>90048461</v>
          </cell>
          <cell r="G3985" t="str">
            <v>EVELYN PAOLA ESTEBAN BENITO</v>
          </cell>
        </row>
        <row r="3986">
          <cell r="F3986">
            <v>90046994</v>
          </cell>
          <cell r="G3986" t="str">
            <v>AMANDA MAGALY MORALES PEREZ</v>
          </cell>
        </row>
        <row r="3987">
          <cell r="F3987">
            <v>90033492</v>
          </cell>
          <cell r="G3987" t="str">
            <v>YURI ELIZABETH GONON PRETZANZIN</v>
          </cell>
        </row>
        <row r="3988">
          <cell r="F3988">
            <v>90059958</v>
          </cell>
          <cell r="G3988" t="str">
            <v xml:space="preserve">DALIA RACHEL FIGUEROA ELIAS </v>
          </cell>
        </row>
        <row r="3989">
          <cell r="F3989">
            <v>90049807</v>
          </cell>
          <cell r="G3989" t="str">
            <v>KAREN CELESTE SILVA SALOMON</v>
          </cell>
        </row>
        <row r="3990">
          <cell r="F3990">
            <v>90049905</v>
          </cell>
          <cell r="G3990" t="str">
            <v>Rivaldo Tucubal Benites</v>
          </cell>
        </row>
        <row r="3991">
          <cell r="F3991">
            <v>315870</v>
          </cell>
          <cell r="G3991" t="str">
            <v>ADOLFO RONALDO ALFARO RIVERA</v>
          </cell>
        </row>
        <row r="3992">
          <cell r="F3992">
            <v>90060252</v>
          </cell>
          <cell r="G3992" t="str">
            <v>ANALLELY ALEXANDRA CAMPOS HERNANDEZ</v>
          </cell>
        </row>
        <row r="3993">
          <cell r="F3993">
            <v>90051367</v>
          </cell>
          <cell r="G3993" t="str">
            <v>JOSEFA PACAY RAMIREZ</v>
          </cell>
        </row>
        <row r="3994">
          <cell r="F3994">
            <v>90048797</v>
          </cell>
          <cell r="G3994" t="str">
            <v>Edson Fernando Segura Chocop</v>
          </cell>
        </row>
        <row r="3995">
          <cell r="F3995">
            <v>90049903</v>
          </cell>
          <cell r="G3995" t="str">
            <v>JOSE RAFAEL GARCIA RAMIREZ</v>
          </cell>
        </row>
        <row r="3996">
          <cell r="F3996">
            <v>90048711</v>
          </cell>
          <cell r="G3996" t="str">
            <v>MIRZA ROCIO GALICIA CASIMIRO</v>
          </cell>
        </row>
        <row r="3997">
          <cell r="F3997">
            <v>309415</v>
          </cell>
          <cell r="G3997" t="str">
            <v>ANGEL JOSE FIGUEROA GARCIA</v>
          </cell>
        </row>
        <row r="3998">
          <cell r="F3998">
            <v>90035128</v>
          </cell>
          <cell r="G3998" t="str">
            <v>PAOLA ALEJANDRA MONZON PANIAGUA</v>
          </cell>
        </row>
        <row r="3999">
          <cell r="F3999">
            <v>90062502</v>
          </cell>
          <cell r="G3999" t="str">
            <v>ILSY PAULINA CALDERON MAZARIEGOS</v>
          </cell>
        </row>
        <row r="4000">
          <cell r="F4000">
            <v>90063413</v>
          </cell>
          <cell r="G4000" t="str">
            <v>HECTOR ENRIQUE LAVARREDA VASQUEZ</v>
          </cell>
        </row>
        <row r="4001">
          <cell r="F4001">
            <v>90040281</v>
          </cell>
          <cell r="G4001" t="str">
            <v xml:space="preserve">CARLOS ANTONIO JUL COC </v>
          </cell>
        </row>
        <row r="4002">
          <cell r="F4002">
            <v>90038979</v>
          </cell>
          <cell r="G4002" t="str">
            <v>NESTOR RENE SAGASTUME RODAS</v>
          </cell>
        </row>
        <row r="4003">
          <cell r="F4003">
            <v>90062598</v>
          </cell>
          <cell r="G4003" t="str">
            <v>ERICKA NOEMI MAZARIEGOS PINEDA</v>
          </cell>
        </row>
        <row r="4004">
          <cell r="F4004">
            <v>90064536</v>
          </cell>
          <cell r="G4004" t="str">
            <v>ALEXIS ELIAZAR LUIS LOPEZ</v>
          </cell>
        </row>
        <row r="4005">
          <cell r="F4005">
            <v>90064214</v>
          </cell>
          <cell r="G4005" t="str">
            <v>Astrid Michelle Regil Peralta</v>
          </cell>
        </row>
        <row r="4006">
          <cell r="F4006">
            <v>90065920</v>
          </cell>
          <cell r="G4006" t="str">
            <v>ELDER FRANCISCO JIMENEZ MITA</v>
          </cell>
        </row>
        <row r="4007">
          <cell r="F4007">
            <v>90065921</v>
          </cell>
          <cell r="G4007" t="str">
            <v>MYNOR ADELSO AJBAC TOÑO</v>
          </cell>
        </row>
        <row r="4008">
          <cell r="F4008">
            <v>9006655</v>
          </cell>
          <cell r="G4008" t="str">
            <v>Kimberly Isabel Mazariegos González</v>
          </cell>
        </row>
        <row r="4009">
          <cell r="F4009">
            <v>90066518</v>
          </cell>
          <cell r="G4009" t="str">
            <v>Ashlin Alejandra de Leon Calderon</v>
          </cell>
        </row>
        <row r="4010">
          <cell r="F4010">
            <v>90066655</v>
          </cell>
          <cell r="G4010" t="str">
            <v>KIMBERLY ISABEL MAZARIEGOS GONZALEZ</v>
          </cell>
        </row>
        <row r="4011">
          <cell r="F4011">
            <v>90067339</v>
          </cell>
          <cell r="G4011" t="e">
            <v>#N/A</v>
          </cell>
        </row>
        <row r="4012">
          <cell r="F4012">
            <v>90064210</v>
          </cell>
          <cell r="G4012" t="str">
            <v>GEREMY ARMANDO HERNANDEZ CAMACHO</v>
          </cell>
        </row>
        <row r="4013">
          <cell r="F4013">
            <v>90046281</v>
          </cell>
          <cell r="G4013" t="str">
            <v>CARLOS MANUEL AMARRA MATEO</v>
          </cell>
        </row>
        <row r="4014">
          <cell r="F4014">
            <v>90019192</v>
          </cell>
          <cell r="G4014" t="str">
            <v>AXEL YONELDIS GASPAR JUAREZ</v>
          </cell>
        </row>
        <row r="4015">
          <cell r="F4015">
            <v>90063371</v>
          </cell>
          <cell r="G4015" t="str">
            <v>JOSIAS ANTONIO CABRERA TIRADO</v>
          </cell>
        </row>
        <row r="4016">
          <cell r="F4016">
            <v>90023752</v>
          </cell>
          <cell r="G4016" t="str">
            <v>EDY DIONISIO FUENTES MARTINEZ</v>
          </cell>
        </row>
        <row r="4017">
          <cell r="F4017">
            <v>90047699</v>
          </cell>
          <cell r="G4017" t="str">
            <v>ANDERSON JOSUE OXLAJ BAMACA</v>
          </cell>
        </row>
        <row r="4018">
          <cell r="F4018">
            <v>90084484</v>
          </cell>
          <cell r="G4018" t="str">
            <v>JENIFER DANIELA ZACARIAS LOPEZ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tiembre 24"/>
      <sheetName val="Datos"/>
    </sheetNames>
    <sheetDataSet>
      <sheetData sheetId="0" refreshError="1"/>
      <sheetData sheetId="1">
        <row r="1">
          <cell r="F1" t="str">
            <v>Codigo Empleado</v>
          </cell>
          <cell r="G1" t="str">
            <v>Nombre Empleado</v>
          </cell>
        </row>
        <row r="2">
          <cell r="F2">
            <v>314692</v>
          </cell>
          <cell r="G2" t="str">
            <v>Abi Susana Santos Alvarado</v>
          </cell>
        </row>
        <row r="3">
          <cell r="F3">
            <v>313537</v>
          </cell>
          <cell r="G3" t="str">
            <v>Abigail Nohemi Letona Lopez</v>
          </cell>
        </row>
        <row r="4">
          <cell r="F4">
            <v>314163</v>
          </cell>
          <cell r="G4" t="str">
            <v>Abner Amilcar Miguel Pedro</v>
          </cell>
        </row>
        <row r="5">
          <cell r="F5">
            <v>300544</v>
          </cell>
          <cell r="G5" t="str">
            <v>Abner Enmanuel Perez Rodriguez</v>
          </cell>
        </row>
        <row r="6">
          <cell r="F6">
            <v>315208</v>
          </cell>
          <cell r="G6" t="str">
            <v>Abner Juan Alexander Menchu Tiu</v>
          </cell>
        </row>
        <row r="7">
          <cell r="F7">
            <v>315069</v>
          </cell>
          <cell r="G7" t="str">
            <v>Abner Rocael Sosa Escobar</v>
          </cell>
        </row>
        <row r="8">
          <cell r="F8">
            <v>310864</v>
          </cell>
          <cell r="G8" t="str">
            <v>Adelaida Garcia Hernandez</v>
          </cell>
        </row>
        <row r="9">
          <cell r="F9">
            <v>314604</v>
          </cell>
          <cell r="G9" t="str">
            <v>Adieny Moren Ramirez Gamboa</v>
          </cell>
        </row>
        <row r="10">
          <cell r="F10">
            <v>311687</v>
          </cell>
          <cell r="G10" t="str">
            <v>Aida Gabriela De Leon Carrascoza</v>
          </cell>
        </row>
        <row r="11">
          <cell r="F11">
            <v>315221</v>
          </cell>
          <cell r="G11" t="str">
            <v>Alan David Perez Muyus</v>
          </cell>
        </row>
        <row r="12">
          <cell r="F12">
            <v>311950</v>
          </cell>
          <cell r="G12" t="str">
            <v>Alan Javier Castillo Ordoñez</v>
          </cell>
        </row>
        <row r="13">
          <cell r="F13">
            <v>313765</v>
          </cell>
          <cell r="G13" t="str">
            <v>Alan Ricardo Flores Diaz</v>
          </cell>
        </row>
        <row r="14">
          <cell r="F14">
            <v>312686</v>
          </cell>
          <cell r="G14" t="str">
            <v>Alba Azucena Santeliz Marin</v>
          </cell>
        </row>
        <row r="15">
          <cell r="F15">
            <v>313531</v>
          </cell>
          <cell r="G15" t="str">
            <v>Alejandra Gramajo Marroquin</v>
          </cell>
        </row>
        <row r="16">
          <cell r="F16">
            <v>313714</v>
          </cell>
          <cell r="G16" t="str">
            <v>Alejandra Julissa Solis Aguilar</v>
          </cell>
        </row>
        <row r="17">
          <cell r="F17">
            <v>313994</v>
          </cell>
          <cell r="G17" t="str">
            <v>Alejandra Naime Muñoz Letona</v>
          </cell>
        </row>
        <row r="18">
          <cell r="F18">
            <v>314849</v>
          </cell>
          <cell r="G18" t="str">
            <v>Alejandro Enrique Mejicanos Ramos</v>
          </cell>
        </row>
        <row r="20">
          <cell r="F20">
            <v>315220</v>
          </cell>
          <cell r="G20" t="str">
            <v>Alejandro Jose Mont Diaz</v>
          </cell>
        </row>
        <row r="21">
          <cell r="F21">
            <v>311810</v>
          </cell>
          <cell r="G21" t="str">
            <v>Alexander Macario Gonzalez Monterroso</v>
          </cell>
        </row>
        <row r="22">
          <cell r="F22">
            <v>300907</v>
          </cell>
          <cell r="G22" t="str">
            <v>Alexangel Quan Urrutia</v>
          </cell>
        </row>
        <row r="23">
          <cell r="F23">
            <v>312962</v>
          </cell>
          <cell r="G23" t="str">
            <v>Alexia Paola Marroquin Lopez</v>
          </cell>
        </row>
        <row r="24">
          <cell r="F24">
            <v>314671</v>
          </cell>
          <cell r="G24" t="str">
            <v>Alexsandra Daniela Cano Garcia</v>
          </cell>
        </row>
        <row r="25">
          <cell r="F25">
            <v>311103</v>
          </cell>
          <cell r="G25" t="str">
            <v>Alfredo Chiyal Bocel</v>
          </cell>
        </row>
        <row r="26">
          <cell r="F26">
            <v>311576</v>
          </cell>
          <cell r="G26" t="str">
            <v>Alfredo Gomez Lancerio</v>
          </cell>
        </row>
        <row r="27">
          <cell r="F27">
            <v>313014</v>
          </cell>
          <cell r="G27" t="str">
            <v>Alfredo Monsanto Santos</v>
          </cell>
        </row>
        <row r="28">
          <cell r="F28">
            <v>315223</v>
          </cell>
          <cell r="G28" t="str">
            <v>Alicia Magaly Juarez Quiacain</v>
          </cell>
        </row>
        <row r="29">
          <cell r="F29">
            <v>314035</v>
          </cell>
          <cell r="G29" t="str">
            <v>Alisson Andrea Jacobo Castro</v>
          </cell>
        </row>
        <row r="30">
          <cell r="F30">
            <v>315214</v>
          </cell>
          <cell r="G30" t="str">
            <v>Allan David Galdamez De Leon</v>
          </cell>
        </row>
        <row r="31">
          <cell r="F31">
            <v>306902</v>
          </cell>
          <cell r="G31" t="str">
            <v>Allan Kalleb Garcia Cahuex</v>
          </cell>
        </row>
        <row r="32">
          <cell r="F32">
            <v>315434</v>
          </cell>
          <cell r="G32" t="str">
            <v>Alma Carolina Herrera Pirir</v>
          </cell>
        </row>
        <row r="33">
          <cell r="F33">
            <v>315280</v>
          </cell>
          <cell r="G33" t="str">
            <v>Alma Rosa Valle Blandon</v>
          </cell>
        </row>
        <row r="34">
          <cell r="F34">
            <v>302247</v>
          </cell>
          <cell r="G34" t="str">
            <v>Alma Yecenia Ramon Oroxon</v>
          </cell>
        </row>
        <row r="35">
          <cell r="F35">
            <v>310433</v>
          </cell>
          <cell r="G35" t="str">
            <v>Alma Zucely Sarceño Peralta</v>
          </cell>
        </row>
        <row r="36">
          <cell r="F36">
            <v>313286</v>
          </cell>
          <cell r="G36" t="str">
            <v>Alvaro Fernando Acte Mérida</v>
          </cell>
        </row>
        <row r="37">
          <cell r="F37">
            <v>313119</v>
          </cell>
          <cell r="G37" t="str">
            <v>Alvaro Luis Carias Gonzalez</v>
          </cell>
        </row>
        <row r="38">
          <cell r="F38">
            <v>313528</v>
          </cell>
          <cell r="G38" t="str">
            <v>Amairani Lilibeth Escobar Maquin</v>
          </cell>
        </row>
        <row r="39">
          <cell r="F39">
            <v>309338</v>
          </cell>
          <cell r="G39" t="str">
            <v>Amalia Rebeca Son Juarez</v>
          </cell>
        </row>
        <row r="40">
          <cell r="F40">
            <v>309664</v>
          </cell>
          <cell r="G40" t="str">
            <v>Amarilis Sarita Ajtun Lopez</v>
          </cell>
        </row>
        <row r="41">
          <cell r="F41">
            <v>309337</v>
          </cell>
          <cell r="G41" t="str">
            <v>Amauri Santillano Catalan</v>
          </cell>
        </row>
        <row r="42">
          <cell r="F42">
            <v>315553</v>
          </cell>
          <cell r="G42" t="str">
            <v>Amed Isram Rodas Garcia</v>
          </cell>
        </row>
        <row r="43">
          <cell r="F43">
            <v>301503</v>
          </cell>
          <cell r="G43" t="str">
            <v>America Romilia Martinez Ramirez</v>
          </cell>
        </row>
        <row r="44">
          <cell r="F44">
            <v>311055</v>
          </cell>
          <cell r="G44" t="str">
            <v>Amram Dodanim Lopez Cahuec</v>
          </cell>
        </row>
        <row r="45">
          <cell r="F45">
            <v>307790</v>
          </cell>
          <cell r="G45" t="str">
            <v>Ana Cecilia Navichoc Chiquival</v>
          </cell>
        </row>
        <row r="46">
          <cell r="F46">
            <v>315044</v>
          </cell>
          <cell r="G46" t="str">
            <v>Ana Celeste Garcia Garcia</v>
          </cell>
        </row>
        <row r="47">
          <cell r="F47">
            <v>309527</v>
          </cell>
          <cell r="G47" t="str">
            <v>Ana Gabriela Caal Cruz</v>
          </cell>
        </row>
        <row r="48">
          <cell r="F48">
            <v>313217</v>
          </cell>
          <cell r="G48" t="str">
            <v>Ana Gabriela Damian Ixbalan</v>
          </cell>
        </row>
        <row r="49">
          <cell r="F49">
            <v>305932</v>
          </cell>
          <cell r="G49" t="str">
            <v>Ana Gabriela De La Cruz Aguilar</v>
          </cell>
        </row>
        <row r="50">
          <cell r="F50">
            <v>314984</v>
          </cell>
          <cell r="G50" t="str">
            <v>Ana Gabriela Equite Diaz</v>
          </cell>
        </row>
        <row r="51">
          <cell r="F51">
            <v>307751</v>
          </cell>
          <cell r="G51" t="str">
            <v>Ana Gabriela Gonzalez Herrera</v>
          </cell>
        </row>
        <row r="52">
          <cell r="F52">
            <v>310329</v>
          </cell>
          <cell r="G52" t="str">
            <v>Ana Leticia Lux Say</v>
          </cell>
        </row>
        <row r="53">
          <cell r="F53">
            <v>311761</v>
          </cell>
          <cell r="G53" t="str">
            <v>Ana Lourdes Muñoz Pensamiento</v>
          </cell>
        </row>
        <row r="54">
          <cell r="F54">
            <v>311111</v>
          </cell>
          <cell r="G54" t="str">
            <v>Ana Lucia Donis Franco</v>
          </cell>
        </row>
        <row r="55">
          <cell r="F55">
            <v>313991</v>
          </cell>
          <cell r="G55" t="str">
            <v>Ana Lucia Gudiel Vasquez</v>
          </cell>
        </row>
        <row r="56">
          <cell r="F56">
            <v>307442</v>
          </cell>
          <cell r="G56" t="str">
            <v>Ana Lucia Ramirez Aquino</v>
          </cell>
        </row>
        <row r="57">
          <cell r="F57">
            <v>306767</v>
          </cell>
          <cell r="G57" t="str">
            <v>Ana Marcela Castillo Rodriguez</v>
          </cell>
        </row>
        <row r="58">
          <cell r="F58">
            <v>312249</v>
          </cell>
          <cell r="G58" t="str">
            <v>Ana Margarita Barrera Estrada</v>
          </cell>
        </row>
        <row r="59">
          <cell r="F59">
            <v>202795</v>
          </cell>
          <cell r="G59" t="str">
            <v>Ana Maria Barrios Alejos</v>
          </cell>
        </row>
        <row r="60">
          <cell r="F60">
            <v>315474</v>
          </cell>
          <cell r="G60" t="str">
            <v>Ana Merced Arriola Gomez</v>
          </cell>
        </row>
        <row r="61">
          <cell r="F61">
            <v>308129</v>
          </cell>
          <cell r="G61" t="str">
            <v>Ana Mercedes Tiul Caal</v>
          </cell>
        </row>
        <row r="62">
          <cell r="F62">
            <v>314191</v>
          </cell>
          <cell r="G62" t="str">
            <v>Ana Patricia Escobar Cardona</v>
          </cell>
        </row>
        <row r="63">
          <cell r="F63">
            <v>310191</v>
          </cell>
          <cell r="G63" t="str">
            <v>Ana Paulina Macario Del Cid</v>
          </cell>
        </row>
        <row r="64">
          <cell r="F64">
            <v>310728</v>
          </cell>
          <cell r="G64" t="str">
            <v>Ana Rita Morales Mata</v>
          </cell>
        </row>
        <row r="65">
          <cell r="F65">
            <v>314469</v>
          </cell>
          <cell r="G65" t="str">
            <v>Ana Sofia Castillo Armas</v>
          </cell>
        </row>
        <row r="66">
          <cell r="F66">
            <v>312945</v>
          </cell>
          <cell r="G66" t="str">
            <v>Ana Victoria Gonzalez Garcia</v>
          </cell>
        </row>
        <row r="67">
          <cell r="F67">
            <v>314019</v>
          </cell>
          <cell r="G67" t="str">
            <v>Anali Guadalupe Salazar Rodriguez</v>
          </cell>
        </row>
        <row r="68">
          <cell r="F68">
            <v>315372</v>
          </cell>
          <cell r="G68" t="str">
            <v>Andrea Ayalett Ochoa Lopez</v>
          </cell>
        </row>
        <row r="69">
          <cell r="F69">
            <v>311505</v>
          </cell>
          <cell r="G69" t="str">
            <v>Andrea Dayana Ordoñez Mendez</v>
          </cell>
        </row>
        <row r="70">
          <cell r="F70">
            <v>315215</v>
          </cell>
          <cell r="G70" t="str">
            <v>Andrea Fernanda Villela Hernandez</v>
          </cell>
        </row>
        <row r="71">
          <cell r="F71">
            <v>311380</v>
          </cell>
          <cell r="G71" t="str">
            <v>Andrea Lisbeth Ruiz Rodas</v>
          </cell>
        </row>
        <row r="72">
          <cell r="F72">
            <v>311137</v>
          </cell>
          <cell r="G72" t="str">
            <v>Andrea Lucia Lopez Ajin</v>
          </cell>
        </row>
        <row r="73">
          <cell r="F73">
            <v>303012</v>
          </cell>
          <cell r="G73" t="str">
            <v>Andrea Marbely Letran Juarez</v>
          </cell>
        </row>
        <row r="74">
          <cell r="F74">
            <v>315264</v>
          </cell>
          <cell r="G74" t="str">
            <v>Andrea Margarita Gomez Morales</v>
          </cell>
        </row>
        <row r="75">
          <cell r="F75">
            <v>302630</v>
          </cell>
          <cell r="G75" t="str">
            <v>Andrea Maria Alvarez Calderon</v>
          </cell>
        </row>
        <row r="76">
          <cell r="F76">
            <v>314057</v>
          </cell>
          <cell r="G76" t="str">
            <v>Andrea Michelle Urbina Solorzano</v>
          </cell>
        </row>
        <row r="77">
          <cell r="F77">
            <v>312310</v>
          </cell>
          <cell r="G77" t="str">
            <v>Andrea Paola Santisteban Per</v>
          </cell>
        </row>
        <row r="78">
          <cell r="F78">
            <v>311079</v>
          </cell>
          <cell r="G78" t="str">
            <v>Andrea Sucely Ortiz Villavicencio</v>
          </cell>
        </row>
        <row r="79">
          <cell r="F79">
            <v>311759</v>
          </cell>
          <cell r="G79" t="str">
            <v>Andrea Yesenia Carpio Ramirez</v>
          </cell>
        </row>
        <row r="80">
          <cell r="F80">
            <v>313301</v>
          </cell>
          <cell r="G80" t="str">
            <v>Andreina Antonieta Velasquez Fuentes</v>
          </cell>
        </row>
        <row r="81">
          <cell r="F81">
            <v>315450</v>
          </cell>
          <cell r="G81" t="str">
            <v>Andreina Nataly Canahui Ochoa</v>
          </cell>
        </row>
        <row r="82">
          <cell r="F82">
            <v>314933</v>
          </cell>
          <cell r="G82" t="str">
            <v>Angel Eliu Humberto Caal Lopez</v>
          </cell>
        </row>
        <row r="83">
          <cell r="F83">
            <v>306471</v>
          </cell>
          <cell r="G83" t="str">
            <v>Angel Enmanuel Quim Macz</v>
          </cell>
        </row>
        <row r="84">
          <cell r="F84">
            <v>309415</v>
          </cell>
          <cell r="G84" t="str">
            <v>Angel Jose Figueroa Garcia</v>
          </cell>
        </row>
        <row r="85">
          <cell r="F85">
            <v>315312</v>
          </cell>
          <cell r="G85" t="str">
            <v>Angel Josue Ortiz De Leon</v>
          </cell>
        </row>
        <row r="86">
          <cell r="F86">
            <v>305814</v>
          </cell>
          <cell r="G86" t="str">
            <v>Angel Josue Perez Rivera</v>
          </cell>
        </row>
        <row r="87">
          <cell r="F87">
            <v>314564</v>
          </cell>
          <cell r="G87" t="str">
            <v>Angel Raderyk Vasquez Ovando</v>
          </cell>
        </row>
        <row r="88">
          <cell r="F88">
            <v>312055</v>
          </cell>
          <cell r="G88" t="str">
            <v>Angela Daniela Mazariegos Herrera</v>
          </cell>
        </row>
        <row r="89">
          <cell r="F89">
            <v>311086</v>
          </cell>
          <cell r="G89" t="str">
            <v>Angela Esmeralda Reyes Arriaza</v>
          </cell>
        </row>
        <row r="90">
          <cell r="F90">
            <v>309859</v>
          </cell>
          <cell r="G90" t="str">
            <v>Angela Ester Gramajo Galicia</v>
          </cell>
        </row>
        <row r="91">
          <cell r="F91">
            <v>315026</v>
          </cell>
          <cell r="G91" t="str">
            <v>Angela Marizol Ramon Escobar</v>
          </cell>
        </row>
        <row r="92">
          <cell r="F92">
            <v>314696</v>
          </cell>
          <cell r="G92" t="str">
            <v>Angelica Sol Ortiz</v>
          </cell>
        </row>
        <row r="93">
          <cell r="F93">
            <v>311699</v>
          </cell>
          <cell r="G93" t="str">
            <v>Anika Beira Domingo Escobar</v>
          </cell>
        </row>
        <row r="94">
          <cell r="F94">
            <v>315556</v>
          </cell>
          <cell r="G94" t="str">
            <v>Anthony Enrique Castellanos Perez</v>
          </cell>
        </row>
        <row r="95">
          <cell r="F95">
            <v>315121</v>
          </cell>
          <cell r="G95" t="str">
            <v>Antoni Alexis Del Cid Sian</v>
          </cell>
        </row>
        <row r="96">
          <cell r="F96">
            <v>311557</v>
          </cell>
          <cell r="G96" t="str">
            <v>Aracely Nohemy Fuentes Alonzo</v>
          </cell>
        </row>
        <row r="97">
          <cell r="F97">
            <v>102256</v>
          </cell>
          <cell r="G97" t="str">
            <v>Arelis Noemi Gonzalez Vivar</v>
          </cell>
        </row>
        <row r="98">
          <cell r="F98">
            <v>315150</v>
          </cell>
          <cell r="G98" t="str">
            <v>Arely Maoly Aguilar Y Aguilar</v>
          </cell>
        </row>
        <row r="99">
          <cell r="F99">
            <v>309908</v>
          </cell>
          <cell r="G99" t="str">
            <v>Arleth Julissa Paredez Ramirez</v>
          </cell>
        </row>
        <row r="100">
          <cell r="F100">
            <v>315532</v>
          </cell>
          <cell r="G100" t="str">
            <v>Ashley Dayana Franco Sandoval</v>
          </cell>
        </row>
        <row r="101">
          <cell r="F101">
            <v>315493</v>
          </cell>
          <cell r="G101" t="str">
            <v>Astrid Carolina Lopez Lopez</v>
          </cell>
        </row>
        <row r="102">
          <cell r="F102">
            <v>310020</v>
          </cell>
          <cell r="G102" t="str">
            <v>Astrid Elena Alvarado Lopez</v>
          </cell>
        </row>
        <row r="103">
          <cell r="F103">
            <v>315277</v>
          </cell>
          <cell r="G103" t="str">
            <v>Astrid Guadalupe Fernandez Perez</v>
          </cell>
        </row>
        <row r="104">
          <cell r="F104">
            <v>310483</v>
          </cell>
          <cell r="G104" t="str">
            <v>Astrid Ivone Hernandez</v>
          </cell>
        </row>
        <row r="105">
          <cell r="F105">
            <v>309804</v>
          </cell>
          <cell r="G105" t="str">
            <v>Astrid Leonela Barrios Velasquez</v>
          </cell>
        </row>
        <row r="106">
          <cell r="F106">
            <v>312146</v>
          </cell>
          <cell r="G106" t="str">
            <v>Astrid Lisbeth Morales Morales</v>
          </cell>
        </row>
        <row r="107">
          <cell r="F107">
            <v>310967</v>
          </cell>
          <cell r="G107" t="str">
            <v>Astrid Marielena Mendez Garcia</v>
          </cell>
        </row>
        <row r="108">
          <cell r="F108">
            <v>311328</v>
          </cell>
          <cell r="G108" t="str">
            <v>Astrid Yohana Escobar Oliva</v>
          </cell>
        </row>
        <row r="109">
          <cell r="F109">
            <v>314277</v>
          </cell>
          <cell r="G109" t="str">
            <v>Aura Josefina Coy Tiul</v>
          </cell>
        </row>
        <row r="110">
          <cell r="F110">
            <v>202265</v>
          </cell>
          <cell r="G110" t="str">
            <v>Aura Leticia Aparicio Marin</v>
          </cell>
        </row>
        <row r="111">
          <cell r="F111">
            <v>314986</v>
          </cell>
          <cell r="G111" t="str">
            <v>Aura Lourdes Garcia Gomez</v>
          </cell>
        </row>
        <row r="112">
          <cell r="F112">
            <v>314350</v>
          </cell>
          <cell r="G112" t="str">
            <v>Aura Mirthala Castillo Castillo</v>
          </cell>
        </row>
        <row r="113">
          <cell r="F113">
            <v>313666</v>
          </cell>
          <cell r="G113" t="str">
            <v>Avner Josue Merida Molina</v>
          </cell>
        </row>
        <row r="114">
          <cell r="F114">
            <v>315388</v>
          </cell>
          <cell r="G114" t="str">
            <v>Axel Anderson Montufar Roca</v>
          </cell>
        </row>
        <row r="115">
          <cell r="F115">
            <v>314730</v>
          </cell>
          <cell r="G115" t="str">
            <v>Axel Denilson Hernandez Tocay</v>
          </cell>
        </row>
        <row r="116">
          <cell r="F116">
            <v>315271</v>
          </cell>
          <cell r="G116" t="str">
            <v>Axel Roberto Guzman Coro</v>
          </cell>
        </row>
        <row r="117">
          <cell r="F117">
            <v>308798</v>
          </cell>
          <cell r="G117" t="str">
            <v>Axel Wilfredo Caal Coy</v>
          </cell>
        </row>
        <row r="118">
          <cell r="F118">
            <v>307068</v>
          </cell>
          <cell r="G118" t="str">
            <v>Azucena Raquel Luis Perez</v>
          </cell>
        </row>
        <row r="119">
          <cell r="F119">
            <v>313706</v>
          </cell>
          <cell r="G119" t="str">
            <v>Barbara Alejandra Toj Romero</v>
          </cell>
        </row>
        <row r="120">
          <cell r="F120">
            <v>311943</v>
          </cell>
          <cell r="G120" t="str">
            <v>Beberli Yuceli Gomez Davila</v>
          </cell>
        </row>
        <row r="121">
          <cell r="F121">
            <v>311141</v>
          </cell>
          <cell r="G121" t="str">
            <v>Beberlin Dayana Veron Garcia</v>
          </cell>
        </row>
        <row r="122">
          <cell r="F122">
            <v>312544</v>
          </cell>
          <cell r="G122" t="str">
            <v>Beberly Angeaneth Gonzalez Ruiz</v>
          </cell>
        </row>
        <row r="123">
          <cell r="F123">
            <v>309965</v>
          </cell>
          <cell r="G123" t="str">
            <v>Beberly Karina Ramirez Ismatul</v>
          </cell>
        </row>
        <row r="124">
          <cell r="F124">
            <v>313675</v>
          </cell>
          <cell r="G124" t="str">
            <v>Beberly Salvador Zuñiga</v>
          </cell>
        </row>
        <row r="125">
          <cell r="F125">
            <v>311623</v>
          </cell>
          <cell r="G125" t="str">
            <v>Belgica Lizeth Can Guitz</v>
          </cell>
        </row>
        <row r="126">
          <cell r="F126">
            <v>314219</v>
          </cell>
          <cell r="G126" t="str">
            <v>Berta Leticia Yapan Pelen</v>
          </cell>
        </row>
        <row r="127">
          <cell r="F127">
            <v>314495</v>
          </cell>
          <cell r="G127" t="str">
            <v>Bertha Lidia Morataya Diaz</v>
          </cell>
        </row>
        <row r="128">
          <cell r="F128">
            <v>310116</v>
          </cell>
          <cell r="G128" t="str">
            <v>Bertha Rosalba Gabriel Vasquez</v>
          </cell>
        </row>
        <row r="129">
          <cell r="F129">
            <v>312164</v>
          </cell>
          <cell r="G129" t="str">
            <v>Betzy Dayana Gutierrez Chon</v>
          </cell>
        </row>
        <row r="130">
          <cell r="F130">
            <v>314695</v>
          </cell>
          <cell r="G130" t="str">
            <v>Beverly Jeanette Panjoj Tiriquiz</v>
          </cell>
        </row>
        <row r="131">
          <cell r="F131">
            <v>305070</v>
          </cell>
          <cell r="G131" t="str">
            <v>Beverly Walesca Morales Ibarra</v>
          </cell>
        </row>
        <row r="132">
          <cell r="F132">
            <v>314496</v>
          </cell>
          <cell r="G132" t="str">
            <v>Blanca Cristina Saquic Ac</v>
          </cell>
        </row>
        <row r="133">
          <cell r="F133">
            <v>310463</v>
          </cell>
          <cell r="G133" t="str">
            <v>Blanca Olinda Quintanilla Godoy</v>
          </cell>
        </row>
        <row r="134">
          <cell r="F134">
            <v>315542</v>
          </cell>
          <cell r="G134" t="str">
            <v>Brandon Alberto Jerez Cajas</v>
          </cell>
        </row>
        <row r="135">
          <cell r="F135">
            <v>313655</v>
          </cell>
          <cell r="G135" t="str">
            <v>Brandon Antonio Alvarez Lopez</v>
          </cell>
        </row>
        <row r="136">
          <cell r="F136">
            <v>311035</v>
          </cell>
          <cell r="G136" t="str">
            <v>Brandon Ivan De Mata Monzon</v>
          </cell>
        </row>
        <row r="137">
          <cell r="F137">
            <v>315227</v>
          </cell>
          <cell r="G137" t="str">
            <v>Brayan Alexander Lopez Garcia</v>
          </cell>
        </row>
        <row r="138">
          <cell r="F138">
            <v>311689</v>
          </cell>
          <cell r="G138" t="str">
            <v>Brayan Alexander Recancoy Ramos</v>
          </cell>
        </row>
        <row r="139">
          <cell r="F139">
            <v>314853</v>
          </cell>
          <cell r="G139" t="str">
            <v>Brayan Dennis Lopez Puac</v>
          </cell>
        </row>
        <row r="140">
          <cell r="F140">
            <v>310812</v>
          </cell>
          <cell r="G140" t="str">
            <v>Brayan Franklin Lopez Alvarez</v>
          </cell>
        </row>
        <row r="141">
          <cell r="F141">
            <v>308857</v>
          </cell>
          <cell r="G141" t="str">
            <v>Brenda Elizabeth Sanchez Barrientos</v>
          </cell>
        </row>
        <row r="142">
          <cell r="F142">
            <v>305633</v>
          </cell>
          <cell r="G142" t="str">
            <v>Brenda Esmeralda Alvarado Pascual</v>
          </cell>
        </row>
        <row r="143">
          <cell r="F143">
            <v>311220</v>
          </cell>
          <cell r="G143" t="str">
            <v>Brenda Karina Coxaj Peinado</v>
          </cell>
        </row>
        <row r="144">
          <cell r="F144">
            <v>314642</v>
          </cell>
          <cell r="G144" t="str">
            <v>Brenda Liseth Ixcoy Tulujan</v>
          </cell>
        </row>
        <row r="145">
          <cell r="F145">
            <v>304427</v>
          </cell>
          <cell r="G145" t="str">
            <v>Brenda Lucrecia Lopez Gonzalez</v>
          </cell>
        </row>
        <row r="146">
          <cell r="F146">
            <v>315536</v>
          </cell>
          <cell r="G146" t="str">
            <v>Brenda Lucrecia Ruiz Sanchez</v>
          </cell>
        </row>
        <row r="147">
          <cell r="F147">
            <v>310019</v>
          </cell>
          <cell r="G147" t="str">
            <v>Brenda Maribel Montenegro Reyes</v>
          </cell>
        </row>
        <row r="148">
          <cell r="F148">
            <v>301074</v>
          </cell>
          <cell r="G148" t="str">
            <v>Brenda Marisol Aguilar Patzan</v>
          </cell>
        </row>
        <row r="149">
          <cell r="F149">
            <v>313843</v>
          </cell>
          <cell r="G149" t="str">
            <v>Brenda Marisol Sanchez Chivalan</v>
          </cell>
        </row>
        <row r="150">
          <cell r="F150">
            <v>309042</v>
          </cell>
          <cell r="G150" t="str">
            <v>Brenda Perez Morales</v>
          </cell>
        </row>
        <row r="151">
          <cell r="F151">
            <v>306259</v>
          </cell>
          <cell r="G151" t="str">
            <v>Brenda Raquel Ramirez Sanchez</v>
          </cell>
        </row>
        <row r="152">
          <cell r="F152">
            <v>315398</v>
          </cell>
          <cell r="G152" t="str">
            <v>Bretany Celeste Ramirez Monroy</v>
          </cell>
        </row>
        <row r="153">
          <cell r="F153">
            <v>313436</v>
          </cell>
          <cell r="G153" t="str">
            <v>Brian Baudilio Orozco Perez</v>
          </cell>
        </row>
        <row r="154">
          <cell r="F154">
            <v>310691</v>
          </cell>
          <cell r="G154" t="str">
            <v>Brisley Cristina Ortiz Zelada</v>
          </cell>
        </row>
        <row r="155">
          <cell r="F155">
            <v>314290</v>
          </cell>
          <cell r="G155" t="str">
            <v>Bryan Alexander Emanuel Orozco Lancerio</v>
          </cell>
        </row>
        <row r="156">
          <cell r="F156">
            <v>315133</v>
          </cell>
          <cell r="G156" t="str">
            <v>Bryan Daniel Milián De Leon</v>
          </cell>
        </row>
        <row r="157">
          <cell r="F157">
            <v>307335</v>
          </cell>
          <cell r="G157" t="str">
            <v>Bryllan Armando Sierra Sierra</v>
          </cell>
        </row>
        <row r="158">
          <cell r="F158">
            <v>314864</v>
          </cell>
          <cell r="G158" t="str">
            <v>Byron Estuardo Paredes Villela</v>
          </cell>
        </row>
        <row r="159">
          <cell r="F159">
            <v>313648</v>
          </cell>
          <cell r="G159" t="str">
            <v>Byron Giovanni Veliz Vasquez</v>
          </cell>
        </row>
        <row r="160">
          <cell r="F160">
            <v>303766</v>
          </cell>
          <cell r="G160" t="str">
            <v>Byron Josue Moscoso Vega</v>
          </cell>
        </row>
        <row r="161">
          <cell r="F161">
            <v>313985</v>
          </cell>
          <cell r="G161" t="str">
            <v>Byron Mauricio Amezquita Rivas</v>
          </cell>
        </row>
        <row r="162">
          <cell r="F162">
            <v>315267</v>
          </cell>
          <cell r="G162" t="str">
            <v>Carla Esmeralda Candido Gonzalez</v>
          </cell>
        </row>
        <row r="163">
          <cell r="F163">
            <v>314451</v>
          </cell>
          <cell r="G163" t="str">
            <v>Carla Fernanda Fernandez Lopez</v>
          </cell>
        </row>
        <row r="164">
          <cell r="F164">
            <v>312153</v>
          </cell>
          <cell r="G164" t="str">
            <v>Carlos Adalberto Diaz Escobar</v>
          </cell>
        </row>
        <row r="165">
          <cell r="F165">
            <v>315125</v>
          </cell>
          <cell r="G165" t="str">
            <v>Carlos Alberto Galvez Hernandez</v>
          </cell>
        </row>
        <row r="166">
          <cell r="F166">
            <v>314135</v>
          </cell>
          <cell r="G166" t="str">
            <v>Carlos Alberto Guzman Hernandez</v>
          </cell>
        </row>
        <row r="167">
          <cell r="F167">
            <v>315051</v>
          </cell>
          <cell r="G167" t="str">
            <v>Carlos Alfredo Catun Rax</v>
          </cell>
        </row>
        <row r="168">
          <cell r="F168">
            <v>309822</v>
          </cell>
          <cell r="G168" t="str">
            <v>Carlos Anibal Caal Tux</v>
          </cell>
        </row>
        <row r="169">
          <cell r="F169">
            <v>302371</v>
          </cell>
          <cell r="G169" t="str">
            <v>Carlos Arturo Straube Lopez</v>
          </cell>
        </row>
        <row r="170">
          <cell r="F170">
            <v>314738</v>
          </cell>
          <cell r="G170" t="str">
            <v>Carlos David Castillo Gamboa</v>
          </cell>
        </row>
        <row r="171">
          <cell r="F171">
            <v>315158</v>
          </cell>
          <cell r="G171" t="str">
            <v>Carlos Emilio Cumez Chenol</v>
          </cell>
        </row>
        <row r="172">
          <cell r="F172">
            <v>312533</v>
          </cell>
          <cell r="G172" t="str">
            <v>Carlos Enrique Coz Toc</v>
          </cell>
        </row>
        <row r="173">
          <cell r="F173">
            <v>314773</v>
          </cell>
          <cell r="G173" t="str">
            <v>Carlos Enrique Ramirez Lopez</v>
          </cell>
        </row>
        <row r="174">
          <cell r="F174">
            <v>313303</v>
          </cell>
          <cell r="G174" t="str">
            <v>Carlos Enrique Vasquez Esteban</v>
          </cell>
        </row>
        <row r="175">
          <cell r="F175">
            <v>314841</v>
          </cell>
          <cell r="G175" t="str">
            <v>Carlos Estuardo Campos Asig</v>
          </cell>
        </row>
        <row r="176">
          <cell r="F176">
            <v>308075</v>
          </cell>
          <cell r="G176" t="str">
            <v>Carlos Humberto De Paz Paiz</v>
          </cell>
        </row>
        <row r="177">
          <cell r="F177">
            <v>314441</v>
          </cell>
          <cell r="G177" t="str">
            <v>Carlos Josue Perez Garcia</v>
          </cell>
        </row>
        <row r="178">
          <cell r="F178">
            <v>202153</v>
          </cell>
          <cell r="G178" t="str">
            <v>Carlos Leonel Corado Sosa</v>
          </cell>
        </row>
        <row r="179">
          <cell r="F179">
            <v>313324</v>
          </cell>
          <cell r="G179" t="str">
            <v>Carlos Miguel Carrillo Perez</v>
          </cell>
        </row>
        <row r="180">
          <cell r="F180">
            <v>310535</v>
          </cell>
          <cell r="G180" t="str">
            <v>Carlos Oliverio Ortiz Villalobos</v>
          </cell>
        </row>
        <row r="181">
          <cell r="F181">
            <v>315501</v>
          </cell>
          <cell r="G181" t="str">
            <v>Carlos Onofre Sierra Vasquez</v>
          </cell>
        </row>
        <row r="182">
          <cell r="F182">
            <v>313844</v>
          </cell>
          <cell r="G182" t="str">
            <v>Carlos Raul Pedroza Lopez</v>
          </cell>
        </row>
        <row r="183">
          <cell r="F183">
            <v>315111</v>
          </cell>
          <cell r="G183" t="str">
            <v>Carlos Roberto Arana Garcia</v>
          </cell>
        </row>
        <row r="184">
          <cell r="F184">
            <v>304522</v>
          </cell>
          <cell r="G184" t="str">
            <v>Carlos Saul Santizo Lopez</v>
          </cell>
        </row>
        <row r="185">
          <cell r="F185">
            <v>315182</v>
          </cell>
          <cell r="G185" t="str">
            <v>Carmen Amalia Macario Rixtun</v>
          </cell>
        </row>
        <row r="186">
          <cell r="F186">
            <v>311800</v>
          </cell>
          <cell r="G186" t="str">
            <v>Carmen Elizabeth Vargas Tun</v>
          </cell>
        </row>
        <row r="187">
          <cell r="F187">
            <v>312849</v>
          </cell>
          <cell r="G187" t="str">
            <v>Carmen Liliana Subuyuj Ordoñez</v>
          </cell>
        </row>
        <row r="188">
          <cell r="F188">
            <v>315498</v>
          </cell>
          <cell r="G188" t="str">
            <v>Carolina Azucena Lima Contreras</v>
          </cell>
        </row>
        <row r="189">
          <cell r="F189">
            <v>312692</v>
          </cell>
          <cell r="G189" t="str">
            <v>Catarina Del Rosario Lopez Taquiej</v>
          </cell>
        </row>
        <row r="190">
          <cell r="F190">
            <v>314287</v>
          </cell>
          <cell r="G190" t="str">
            <v>Caterin Berenise Cayax Atz</v>
          </cell>
        </row>
        <row r="191">
          <cell r="F191">
            <v>313662</v>
          </cell>
          <cell r="G191" t="str">
            <v>Catirin Marbella Juarez Garcia</v>
          </cell>
        </row>
        <row r="192">
          <cell r="F192">
            <v>307766</v>
          </cell>
          <cell r="G192" t="str">
            <v>Cecia Amabil Lopez Valencia</v>
          </cell>
        </row>
        <row r="193">
          <cell r="F193">
            <v>311730</v>
          </cell>
          <cell r="G193" t="str">
            <v>Cecilia Margoth Lopez Raymundo</v>
          </cell>
        </row>
        <row r="194">
          <cell r="F194">
            <v>314955</v>
          </cell>
          <cell r="G194" t="str">
            <v>Celia Esperanza Arroyo Chiche</v>
          </cell>
        </row>
        <row r="195">
          <cell r="F195">
            <v>310950</v>
          </cell>
          <cell r="G195" t="str">
            <v>Cendy Regina Axulen Gonzalez</v>
          </cell>
        </row>
        <row r="196">
          <cell r="F196">
            <v>314640</v>
          </cell>
          <cell r="G196" t="str">
            <v>Cesar Estuardo Perez Monterroso</v>
          </cell>
        </row>
        <row r="197">
          <cell r="F197">
            <v>300192</v>
          </cell>
          <cell r="G197" t="str">
            <v>Cesar Fernando Reyna Almengor</v>
          </cell>
        </row>
        <row r="198">
          <cell r="F198">
            <v>313484</v>
          </cell>
          <cell r="G198" t="str">
            <v>Cesar Geovanni Tuc Sum</v>
          </cell>
        </row>
        <row r="199">
          <cell r="F199">
            <v>303330</v>
          </cell>
          <cell r="G199" t="str">
            <v>Cesar Geovanny De Leon Palacios</v>
          </cell>
        </row>
        <row r="200">
          <cell r="F200">
            <v>314446</v>
          </cell>
          <cell r="G200" t="str">
            <v>Cesar Humberto Cazun Hernandez</v>
          </cell>
        </row>
        <row r="201">
          <cell r="F201">
            <v>314900</v>
          </cell>
          <cell r="G201" t="str">
            <v>Cesar Oliverio Orozco Flores</v>
          </cell>
        </row>
        <row r="202">
          <cell r="F202">
            <v>311692</v>
          </cell>
          <cell r="G202" t="str">
            <v>Cesia Paola Marroquin Sanchez</v>
          </cell>
        </row>
        <row r="203">
          <cell r="F203">
            <v>315401</v>
          </cell>
          <cell r="G203" t="str">
            <v>Christa Maria Belen Barrera Mazariegos</v>
          </cell>
        </row>
        <row r="204">
          <cell r="F204">
            <v>315509</v>
          </cell>
          <cell r="G204" t="str">
            <v>Christiam Daniel Arroyo Cisneros</v>
          </cell>
        </row>
        <row r="205">
          <cell r="F205">
            <v>310362</v>
          </cell>
          <cell r="G205" t="str">
            <v>Christian Alejandro Tistoj Lopez</v>
          </cell>
        </row>
        <row r="206">
          <cell r="F206">
            <v>315525</v>
          </cell>
          <cell r="G206" t="str">
            <v>Christian Bladimir Panjoj Mejia</v>
          </cell>
        </row>
        <row r="207">
          <cell r="F207">
            <v>314565</v>
          </cell>
          <cell r="G207" t="str">
            <v>Christian Eduardo Celada Orellana</v>
          </cell>
        </row>
        <row r="208">
          <cell r="F208">
            <v>309907</v>
          </cell>
          <cell r="G208" t="str">
            <v>Christofer Antonio Chali Bacajol</v>
          </cell>
        </row>
        <row r="209">
          <cell r="F209">
            <v>312703</v>
          </cell>
          <cell r="G209" t="str">
            <v>Cindy Aracely Ruano Can</v>
          </cell>
        </row>
        <row r="210">
          <cell r="F210">
            <v>307760</v>
          </cell>
          <cell r="G210" t="str">
            <v>Cindy Beatriz Reyes De Leon</v>
          </cell>
        </row>
        <row r="211">
          <cell r="F211">
            <v>312950</v>
          </cell>
          <cell r="G211" t="str">
            <v>Cindy Carolina Sandoval Ruiz</v>
          </cell>
        </row>
        <row r="212">
          <cell r="F212">
            <v>312302</v>
          </cell>
          <cell r="G212" t="str">
            <v>Cindy Gabriela Chanchavac Mejia</v>
          </cell>
        </row>
        <row r="213">
          <cell r="F213">
            <v>315484</v>
          </cell>
          <cell r="G213" t="str">
            <v>Cindy Gabriela Perez</v>
          </cell>
        </row>
        <row r="214">
          <cell r="F214">
            <v>312872</v>
          </cell>
          <cell r="G214" t="str">
            <v>Cindy Judith Urizar Davila</v>
          </cell>
        </row>
        <row r="215">
          <cell r="F215">
            <v>312532</v>
          </cell>
          <cell r="G215" t="str">
            <v>Cindy Melissa Cordon Alfaro</v>
          </cell>
        </row>
        <row r="216">
          <cell r="F216">
            <v>314028</v>
          </cell>
          <cell r="G216" t="str">
            <v>Cindy Paola Garcia Monroy</v>
          </cell>
        </row>
        <row r="217">
          <cell r="F217">
            <v>314689</v>
          </cell>
          <cell r="G217" t="str">
            <v>Cindy Veronica Bran Polanco</v>
          </cell>
        </row>
        <row r="218">
          <cell r="F218">
            <v>314409</v>
          </cell>
          <cell r="G218" t="str">
            <v>Cindy Yenibeth Cano Claudio</v>
          </cell>
        </row>
        <row r="219">
          <cell r="F219">
            <v>310946</v>
          </cell>
          <cell r="G219" t="str">
            <v>Cindy Yesenia Morales Quevedo De Abril</v>
          </cell>
        </row>
        <row r="220">
          <cell r="F220">
            <v>312831</v>
          </cell>
          <cell r="G220" t="str">
            <v>Cindy Yojana Mendoza Cajas</v>
          </cell>
        </row>
        <row r="221">
          <cell r="F221">
            <v>312181</v>
          </cell>
          <cell r="G221" t="str">
            <v>Clara Elizabeth Joge Torres</v>
          </cell>
        </row>
        <row r="222">
          <cell r="F222">
            <v>310768</v>
          </cell>
          <cell r="G222" t="str">
            <v>Clara Lorena Perez Hernandez</v>
          </cell>
        </row>
        <row r="223">
          <cell r="F223">
            <v>315453</v>
          </cell>
          <cell r="G223" t="str">
            <v>Claudia Analy Argueta Matias</v>
          </cell>
        </row>
        <row r="224">
          <cell r="F224">
            <v>306444</v>
          </cell>
          <cell r="G224" t="str">
            <v>Claudia Dolores Barcenas Guillen</v>
          </cell>
        </row>
        <row r="225">
          <cell r="F225">
            <v>301809</v>
          </cell>
          <cell r="G225" t="str">
            <v>Claudia Eugenia Chavarria Ramos</v>
          </cell>
        </row>
        <row r="226">
          <cell r="F226">
            <v>311808</v>
          </cell>
          <cell r="G226" t="str">
            <v>Claudia Lorena Quino Isaguirre</v>
          </cell>
        </row>
        <row r="227">
          <cell r="F227">
            <v>314574</v>
          </cell>
          <cell r="G227" t="str">
            <v>Claudia Marisol Esquivel Ramirez</v>
          </cell>
        </row>
        <row r="228">
          <cell r="F228">
            <v>313613</v>
          </cell>
          <cell r="G228" t="str">
            <v>Claudia Noemi Marroquin Perez</v>
          </cell>
        </row>
        <row r="229">
          <cell r="F229">
            <v>306569</v>
          </cell>
          <cell r="G229" t="str">
            <v>Claudia Susana Garcia</v>
          </cell>
        </row>
        <row r="230">
          <cell r="F230">
            <v>311441</v>
          </cell>
          <cell r="G230" t="str">
            <v>Claudia Yaneth Hidalgo Gonzalez</v>
          </cell>
        </row>
        <row r="231">
          <cell r="F231">
            <v>303265</v>
          </cell>
          <cell r="G231" t="str">
            <v>Claudia Yesenia Pinto Picen</v>
          </cell>
        </row>
        <row r="232">
          <cell r="F232">
            <v>313318</v>
          </cell>
          <cell r="G232" t="str">
            <v>Claudia Yesenia Ramos Perez</v>
          </cell>
        </row>
        <row r="233">
          <cell r="F233">
            <v>309535</v>
          </cell>
          <cell r="G233" t="str">
            <v>Coralia Brenda Judith Ruano Hernandez</v>
          </cell>
        </row>
        <row r="234">
          <cell r="F234">
            <v>310711</v>
          </cell>
          <cell r="G234" t="str">
            <v>Cristian Alfredo Jimenez Quino</v>
          </cell>
        </row>
        <row r="235">
          <cell r="F235">
            <v>312995</v>
          </cell>
          <cell r="G235" t="str">
            <v>Cristian Esleiter Zuleta Batres</v>
          </cell>
        </row>
        <row r="236">
          <cell r="F236">
            <v>314701</v>
          </cell>
          <cell r="G236" t="str">
            <v>Cristian Orlando Leonardo Cortez</v>
          </cell>
        </row>
        <row r="237">
          <cell r="F237">
            <v>314612</v>
          </cell>
          <cell r="G237" t="str">
            <v>Cristian Romulo Rolando Cojulun Barrera</v>
          </cell>
        </row>
        <row r="238">
          <cell r="F238">
            <v>314468</v>
          </cell>
          <cell r="G238" t="str">
            <v>Cristian Salvador Perez Quiroa</v>
          </cell>
        </row>
        <row r="239">
          <cell r="F239">
            <v>314670</v>
          </cell>
          <cell r="G239" t="str">
            <v>Cristian Tomas Chuc Perez</v>
          </cell>
        </row>
        <row r="240">
          <cell r="F240">
            <v>315578</v>
          </cell>
          <cell r="G240" t="str">
            <v>Cristian Ubaldo De Leon Ramirez</v>
          </cell>
        </row>
        <row r="241">
          <cell r="F241">
            <v>307449</v>
          </cell>
          <cell r="G241" t="str">
            <v>Cristina De Jesus Hernandez Macajola</v>
          </cell>
        </row>
        <row r="242">
          <cell r="F242">
            <v>306823</v>
          </cell>
          <cell r="G242" t="str">
            <v>Cristina Mariela Sapon Morales</v>
          </cell>
        </row>
        <row r="243">
          <cell r="F243">
            <v>313589</v>
          </cell>
          <cell r="G243" t="str">
            <v>Cristobal Vinicio Chacon Rosana</v>
          </cell>
        </row>
        <row r="244">
          <cell r="F244">
            <v>310386</v>
          </cell>
          <cell r="G244" t="str">
            <v>Cristy Charito Bran Guerra</v>
          </cell>
        </row>
        <row r="245">
          <cell r="F245">
            <v>314883</v>
          </cell>
          <cell r="G245" t="str">
            <v>Cynthia Guisela Samayoa Aldana</v>
          </cell>
        </row>
        <row r="246">
          <cell r="F246">
            <v>313709</v>
          </cell>
          <cell r="G246" t="str">
            <v>Cynthia Marisol Gonzalez Vargas</v>
          </cell>
        </row>
        <row r="247">
          <cell r="F247">
            <v>314097</v>
          </cell>
          <cell r="G247" t="str">
            <v>Cynthia Rosaura Cruz Cosajay</v>
          </cell>
        </row>
        <row r="248">
          <cell r="F248">
            <v>314981</v>
          </cell>
          <cell r="G248" t="str">
            <v>Dalila Marisol Ramos Galan</v>
          </cell>
        </row>
        <row r="249">
          <cell r="F249">
            <v>308765</v>
          </cell>
          <cell r="G249" t="str">
            <v>Damaris Abigail Garcia Perez</v>
          </cell>
        </row>
        <row r="250">
          <cell r="F250">
            <v>315256</v>
          </cell>
          <cell r="G250" t="str">
            <v>Damaris Abigail Urizar Martinez</v>
          </cell>
        </row>
        <row r="251">
          <cell r="F251">
            <v>312949</v>
          </cell>
          <cell r="G251" t="str">
            <v>Damaris Liseth Sagastume Pinto</v>
          </cell>
        </row>
        <row r="252">
          <cell r="F252">
            <v>314411</v>
          </cell>
          <cell r="G252" t="str">
            <v>Damaris Paola Gonzalez Gallardo</v>
          </cell>
        </row>
        <row r="253">
          <cell r="F253">
            <v>314179</v>
          </cell>
          <cell r="G253" t="str">
            <v>Damaris Sucely Mendez Roche</v>
          </cell>
        </row>
        <row r="254">
          <cell r="F254">
            <v>314276</v>
          </cell>
          <cell r="G254" t="str">
            <v>Damaris Violeta Gonzalez Miguel</v>
          </cell>
        </row>
        <row r="255">
          <cell r="F255">
            <v>313514</v>
          </cell>
          <cell r="G255" t="str">
            <v>Danae Melissa Xitumul Ruiz</v>
          </cell>
        </row>
        <row r="256">
          <cell r="F256">
            <v>313868</v>
          </cell>
          <cell r="G256" t="str">
            <v>Danely Arleth Rubin Escobar</v>
          </cell>
        </row>
        <row r="257">
          <cell r="F257">
            <v>315480</v>
          </cell>
          <cell r="G257" t="str">
            <v>Daneylie Abigalie Dardon Gomez</v>
          </cell>
        </row>
        <row r="258">
          <cell r="F258">
            <v>314406</v>
          </cell>
          <cell r="G258" t="str">
            <v>Daniel Abrahan Castillo Hernandez</v>
          </cell>
        </row>
        <row r="259">
          <cell r="F259">
            <v>314646</v>
          </cell>
          <cell r="G259" t="str">
            <v>Daniel Alfredo Aguirre Marroquin</v>
          </cell>
        </row>
        <row r="260">
          <cell r="F260">
            <v>305521</v>
          </cell>
          <cell r="G260" t="str">
            <v>Daniel Antonio Aceituno Paredes</v>
          </cell>
        </row>
        <row r="261">
          <cell r="F261">
            <v>315568</v>
          </cell>
          <cell r="G261" t="str">
            <v>Daniel Isai Moran Lima</v>
          </cell>
        </row>
        <row r="262">
          <cell r="F262">
            <v>310374</v>
          </cell>
          <cell r="G262" t="str">
            <v>Daniela Amarilis Davila Juarez</v>
          </cell>
        </row>
        <row r="263">
          <cell r="F263">
            <v>315104</v>
          </cell>
          <cell r="G263" t="str">
            <v>Dany Adalberto Choc Bac</v>
          </cell>
        </row>
        <row r="264">
          <cell r="F264">
            <v>314807</v>
          </cell>
          <cell r="G264" t="str">
            <v>Daomi Mishel Larios Morales</v>
          </cell>
        </row>
        <row r="265">
          <cell r="F265">
            <v>312391</v>
          </cell>
          <cell r="G265" t="str">
            <v>Daphne Pamela Lopez Rodriguez</v>
          </cell>
        </row>
        <row r="266">
          <cell r="F266">
            <v>312172</v>
          </cell>
          <cell r="G266" t="str">
            <v>Darbin Alejandro Soto Rodriguez</v>
          </cell>
        </row>
        <row r="267">
          <cell r="F267">
            <v>314845</v>
          </cell>
          <cell r="G267" t="str">
            <v>Darissa Anahi Galindo Monzon</v>
          </cell>
        </row>
        <row r="268">
          <cell r="F268">
            <v>312419</v>
          </cell>
          <cell r="G268" t="str">
            <v>Darli Asuceli Florian Garcia</v>
          </cell>
        </row>
        <row r="269">
          <cell r="F269">
            <v>312836</v>
          </cell>
          <cell r="G269" t="str">
            <v>Darlin Estefany Coyoy Rivas</v>
          </cell>
        </row>
        <row r="270">
          <cell r="F270">
            <v>312077</v>
          </cell>
          <cell r="G270" t="str">
            <v>Darlin Pamela Aguilar De La Cruz</v>
          </cell>
        </row>
        <row r="271">
          <cell r="F271">
            <v>314775</v>
          </cell>
          <cell r="G271" t="str">
            <v>Darlyn Dayanara Cortez Ramirez</v>
          </cell>
        </row>
        <row r="272">
          <cell r="F272">
            <v>312223</v>
          </cell>
          <cell r="G272" t="str">
            <v>Darlyn Guadalupe Barrios Yax</v>
          </cell>
        </row>
        <row r="273">
          <cell r="F273">
            <v>309926</v>
          </cell>
          <cell r="G273" t="str">
            <v>Darwin Alexis Ponciano Cruz</v>
          </cell>
        </row>
        <row r="274">
          <cell r="F274">
            <v>315167</v>
          </cell>
          <cell r="G274" t="str">
            <v>Darwin Omar Cabrera Cheguen</v>
          </cell>
        </row>
        <row r="275">
          <cell r="F275">
            <v>310390</v>
          </cell>
          <cell r="G275" t="str">
            <v>Dauris Yomira Tellechea Lopez</v>
          </cell>
        </row>
        <row r="276">
          <cell r="F276">
            <v>202076</v>
          </cell>
          <cell r="G276" t="str">
            <v>David De Jesus Quel Orozco</v>
          </cell>
        </row>
        <row r="277">
          <cell r="F277">
            <v>314891</v>
          </cell>
          <cell r="G277" t="str">
            <v>David Emanuel Cachin Morales</v>
          </cell>
        </row>
        <row r="278">
          <cell r="F278">
            <v>309831</v>
          </cell>
          <cell r="G278" t="str">
            <v>David Mejia Vicente</v>
          </cell>
        </row>
        <row r="279">
          <cell r="F279">
            <v>315533</v>
          </cell>
          <cell r="G279" t="str">
            <v>Dayana Paola Lopez Bolanos</v>
          </cell>
        </row>
        <row r="280">
          <cell r="F280">
            <v>314017</v>
          </cell>
          <cell r="G280" t="str">
            <v>Dayanna Beatriz Cachupe Chavac</v>
          </cell>
        </row>
        <row r="281">
          <cell r="F281">
            <v>314852</v>
          </cell>
          <cell r="G281" t="str">
            <v>Daylin Ambrocia Cruz Lopez</v>
          </cell>
        </row>
        <row r="282">
          <cell r="F282">
            <v>313408</v>
          </cell>
          <cell r="G282" t="str">
            <v>Dayne Dalu Sanchez Hernandez</v>
          </cell>
        </row>
        <row r="283">
          <cell r="F283">
            <v>315552</v>
          </cell>
          <cell r="G283" t="str">
            <v>Debora Eunice Tzay Chuluc</v>
          </cell>
        </row>
        <row r="284">
          <cell r="F284">
            <v>313629</v>
          </cell>
          <cell r="G284" t="str">
            <v>Debora Madahi Escobar Gomez</v>
          </cell>
        </row>
        <row r="285">
          <cell r="F285">
            <v>315270</v>
          </cell>
          <cell r="G285" t="str">
            <v>Debora Paola Sepez Cuc</v>
          </cell>
        </row>
        <row r="286">
          <cell r="F286">
            <v>314353</v>
          </cell>
          <cell r="G286" t="str">
            <v>Deisy Gabriela Pineda Paiz</v>
          </cell>
        </row>
        <row r="287">
          <cell r="F287">
            <v>302751</v>
          </cell>
          <cell r="G287" t="str">
            <v>Delia Virginia Piedrasanta Parra</v>
          </cell>
        </row>
        <row r="288">
          <cell r="F288">
            <v>201031</v>
          </cell>
          <cell r="G288" t="str">
            <v>Delio Maynor Lopez Barrios</v>
          </cell>
        </row>
        <row r="289">
          <cell r="F289">
            <v>311758</v>
          </cell>
          <cell r="G289" t="str">
            <v>Delmy Fabiola Orellana Barrientos</v>
          </cell>
        </row>
        <row r="290">
          <cell r="F290">
            <v>307870</v>
          </cell>
          <cell r="G290" t="str">
            <v>Delmy Francisca Lopez Perez</v>
          </cell>
        </row>
        <row r="291">
          <cell r="F291">
            <v>314901</v>
          </cell>
          <cell r="G291" t="str">
            <v>Delmy Vanesa Morales Ramirez</v>
          </cell>
        </row>
        <row r="292">
          <cell r="F292">
            <v>306256</v>
          </cell>
          <cell r="G292" t="str">
            <v>Delwin Leonel Vasquez Barrera</v>
          </cell>
        </row>
        <row r="293">
          <cell r="F293">
            <v>314540</v>
          </cell>
          <cell r="G293" t="str">
            <v>Denilson Laureano De Paz Galdamez</v>
          </cell>
        </row>
        <row r="294">
          <cell r="F294">
            <v>312158</v>
          </cell>
          <cell r="G294" t="str">
            <v>Derick Juan David Coti Camas</v>
          </cell>
        </row>
        <row r="295">
          <cell r="F295">
            <v>315437</v>
          </cell>
          <cell r="G295" t="str">
            <v>Deysi Liliana Caal Oxom</v>
          </cell>
        </row>
        <row r="296">
          <cell r="F296">
            <v>309692</v>
          </cell>
          <cell r="G296" t="str">
            <v>Deysi Margoth Lopez Monroy</v>
          </cell>
        </row>
        <row r="297">
          <cell r="F297">
            <v>309418</v>
          </cell>
          <cell r="G297" t="str">
            <v>Deysi Noemi Aranoli Carias Pimentel</v>
          </cell>
        </row>
        <row r="298">
          <cell r="F298">
            <v>313797</v>
          </cell>
          <cell r="G298" t="str">
            <v>Deysi Paola Lopez Yanes De Conde</v>
          </cell>
        </row>
        <row r="299">
          <cell r="F299">
            <v>312166</v>
          </cell>
          <cell r="G299" t="str">
            <v>Deysi Roxana Pablo Ramirez</v>
          </cell>
        </row>
        <row r="300">
          <cell r="F300">
            <v>313856</v>
          </cell>
          <cell r="G300" t="str">
            <v>Diana Andrea Castillo Mejia</v>
          </cell>
        </row>
        <row r="301">
          <cell r="F301">
            <v>310411</v>
          </cell>
          <cell r="G301" t="str">
            <v>Diana Elizabeth Ayfan Del Cid</v>
          </cell>
        </row>
        <row r="302">
          <cell r="F302">
            <v>315070</v>
          </cell>
          <cell r="G302" t="str">
            <v>Diana Guisela Satey De Leon</v>
          </cell>
        </row>
        <row r="303">
          <cell r="F303">
            <v>315089</v>
          </cell>
          <cell r="G303" t="str">
            <v>Diana Lizeth Acabal Pansay</v>
          </cell>
        </row>
        <row r="304">
          <cell r="F304">
            <v>315209</v>
          </cell>
          <cell r="G304" t="str">
            <v>Diana Mishel Perez Flores</v>
          </cell>
        </row>
        <row r="305">
          <cell r="F305">
            <v>314964</v>
          </cell>
          <cell r="G305" t="str">
            <v>Diana Priscila Reyes Bran</v>
          </cell>
        </row>
        <row r="306">
          <cell r="F306">
            <v>315545</v>
          </cell>
          <cell r="G306" t="str">
            <v>Diego Alejandro Monroy Barillas</v>
          </cell>
        </row>
        <row r="307">
          <cell r="F307">
            <v>314603</v>
          </cell>
          <cell r="G307" t="str">
            <v>Diego Antonio Dubon Suyen</v>
          </cell>
        </row>
        <row r="308">
          <cell r="F308">
            <v>314912</v>
          </cell>
          <cell r="G308" t="str">
            <v>Diego Ezequiel Samayoa Toledo</v>
          </cell>
        </row>
        <row r="309">
          <cell r="F309">
            <v>314021</v>
          </cell>
          <cell r="G309" t="str">
            <v>Diego Josue David Dieguez Vivar</v>
          </cell>
        </row>
        <row r="310">
          <cell r="F310">
            <v>314609</v>
          </cell>
          <cell r="G310" t="str">
            <v>Dilma Carolina Zetino Zepeda</v>
          </cell>
        </row>
        <row r="311">
          <cell r="F311">
            <v>315393</v>
          </cell>
          <cell r="G311" t="str">
            <v>Dina Azucena Ortiz Crispin</v>
          </cell>
        </row>
        <row r="312">
          <cell r="F312">
            <v>301534</v>
          </cell>
          <cell r="G312" t="str">
            <v>Donald Alejandro Mendez Mayen</v>
          </cell>
        </row>
        <row r="313">
          <cell r="F313">
            <v>314070</v>
          </cell>
          <cell r="G313" t="str">
            <v>Donetta Diaz Oroman</v>
          </cell>
        </row>
        <row r="314">
          <cell r="F314">
            <v>313316</v>
          </cell>
          <cell r="G314" t="str">
            <v>Dora Estefany Garcia Zetino</v>
          </cell>
        </row>
        <row r="315">
          <cell r="F315">
            <v>308707</v>
          </cell>
          <cell r="G315" t="str">
            <v>Dorcas Raquel Palacios Reyes</v>
          </cell>
        </row>
        <row r="316">
          <cell r="F316">
            <v>308921</v>
          </cell>
          <cell r="G316" t="str">
            <v>Doris Elizabeth Sandoval Gonzalez</v>
          </cell>
        </row>
        <row r="317">
          <cell r="F317">
            <v>315057</v>
          </cell>
          <cell r="G317" t="str">
            <v>Dorman Fernando Gomez Perez</v>
          </cell>
        </row>
        <row r="318">
          <cell r="F318">
            <v>312651</v>
          </cell>
          <cell r="G318" t="str">
            <v>Douglas Alberto Luna</v>
          </cell>
        </row>
        <row r="319">
          <cell r="F319">
            <v>314635</v>
          </cell>
          <cell r="G319" t="str">
            <v>Douglas Armando Garcia Machic</v>
          </cell>
        </row>
        <row r="320">
          <cell r="F320">
            <v>313351</v>
          </cell>
          <cell r="G320" t="str">
            <v>Douglas Nehemias Paz Agustin</v>
          </cell>
        </row>
        <row r="321">
          <cell r="F321">
            <v>309154</v>
          </cell>
          <cell r="G321" t="str">
            <v>Duglas Alexander Ramirez</v>
          </cell>
        </row>
        <row r="322">
          <cell r="F322">
            <v>310593</v>
          </cell>
          <cell r="G322" t="str">
            <v>Dulce Estrellita Boche Pineda</v>
          </cell>
        </row>
        <row r="323">
          <cell r="F323">
            <v>312578</v>
          </cell>
          <cell r="G323" t="str">
            <v>Dulce Fabiola Cabrera Alvarado</v>
          </cell>
        </row>
        <row r="324">
          <cell r="F324">
            <v>314977</v>
          </cell>
          <cell r="G324" t="str">
            <v>Dulce Gollin Garcia</v>
          </cell>
        </row>
        <row r="325">
          <cell r="F325">
            <v>315028</v>
          </cell>
          <cell r="G325" t="str">
            <v>Dulce Maria Barillas Pineda</v>
          </cell>
        </row>
        <row r="326">
          <cell r="F326">
            <v>314016</v>
          </cell>
          <cell r="G326" t="str">
            <v>Dulce Maria De Los Angeles Carranza Poitan</v>
          </cell>
        </row>
        <row r="327">
          <cell r="F327">
            <v>314338</v>
          </cell>
          <cell r="G327" t="str">
            <v>Dulce Maria Sican Galicia</v>
          </cell>
        </row>
        <row r="328">
          <cell r="F328">
            <v>301052</v>
          </cell>
          <cell r="G328" t="str">
            <v>Dulsse Gabriela Muñoz Giordano</v>
          </cell>
        </row>
        <row r="329">
          <cell r="F329">
            <v>313406</v>
          </cell>
          <cell r="G329" t="str">
            <v>Duncan Vladimir Fuentes Marroquin</v>
          </cell>
        </row>
        <row r="330">
          <cell r="F330">
            <v>315551</v>
          </cell>
          <cell r="G330" t="str">
            <v>Dylan Anderson Rodriguez Paredes</v>
          </cell>
        </row>
        <row r="331">
          <cell r="F331">
            <v>301579</v>
          </cell>
          <cell r="G331" t="str">
            <v>Eber Manuel Valdes Samayoa</v>
          </cell>
        </row>
        <row r="332">
          <cell r="F332">
            <v>314077</v>
          </cell>
          <cell r="G332" t="str">
            <v>Eddy Estuardo Lool Calderon</v>
          </cell>
        </row>
        <row r="333">
          <cell r="F333">
            <v>304630</v>
          </cell>
          <cell r="G333" t="str">
            <v>Eddy Jose Cabrera Rivas</v>
          </cell>
        </row>
        <row r="334">
          <cell r="F334">
            <v>315163</v>
          </cell>
          <cell r="G334" t="str">
            <v>Edgar Alejandro Alvarado Juarez</v>
          </cell>
        </row>
        <row r="335">
          <cell r="F335">
            <v>314231</v>
          </cell>
          <cell r="G335" t="str">
            <v>Edgar Alfonso Escoto Asig</v>
          </cell>
        </row>
        <row r="336">
          <cell r="F336">
            <v>312910</v>
          </cell>
          <cell r="G336" t="str">
            <v>Edgar Augusto Lara Joachin</v>
          </cell>
        </row>
        <row r="337">
          <cell r="F337">
            <v>314531</v>
          </cell>
          <cell r="G337" t="str">
            <v>Edgar Josue Lopez Cahuec</v>
          </cell>
        </row>
        <row r="338">
          <cell r="F338">
            <v>309428</v>
          </cell>
          <cell r="G338" t="str">
            <v>Edgar Manrique Flores Sanchez</v>
          </cell>
        </row>
        <row r="339">
          <cell r="F339">
            <v>313559</v>
          </cell>
          <cell r="G339" t="str">
            <v>Edgar Ricardo Lopez Valenzuela</v>
          </cell>
        </row>
        <row r="340">
          <cell r="F340">
            <v>314916</v>
          </cell>
          <cell r="G340" t="str">
            <v>Edgar Samuel Chavez Garcia</v>
          </cell>
        </row>
        <row r="341">
          <cell r="F341">
            <v>313861</v>
          </cell>
          <cell r="G341" t="str">
            <v>Edith Guadalupe Del Cid Orellana</v>
          </cell>
        </row>
        <row r="342">
          <cell r="F342">
            <v>304240</v>
          </cell>
          <cell r="G342" t="str">
            <v>Edna Fabiola Miranda Nufio</v>
          </cell>
        </row>
        <row r="343">
          <cell r="F343">
            <v>313770</v>
          </cell>
          <cell r="G343" t="str">
            <v>Edna Rubi Hernandez Retana</v>
          </cell>
        </row>
        <row r="344">
          <cell r="F344">
            <v>308533</v>
          </cell>
          <cell r="G344" t="str">
            <v>Eduardo Antonio Sotoj Zepeda</v>
          </cell>
        </row>
        <row r="345">
          <cell r="F345">
            <v>315502</v>
          </cell>
          <cell r="G345" t="str">
            <v>Eduardo Eliu Camey Coyoy</v>
          </cell>
        </row>
        <row r="346">
          <cell r="F346">
            <v>315483</v>
          </cell>
          <cell r="G346" t="str">
            <v>Eduardo Jose Perez Pichilla</v>
          </cell>
        </row>
        <row r="347">
          <cell r="F347">
            <v>306695</v>
          </cell>
          <cell r="G347" t="str">
            <v>Eduvina Lisbeth Chilel Garcia</v>
          </cell>
        </row>
        <row r="348">
          <cell r="F348">
            <v>313804</v>
          </cell>
          <cell r="G348" t="str">
            <v>Edvin Daniel Compa Oroxom</v>
          </cell>
        </row>
        <row r="349">
          <cell r="F349">
            <v>305736</v>
          </cell>
          <cell r="G349" t="str">
            <v>Edvin Estuardo Ordoñez Gonzalez</v>
          </cell>
        </row>
        <row r="350">
          <cell r="F350">
            <v>313327</v>
          </cell>
          <cell r="G350" t="str">
            <v>Edvin Raul Chavez Monroy</v>
          </cell>
        </row>
        <row r="351">
          <cell r="F351">
            <v>309209</v>
          </cell>
          <cell r="G351" t="str">
            <v>Edward Andoni Alvarez Agueda</v>
          </cell>
        </row>
        <row r="352">
          <cell r="F352">
            <v>311219</v>
          </cell>
          <cell r="G352" t="str">
            <v>Edward Oswaldo Mo Macz</v>
          </cell>
        </row>
        <row r="353">
          <cell r="F353">
            <v>315174</v>
          </cell>
          <cell r="G353" t="str">
            <v>Edwin Adolfo Soberanis Mazariegos</v>
          </cell>
        </row>
        <row r="354">
          <cell r="F354">
            <v>312540</v>
          </cell>
          <cell r="G354" t="str">
            <v>Edwin Alexander Davila Xitumul</v>
          </cell>
        </row>
        <row r="355">
          <cell r="F355">
            <v>313701</v>
          </cell>
          <cell r="G355" t="str">
            <v>Edwin Ernesto Sut Chinol</v>
          </cell>
        </row>
        <row r="356">
          <cell r="F356">
            <v>312557</v>
          </cell>
          <cell r="G356" t="str">
            <v>Edwin Romeo Eleazar Ochoa Lopez</v>
          </cell>
        </row>
        <row r="357">
          <cell r="F357">
            <v>311167</v>
          </cell>
          <cell r="G357" t="str">
            <v>Edy Giancarlo Moreno Pineda</v>
          </cell>
        </row>
        <row r="358">
          <cell r="F358">
            <v>312542</v>
          </cell>
          <cell r="G358" t="str">
            <v>Elba Eulalia Esquite Lemus</v>
          </cell>
        </row>
        <row r="359">
          <cell r="F359">
            <v>303412</v>
          </cell>
          <cell r="G359" t="str">
            <v>Elder Antonio Mendez Tobar</v>
          </cell>
        </row>
        <row r="360">
          <cell r="F360">
            <v>315436</v>
          </cell>
          <cell r="G360" t="str">
            <v>Elder Frankiln Cax Dionicio</v>
          </cell>
        </row>
        <row r="361">
          <cell r="F361">
            <v>311891</v>
          </cell>
          <cell r="G361" t="str">
            <v>Elder Uzias Jordan Perez</v>
          </cell>
        </row>
        <row r="362">
          <cell r="F362">
            <v>309812</v>
          </cell>
          <cell r="G362" t="str">
            <v>Elena Yazmin Valdez Gallegos</v>
          </cell>
        </row>
        <row r="363">
          <cell r="F363">
            <v>314275</v>
          </cell>
          <cell r="G363" t="str">
            <v>Elias Jose Daniel Estrada Nufio</v>
          </cell>
        </row>
        <row r="364">
          <cell r="F364">
            <v>307588</v>
          </cell>
          <cell r="G364" t="str">
            <v>Elida Noemi Monroy Ortega</v>
          </cell>
        </row>
        <row r="365">
          <cell r="F365">
            <v>315463</v>
          </cell>
          <cell r="G365" t="str">
            <v>Elin Magali Gallardo Velasquez</v>
          </cell>
        </row>
        <row r="366">
          <cell r="F366">
            <v>310755</v>
          </cell>
          <cell r="G366" t="str">
            <v>Elisa Clementina Mazariegos Andrade</v>
          </cell>
        </row>
        <row r="367">
          <cell r="F367">
            <v>314466</v>
          </cell>
          <cell r="G367" t="str">
            <v>Eliseo Gonzalez De Leon</v>
          </cell>
        </row>
        <row r="368">
          <cell r="F368">
            <v>310043</v>
          </cell>
          <cell r="G368" t="str">
            <v>Elizangela Jazmin Barillas Ramirez</v>
          </cell>
        </row>
        <row r="369">
          <cell r="F369">
            <v>314443</v>
          </cell>
          <cell r="G369" t="str">
            <v>Elmer Antonio Muñoz Alvarez</v>
          </cell>
        </row>
        <row r="370">
          <cell r="F370">
            <v>314763</v>
          </cell>
          <cell r="G370" t="str">
            <v>Elsa Edith Alixjandra Morales Cordon</v>
          </cell>
        </row>
        <row r="371">
          <cell r="F371">
            <v>311227</v>
          </cell>
          <cell r="G371" t="str">
            <v>Elsa Karina Siquibache Perez</v>
          </cell>
        </row>
        <row r="372">
          <cell r="F372">
            <v>308968</v>
          </cell>
          <cell r="G372" t="str">
            <v>Eluizer Amadeus De Leon De Leon</v>
          </cell>
        </row>
        <row r="373">
          <cell r="F373">
            <v>314871</v>
          </cell>
          <cell r="G373" t="str">
            <v>Elvis Ariel Juarez Solis</v>
          </cell>
        </row>
        <row r="374">
          <cell r="F374">
            <v>313368</v>
          </cell>
          <cell r="G374" t="str">
            <v>Elvis Orlando Lopez Marroquin</v>
          </cell>
        </row>
        <row r="375">
          <cell r="F375">
            <v>314342</v>
          </cell>
          <cell r="G375" t="str">
            <v>Emanuel Perez Garnillo</v>
          </cell>
        </row>
        <row r="376">
          <cell r="F376">
            <v>312736</v>
          </cell>
          <cell r="G376" t="str">
            <v>Emely Johanna Urbina Beltran</v>
          </cell>
        </row>
        <row r="377">
          <cell r="F377">
            <v>312762</v>
          </cell>
          <cell r="G377" t="str">
            <v>Emerson Ezequiel Giron Lopez</v>
          </cell>
        </row>
        <row r="378">
          <cell r="F378">
            <v>303591</v>
          </cell>
          <cell r="G378" t="str">
            <v>Emerson Josue Lopez Hernandez</v>
          </cell>
        </row>
        <row r="379">
          <cell r="F379">
            <v>312165</v>
          </cell>
          <cell r="G379" t="str">
            <v>Emily Jisselle Rosales Paz</v>
          </cell>
        </row>
        <row r="380">
          <cell r="F380">
            <v>313560</v>
          </cell>
          <cell r="G380" t="str">
            <v>Emy Noemi Vicente Herrera</v>
          </cell>
        </row>
        <row r="381">
          <cell r="F381">
            <v>315047</v>
          </cell>
          <cell r="G381" t="str">
            <v>Erick Adolfo Orellana Lopez</v>
          </cell>
        </row>
        <row r="382">
          <cell r="F382">
            <v>311598</v>
          </cell>
          <cell r="G382" t="str">
            <v>Erick Antonio Perez Perez</v>
          </cell>
        </row>
        <row r="383">
          <cell r="F383">
            <v>311742</v>
          </cell>
          <cell r="G383" t="str">
            <v>Erick Estuardo Morales Samayoa</v>
          </cell>
        </row>
        <row r="384">
          <cell r="F384">
            <v>308758</v>
          </cell>
          <cell r="G384" t="str">
            <v>Erick Gamaliel Pineda Mendez</v>
          </cell>
        </row>
        <row r="385">
          <cell r="F385">
            <v>314371</v>
          </cell>
          <cell r="G385" t="str">
            <v>Erick Guillermo Sierra Escobar</v>
          </cell>
        </row>
        <row r="386">
          <cell r="F386">
            <v>314095</v>
          </cell>
          <cell r="G386" t="str">
            <v>Erick Joel Diaz Barrera</v>
          </cell>
        </row>
        <row r="387">
          <cell r="F387">
            <v>314408</v>
          </cell>
          <cell r="G387" t="str">
            <v>Erick Josue Martinez Pineda</v>
          </cell>
        </row>
        <row r="388">
          <cell r="F388">
            <v>312434</v>
          </cell>
          <cell r="G388" t="str">
            <v>Erick Manuel Umul Quiej</v>
          </cell>
        </row>
        <row r="389">
          <cell r="F389">
            <v>202410</v>
          </cell>
          <cell r="G389" t="str">
            <v>Erick Oswaldo Aguilar Santiago</v>
          </cell>
        </row>
        <row r="390">
          <cell r="F390">
            <v>310750</v>
          </cell>
          <cell r="G390" t="str">
            <v>Erick Uriel Sandoval Herrera</v>
          </cell>
        </row>
        <row r="391">
          <cell r="F391">
            <v>304557</v>
          </cell>
          <cell r="G391" t="str">
            <v>Ericka Arceli Gonzalez Astorga</v>
          </cell>
        </row>
        <row r="392">
          <cell r="F392">
            <v>308593</v>
          </cell>
          <cell r="G392" t="str">
            <v>Ericka Beatriz Tiu Arriola</v>
          </cell>
        </row>
        <row r="393">
          <cell r="F393">
            <v>310893</v>
          </cell>
          <cell r="G393" t="str">
            <v>Ericka Florentina Hernandez Bermudes</v>
          </cell>
        </row>
        <row r="394">
          <cell r="F394">
            <v>310845</v>
          </cell>
          <cell r="G394" t="str">
            <v>Ericka Gricelda Beatriz Calderon Lopez</v>
          </cell>
        </row>
        <row r="395">
          <cell r="F395">
            <v>313654</v>
          </cell>
          <cell r="G395" t="str">
            <v>Ericka Mabel Choc Vasquez</v>
          </cell>
        </row>
        <row r="396">
          <cell r="F396">
            <v>308152</v>
          </cell>
          <cell r="G396" t="str">
            <v>Ericka Nathali Huitz Ortega</v>
          </cell>
        </row>
        <row r="397">
          <cell r="F397">
            <v>313812</v>
          </cell>
          <cell r="G397" t="str">
            <v>Erickson Amilcar Vasquez Garrido</v>
          </cell>
        </row>
        <row r="398">
          <cell r="F398">
            <v>303616</v>
          </cell>
          <cell r="G398" t="str">
            <v>Erik Leonel Alva</v>
          </cell>
        </row>
        <row r="399">
          <cell r="F399">
            <v>310011</v>
          </cell>
          <cell r="G399" t="str">
            <v>Erika Alejandra Hernandez Vega</v>
          </cell>
        </row>
        <row r="400">
          <cell r="F400">
            <v>314808</v>
          </cell>
          <cell r="G400" t="str">
            <v>Erika Carolina Lopez Chiroy</v>
          </cell>
        </row>
        <row r="401">
          <cell r="F401">
            <v>306497</v>
          </cell>
          <cell r="G401" t="str">
            <v>Erika Ixtan Canil</v>
          </cell>
        </row>
        <row r="402">
          <cell r="F402">
            <v>314703</v>
          </cell>
          <cell r="G402" t="str">
            <v>Erlinda Elizabeth Cabrera</v>
          </cell>
        </row>
        <row r="403">
          <cell r="F403">
            <v>315535</v>
          </cell>
          <cell r="G403" t="str">
            <v>Ernesto Perez Tecun</v>
          </cell>
        </row>
        <row r="404">
          <cell r="F404">
            <v>313727</v>
          </cell>
          <cell r="G404" t="str">
            <v>Erwin Antonio Lorenzo Zamora</v>
          </cell>
        </row>
        <row r="405">
          <cell r="F405">
            <v>315123</v>
          </cell>
          <cell r="G405" t="str">
            <v>Esdras Daniel Pablo Solis</v>
          </cell>
        </row>
        <row r="406">
          <cell r="F406">
            <v>315491</v>
          </cell>
          <cell r="G406" t="str">
            <v>Esdras Eduardo Hernadez Morales</v>
          </cell>
        </row>
        <row r="407">
          <cell r="F407">
            <v>314068</v>
          </cell>
          <cell r="G407" t="str">
            <v>Esdras Manases Vasquez Vasquez</v>
          </cell>
        </row>
        <row r="408">
          <cell r="F408">
            <v>313871</v>
          </cell>
          <cell r="G408" t="str">
            <v>Eskarleth Julieta Coloma Camey</v>
          </cell>
        </row>
        <row r="409">
          <cell r="F409">
            <v>312554</v>
          </cell>
          <cell r="G409" t="str">
            <v>Esmaylin Alexis Melchor Lopez</v>
          </cell>
        </row>
        <row r="410">
          <cell r="F410">
            <v>315510</v>
          </cell>
          <cell r="G410" t="str">
            <v>Esteban Alfonso Gonzalez Osuna</v>
          </cell>
        </row>
        <row r="411">
          <cell r="F411">
            <v>313644</v>
          </cell>
          <cell r="G411" t="str">
            <v>Estefani Elizabeth Tzul Macario</v>
          </cell>
        </row>
        <row r="412">
          <cell r="F412">
            <v>312323</v>
          </cell>
          <cell r="G412" t="str">
            <v>Estefani Mishel Carpio Alvarado</v>
          </cell>
        </row>
        <row r="413">
          <cell r="F413">
            <v>313428</v>
          </cell>
          <cell r="G413" t="str">
            <v>Estefany Catalina Suazo Garcia</v>
          </cell>
        </row>
        <row r="414">
          <cell r="F414">
            <v>311094</v>
          </cell>
          <cell r="G414" t="str">
            <v>Estefany Virginia Perez Leiva</v>
          </cell>
        </row>
        <row r="415">
          <cell r="F415">
            <v>313151</v>
          </cell>
          <cell r="G415" t="str">
            <v>Ester Yulissa Salazar Sanches</v>
          </cell>
        </row>
        <row r="416">
          <cell r="F416">
            <v>308702</v>
          </cell>
          <cell r="G416" t="str">
            <v>Estuardo Alejandro Us Chanchavac</v>
          </cell>
        </row>
        <row r="417">
          <cell r="F417">
            <v>315564</v>
          </cell>
          <cell r="G417" t="str">
            <v>Esvin Rolando Orozco Mulul</v>
          </cell>
        </row>
        <row r="418">
          <cell r="F418">
            <v>314285</v>
          </cell>
          <cell r="G418" t="str">
            <v>Eswin Antonio Carrillo Barrera</v>
          </cell>
        </row>
        <row r="419">
          <cell r="F419">
            <v>311882</v>
          </cell>
          <cell r="G419" t="str">
            <v>Eswin Aroldo Ordoñez Robles</v>
          </cell>
        </row>
        <row r="420">
          <cell r="F420">
            <v>315041</v>
          </cell>
          <cell r="G420" t="str">
            <v>Eugenia Azucely Lopez De De Aguirre</v>
          </cell>
        </row>
        <row r="421">
          <cell r="F421">
            <v>313219</v>
          </cell>
          <cell r="G421" t="str">
            <v>Eunice Alejandrina Simon Gonzalez</v>
          </cell>
        </row>
        <row r="422">
          <cell r="F422">
            <v>314553</v>
          </cell>
          <cell r="G422" t="str">
            <v>Eva Argentina Ramirez Perez</v>
          </cell>
        </row>
        <row r="423">
          <cell r="F423">
            <v>313803</v>
          </cell>
          <cell r="G423" t="str">
            <v>Eva Yustinia Lopez Zuñiga</v>
          </cell>
        </row>
        <row r="424">
          <cell r="F424">
            <v>314445</v>
          </cell>
          <cell r="G424" t="str">
            <v>Evelin Lorena Noguera García</v>
          </cell>
        </row>
        <row r="425">
          <cell r="F425">
            <v>314320</v>
          </cell>
          <cell r="G425" t="str">
            <v>Evelin Maria Padilla Garcia</v>
          </cell>
        </row>
        <row r="426">
          <cell r="F426">
            <v>313699</v>
          </cell>
          <cell r="G426" t="str">
            <v>Evelin Yulissa Lopez Villar</v>
          </cell>
        </row>
        <row r="427">
          <cell r="F427">
            <v>307498</v>
          </cell>
          <cell r="G427" t="str">
            <v>Evelyn Julieta Lopez Peralta</v>
          </cell>
        </row>
        <row r="428">
          <cell r="F428">
            <v>312811</v>
          </cell>
          <cell r="G428" t="str">
            <v>Evelyn Maritza Chumil Monroy</v>
          </cell>
        </row>
        <row r="429">
          <cell r="F429">
            <v>313353</v>
          </cell>
          <cell r="G429" t="str">
            <v>Evelyn Marleny Rosales Cutz</v>
          </cell>
        </row>
        <row r="430">
          <cell r="F430">
            <v>313264</v>
          </cell>
          <cell r="G430" t="str">
            <v>Evelyn Mishell Catalan Pixtun</v>
          </cell>
        </row>
        <row r="431">
          <cell r="F431">
            <v>314528</v>
          </cell>
          <cell r="G431" t="str">
            <v>Evelyn Nohemi Morales Lopez</v>
          </cell>
        </row>
        <row r="432">
          <cell r="F432">
            <v>311933</v>
          </cell>
          <cell r="G432" t="str">
            <v>Evelyn Rocio Chiquival Piquic</v>
          </cell>
        </row>
        <row r="433">
          <cell r="F433">
            <v>315213</v>
          </cell>
          <cell r="G433" t="str">
            <v>Evelyn Susana Hernandez Ambrosio</v>
          </cell>
        </row>
        <row r="434">
          <cell r="F434">
            <v>311721</v>
          </cell>
          <cell r="G434" t="str">
            <v>Evelyn Yaneth Aceituno Lara</v>
          </cell>
        </row>
        <row r="435">
          <cell r="F435">
            <v>313016</v>
          </cell>
          <cell r="G435" t="str">
            <v>Ever Josue Del Valle Rivera</v>
          </cell>
        </row>
        <row r="436">
          <cell r="F436">
            <v>313552</v>
          </cell>
          <cell r="G436" t="str">
            <v>Everilda Choc Caal</v>
          </cell>
        </row>
        <row r="437">
          <cell r="F437">
            <v>313091</v>
          </cell>
          <cell r="G437" t="str">
            <v>Fabian De Jesus Ramirez Icute</v>
          </cell>
        </row>
        <row r="438">
          <cell r="F438">
            <v>312169</v>
          </cell>
          <cell r="G438" t="str">
            <v>Fabiola Hernandez Bartolon</v>
          </cell>
        </row>
        <row r="439">
          <cell r="F439">
            <v>308284</v>
          </cell>
          <cell r="G439" t="str">
            <v>Fabiola Ninett Beteta Barillas</v>
          </cell>
        </row>
        <row r="440">
          <cell r="F440">
            <v>312293</v>
          </cell>
          <cell r="G440" t="str">
            <v>Fabricio Daniel Cajas Cifuentes</v>
          </cell>
        </row>
        <row r="441">
          <cell r="F441">
            <v>315582</v>
          </cell>
          <cell r="G441" t="str">
            <v>Fatima Mercedes Montes Quezada</v>
          </cell>
        </row>
        <row r="442">
          <cell r="F442">
            <v>314263</v>
          </cell>
          <cell r="G442" t="str">
            <v>Feliciana Isabel Ramirez Raymundo</v>
          </cell>
        </row>
        <row r="443">
          <cell r="F443">
            <v>314012</v>
          </cell>
          <cell r="G443" t="str">
            <v>Felix Rodolfo Alvarado Jimenez</v>
          </cell>
        </row>
        <row r="444">
          <cell r="F444">
            <v>314349</v>
          </cell>
          <cell r="G444" t="str">
            <v>Fernanda Lucia Lopez Estrada</v>
          </cell>
        </row>
        <row r="445">
          <cell r="F445">
            <v>312409</v>
          </cell>
          <cell r="G445" t="str">
            <v>Fernanda Rene Villatoro Guarcas</v>
          </cell>
        </row>
        <row r="446">
          <cell r="F446">
            <v>314934</v>
          </cell>
          <cell r="G446" t="str">
            <v>Fernando Jose Monzon Castañeda</v>
          </cell>
        </row>
        <row r="447">
          <cell r="F447">
            <v>315303</v>
          </cell>
          <cell r="G447" t="str">
            <v>Flavio Ernesto Monzón Rummler</v>
          </cell>
        </row>
        <row r="448">
          <cell r="F448">
            <v>315309</v>
          </cell>
          <cell r="G448" t="str">
            <v>Flor De Maria Lopez Garcia</v>
          </cell>
        </row>
        <row r="449">
          <cell r="F449">
            <v>307917</v>
          </cell>
          <cell r="G449" t="str">
            <v>Flor De Maria Mux Ramos</v>
          </cell>
        </row>
        <row r="450">
          <cell r="F450">
            <v>315038</v>
          </cell>
          <cell r="G450" t="str">
            <v>Flor Sylvestre Orellana Gonzalez</v>
          </cell>
        </row>
        <row r="451">
          <cell r="F451">
            <v>101729</v>
          </cell>
          <cell r="G451" t="str">
            <v>Florencio Monterroso Estrada</v>
          </cell>
        </row>
        <row r="452">
          <cell r="F452">
            <v>314230</v>
          </cell>
          <cell r="G452" t="str">
            <v>Floridalma Leticia Lopez Ramirez</v>
          </cell>
        </row>
        <row r="453">
          <cell r="F453">
            <v>314093</v>
          </cell>
          <cell r="G453" t="str">
            <v>Floridalma Nicolas Yos</v>
          </cell>
        </row>
        <row r="454">
          <cell r="F454">
            <v>312717</v>
          </cell>
          <cell r="G454" t="str">
            <v>Florita Reyes Roblero Morales</v>
          </cell>
        </row>
        <row r="455">
          <cell r="F455">
            <v>314785</v>
          </cell>
          <cell r="G455" t="str">
            <v>Flory Azucena De Leon Ventura</v>
          </cell>
        </row>
        <row r="456">
          <cell r="F456">
            <v>310144</v>
          </cell>
          <cell r="G456" t="str">
            <v>Francisco Javier Diaz Avila</v>
          </cell>
        </row>
        <row r="457">
          <cell r="F457">
            <v>315457</v>
          </cell>
          <cell r="G457" t="str">
            <v>Francisco Joel Gomez Rodriguez</v>
          </cell>
        </row>
        <row r="458">
          <cell r="F458">
            <v>311612</v>
          </cell>
          <cell r="G458" t="str">
            <v>Franklin Alexander Perez Paiz</v>
          </cell>
        </row>
        <row r="459">
          <cell r="F459">
            <v>315204</v>
          </cell>
          <cell r="G459" t="str">
            <v>Gabriel Antonio Rodas Domingo</v>
          </cell>
        </row>
        <row r="460">
          <cell r="F460">
            <v>311548</v>
          </cell>
          <cell r="G460" t="str">
            <v>Gabriela Alejandra Estrada Aroche</v>
          </cell>
        </row>
        <row r="461">
          <cell r="F461">
            <v>306667</v>
          </cell>
          <cell r="G461" t="str">
            <v>Gabriela Elizabeth Flores Santos</v>
          </cell>
        </row>
        <row r="462">
          <cell r="F462">
            <v>314533</v>
          </cell>
          <cell r="G462" t="str">
            <v>Gabriela Liseth Perez Monzon</v>
          </cell>
        </row>
        <row r="463">
          <cell r="F463">
            <v>311817</v>
          </cell>
          <cell r="G463" t="str">
            <v>Gabriela Paola Macario Lopez</v>
          </cell>
        </row>
        <row r="464">
          <cell r="F464">
            <v>301309</v>
          </cell>
          <cell r="G464" t="str">
            <v>Gabriela Pelaez Gonzalez</v>
          </cell>
        </row>
        <row r="465">
          <cell r="F465">
            <v>315530</v>
          </cell>
          <cell r="G465" t="str">
            <v>Gabriela Raquel Pixtun Trujillo</v>
          </cell>
        </row>
        <row r="466">
          <cell r="F466">
            <v>315343</v>
          </cell>
          <cell r="G466" t="str">
            <v>Gabriela Valeska Lemus Cotuc</v>
          </cell>
        </row>
        <row r="467">
          <cell r="F467">
            <v>309911</v>
          </cell>
          <cell r="G467" t="str">
            <v>Gaby Beatriz Lopez Lopez</v>
          </cell>
        </row>
        <row r="468">
          <cell r="F468">
            <v>315485</v>
          </cell>
          <cell r="G468" t="str">
            <v>Geraldy Daleska Cuyan Giron</v>
          </cell>
        </row>
        <row r="469">
          <cell r="F469">
            <v>307104</v>
          </cell>
          <cell r="G469" t="str">
            <v>Gerber Ariel De Leon Elias</v>
          </cell>
        </row>
        <row r="470">
          <cell r="F470">
            <v>312975</v>
          </cell>
          <cell r="G470" t="str">
            <v>Gerberth Aridmendi Arevalo Zepeda</v>
          </cell>
        </row>
        <row r="471">
          <cell r="F471">
            <v>306654</v>
          </cell>
          <cell r="G471" t="str">
            <v>Gerson Arcadio Hernandez Barrios</v>
          </cell>
        </row>
        <row r="472">
          <cell r="F472">
            <v>315035</v>
          </cell>
          <cell r="G472" t="str">
            <v>Gerson David Ortega Soto</v>
          </cell>
        </row>
        <row r="473">
          <cell r="F473">
            <v>315255</v>
          </cell>
          <cell r="G473" t="str">
            <v>Gerson Rene Galicia Alvarez</v>
          </cell>
        </row>
        <row r="474">
          <cell r="F474">
            <v>313730</v>
          </cell>
          <cell r="G474" t="str">
            <v>Gerson Rolando Alcantara Gonzalez</v>
          </cell>
        </row>
        <row r="475">
          <cell r="F475">
            <v>315273</v>
          </cell>
          <cell r="G475" t="str">
            <v>Gladis Guadalupe Tuyuc Ramirez</v>
          </cell>
        </row>
        <row r="476">
          <cell r="F476">
            <v>309429</v>
          </cell>
          <cell r="G476" t="str">
            <v>Gladis Mishel Aguilar Garcia</v>
          </cell>
        </row>
        <row r="477">
          <cell r="F477">
            <v>315265</v>
          </cell>
          <cell r="G477" t="str">
            <v>Gladis Nohemi Noj Hernandez De De Leon</v>
          </cell>
        </row>
        <row r="478">
          <cell r="F478">
            <v>301514</v>
          </cell>
          <cell r="G478" t="str">
            <v>Gladiz Maricela Guamuch Caracun De Lopez</v>
          </cell>
        </row>
        <row r="479">
          <cell r="F479">
            <v>309950</v>
          </cell>
          <cell r="G479" t="str">
            <v>Gladys Maribel Chamale Cotzajay</v>
          </cell>
        </row>
        <row r="480">
          <cell r="F480">
            <v>315349</v>
          </cell>
          <cell r="G480" t="str">
            <v>Gladys Marleny Rodriguez Tzoc</v>
          </cell>
        </row>
        <row r="481">
          <cell r="F481">
            <v>306248</v>
          </cell>
          <cell r="G481" t="str">
            <v>Gladys Susana Marin De Leon</v>
          </cell>
        </row>
        <row r="482">
          <cell r="F482">
            <v>310719</v>
          </cell>
          <cell r="G482" t="str">
            <v>Gladyz Ninett Sanchez Perez</v>
          </cell>
        </row>
        <row r="483">
          <cell r="F483">
            <v>309945</v>
          </cell>
          <cell r="G483" t="str">
            <v>Glenda Flor De Maria Caal</v>
          </cell>
        </row>
        <row r="484">
          <cell r="F484">
            <v>314619</v>
          </cell>
          <cell r="G484" t="str">
            <v>Glenda Isabel Perez Velasquez</v>
          </cell>
        </row>
        <row r="485">
          <cell r="F485">
            <v>315263</v>
          </cell>
          <cell r="G485" t="str">
            <v>Glendy Aracely Arevalo Estrada</v>
          </cell>
        </row>
        <row r="486">
          <cell r="F486">
            <v>312140</v>
          </cell>
          <cell r="G486" t="str">
            <v>Glendy Elizabeth Aspuac Xunux</v>
          </cell>
        </row>
        <row r="487">
          <cell r="F487">
            <v>304949</v>
          </cell>
          <cell r="G487" t="str">
            <v>Glendy Modesta Orellana Sanabria</v>
          </cell>
        </row>
        <row r="488">
          <cell r="F488">
            <v>314189</v>
          </cell>
          <cell r="G488" t="str">
            <v>Gloria Angelica Torres Franco</v>
          </cell>
        </row>
        <row r="489">
          <cell r="F489">
            <v>304943</v>
          </cell>
          <cell r="G489" t="str">
            <v>Gloria Hernandez Reyes</v>
          </cell>
        </row>
        <row r="490">
          <cell r="F490">
            <v>314569</v>
          </cell>
          <cell r="G490" t="str">
            <v>Gonzalo Danilo Castillo Miche</v>
          </cell>
        </row>
        <row r="491">
          <cell r="F491">
            <v>310114</v>
          </cell>
          <cell r="G491" t="str">
            <v>Guadalupe Marroquin Mayen</v>
          </cell>
        </row>
        <row r="492">
          <cell r="F492">
            <v>313710</v>
          </cell>
          <cell r="G492" t="str">
            <v>Gustavo Adolfo Mixtun Sunun</v>
          </cell>
        </row>
        <row r="493">
          <cell r="F493">
            <v>314863</v>
          </cell>
          <cell r="G493" t="str">
            <v>Gustavo Manuel Cifuentes De Mata</v>
          </cell>
        </row>
        <row r="494">
          <cell r="F494">
            <v>315412</v>
          </cell>
          <cell r="G494" t="str">
            <v>Hairo Andre Contreras Paz</v>
          </cell>
        </row>
        <row r="495">
          <cell r="F495">
            <v>311419</v>
          </cell>
          <cell r="G495" t="str">
            <v>Hallari Michel Orozco Chapen</v>
          </cell>
        </row>
        <row r="496">
          <cell r="F496">
            <v>312961</v>
          </cell>
          <cell r="G496" t="str">
            <v>Hans Estuard Milian Alarcon</v>
          </cell>
        </row>
        <row r="497">
          <cell r="F497">
            <v>315569</v>
          </cell>
          <cell r="G497" t="str">
            <v>Heber Benjamin Gomez Ramirez</v>
          </cell>
        </row>
        <row r="498">
          <cell r="F498">
            <v>315175</v>
          </cell>
          <cell r="G498" t="str">
            <v>Heber Nehemias Velasquez Lorenzo</v>
          </cell>
        </row>
        <row r="499">
          <cell r="F499">
            <v>315576</v>
          </cell>
          <cell r="G499" t="str">
            <v>Heber Uziel Ruiz Escobar</v>
          </cell>
        </row>
        <row r="500">
          <cell r="F500">
            <v>315154</v>
          </cell>
          <cell r="G500" t="str">
            <v>Hector Estuardo Velasquez Carvajal</v>
          </cell>
        </row>
        <row r="501">
          <cell r="F501">
            <v>312588</v>
          </cell>
          <cell r="G501" t="str">
            <v>Hector Manuel Pojoy Berduo</v>
          </cell>
        </row>
        <row r="502">
          <cell r="F502">
            <v>309925</v>
          </cell>
          <cell r="G502" t="str">
            <v>Hector Marco Tulio Torres Garcia</v>
          </cell>
        </row>
        <row r="503">
          <cell r="F503">
            <v>312114</v>
          </cell>
          <cell r="G503" t="str">
            <v>Hegner Aquino Mateo Recinos</v>
          </cell>
        </row>
        <row r="504">
          <cell r="F504">
            <v>310694</v>
          </cell>
          <cell r="G504" t="str">
            <v>Heidy Carolina Monterroso Monterroso</v>
          </cell>
        </row>
        <row r="505">
          <cell r="F505">
            <v>315300</v>
          </cell>
          <cell r="G505" t="str">
            <v>Heidy Karina Gil Quinti</v>
          </cell>
        </row>
        <row r="506">
          <cell r="F506">
            <v>314029</v>
          </cell>
          <cell r="G506" t="str">
            <v>Heidy Noely Yupe Hernandez</v>
          </cell>
        </row>
        <row r="507">
          <cell r="F507">
            <v>313510</v>
          </cell>
          <cell r="G507" t="str">
            <v>Heidy Patricia Santizo López</v>
          </cell>
        </row>
        <row r="508">
          <cell r="F508">
            <v>308951</v>
          </cell>
          <cell r="G508" t="str">
            <v>Heidy Sucely Boc Monroy</v>
          </cell>
        </row>
        <row r="509">
          <cell r="F509">
            <v>301847</v>
          </cell>
          <cell r="G509" t="str">
            <v>Heidy Yanet Reyes Presencin</v>
          </cell>
        </row>
        <row r="510">
          <cell r="F510">
            <v>314009</v>
          </cell>
          <cell r="G510" t="str">
            <v>Heily Marie Taracena Diaz</v>
          </cell>
        </row>
        <row r="511">
          <cell r="F511">
            <v>303959</v>
          </cell>
          <cell r="G511" t="str">
            <v>Helen Editt Solorzano Estrada</v>
          </cell>
        </row>
        <row r="512">
          <cell r="F512">
            <v>308028</v>
          </cell>
          <cell r="G512" t="str">
            <v>Helen Eunice Hernandez Recinos</v>
          </cell>
        </row>
        <row r="513">
          <cell r="F513">
            <v>302479</v>
          </cell>
          <cell r="G513" t="str">
            <v>Helen Xiomara Roldan Sagastume</v>
          </cell>
        </row>
        <row r="514">
          <cell r="F514">
            <v>313041</v>
          </cell>
          <cell r="G514" t="str">
            <v>Hellen Marisol Velasquez Ciprian</v>
          </cell>
        </row>
        <row r="515">
          <cell r="F515">
            <v>313729</v>
          </cell>
          <cell r="G515" t="str">
            <v>Henry David Lopez Perez</v>
          </cell>
        </row>
        <row r="516">
          <cell r="F516">
            <v>307713</v>
          </cell>
          <cell r="G516" t="str">
            <v>Henry Donaldo Rodriguez Perez</v>
          </cell>
        </row>
        <row r="517">
          <cell r="F517">
            <v>315304</v>
          </cell>
          <cell r="G517" t="str">
            <v>Henry Gabriel Morales Chinchilla</v>
          </cell>
        </row>
        <row r="518">
          <cell r="F518">
            <v>314630</v>
          </cell>
          <cell r="G518" t="str">
            <v>Henry Misael Serech Ramon</v>
          </cell>
        </row>
        <row r="519">
          <cell r="F519">
            <v>312139</v>
          </cell>
          <cell r="G519" t="str">
            <v>Herber Ardany Lucho Samayoa</v>
          </cell>
        </row>
        <row r="520">
          <cell r="F520">
            <v>310725</v>
          </cell>
          <cell r="G520" t="str">
            <v>Herber Humberto Cax Gonzales</v>
          </cell>
        </row>
        <row r="521">
          <cell r="F521">
            <v>309034</v>
          </cell>
          <cell r="G521" t="str">
            <v>Herbert Josue Mucia Garcia</v>
          </cell>
        </row>
        <row r="522">
          <cell r="F522">
            <v>315218</v>
          </cell>
          <cell r="G522" t="str">
            <v>Herberth Alberto Barrios Perez</v>
          </cell>
        </row>
        <row r="523">
          <cell r="F523">
            <v>315050</v>
          </cell>
          <cell r="G523" t="str">
            <v>Hercy Dayana Hidalgo Romero</v>
          </cell>
        </row>
        <row r="524">
          <cell r="F524">
            <v>312377</v>
          </cell>
          <cell r="G524" t="str">
            <v>Hesler Jonathan Quevedo De La Cruz</v>
          </cell>
        </row>
        <row r="525">
          <cell r="F525">
            <v>315495</v>
          </cell>
          <cell r="G525" t="str">
            <v>Heydee Johana Marisol Cho Del Valle</v>
          </cell>
        </row>
        <row r="526">
          <cell r="F526">
            <v>302285</v>
          </cell>
          <cell r="G526" t="str">
            <v>Heydi Yaneth Sales Mazariegos</v>
          </cell>
        </row>
        <row r="527">
          <cell r="F527">
            <v>309528</v>
          </cell>
          <cell r="G527" t="str">
            <v>Heydi Zuleyma Gue Cac</v>
          </cell>
        </row>
        <row r="528">
          <cell r="F528">
            <v>310612</v>
          </cell>
          <cell r="G528" t="str">
            <v>Heydy Mariela Santiago Armas</v>
          </cell>
        </row>
        <row r="529">
          <cell r="F529">
            <v>301649</v>
          </cell>
          <cell r="G529" t="str">
            <v>Hilda Paola Lopez Cano</v>
          </cell>
        </row>
        <row r="530">
          <cell r="F530">
            <v>306404</v>
          </cell>
          <cell r="G530" t="str">
            <v>Hugo Leonel Tahual Ramos</v>
          </cell>
        </row>
        <row r="531">
          <cell r="F531">
            <v>313743</v>
          </cell>
          <cell r="G531" t="str">
            <v>Hugo Rolando Ruiz Alquijay</v>
          </cell>
        </row>
        <row r="532">
          <cell r="F532">
            <v>310888</v>
          </cell>
          <cell r="G532" t="str">
            <v>Hugo Vinicio Chavez Barrios</v>
          </cell>
        </row>
        <row r="533">
          <cell r="F533">
            <v>302261</v>
          </cell>
          <cell r="G533" t="str">
            <v>Idalia Ester Espino Lopez</v>
          </cell>
        </row>
        <row r="534">
          <cell r="F534">
            <v>304392</v>
          </cell>
          <cell r="G534" t="str">
            <v>Ilda Gricelda Garcia Zacarias</v>
          </cell>
        </row>
        <row r="535">
          <cell r="F535">
            <v>313703</v>
          </cell>
          <cell r="G535" t="str">
            <v>Ilda Magnolia Lopez Ramirez</v>
          </cell>
        </row>
        <row r="536">
          <cell r="F536">
            <v>310432</v>
          </cell>
          <cell r="G536" t="str">
            <v>Ilda Merary Calachij Mendez</v>
          </cell>
        </row>
        <row r="537">
          <cell r="F537">
            <v>309389</v>
          </cell>
          <cell r="G537" t="str">
            <v>Ilsy Meliza Matzir Lebon</v>
          </cell>
        </row>
        <row r="538">
          <cell r="F538">
            <v>303674</v>
          </cell>
          <cell r="G538" t="str">
            <v>Imelda Elizabeth Castro Rodas</v>
          </cell>
        </row>
        <row r="539">
          <cell r="F539">
            <v>301644</v>
          </cell>
          <cell r="G539" t="str">
            <v>Imelda Eugenia Recinos Martinez</v>
          </cell>
        </row>
        <row r="540">
          <cell r="F540">
            <v>307030</v>
          </cell>
          <cell r="G540" t="str">
            <v>Ingrid Alejandra Juarez Yanes</v>
          </cell>
        </row>
        <row r="541">
          <cell r="F541">
            <v>315503</v>
          </cell>
          <cell r="G541" t="str">
            <v>Ingrid Benita Tojin Chuc</v>
          </cell>
        </row>
        <row r="542">
          <cell r="F542">
            <v>312398</v>
          </cell>
          <cell r="G542" t="str">
            <v>Ingrid Esteffany Salazar Sosa</v>
          </cell>
        </row>
        <row r="543">
          <cell r="F543">
            <v>301199</v>
          </cell>
          <cell r="G543" t="str">
            <v>Ingrid Haydee Minchez Monzon</v>
          </cell>
        </row>
        <row r="544">
          <cell r="F544">
            <v>304317</v>
          </cell>
          <cell r="G544" t="str">
            <v>Ingrid Johana Muñoz Choc</v>
          </cell>
        </row>
        <row r="545">
          <cell r="F545">
            <v>311286</v>
          </cell>
          <cell r="G545" t="str">
            <v>Ingrid Lorena Anleu Morales</v>
          </cell>
        </row>
        <row r="546">
          <cell r="F546">
            <v>311133</v>
          </cell>
          <cell r="G546" t="str">
            <v>Ingrid Mariela Maldonado Tubac</v>
          </cell>
        </row>
        <row r="547">
          <cell r="F547">
            <v>313304</v>
          </cell>
          <cell r="G547" t="str">
            <v>Ingrid Yojana Ramos Sacalxot</v>
          </cell>
        </row>
        <row r="548">
          <cell r="F548">
            <v>311997</v>
          </cell>
          <cell r="G548" t="str">
            <v>Irene Lizbeth Rodas Cuc</v>
          </cell>
        </row>
        <row r="549">
          <cell r="F549">
            <v>313128</v>
          </cell>
          <cell r="G549" t="str">
            <v>Iris Elizabeth Cardona Gonzalez</v>
          </cell>
        </row>
        <row r="550">
          <cell r="F550">
            <v>314232</v>
          </cell>
          <cell r="G550" t="str">
            <v>Iris Yulisa Camposeco Funes</v>
          </cell>
        </row>
        <row r="551">
          <cell r="F551">
            <v>312920</v>
          </cell>
          <cell r="G551" t="str">
            <v>Irma Leticia Raquec Yos</v>
          </cell>
        </row>
        <row r="552">
          <cell r="F552">
            <v>314336</v>
          </cell>
          <cell r="G552" t="str">
            <v>Isaac David Ismael Calderon Socop</v>
          </cell>
        </row>
        <row r="553">
          <cell r="F553">
            <v>315186</v>
          </cell>
          <cell r="G553" t="str">
            <v>Isabelita Retana Zepeda</v>
          </cell>
        </row>
        <row r="554">
          <cell r="F554">
            <v>311913</v>
          </cell>
          <cell r="G554" t="str">
            <v>Isai Bernabe Quiroa Alvarez</v>
          </cell>
        </row>
        <row r="555">
          <cell r="F555">
            <v>315302</v>
          </cell>
          <cell r="G555" t="str">
            <v>Isai De Jesus Cabrera Tirado</v>
          </cell>
        </row>
        <row r="556">
          <cell r="F556">
            <v>314983</v>
          </cell>
          <cell r="G556" t="str">
            <v>Ismael Josafat Barrios</v>
          </cell>
        </row>
        <row r="557">
          <cell r="F557">
            <v>313569</v>
          </cell>
          <cell r="G557" t="str">
            <v>Ismar Manfredo Gomez Batres</v>
          </cell>
        </row>
        <row r="558">
          <cell r="F558">
            <v>315034</v>
          </cell>
          <cell r="G558" t="str">
            <v>Jackeline Andrea Yancor Wilhelm</v>
          </cell>
        </row>
        <row r="559">
          <cell r="F559">
            <v>315352</v>
          </cell>
          <cell r="G559" t="str">
            <v>Jackeline Ester Vasquez Pernillo</v>
          </cell>
        </row>
        <row r="560">
          <cell r="F560">
            <v>100717</v>
          </cell>
          <cell r="G560" t="str">
            <v>Jackeline Larisa De Leon Roldan</v>
          </cell>
        </row>
        <row r="561">
          <cell r="F561">
            <v>313656</v>
          </cell>
          <cell r="G561" t="str">
            <v>Jackelinne Judith Paz Morales</v>
          </cell>
        </row>
        <row r="562">
          <cell r="F562">
            <v>312255</v>
          </cell>
          <cell r="G562" t="str">
            <v>Jacqueline Mercedes Portuguez Simaj</v>
          </cell>
        </row>
        <row r="563">
          <cell r="F563">
            <v>314780</v>
          </cell>
          <cell r="G563" t="str">
            <v>Jacqueline Michell Arroyo Mendoza</v>
          </cell>
        </row>
        <row r="564">
          <cell r="F564">
            <v>301265</v>
          </cell>
          <cell r="G564" t="str">
            <v>Jaime Estuardo Gonzalez Lopez</v>
          </cell>
        </row>
        <row r="565">
          <cell r="F565">
            <v>314552</v>
          </cell>
          <cell r="G565" t="str">
            <v>Jaime Ottoniel Del Aguila Pineda</v>
          </cell>
        </row>
        <row r="566">
          <cell r="F566">
            <v>301608</v>
          </cell>
          <cell r="G566" t="str">
            <v>Jaime Rene Guzman Muy</v>
          </cell>
        </row>
        <row r="567">
          <cell r="F567">
            <v>314866</v>
          </cell>
          <cell r="G567" t="str">
            <v>Jaime Wilfredo Chub Coc</v>
          </cell>
        </row>
        <row r="568">
          <cell r="F568">
            <v>314935</v>
          </cell>
          <cell r="G568" t="str">
            <v>Jairo Anibal Veliz Carrera</v>
          </cell>
        </row>
        <row r="569">
          <cell r="F569">
            <v>313086</v>
          </cell>
          <cell r="G569" t="str">
            <v>Jairo Onesimo Aguilar Cabrera</v>
          </cell>
        </row>
        <row r="570">
          <cell r="F570">
            <v>314146</v>
          </cell>
          <cell r="G570" t="str">
            <v>Jairo Saul Lopez Quinteros</v>
          </cell>
        </row>
        <row r="571">
          <cell r="F571">
            <v>315130</v>
          </cell>
          <cell r="G571" t="str">
            <v>Jakelyn Estrella Erazo Asencio</v>
          </cell>
        </row>
        <row r="572">
          <cell r="F572">
            <v>315546</v>
          </cell>
          <cell r="G572" t="str">
            <v>James Alexander Marquez Salazar</v>
          </cell>
        </row>
        <row r="573">
          <cell r="F573">
            <v>314261</v>
          </cell>
          <cell r="G573" t="str">
            <v>Jannely Darlene Telon Giron</v>
          </cell>
        </row>
        <row r="574">
          <cell r="F574">
            <v>313187</v>
          </cell>
          <cell r="G574" t="str">
            <v>Janyer Violeta Aguirre Alvarez</v>
          </cell>
        </row>
        <row r="575">
          <cell r="F575">
            <v>308525</v>
          </cell>
          <cell r="G575" t="str">
            <v>Jaquelin Paola Lopez Bocel</v>
          </cell>
        </row>
        <row r="576">
          <cell r="F576">
            <v>308189</v>
          </cell>
          <cell r="G576" t="str">
            <v>Jaquelin Rocxana Cantey De Leon</v>
          </cell>
        </row>
        <row r="577">
          <cell r="F577">
            <v>312758</v>
          </cell>
          <cell r="G577" t="str">
            <v>Jaqueline Gabriela Vasquez Icute De Padilla</v>
          </cell>
        </row>
        <row r="578">
          <cell r="F578">
            <v>301462</v>
          </cell>
          <cell r="G578" t="str">
            <v>Jaqueline Johana Hernandez Masaya</v>
          </cell>
        </row>
        <row r="579">
          <cell r="F579">
            <v>310027</v>
          </cell>
          <cell r="G579" t="str">
            <v>Jaqueline Mishel Zetino Culan</v>
          </cell>
        </row>
        <row r="580">
          <cell r="F580">
            <v>313663</v>
          </cell>
          <cell r="G580" t="str">
            <v>Jaqueline Mishell Perez Sanic</v>
          </cell>
        </row>
        <row r="581">
          <cell r="F581">
            <v>314697</v>
          </cell>
          <cell r="G581" t="str">
            <v>Jaqueline Noemi Cojon Franco</v>
          </cell>
        </row>
        <row r="582">
          <cell r="F582">
            <v>314526</v>
          </cell>
          <cell r="G582" t="str">
            <v>Jaqueline Sarai Reynoso Perez</v>
          </cell>
        </row>
        <row r="583">
          <cell r="F583">
            <v>314952</v>
          </cell>
          <cell r="G583" t="str">
            <v>Jaqueline Stephanie Espinoza Espinoza</v>
          </cell>
        </row>
        <row r="584">
          <cell r="F584">
            <v>315467</v>
          </cell>
          <cell r="G584" t="str">
            <v>Jaqueline Vanessa Cardona Del Cid</v>
          </cell>
        </row>
        <row r="585">
          <cell r="F585">
            <v>314066</v>
          </cell>
          <cell r="G585" t="str">
            <v>Jaquelyn Marleny Fernandez</v>
          </cell>
        </row>
        <row r="586">
          <cell r="F586">
            <v>314639</v>
          </cell>
          <cell r="G586" t="str">
            <v>Jarod Emanuel Prado Sanchez</v>
          </cell>
        </row>
        <row r="587">
          <cell r="F587">
            <v>311320</v>
          </cell>
          <cell r="G587" t="str">
            <v>Jasly Elisama Escobar Mayen</v>
          </cell>
        </row>
        <row r="588">
          <cell r="F588">
            <v>304531</v>
          </cell>
          <cell r="G588" t="str">
            <v>Jasmin Cristabel Rosales</v>
          </cell>
        </row>
        <row r="589">
          <cell r="F589">
            <v>315500</v>
          </cell>
          <cell r="G589" t="str">
            <v>Jasson Daniel Morales Garcia</v>
          </cell>
        </row>
        <row r="590">
          <cell r="F590">
            <v>315383</v>
          </cell>
          <cell r="G590" t="str">
            <v>Javier Estuardo Calderon Caceres</v>
          </cell>
        </row>
        <row r="591">
          <cell r="F591">
            <v>307598</v>
          </cell>
          <cell r="G591" t="str">
            <v>Javier Ignacio Monzon Leon</v>
          </cell>
        </row>
        <row r="592">
          <cell r="F592">
            <v>312743</v>
          </cell>
          <cell r="G592" t="str">
            <v>Jayro Vinicio Alvarado Rodriguez</v>
          </cell>
        </row>
        <row r="593">
          <cell r="F593">
            <v>313435</v>
          </cell>
          <cell r="G593" t="str">
            <v>Jefferson Marvin Baudilio Aldana Lozano</v>
          </cell>
        </row>
        <row r="594">
          <cell r="F594">
            <v>310987</v>
          </cell>
          <cell r="G594" t="str">
            <v>Jeffrey Donely Alvarez Garcia</v>
          </cell>
        </row>
        <row r="595">
          <cell r="F595">
            <v>315307</v>
          </cell>
          <cell r="G595" t="str">
            <v>Jeicob Manrique Argueta Ovalle</v>
          </cell>
        </row>
        <row r="596">
          <cell r="F596">
            <v>313167</v>
          </cell>
          <cell r="G596" t="str">
            <v>Jency Julissa Chavarria Garcia</v>
          </cell>
        </row>
        <row r="597">
          <cell r="F597">
            <v>309592</v>
          </cell>
          <cell r="G597" t="str">
            <v>Jenifer Estrella Alvarez Cruz</v>
          </cell>
        </row>
        <row r="598">
          <cell r="F598">
            <v>308871</v>
          </cell>
          <cell r="G598" t="str">
            <v>Jenifer Lisset Chicol Solis</v>
          </cell>
        </row>
        <row r="599">
          <cell r="F599">
            <v>310744</v>
          </cell>
          <cell r="G599" t="str">
            <v>Jenifer Lucrecia Herrera Gonzalez</v>
          </cell>
        </row>
        <row r="600">
          <cell r="F600">
            <v>312022</v>
          </cell>
          <cell r="G600" t="str">
            <v>Jenifer Maria Lopez Jimenez</v>
          </cell>
        </row>
        <row r="601">
          <cell r="F601">
            <v>311998</v>
          </cell>
          <cell r="G601" t="str">
            <v>Jenifer Patricia Ruano Camo</v>
          </cell>
        </row>
        <row r="602">
          <cell r="F602">
            <v>314393</v>
          </cell>
          <cell r="G602" t="str">
            <v>Jeniffer Yadaris Villegas Montepeque</v>
          </cell>
        </row>
        <row r="603">
          <cell r="F603">
            <v>312144</v>
          </cell>
          <cell r="G603" t="str">
            <v>Jennie Beatriz Aguilar Gonzalez</v>
          </cell>
        </row>
        <row r="604">
          <cell r="F604">
            <v>310751</v>
          </cell>
          <cell r="G604" t="str">
            <v>Jennifer Alejandra Escobar De Leon</v>
          </cell>
        </row>
        <row r="605">
          <cell r="F605">
            <v>311804</v>
          </cell>
          <cell r="G605" t="str">
            <v>Jennifer Carolina Xitimul Aguilar</v>
          </cell>
        </row>
        <row r="606">
          <cell r="F606">
            <v>315185</v>
          </cell>
          <cell r="G606" t="str">
            <v>Jennifer Estefany Argueta De Leon</v>
          </cell>
        </row>
        <row r="607">
          <cell r="F607">
            <v>313611</v>
          </cell>
          <cell r="G607" t="str">
            <v>Jennifer Mishel Reyes Solis</v>
          </cell>
        </row>
        <row r="608">
          <cell r="F608">
            <v>314306</v>
          </cell>
          <cell r="G608" t="str">
            <v>Jennifer Noemi Soch Castro</v>
          </cell>
        </row>
        <row r="609">
          <cell r="F609">
            <v>312876</v>
          </cell>
          <cell r="G609" t="str">
            <v>Jennifer Pahola Calderon Lopez</v>
          </cell>
        </row>
        <row r="610">
          <cell r="F610">
            <v>311421</v>
          </cell>
          <cell r="G610" t="str">
            <v>Jennifer Scarlett Garcia Perez</v>
          </cell>
        </row>
        <row r="611">
          <cell r="F611">
            <v>312270</v>
          </cell>
          <cell r="G611" t="str">
            <v>Jennifer Vanessa Rodriguez Hernandez</v>
          </cell>
        </row>
        <row r="612">
          <cell r="F612">
            <v>313387</v>
          </cell>
          <cell r="G612" t="str">
            <v>Jennifer Waleska Arévalo Barrios</v>
          </cell>
        </row>
        <row r="613">
          <cell r="F613">
            <v>312117</v>
          </cell>
          <cell r="G613" t="str">
            <v>Jenniffer Jazmin Ramos Madriles</v>
          </cell>
        </row>
        <row r="614">
          <cell r="F614">
            <v>310238</v>
          </cell>
          <cell r="G614" t="str">
            <v>Jennyfer Cristina Zamora Rosales</v>
          </cell>
        </row>
        <row r="615">
          <cell r="F615">
            <v>312732</v>
          </cell>
          <cell r="G615" t="str">
            <v>Jerson Herminio Melchor Vasquez</v>
          </cell>
        </row>
        <row r="616">
          <cell r="F616">
            <v>314962</v>
          </cell>
          <cell r="G616" t="str">
            <v>Jessica Alejandra Castillo Alvarado</v>
          </cell>
        </row>
        <row r="617">
          <cell r="F617">
            <v>314100</v>
          </cell>
          <cell r="G617" t="str">
            <v>Jessica Elizabeth Perez Noriega</v>
          </cell>
        </row>
        <row r="618">
          <cell r="F618">
            <v>311601</v>
          </cell>
          <cell r="G618" t="str">
            <v>Jessica Haydee Garcia Cuyuche</v>
          </cell>
        </row>
        <row r="619">
          <cell r="F619">
            <v>314620</v>
          </cell>
          <cell r="G619" t="str">
            <v>Jessica Jasmin Baltazar Fuentes</v>
          </cell>
        </row>
        <row r="620">
          <cell r="F620">
            <v>302841</v>
          </cell>
          <cell r="G620" t="str">
            <v>Jessica Maria Jose Santizo Guzman</v>
          </cell>
        </row>
        <row r="621">
          <cell r="F621">
            <v>306420</v>
          </cell>
          <cell r="G621" t="str">
            <v>Jessica Paola Espinoza Solares</v>
          </cell>
        </row>
        <row r="622">
          <cell r="F622">
            <v>313826</v>
          </cell>
          <cell r="G622" t="str">
            <v>Jesus Alberto Vasquez</v>
          </cell>
        </row>
        <row r="623">
          <cell r="F623">
            <v>314641</v>
          </cell>
          <cell r="G623" t="str">
            <v>Jesus Emanuel Ramos Perez</v>
          </cell>
        </row>
        <row r="624">
          <cell r="F624">
            <v>314554</v>
          </cell>
          <cell r="G624" t="str">
            <v>Jhonatan Alexis Ramos Tecun</v>
          </cell>
        </row>
        <row r="625">
          <cell r="F625">
            <v>309115</v>
          </cell>
          <cell r="G625" t="str">
            <v>Jhony Ivan Perez Castillo</v>
          </cell>
        </row>
        <row r="626">
          <cell r="F626">
            <v>311171</v>
          </cell>
          <cell r="G626" t="str">
            <v>Jhoselyn Guadalupe Aquino Maldonado</v>
          </cell>
        </row>
        <row r="627">
          <cell r="F627">
            <v>311987</v>
          </cell>
          <cell r="G627" t="str">
            <v>Jhosseline Stefanie Zermeño Ayala</v>
          </cell>
        </row>
        <row r="628">
          <cell r="F628">
            <v>315116</v>
          </cell>
          <cell r="G628" t="str">
            <v>Jocelyn Fabiola Negro Vasquez</v>
          </cell>
        </row>
        <row r="629">
          <cell r="F629">
            <v>314644</v>
          </cell>
          <cell r="G629" t="str">
            <v>Joel Bernardino Pu Vicente</v>
          </cell>
        </row>
        <row r="630">
          <cell r="F630">
            <v>314368</v>
          </cell>
          <cell r="G630" t="str">
            <v>Johanna Cecilia Hernandez Ixtecoc</v>
          </cell>
        </row>
        <row r="631">
          <cell r="F631">
            <v>314339</v>
          </cell>
          <cell r="G631" t="str">
            <v>Jonatan Estuardo Lopez Gonzalez</v>
          </cell>
        </row>
        <row r="632">
          <cell r="F632">
            <v>313157</v>
          </cell>
          <cell r="G632" t="str">
            <v>Jonatan Guillermo Soto Urbina</v>
          </cell>
        </row>
        <row r="633">
          <cell r="F633">
            <v>315492</v>
          </cell>
          <cell r="G633" t="str">
            <v>Jonathan Daniel Perez Marroquin</v>
          </cell>
        </row>
        <row r="634">
          <cell r="F634">
            <v>315156</v>
          </cell>
          <cell r="G634" t="str">
            <v>Jonathan Donely Sandoval Soch</v>
          </cell>
        </row>
        <row r="635">
          <cell r="F635">
            <v>315451</v>
          </cell>
          <cell r="G635" t="str">
            <v>Jonathan Estuardo Boteo Hernandez</v>
          </cell>
        </row>
        <row r="636">
          <cell r="F636">
            <v>314228</v>
          </cell>
          <cell r="G636" t="str">
            <v>Jordi Alexander Yuman Ramos</v>
          </cell>
        </row>
        <row r="637">
          <cell r="F637">
            <v>305955</v>
          </cell>
          <cell r="G637" t="str">
            <v>Jorge Alfredo Gutierrez Rodriguez</v>
          </cell>
        </row>
        <row r="638">
          <cell r="F638">
            <v>309695</v>
          </cell>
          <cell r="G638" t="str">
            <v>Jorge Andres Sunum Sacul</v>
          </cell>
        </row>
        <row r="639">
          <cell r="F639">
            <v>310641</v>
          </cell>
          <cell r="G639" t="str">
            <v>Jorge Antonio Ramirez Sicay</v>
          </cell>
        </row>
        <row r="640">
          <cell r="F640">
            <v>300150</v>
          </cell>
          <cell r="G640" t="str">
            <v>Jorge Ckristian Murga</v>
          </cell>
        </row>
        <row r="641">
          <cell r="F641">
            <v>315114</v>
          </cell>
          <cell r="G641" t="str">
            <v>Jorge Enrique Tzic Cruz</v>
          </cell>
        </row>
        <row r="642">
          <cell r="F642">
            <v>300590</v>
          </cell>
          <cell r="G642" t="str">
            <v>Jorge Luis Hernandez Corado</v>
          </cell>
        </row>
        <row r="643">
          <cell r="F643">
            <v>315173</v>
          </cell>
          <cell r="G643" t="str">
            <v>Jorge Luis Morales Lopez</v>
          </cell>
        </row>
        <row r="644">
          <cell r="F644">
            <v>315067</v>
          </cell>
          <cell r="G644" t="str">
            <v>Jorge Luis Rizo Melgar</v>
          </cell>
        </row>
        <row r="645">
          <cell r="F645">
            <v>309498</v>
          </cell>
          <cell r="G645" t="str">
            <v>Jorge Ramiro Ixpec Tinti</v>
          </cell>
        </row>
        <row r="646">
          <cell r="F646">
            <v>313405</v>
          </cell>
          <cell r="G646" t="str">
            <v>Josabet Anai Paz Lobos</v>
          </cell>
        </row>
        <row r="647">
          <cell r="F647">
            <v>315268</v>
          </cell>
          <cell r="G647" t="str">
            <v>Jose Alberto Alveno Chacon</v>
          </cell>
        </row>
        <row r="648">
          <cell r="F648">
            <v>312319</v>
          </cell>
          <cell r="G648" t="str">
            <v>Jose Alberto Sosa</v>
          </cell>
        </row>
        <row r="649">
          <cell r="F649">
            <v>315039</v>
          </cell>
          <cell r="G649" t="str">
            <v>Jose Alejandro Hernandez Escobar</v>
          </cell>
        </row>
        <row r="650">
          <cell r="F650">
            <v>310674</v>
          </cell>
          <cell r="G650" t="str">
            <v>Jose Armando Bamaca De Leon</v>
          </cell>
        </row>
        <row r="651">
          <cell r="F651">
            <v>313612</v>
          </cell>
          <cell r="G651" t="str">
            <v>Jose Baldemar Galicia Muñoz</v>
          </cell>
        </row>
        <row r="652">
          <cell r="F652">
            <v>314216</v>
          </cell>
          <cell r="G652" t="str">
            <v>Jose Bernardo Yax Pop</v>
          </cell>
        </row>
        <row r="653">
          <cell r="F653">
            <v>314504</v>
          </cell>
          <cell r="G653" t="str">
            <v>Jose Carlos Lopez Santisteban</v>
          </cell>
        </row>
        <row r="654">
          <cell r="F654">
            <v>310673</v>
          </cell>
          <cell r="G654" t="str">
            <v>Jose Carlos Orozco Lopez</v>
          </cell>
        </row>
        <row r="655">
          <cell r="F655">
            <v>308982</v>
          </cell>
          <cell r="G655" t="str">
            <v>Jose Daniel Sosa Torres</v>
          </cell>
        </row>
        <row r="656">
          <cell r="F656">
            <v>314510</v>
          </cell>
          <cell r="G656" t="str">
            <v>Jose David Flores Enriquez</v>
          </cell>
        </row>
        <row r="657">
          <cell r="F657">
            <v>315261</v>
          </cell>
          <cell r="G657" t="str">
            <v>Jose Emmanuel Ixcajo Higueros</v>
          </cell>
        </row>
        <row r="658">
          <cell r="F658">
            <v>313766</v>
          </cell>
          <cell r="G658" t="str">
            <v>Jose Francisco Aquino Monterroso</v>
          </cell>
        </row>
        <row r="659">
          <cell r="F659">
            <v>315415</v>
          </cell>
          <cell r="G659" t="str">
            <v>Jose Guillermo Marroquin Alvarado</v>
          </cell>
        </row>
        <row r="660">
          <cell r="F660">
            <v>306915</v>
          </cell>
          <cell r="G660" t="str">
            <v>Jose Luis Chinchilla</v>
          </cell>
        </row>
        <row r="661">
          <cell r="F661">
            <v>309765</v>
          </cell>
          <cell r="G661" t="str">
            <v>Jose Luis Velasquez Miche</v>
          </cell>
        </row>
        <row r="662">
          <cell r="F662">
            <v>314262</v>
          </cell>
          <cell r="G662" t="str">
            <v>Jose Manuel Carreto Lopez</v>
          </cell>
        </row>
        <row r="663">
          <cell r="F663">
            <v>315487</v>
          </cell>
          <cell r="G663" t="str">
            <v>Jose Manuel Vasquez Osoy</v>
          </cell>
        </row>
        <row r="664">
          <cell r="F664">
            <v>304892</v>
          </cell>
          <cell r="G664" t="str">
            <v>Jose Mario Alberto Ordoñez Quiñonez</v>
          </cell>
        </row>
        <row r="665">
          <cell r="F665">
            <v>313023</v>
          </cell>
          <cell r="G665" t="str">
            <v>Jose Miguel Angel Noj Aguilar</v>
          </cell>
        </row>
        <row r="666">
          <cell r="F666">
            <v>312573</v>
          </cell>
          <cell r="G666" t="str">
            <v>Jose Miguel Santos Roca</v>
          </cell>
        </row>
        <row r="667">
          <cell r="F667">
            <v>311802</v>
          </cell>
          <cell r="G667" t="str">
            <v>Jose Roberto Samayoa Bernal</v>
          </cell>
        </row>
        <row r="668">
          <cell r="F668">
            <v>314614</v>
          </cell>
          <cell r="G668" t="str">
            <v>Jose Rodrigo Choc Turcios</v>
          </cell>
        </row>
        <row r="669">
          <cell r="F669">
            <v>314729</v>
          </cell>
          <cell r="G669" t="str">
            <v>Joselin Rocio Galicia Mendez</v>
          </cell>
        </row>
        <row r="670">
          <cell r="F670">
            <v>315496</v>
          </cell>
          <cell r="G670" t="str">
            <v>Joseline Otilia Lorenzana Obando</v>
          </cell>
        </row>
        <row r="671">
          <cell r="F671">
            <v>310302</v>
          </cell>
          <cell r="G671" t="str">
            <v>Joselyn Amparo Jolon Arenas</v>
          </cell>
        </row>
        <row r="672">
          <cell r="F672">
            <v>315573</v>
          </cell>
          <cell r="G672" t="str">
            <v>Joselyn Marilu Lima Hernandez</v>
          </cell>
        </row>
        <row r="673">
          <cell r="F673">
            <v>313361</v>
          </cell>
          <cell r="G673" t="str">
            <v>Joselyne Elizabeth Sanchez Rodriguez</v>
          </cell>
        </row>
        <row r="674">
          <cell r="F674">
            <v>309870</v>
          </cell>
          <cell r="G674" t="str">
            <v>Joselyne Gabriela Ruiz Serra</v>
          </cell>
        </row>
        <row r="675">
          <cell r="F675">
            <v>311407</v>
          </cell>
          <cell r="G675" t="str">
            <v>Joshelyn Andrea Ozuna Rosales</v>
          </cell>
        </row>
        <row r="676">
          <cell r="F676">
            <v>315066</v>
          </cell>
          <cell r="G676" t="str">
            <v>Joshua Leonel Pardo Carrera</v>
          </cell>
        </row>
        <row r="677">
          <cell r="F677">
            <v>314433</v>
          </cell>
          <cell r="G677" t="str">
            <v>Josselin Azucena Cortez Hernandez</v>
          </cell>
        </row>
        <row r="678">
          <cell r="F678">
            <v>315560</v>
          </cell>
          <cell r="G678" t="str">
            <v>Josseline Maribel Sarceno Guerra</v>
          </cell>
        </row>
        <row r="679">
          <cell r="F679">
            <v>314268</v>
          </cell>
          <cell r="G679" t="str">
            <v>Josseline Mishel Flores Baren</v>
          </cell>
        </row>
        <row r="680">
          <cell r="F680">
            <v>313034</v>
          </cell>
          <cell r="G680" t="str">
            <v>Josselyn Raab Morales Arana</v>
          </cell>
        </row>
        <row r="681">
          <cell r="F681">
            <v>314989</v>
          </cell>
          <cell r="G681" t="str">
            <v>Josue Adrian Gutierrez Garcia</v>
          </cell>
        </row>
        <row r="682">
          <cell r="F682">
            <v>308461</v>
          </cell>
          <cell r="G682" t="str">
            <v>Josue Gamaliel Rivera</v>
          </cell>
        </row>
        <row r="683">
          <cell r="F683">
            <v>315155</v>
          </cell>
          <cell r="G683" t="str">
            <v>Josue Helaman Delgado Rivera</v>
          </cell>
        </row>
        <row r="684">
          <cell r="F684">
            <v>315011</v>
          </cell>
          <cell r="G684" t="str">
            <v>Josue Ivan Escobar De Leon</v>
          </cell>
        </row>
        <row r="685">
          <cell r="F685">
            <v>313389</v>
          </cell>
          <cell r="G685" t="str">
            <v>Josue Leonel Hernandez Diaz</v>
          </cell>
        </row>
        <row r="686">
          <cell r="F686">
            <v>301059</v>
          </cell>
          <cell r="G686" t="str">
            <v>Jovita Vasquez Cuestas</v>
          </cell>
        </row>
        <row r="687">
          <cell r="F687">
            <v>314492</v>
          </cell>
          <cell r="G687" t="str">
            <v>Juan Antonio Alvarez Paniagua</v>
          </cell>
        </row>
        <row r="688">
          <cell r="F688">
            <v>313594</v>
          </cell>
          <cell r="G688" t="str">
            <v>Juan Carlos Enrique Molina Ramirez</v>
          </cell>
        </row>
        <row r="689">
          <cell r="F689">
            <v>314452</v>
          </cell>
          <cell r="G689" t="str">
            <v>Juan Carlos Ivan Garcia Garcia</v>
          </cell>
        </row>
        <row r="690">
          <cell r="F690">
            <v>307279</v>
          </cell>
          <cell r="G690" t="str">
            <v>Juan Carlos Perez Cahueque</v>
          </cell>
        </row>
        <row r="691">
          <cell r="F691">
            <v>315455</v>
          </cell>
          <cell r="G691" t="str">
            <v>Juan Daniel Davila Juarez</v>
          </cell>
        </row>
        <row r="692">
          <cell r="F692">
            <v>312318</v>
          </cell>
          <cell r="G692" t="str">
            <v>Juan Enrique Garcia</v>
          </cell>
        </row>
        <row r="693">
          <cell r="F693">
            <v>314669</v>
          </cell>
          <cell r="G693" t="str">
            <v>Juan Enrique Jul Coc</v>
          </cell>
        </row>
        <row r="694">
          <cell r="F694">
            <v>311223</v>
          </cell>
          <cell r="G694" t="str">
            <v>Juan Francisco Gudiel Castillo</v>
          </cell>
        </row>
        <row r="695">
          <cell r="F695">
            <v>313343</v>
          </cell>
          <cell r="G695" t="str">
            <v>Juan Francisco Lopez Salic</v>
          </cell>
        </row>
        <row r="696">
          <cell r="F696">
            <v>300401</v>
          </cell>
          <cell r="G696" t="str">
            <v>Juan Gabriel Mendoza Alvarez</v>
          </cell>
        </row>
        <row r="697">
          <cell r="F697">
            <v>313617</v>
          </cell>
          <cell r="G697" t="str">
            <v>Juan Isael Amador</v>
          </cell>
        </row>
        <row r="698">
          <cell r="F698">
            <v>314961</v>
          </cell>
          <cell r="G698" t="str">
            <v>Juan Jose Cifuentes Chavez</v>
          </cell>
        </row>
        <row r="699">
          <cell r="F699">
            <v>300919</v>
          </cell>
          <cell r="G699" t="str">
            <v>Juan Jose Rodriguez Catu</v>
          </cell>
        </row>
        <row r="700">
          <cell r="F700">
            <v>313044</v>
          </cell>
          <cell r="G700" t="str">
            <v>Juan Luis Ajcet Xicay</v>
          </cell>
        </row>
        <row r="701">
          <cell r="F701">
            <v>314665</v>
          </cell>
          <cell r="G701" t="str">
            <v>Juan Manuel Lopez Hernandez</v>
          </cell>
        </row>
        <row r="702">
          <cell r="F702">
            <v>315275</v>
          </cell>
          <cell r="G702" t="str">
            <v>Juana Del Carmen Arias Lopez</v>
          </cell>
        </row>
        <row r="703">
          <cell r="F703">
            <v>314557</v>
          </cell>
          <cell r="G703" t="str">
            <v>Juana Ester Alvarez Tuluxan</v>
          </cell>
        </row>
        <row r="704">
          <cell r="F704">
            <v>313604</v>
          </cell>
          <cell r="G704" t="str">
            <v>Julia Damaris Raquel Ramirez Torres</v>
          </cell>
        </row>
        <row r="705">
          <cell r="F705">
            <v>315411</v>
          </cell>
          <cell r="G705" t="str">
            <v>Julio Alberto Guerra Jacinto</v>
          </cell>
        </row>
        <row r="706">
          <cell r="F706">
            <v>306242</v>
          </cell>
          <cell r="G706" t="str">
            <v>Julio Amilcar Oswaldo Ico Rey</v>
          </cell>
        </row>
        <row r="707">
          <cell r="F707">
            <v>310693</v>
          </cell>
          <cell r="G707" t="str">
            <v>Julio Antonio Gonzalez Izaguirre</v>
          </cell>
        </row>
        <row r="708">
          <cell r="F708">
            <v>302559</v>
          </cell>
          <cell r="G708" t="str">
            <v>Julio Belarmino Mendez Camey</v>
          </cell>
        </row>
        <row r="709">
          <cell r="F709">
            <v>314740</v>
          </cell>
          <cell r="G709" t="str">
            <v>Julio Cesar Cuellar Revolorio</v>
          </cell>
        </row>
        <row r="710">
          <cell r="F710">
            <v>308266</v>
          </cell>
          <cell r="G710" t="str">
            <v>Julio Cesar De Leon Huinac</v>
          </cell>
        </row>
        <row r="711">
          <cell r="F711">
            <v>311388</v>
          </cell>
          <cell r="G711" t="str">
            <v>Julio David Ambrosio Hernandez</v>
          </cell>
        </row>
        <row r="712">
          <cell r="F712">
            <v>313493</v>
          </cell>
          <cell r="G712" t="str">
            <v>Julio Rene Medina Mendez</v>
          </cell>
        </row>
        <row r="713">
          <cell r="F713">
            <v>314194</v>
          </cell>
          <cell r="G713" t="str">
            <v>Junior Stiven Gonzalez Fuentes</v>
          </cell>
        </row>
        <row r="714">
          <cell r="F714">
            <v>308411</v>
          </cell>
          <cell r="G714" t="str">
            <v>Karen Alejandra Cotoc Valdes</v>
          </cell>
        </row>
        <row r="715">
          <cell r="F715">
            <v>313225</v>
          </cell>
          <cell r="G715" t="str">
            <v>Karen Deniss Lucas Chavez</v>
          </cell>
        </row>
        <row r="716">
          <cell r="F716">
            <v>311553</v>
          </cell>
          <cell r="G716" t="str">
            <v>Karen Elizabeth Racancoj Tin</v>
          </cell>
        </row>
        <row r="717">
          <cell r="F717">
            <v>312029</v>
          </cell>
          <cell r="G717" t="str">
            <v>Karen Faviola Lutin Sanchez</v>
          </cell>
        </row>
        <row r="718">
          <cell r="F718">
            <v>314954</v>
          </cell>
          <cell r="G718" t="str">
            <v>Karen Jeanet Pacheco Gomez</v>
          </cell>
        </row>
        <row r="719">
          <cell r="F719">
            <v>305618</v>
          </cell>
          <cell r="G719" t="str">
            <v>Karen Julisa Fernandez Vides</v>
          </cell>
        </row>
        <row r="720">
          <cell r="F720">
            <v>308561</v>
          </cell>
          <cell r="G720" t="str">
            <v>Karen Leticia Vasquez Castañeda</v>
          </cell>
        </row>
        <row r="721">
          <cell r="F721">
            <v>313722</v>
          </cell>
          <cell r="G721" t="str">
            <v>Karen Marilu Chavez Suchite</v>
          </cell>
        </row>
        <row r="722">
          <cell r="F722">
            <v>315110</v>
          </cell>
          <cell r="G722" t="str">
            <v>Karen Marleny Perez Fuentes</v>
          </cell>
        </row>
        <row r="723">
          <cell r="F723">
            <v>311616</v>
          </cell>
          <cell r="G723" t="str">
            <v>Karen Meliza Saavedra Morataya</v>
          </cell>
        </row>
        <row r="724">
          <cell r="F724">
            <v>309014</v>
          </cell>
          <cell r="G724" t="str">
            <v>Karen Mishelle Chavez Segura</v>
          </cell>
        </row>
        <row r="725">
          <cell r="F725">
            <v>314217</v>
          </cell>
          <cell r="G725" t="str">
            <v>Karen Nohemi Perez Santos</v>
          </cell>
        </row>
        <row r="726">
          <cell r="F726">
            <v>315274</v>
          </cell>
          <cell r="G726" t="str">
            <v>Karen Rubi Perez Calderon</v>
          </cell>
        </row>
        <row r="727">
          <cell r="F727">
            <v>308426</v>
          </cell>
          <cell r="G727" t="str">
            <v>Karen Susana Marcos Yupe</v>
          </cell>
        </row>
        <row r="728">
          <cell r="F728">
            <v>311722</v>
          </cell>
          <cell r="G728" t="str">
            <v>Karen Verali Sagastume Oliveros</v>
          </cell>
        </row>
        <row r="729">
          <cell r="F729">
            <v>308244</v>
          </cell>
          <cell r="G729" t="str">
            <v>Karen Yamileth Rosales Alarcon</v>
          </cell>
        </row>
        <row r="730">
          <cell r="F730">
            <v>312215</v>
          </cell>
          <cell r="G730" t="str">
            <v>Karin Liseth Son Chonay</v>
          </cell>
        </row>
        <row r="731">
          <cell r="F731">
            <v>301583</v>
          </cell>
          <cell r="G731" t="str">
            <v>Karin Yesenia Nova Posadas</v>
          </cell>
        </row>
        <row r="732">
          <cell r="F732">
            <v>313918</v>
          </cell>
          <cell r="G732" t="str">
            <v>Karina Lizeth Pineda Ortiz</v>
          </cell>
        </row>
        <row r="733">
          <cell r="F733">
            <v>312403</v>
          </cell>
          <cell r="G733" t="str">
            <v>Karla Elizabeth Lopez Tupul</v>
          </cell>
        </row>
        <row r="734">
          <cell r="F734">
            <v>304664</v>
          </cell>
          <cell r="G734" t="str">
            <v>Karla Eunice Godinez Mendoza</v>
          </cell>
        </row>
        <row r="735">
          <cell r="F735">
            <v>315490</v>
          </cell>
          <cell r="G735" t="str">
            <v>Karla Jasmin Pelen Rafael</v>
          </cell>
        </row>
        <row r="736">
          <cell r="F736">
            <v>314673</v>
          </cell>
          <cell r="G736" t="str">
            <v>Karla Maria Montejo Martinez</v>
          </cell>
        </row>
        <row r="737">
          <cell r="F737">
            <v>313079</v>
          </cell>
          <cell r="G737" t="str">
            <v>Karla Mariela Lopez Salguero</v>
          </cell>
        </row>
        <row r="738">
          <cell r="F738">
            <v>314464</v>
          </cell>
          <cell r="G738" t="str">
            <v>Karla Melisa Trejo Lopez</v>
          </cell>
        </row>
        <row r="739">
          <cell r="F739">
            <v>314206</v>
          </cell>
          <cell r="G739" t="str">
            <v>Karla Nineth Guzman Carrera De Velasquez</v>
          </cell>
        </row>
        <row r="740">
          <cell r="F740">
            <v>314831</v>
          </cell>
          <cell r="G740" t="str">
            <v>Karla Paola Solorzano Monroy</v>
          </cell>
        </row>
        <row r="741">
          <cell r="F741">
            <v>309957</v>
          </cell>
          <cell r="G741" t="str">
            <v>Karla Veronica Zepeda Moran</v>
          </cell>
        </row>
        <row r="742">
          <cell r="F742">
            <v>310487</v>
          </cell>
          <cell r="G742" t="str">
            <v>Karla Yaneth Vasquez Gomez</v>
          </cell>
        </row>
        <row r="743">
          <cell r="F743">
            <v>314444</v>
          </cell>
          <cell r="G743" t="str">
            <v>Karla Yanira Francisco Morales</v>
          </cell>
        </row>
        <row r="744">
          <cell r="F744">
            <v>305608</v>
          </cell>
          <cell r="G744" t="str">
            <v>Karla Yanira Franco Perez</v>
          </cell>
        </row>
        <row r="745">
          <cell r="F745">
            <v>312982</v>
          </cell>
          <cell r="G745" t="str">
            <v>Karla Yessenia Garcia Lopez</v>
          </cell>
        </row>
        <row r="746">
          <cell r="F746">
            <v>314044</v>
          </cell>
          <cell r="G746" t="str">
            <v>Karol Liset Reyes Alvarez</v>
          </cell>
        </row>
        <row r="747">
          <cell r="F747">
            <v>311039</v>
          </cell>
          <cell r="G747" t="str">
            <v>Karolyn Gisselle Palma Ramirez</v>
          </cell>
        </row>
        <row r="748">
          <cell r="F748">
            <v>309255</v>
          </cell>
          <cell r="G748" t="str">
            <v>Katerin Mariela Miranda Perez</v>
          </cell>
        </row>
        <row r="749">
          <cell r="F749">
            <v>308909</v>
          </cell>
          <cell r="G749" t="str">
            <v>Katerine Andrea Mansilla Vasquez</v>
          </cell>
        </row>
        <row r="750">
          <cell r="F750">
            <v>314344</v>
          </cell>
          <cell r="G750" t="str">
            <v>Katherin Maria Del Rosario Curiales Catalan</v>
          </cell>
        </row>
        <row r="751">
          <cell r="F751">
            <v>311930</v>
          </cell>
          <cell r="G751" t="str">
            <v>Katherine Andreina Rodriguez Flores</v>
          </cell>
        </row>
        <row r="752">
          <cell r="F752">
            <v>314987</v>
          </cell>
          <cell r="G752" t="str">
            <v>Katherine Dayana Sinay Colindres</v>
          </cell>
        </row>
        <row r="753">
          <cell r="F753">
            <v>313018</v>
          </cell>
          <cell r="G753" t="str">
            <v>Katherine Guissele Camey Gonzalez</v>
          </cell>
        </row>
        <row r="754">
          <cell r="F754">
            <v>305303</v>
          </cell>
          <cell r="G754" t="str">
            <v>Katherine Stephani Cazanga Giron</v>
          </cell>
        </row>
        <row r="755">
          <cell r="F755">
            <v>310764</v>
          </cell>
          <cell r="G755" t="str">
            <v>Katherine Yorleny Montepeque Echeverria</v>
          </cell>
        </row>
        <row r="756">
          <cell r="F756">
            <v>312313</v>
          </cell>
          <cell r="G756" t="str">
            <v>Katherinne Marleny Ruano Vasquez</v>
          </cell>
        </row>
        <row r="757">
          <cell r="F757">
            <v>312966</v>
          </cell>
          <cell r="G757" t="str">
            <v>Katheryn Nohemi Pineda Sun</v>
          </cell>
        </row>
        <row r="758">
          <cell r="F758">
            <v>314949</v>
          </cell>
          <cell r="G758" t="str">
            <v>Kathleen Yadira Martinez Salazar</v>
          </cell>
        </row>
        <row r="759">
          <cell r="F759">
            <v>307014</v>
          </cell>
          <cell r="G759" t="str">
            <v>Keila Abigail Lopez Argueta</v>
          </cell>
        </row>
        <row r="760">
          <cell r="F760">
            <v>315508</v>
          </cell>
          <cell r="G760" t="str">
            <v>Keila Betsaida Mendoza Pineda</v>
          </cell>
        </row>
        <row r="761">
          <cell r="F761">
            <v>315062</v>
          </cell>
          <cell r="G761" t="str">
            <v>Keili Yanira Arceno Solano</v>
          </cell>
        </row>
        <row r="762">
          <cell r="F762">
            <v>314165</v>
          </cell>
          <cell r="G762" t="str">
            <v>Kelly Dayanna Patzan Giron</v>
          </cell>
        </row>
        <row r="763">
          <cell r="F763">
            <v>315570</v>
          </cell>
          <cell r="G763" t="str">
            <v>Kemberly Del Rosario Zecena Ramos</v>
          </cell>
        </row>
        <row r="764">
          <cell r="F764">
            <v>314804</v>
          </cell>
          <cell r="G764" t="str">
            <v>Kendy Daniela Ramirez Lopez</v>
          </cell>
        </row>
        <row r="765">
          <cell r="F765">
            <v>313433</v>
          </cell>
          <cell r="G765" t="str">
            <v>Kenia Estefania Mateo Castro</v>
          </cell>
        </row>
        <row r="766">
          <cell r="F766">
            <v>314991</v>
          </cell>
          <cell r="G766" t="str">
            <v>Kevin Alberto Castillo Matias</v>
          </cell>
        </row>
        <row r="767">
          <cell r="F767">
            <v>314026</v>
          </cell>
          <cell r="G767" t="str">
            <v>Kevin Alberto Lopez Ortiz</v>
          </cell>
        </row>
        <row r="768">
          <cell r="F768">
            <v>315246</v>
          </cell>
          <cell r="G768" t="str">
            <v>Kevin Alexander Escobar Cante</v>
          </cell>
        </row>
        <row r="769">
          <cell r="F769">
            <v>312218</v>
          </cell>
          <cell r="G769" t="str">
            <v>Kevin Amilcar Cor Guzman</v>
          </cell>
        </row>
        <row r="770">
          <cell r="F770">
            <v>311369</v>
          </cell>
          <cell r="G770" t="str">
            <v>Kevin Antonio Perez Gonzalez</v>
          </cell>
        </row>
        <row r="771">
          <cell r="F771">
            <v>314627</v>
          </cell>
          <cell r="G771" t="str">
            <v>Kevin Daniel Chonay Perez</v>
          </cell>
        </row>
        <row r="772">
          <cell r="F772">
            <v>311228</v>
          </cell>
          <cell r="G772" t="str">
            <v>Kevin Doley Alexander Gomez Lopez</v>
          </cell>
        </row>
        <row r="773">
          <cell r="F773">
            <v>309148</v>
          </cell>
          <cell r="G773" t="str">
            <v>Kevin Estuardo Yac Garcia</v>
          </cell>
        </row>
        <row r="774">
          <cell r="F774">
            <v>311643</v>
          </cell>
          <cell r="G774" t="str">
            <v>Kevin Javier Ortiz Gonzalez</v>
          </cell>
        </row>
        <row r="775">
          <cell r="F775">
            <v>311034</v>
          </cell>
          <cell r="G775" t="str">
            <v>Kevin Jordano Barrios Chin</v>
          </cell>
        </row>
        <row r="776">
          <cell r="F776">
            <v>314011</v>
          </cell>
          <cell r="G776" t="str">
            <v>Kevin Jose Mijangos Vasquez</v>
          </cell>
        </row>
        <row r="777">
          <cell r="F777">
            <v>314743</v>
          </cell>
          <cell r="G777" t="str">
            <v>Kevin Josue Sevilla Nieto</v>
          </cell>
        </row>
        <row r="778">
          <cell r="F778">
            <v>311639</v>
          </cell>
          <cell r="G778" t="str">
            <v>Kevin Omar Ortiz Contreras</v>
          </cell>
        </row>
        <row r="779">
          <cell r="F779">
            <v>310538</v>
          </cell>
          <cell r="G779" t="str">
            <v>Kevin Orlando Ventura Lopez</v>
          </cell>
        </row>
        <row r="780">
          <cell r="F780">
            <v>311932</v>
          </cell>
          <cell r="G780" t="str">
            <v>Kevin Rene Medrano Sarceño</v>
          </cell>
        </row>
        <row r="781">
          <cell r="F781">
            <v>308269</v>
          </cell>
          <cell r="G781" t="str">
            <v>Kevin Ruben Perez Lopez</v>
          </cell>
        </row>
        <row r="782">
          <cell r="F782">
            <v>313566</v>
          </cell>
          <cell r="G782" t="str">
            <v>Kevin Saul Rodriguez Vasquez</v>
          </cell>
        </row>
        <row r="783">
          <cell r="F783">
            <v>313520</v>
          </cell>
          <cell r="G783" t="str">
            <v>Kevin Winston Chavez Alvarez</v>
          </cell>
        </row>
        <row r="784">
          <cell r="F784">
            <v>312178</v>
          </cell>
          <cell r="G784" t="str">
            <v>Keyla Cristy Dubon Pernillo</v>
          </cell>
        </row>
        <row r="785">
          <cell r="F785">
            <v>305666</v>
          </cell>
          <cell r="G785" t="str">
            <v>Kezmi Romani Garcia Mendez</v>
          </cell>
        </row>
        <row r="786">
          <cell r="F786">
            <v>314754</v>
          </cell>
          <cell r="G786" t="str">
            <v>Kimberly Anayanci Tello Morales</v>
          </cell>
        </row>
        <row r="787">
          <cell r="F787">
            <v>314051</v>
          </cell>
          <cell r="G787" t="str">
            <v>Kimberly Dayanna Herrera Marroquin</v>
          </cell>
        </row>
        <row r="788">
          <cell r="F788">
            <v>313302</v>
          </cell>
          <cell r="G788" t="str">
            <v>Kimberly Guadalupe Mulul Pelico</v>
          </cell>
        </row>
        <row r="789">
          <cell r="F789">
            <v>314218</v>
          </cell>
          <cell r="G789" t="str">
            <v>Kimberly Guadalupe Soto</v>
          </cell>
        </row>
        <row r="790">
          <cell r="F790">
            <v>305285</v>
          </cell>
          <cell r="G790" t="str">
            <v>Kimberly Judith Lopez Amaya</v>
          </cell>
        </row>
        <row r="791">
          <cell r="F791">
            <v>309753</v>
          </cell>
          <cell r="G791" t="str">
            <v>Kimberly Melissa Juarez Ramirez</v>
          </cell>
        </row>
        <row r="792">
          <cell r="F792">
            <v>312174</v>
          </cell>
          <cell r="G792" t="str">
            <v>Kimberly Mishel Merida Cortez</v>
          </cell>
        </row>
        <row r="793">
          <cell r="F793">
            <v>310926</v>
          </cell>
          <cell r="G793" t="str">
            <v>Kimberly Nohemi Alvarado Toj</v>
          </cell>
        </row>
        <row r="794">
          <cell r="F794">
            <v>315095</v>
          </cell>
          <cell r="G794" t="str">
            <v>Kimberly Suseli Ibarra Barahona</v>
          </cell>
        </row>
        <row r="795">
          <cell r="F795">
            <v>313601</v>
          </cell>
          <cell r="G795" t="str">
            <v>Kimberly Yasmin Alvarado Veliz</v>
          </cell>
        </row>
        <row r="796">
          <cell r="F796">
            <v>310820</v>
          </cell>
          <cell r="G796" t="str">
            <v>Kleidy Smaily Lopez Lopez De Vicente</v>
          </cell>
        </row>
        <row r="797">
          <cell r="F797">
            <v>315345</v>
          </cell>
          <cell r="G797" t="str">
            <v>Klisman Julio Rolando Lopez Garcia</v>
          </cell>
        </row>
        <row r="798">
          <cell r="F798">
            <v>315369</v>
          </cell>
          <cell r="G798" t="str">
            <v>Krisla Mayte Madrigales Palencia</v>
          </cell>
        </row>
        <row r="799">
          <cell r="F799">
            <v>314417</v>
          </cell>
          <cell r="G799" t="str">
            <v>Krisley Mary Dayana Mazariegos Vega</v>
          </cell>
        </row>
        <row r="800">
          <cell r="F800">
            <v>311096</v>
          </cell>
          <cell r="G800" t="str">
            <v>Larry Noel Gomez Cuellar</v>
          </cell>
        </row>
        <row r="801">
          <cell r="F801">
            <v>315400</v>
          </cell>
          <cell r="G801" t="str">
            <v>Laura Cecilia De Leon Zapeta</v>
          </cell>
        </row>
        <row r="802">
          <cell r="F802">
            <v>312722</v>
          </cell>
          <cell r="G802" t="str">
            <v>Laura Dairis Analy Zeceña Minera</v>
          </cell>
        </row>
        <row r="803">
          <cell r="F803">
            <v>314274</v>
          </cell>
          <cell r="G803" t="str">
            <v>Laura Estefania Cardona Mateo</v>
          </cell>
        </row>
        <row r="804">
          <cell r="F804">
            <v>309643</v>
          </cell>
          <cell r="G804" t="str">
            <v>Laura Gabriela Hernandez Merida</v>
          </cell>
        </row>
        <row r="805">
          <cell r="F805">
            <v>312253</v>
          </cell>
          <cell r="G805" t="str">
            <v>Laura Jajairy Ramirez Veron</v>
          </cell>
        </row>
        <row r="806">
          <cell r="F806">
            <v>315183</v>
          </cell>
          <cell r="G806" t="str">
            <v>Laura Lisbeth Gonzalez Ajin</v>
          </cell>
        </row>
        <row r="807">
          <cell r="F807">
            <v>315144</v>
          </cell>
          <cell r="G807" t="str">
            <v>Lazaro Castro Cajanti</v>
          </cell>
        </row>
        <row r="808">
          <cell r="F808">
            <v>314220</v>
          </cell>
          <cell r="G808" t="str">
            <v>Lea Maria Lopez Agustin</v>
          </cell>
        </row>
        <row r="809">
          <cell r="F809">
            <v>303284</v>
          </cell>
          <cell r="G809" t="str">
            <v>Legbi Evangelina Martinez Vicente</v>
          </cell>
        </row>
        <row r="810">
          <cell r="F810">
            <v>304200</v>
          </cell>
          <cell r="G810" t="str">
            <v>Legna Magali Juarez Aroche</v>
          </cell>
        </row>
        <row r="811">
          <cell r="F811">
            <v>310692</v>
          </cell>
          <cell r="G811" t="str">
            <v>Leidy Ana Deisy Macz Valey</v>
          </cell>
        </row>
        <row r="812">
          <cell r="F812">
            <v>303971</v>
          </cell>
          <cell r="G812" t="str">
            <v>Leidy Marisol Perez Arias</v>
          </cell>
        </row>
        <row r="813">
          <cell r="F813">
            <v>312969</v>
          </cell>
          <cell r="G813" t="str">
            <v>Lely Herrera Molina</v>
          </cell>
        </row>
        <row r="814">
          <cell r="F814">
            <v>315278</v>
          </cell>
          <cell r="G814" t="str">
            <v>Leon Vicente Estuardo Ical Chub</v>
          </cell>
        </row>
        <row r="815">
          <cell r="F815">
            <v>306895</v>
          </cell>
          <cell r="G815" t="str">
            <v>Leonardo Bocel Lopez</v>
          </cell>
        </row>
        <row r="816">
          <cell r="F816">
            <v>315257</v>
          </cell>
          <cell r="G816" t="str">
            <v>Lesli Carolina Iquique Chamale</v>
          </cell>
        </row>
        <row r="817">
          <cell r="F817">
            <v>310605</v>
          </cell>
          <cell r="G817" t="str">
            <v>Lesli Paola Mendez Palencia</v>
          </cell>
        </row>
        <row r="818">
          <cell r="F818">
            <v>307367</v>
          </cell>
          <cell r="G818" t="str">
            <v>Lesli Paola Vasquez Villalta</v>
          </cell>
        </row>
        <row r="819">
          <cell r="F819">
            <v>314870</v>
          </cell>
          <cell r="G819" t="str">
            <v>Leslie Karina Peliz Garcia</v>
          </cell>
        </row>
        <row r="820">
          <cell r="F820">
            <v>314382</v>
          </cell>
          <cell r="G820" t="str">
            <v>Leslie Veronica Varela Echeverria</v>
          </cell>
        </row>
        <row r="821">
          <cell r="F821">
            <v>310067</v>
          </cell>
          <cell r="G821" t="str">
            <v>Lesly Alejandra Estrada Chacon</v>
          </cell>
        </row>
        <row r="822">
          <cell r="F822">
            <v>307352</v>
          </cell>
          <cell r="G822" t="str">
            <v>Lesly Anali Monterroso Ramirez</v>
          </cell>
        </row>
        <row r="823">
          <cell r="F823">
            <v>310143</v>
          </cell>
          <cell r="G823" t="str">
            <v>Lesly Aurora Hernandez Godoy</v>
          </cell>
        </row>
        <row r="824">
          <cell r="F824">
            <v>312833</v>
          </cell>
          <cell r="G824" t="str">
            <v>Lesly Fabiola Solorzano Garcia</v>
          </cell>
        </row>
        <row r="825">
          <cell r="F825">
            <v>315132</v>
          </cell>
          <cell r="G825" t="str">
            <v>Lesly Lisseth Ligorria Torres</v>
          </cell>
        </row>
        <row r="826">
          <cell r="F826">
            <v>309366</v>
          </cell>
          <cell r="G826" t="str">
            <v>Lesly Maribel Hidalgo Barrios</v>
          </cell>
        </row>
        <row r="827">
          <cell r="F827">
            <v>314328</v>
          </cell>
          <cell r="G827" t="str">
            <v>Lesly Marileny De Leon De Leon</v>
          </cell>
        </row>
        <row r="828">
          <cell r="F828">
            <v>315317</v>
          </cell>
          <cell r="G828" t="str">
            <v>Lesly Nereyda Ixquiac Vidaurre</v>
          </cell>
        </row>
        <row r="829">
          <cell r="F829">
            <v>313889</v>
          </cell>
          <cell r="G829" t="str">
            <v>Lesly Noemi Morales Molina</v>
          </cell>
        </row>
        <row r="830">
          <cell r="F830">
            <v>310261</v>
          </cell>
          <cell r="G830" t="str">
            <v>Lesly Rosibel Asencio Estrada</v>
          </cell>
        </row>
        <row r="831">
          <cell r="F831">
            <v>311985</v>
          </cell>
          <cell r="G831" t="str">
            <v>Lesly Vanessa Jerez Herrera</v>
          </cell>
        </row>
        <row r="832">
          <cell r="F832">
            <v>307718</v>
          </cell>
          <cell r="G832" t="str">
            <v>Lesly Yohanna Ramirez Sarceño</v>
          </cell>
        </row>
        <row r="833">
          <cell r="F833">
            <v>307269</v>
          </cell>
          <cell r="G833" t="str">
            <v>Lester Alexander Rodriguez Arevalo</v>
          </cell>
        </row>
        <row r="834">
          <cell r="F834">
            <v>102070</v>
          </cell>
          <cell r="G834" t="str">
            <v>Lester Giovanni Barrios Gonzalez</v>
          </cell>
        </row>
        <row r="835">
          <cell r="F835">
            <v>313030</v>
          </cell>
          <cell r="G835" t="str">
            <v>Lester Ottoniel Martinez Gonzalez</v>
          </cell>
        </row>
        <row r="836">
          <cell r="F836">
            <v>314628</v>
          </cell>
          <cell r="G836" t="str">
            <v>Levy Jhafreth Molina Castellanos</v>
          </cell>
        </row>
        <row r="837">
          <cell r="F837">
            <v>315074</v>
          </cell>
          <cell r="G837" t="str">
            <v>Leyvis Anihela Melendez Garcia</v>
          </cell>
        </row>
        <row r="838">
          <cell r="F838">
            <v>310347</v>
          </cell>
          <cell r="G838" t="str">
            <v>Lidia Sarahi Rodriguez Zamora</v>
          </cell>
        </row>
        <row r="839">
          <cell r="F839">
            <v>313802</v>
          </cell>
          <cell r="G839" t="str">
            <v>Ligia Delfina Caal Coy</v>
          </cell>
        </row>
        <row r="840">
          <cell r="F840">
            <v>303594</v>
          </cell>
          <cell r="G840" t="str">
            <v>Ligia Iveth Marroquin Lechuga</v>
          </cell>
        </row>
        <row r="841">
          <cell r="F841">
            <v>311440</v>
          </cell>
          <cell r="G841" t="str">
            <v>Lili Azucena Perez Yantuch</v>
          </cell>
        </row>
        <row r="842">
          <cell r="F842">
            <v>310148</v>
          </cell>
          <cell r="G842" t="str">
            <v>Lilian Carolina Quiñonez Garcia</v>
          </cell>
        </row>
        <row r="843">
          <cell r="F843">
            <v>300280</v>
          </cell>
          <cell r="G843" t="str">
            <v>Lilian Del Carmen Franco Curin</v>
          </cell>
        </row>
        <row r="844">
          <cell r="F844">
            <v>306962</v>
          </cell>
          <cell r="G844" t="str">
            <v>Lilian Elizabeth Diaz Rivera</v>
          </cell>
        </row>
        <row r="845">
          <cell r="F845">
            <v>314279</v>
          </cell>
          <cell r="G845" t="str">
            <v>Lilian Evelyn Sajbochol Garcia</v>
          </cell>
        </row>
        <row r="846">
          <cell r="F846">
            <v>305035</v>
          </cell>
          <cell r="G846" t="str">
            <v>Lilian Nohemi Santos Bailon</v>
          </cell>
        </row>
        <row r="847">
          <cell r="F847">
            <v>314899</v>
          </cell>
          <cell r="G847" t="str">
            <v>Lilian Vanessa Tezó Monterroso</v>
          </cell>
        </row>
        <row r="848">
          <cell r="F848">
            <v>314728</v>
          </cell>
          <cell r="G848" t="str">
            <v>Lilian Yomara Perez Ajxup</v>
          </cell>
        </row>
        <row r="849">
          <cell r="F849">
            <v>313768</v>
          </cell>
          <cell r="G849" t="str">
            <v>Liliana Marisela Chamorro Tax</v>
          </cell>
        </row>
        <row r="850">
          <cell r="F850">
            <v>314091</v>
          </cell>
          <cell r="G850" t="str">
            <v>Linda Gineli Segura Perez</v>
          </cell>
        </row>
        <row r="851">
          <cell r="F851">
            <v>310198</v>
          </cell>
          <cell r="G851" t="str">
            <v>Linsi Mishell Batz Marroquin</v>
          </cell>
        </row>
        <row r="852">
          <cell r="F852">
            <v>309262</v>
          </cell>
          <cell r="G852" t="str">
            <v>Lisbeth Carolina Hernandez Urrutia</v>
          </cell>
        </row>
        <row r="853">
          <cell r="F853">
            <v>315486</v>
          </cell>
          <cell r="G853" t="str">
            <v>Lisbeth Jeaneth Sucup</v>
          </cell>
        </row>
        <row r="854">
          <cell r="F854">
            <v>311492</v>
          </cell>
          <cell r="G854" t="str">
            <v>Liseth Aldai De La Cruz Lopez</v>
          </cell>
        </row>
        <row r="855">
          <cell r="F855">
            <v>315403</v>
          </cell>
          <cell r="G855" t="str">
            <v>Lizbeth Liliana Peren Velasquez</v>
          </cell>
        </row>
        <row r="856">
          <cell r="F856">
            <v>312792</v>
          </cell>
          <cell r="G856" t="str">
            <v>Llori Eriselda Zuñiga Gomez</v>
          </cell>
        </row>
        <row r="857">
          <cell r="F857">
            <v>314774</v>
          </cell>
          <cell r="G857" t="str">
            <v>Loida Eunice Celada Panjoj</v>
          </cell>
        </row>
        <row r="858">
          <cell r="F858">
            <v>310872</v>
          </cell>
          <cell r="G858" t="str">
            <v>Loida Raquel Juarez Ixpata</v>
          </cell>
        </row>
        <row r="859">
          <cell r="F859">
            <v>312765</v>
          </cell>
          <cell r="G859" t="str">
            <v>Londy Yazmin Gonzalez Ramirez</v>
          </cell>
        </row>
        <row r="860">
          <cell r="F860">
            <v>303967</v>
          </cell>
          <cell r="G860" t="str">
            <v>Loren Alejandra Gutierrez Perez</v>
          </cell>
        </row>
        <row r="861">
          <cell r="F861">
            <v>311367</v>
          </cell>
          <cell r="G861" t="str">
            <v>Lorena Elisbeth Gomez Ajanel</v>
          </cell>
        </row>
        <row r="862">
          <cell r="F862">
            <v>310502</v>
          </cell>
          <cell r="G862" t="str">
            <v>Lourdes Cristina Flores Tahuite</v>
          </cell>
        </row>
        <row r="863">
          <cell r="F863">
            <v>315124</v>
          </cell>
          <cell r="G863" t="str">
            <v>Lourdes Guadalupe Solorzano Herrera</v>
          </cell>
        </row>
        <row r="864">
          <cell r="F864">
            <v>313529</v>
          </cell>
          <cell r="G864" t="str">
            <v>Lucia Adali Alvarado Juarez</v>
          </cell>
        </row>
        <row r="865">
          <cell r="F865">
            <v>314022</v>
          </cell>
          <cell r="G865" t="str">
            <v>Lucinda Nova Garcia</v>
          </cell>
        </row>
        <row r="866">
          <cell r="F866">
            <v>309747</v>
          </cell>
          <cell r="G866" t="str">
            <v>Ludwin Enrique Pineda Soto</v>
          </cell>
        </row>
        <row r="867">
          <cell r="F867">
            <v>315489</v>
          </cell>
          <cell r="G867" t="str">
            <v>Ludwyn Alejandro Estrada Giron</v>
          </cell>
        </row>
        <row r="868">
          <cell r="F868">
            <v>313595</v>
          </cell>
          <cell r="G868" t="str">
            <v>Luis Alan Caceros Chub</v>
          </cell>
        </row>
        <row r="869">
          <cell r="F869">
            <v>311207</v>
          </cell>
          <cell r="G869" t="str">
            <v>Luis Alberto Figueroa Vasquez</v>
          </cell>
        </row>
        <row r="870">
          <cell r="F870">
            <v>304473</v>
          </cell>
          <cell r="G870" t="str">
            <v>Luis Alberto Najera Solis</v>
          </cell>
        </row>
        <row r="871">
          <cell r="F871">
            <v>314202</v>
          </cell>
          <cell r="G871" t="str">
            <v>Luis Antonio Cotzajay Quelex</v>
          </cell>
        </row>
        <row r="872">
          <cell r="F872">
            <v>302484</v>
          </cell>
          <cell r="G872" t="str">
            <v>Luis Armando Ramirez De Leon</v>
          </cell>
        </row>
        <row r="873">
          <cell r="F873">
            <v>315385</v>
          </cell>
          <cell r="G873" t="str">
            <v>Luis Carlos Xitimul Ramirez</v>
          </cell>
        </row>
        <row r="874">
          <cell r="F874">
            <v>308614</v>
          </cell>
          <cell r="G874" t="str">
            <v>Luis De Jesus Julian Lopez</v>
          </cell>
        </row>
        <row r="875">
          <cell r="F875">
            <v>315222</v>
          </cell>
          <cell r="G875" t="str">
            <v>Luis Diego Figueroa Coronado</v>
          </cell>
        </row>
        <row r="876">
          <cell r="F876">
            <v>306213</v>
          </cell>
          <cell r="G876" t="str">
            <v>Luis Eduardo Corado Lara</v>
          </cell>
        </row>
        <row r="877">
          <cell r="F877">
            <v>315363</v>
          </cell>
          <cell r="G877" t="str">
            <v>Luis Eduardo Fuentes Flores</v>
          </cell>
        </row>
        <row r="878">
          <cell r="F878">
            <v>314162</v>
          </cell>
          <cell r="G878" t="str">
            <v>Luis Eduardo Gonzalez Arriaza</v>
          </cell>
        </row>
        <row r="879">
          <cell r="F879">
            <v>311975</v>
          </cell>
          <cell r="G879" t="str">
            <v>Luis Eduardo Ramirez Arriaza</v>
          </cell>
        </row>
        <row r="880">
          <cell r="F880">
            <v>300922</v>
          </cell>
          <cell r="G880" t="str">
            <v>Luis Ernesto Medrano Chajon</v>
          </cell>
        </row>
        <row r="881">
          <cell r="F881">
            <v>308519</v>
          </cell>
          <cell r="G881" t="str">
            <v>Luis Felipe Cuzal Gomez</v>
          </cell>
        </row>
        <row r="882">
          <cell r="F882">
            <v>314812</v>
          </cell>
          <cell r="G882" t="str">
            <v>Luis Fernando Alvarado Tocay</v>
          </cell>
        </row>
        <row r="883">
          <cell r="F883">
            <v>304509</v>
          </cell>
          <cell r="G883" t="str">
            <v>Luis Fernando Jerez Perez</v>
          </cell>
        </row>
        <row r="884">
          <cell r="F884">
            <v>313479</v>
          </cell>
          <cell r="G884" t="str">
            <v>Luis Fernando Lopez Lopez</v>
          </cell>
        </row>
        <row r="885">
          <cell r="F885">
            <v>310923</v>
          </cell>
          <cell r="G885" t="str">
            <v>Luis Fernando Lopez Lopez</v>
          </cell>
        </row>
        <row r="886">
          <cell r="F886">
            <v>307904</v>
          </cell>
          <cell r="G886" t="str">
            <v>Luis Fernando Martin Mateo</v>
          </cell>
        </row>
        <row r="887">
          <cell r="F887">
            <v>312303</v>
          </cell>
          <cell r="G887" t="str">
            <v>Luis Fernando Morales Chocoy</v>
          </cell>
        </row>
        <row r="888">
          <cell r="F888">
            <v>314124</v>
          </cell>
          <cell r="G888" t="str">
            <v>Luis Fernando Perez Torres</v>
          </cell>
        </row>
        <row r="889">
          <cell r="F889">
            <v>306713</v>
          </cell>
          <cell r="G889" t="str">
            <v>Luis Fernando Santos Aguilar</v>
          </cell>
        </row>
        <row r="890">
          <cell r="F890">
            <v>315342</v>
          </cell>
          <cell r="G890" t="str">
            <v>Luis Fernando Valle Cuyun</v>
          </cell>
        </row>
        <row r="891">
          <cell r="F891">
            <v>312257</v>
          </cell>
          <cell r="G891" t="str">
            <v>Luis Giovanni Coronado Vasquez</v>
          </cell>
        </row>
        <row r="892">
          <cell r="F892">
            <v>307113</v>
          </cell>
          <cell r="G892" t="str">
            <v>Luis Pedro Herrera España</v>
          </cell>
        </row>
        <row r="893">
          <cell r="F893">
            <v>303961</v>
          </cell>
          <cell r="G893" t="str">
            <v>Luis Rene Morales Lopez</v>
          </cell>
        </row>
        <row r="894">
          <cell r="F894">
            <v>308796</v>
          </cell>
          <cell r="G894" t="str">
            <v>Luis Tito Rene Esquivel Yancor</v>
          </cell>
        </row>
        <row r="895">
          <cell r="F895">
            <v>307862</v>
          </cell>
          <cell r="G895" t="str">
            <v>Luisa Fernanda Castro Garcia</v>
          </cell>
        </row>
        <row r="896">
          <cell r="F896">
            <v>310734</v>
          </cell>
          <cell r="G896" t="str">
            <v>Lupita Genesis Samanta Granados Valenzuela</v>
          </cell>
        </row>
        <row r="897">
          <cell r="F897">
            <v>309761</v>
          </cell>
          <cell r="G897" t="str">
            <v>Lusi Angelica Coyoy Hernandez</v>
          </cell>
        </row>
        <row r="898">
          <cell r="F898">
            <v>310867</v>
          </cell>
          <cell r="G898" t="str">
            <v>Madelin Raquel Garcia Punay</v>
          </cell>
        </row>
        <row r="899">
          <cell r="F899">
            <v>310796</v>
          </cell>
          <cell r="G899" t="str">
            <v>Madelyn Estefany Vega Velasquez</v>
          </cell>
        </row>
        <row r="900">
          <cell r="F900">
            <v>314563</v>
          </cell>
          <cell r="G900" t="str">
            <v>Madelyn Siomara Mazul De Leon</v>
          </cell>
        </row>
        <row r="901">
          <cell r="F901">
            <v>304658</v>
          </cell>
          <cell r="G901" t="str">
            <v>Madelyn Virginia Lopez Ortega</v>
          </cell>
        </row>
        <row r="902">
          <cell r="F902">
            <v>315181</v>
          </cell>
          <cell r="G902" t="str">
            <v>Magda Beatriz Galvez Fernandez</v>
          </cell>
        </row>
        <row r="903">
          <cell r="F903">
            <v>311615</v>
          </cell>
          <cell r="G903" t="str">
            <v>Magda Corina Gutierrez Yool</v>
          </cell>
        </row>
        <row r="904">
          <cell r="F904">
            <v>312044</v>
          </cell>
          <cell r="G904" t="str">
            <v>Magda Danira Catalan Paz</v>
          </cell>
        </row>
        <row r="905">
          <cell r="F905">
            <v>307582</v>
          </cell>
          <cell r="G905" t="str">
            <v>Mahely Elva Maria Franco Gualim</v>
          </cell>
        </row>
        <row r="906">
          <cell r="F906">
            <v>301669</v>
          </cell>
          <cell r="G906" t="str">
            <v>Manfredo Alexander Castillo Quex</v>
          </cell>
        </row>
        <row r="907">
          <cell r="F907">
            <v>309811</v>
          </cell>
          <cell r="G907" t="str">
            <v>Manfredo Isaias Orozco Perez</v>
          </cell>
        </row>
        <row r="908">
          <cell r="F908">
            <v>314136</v>
          </cell>
          <cell r="G908" t="str">
            <v>Manlio Alcides Godinez Yanez</v>
          </cell>
        </row>
        <row r="909">
          <cell r="F909">
            <v>315094</v>
          </cell>
          <cell r="G909" t="str">
            <v>Manuel Enrique Espinoza Cermeño</v>
          </cell>
        </row>
        <row r="910">
          <cell r="F910">
            <v>312835</v>
          </cell>
          <cell r="G910" t="str">
            <v>Manuel Estuardo Arriaga Garcia</v>
          </cell>
        </row>
        <row r="911">
          <cell r="F911">
            <v>314608</v>
          </cell>
          <cell r="G911" t="str">
            <v>Marbin Yobani Calderon Vicente</v>
          </cell>
        </row>
        <row r="912">
          <cell r="F912">
            <v>314041</v>
          </cell>
          <cell r="G912" t="str">
            <v>Marcela Isabel Medrano Ajquiy</v>
          </cell>
        </row>
        <row r="913">
          <cell r="F913">
            <v>308478</v>
          </cell>
          <cell r="G913" t="str">
            <v>Marco Antonio Tejada Herrera</v>
          </cell>
        </row>
        <row r="914">
          <cell r="F914">
            <v>315216</v>
          </cell>
          <cell r="G914" t="str">
            <v>Marcos Avilio Santizo Roman</v>
          </cell>
        </row>
        <row r="915">
          <cell r="F915">
            <v>312919</v>
          </cell>
          <cell r="G915" t="str">
            <v>Marcos Daniel Miranda Ordoñez</v>
          </cell>
        </row>
        <row r="916">
          <cell r="F916">
            <v>306192</v>
          </cell>
          <cell r="G916" t="str">
            <v>Marenda Mishel Galeano Lopez</v>
          </cell>
        </row>
        <row r="917">
          <cell r="F917">
            <v>311597</v>
          </cell>
          <cell r="G917" t="str">
            <v>Maria Alejandra Estrada Morales</v>
          </cell>
        </row>
        <row r="918">
          <cell r="F918">
            <v>315488</v>
          </cell>
          <cell r="G918" t="str">
            <v>Maria Alejandra Lanuza Perez</v>
          </cell>
        </row>
        <row r="919">
          <cell r="F919">
            <v>315414</v>
          </cell>
          <cell r="G919" t="str">
            <v>Maria Alejandra Perez Martinez</v>
          </cell>
        </row>
        <row r="920">
          <cell r="F920">
            <v>314383</v>
          </cell>
          <cell r="G920" t="str">
            <v>Maria De La Luz Masaya Moreno</v>
          </cell>
        </row>
        <row r="921">
          <cell r="F921">
            <v>314419</v>
          </cell>
          <cell r="G921" t="str">
            <v>Maria De Los Angeles Hernandez Oliva</v>
          </cell>
        </row>
        <row r="922">
          <cell r="F922">
            <v>309455</v>
          </cell>
          <cell r="G922" t="str">
            <v>Maria Del Rosario De Leon Puac</v>
          </cell>
        </row>
        <row r="923">
          <cell r="F923">
            <v>310240</v>
          </cell>
          <cell r="G923" t="str">
            <v>Maria Del Rosario Sion Calel</v>
          </cell>
        </row>
        <row r="924">
          <cell r="F924">
            <v>311583</v>
          </cell>
          <cell r="G924" t="str">
            <v>Maria Elizabeth Recinos Villagran</v>
          </cell>
        </row>
        <row r="925">
          <cell r="F925">
            <v>315128</v>
          </cell>
          <cell r="G925" t="str">
            <v>Maria Eugenia Alvarez Lopez</v>
          </cell>
        </row>
        <row r="926">
          <cell r="F926">
            <v>309571</v>
          </cell>
          <cell r="G926" t="str">
            <v>Maria Fernanda Aldana Fernandez</v>
          </cell>
        </row>
        <row r="927">
          <cell r="F927">
            <v>305630</v>
          </cell>
          <cell r="G927" t="str">
            <v>Maria Fernanda Duran Barrera De De De Leon</v>
          </cell>
        </row>
        <row r="928">
          <cell r="F928">
            <v>315325</v>
          </cell>
          <cell r="G928" t="str">
            <v>Maria Fernanda García Patzán</v>
          </cell>
        </row>
        <row r="929">
          <cell r="F929">
            <v>315310</v>
          </cell>
          <cell r="G929" t="str">
            <v>Maria Fernanda Reyes Trinidad</v>
          </cell>
        </row>
        <row r="930">
          <cell r="F930">
            <v>314265</v>
          </cell>
          <cell r="G930" t="str">
            <v>Maria Fernanda Sanches Yoc</v>
          </cell>
        </row>
        <row r="931">
          <cell r="F931">
            <v>313724</v>
          </cell>
          <cell r="G931" t="str">
            <v>Maria Fernanda Tomas</v>
          </cell>
        </row>
        <row r="932">
          <cell r="F932">
            <v>315252</v>
          </cell>
          <cell r="G932" t="str">
            <v>Maria Gabriela Giron De Leon</v>
          </cell>
        </row>
        <row r="933">
          <cell r="F933">
            <v>309515</v>
          </cell>
          <cell r="G933" t="str">
            <v>Maria Guadalupe Marroquin Camargo</v>
          </cell>
        </row>
        <row r="934">
          <cell r="F934">
            <v>313732</v>
          </cell>
          <cell r="G934" t="str">
            <v>Maria Isabel Martinez</v>
          </cell>
        </row>
        <row r="935">
          <cell r="F935">
            <v>314027</v>
          </cell>
          <cell r="G935" t="str">
            <v>Maria Isabel Reyes Aguirre</v>
          </cell>
        </row>
        <row r="936">
          <cell r="F936">
            <v>311474</v>
          </cell>
          <cell r="G936" t="str">
            <v>Maria Jose Alvarado Lopez De Barrientos</v>
          </cell>
        </row>
        <row r="937">
          <cell r="F937">
            <v>312356</v>
          </cell>
          <cell r="G937" t="str">
            <v>Maria Jose Fernandez Melendez</v>
          </cell>
        </row>
        <row r="938">
          <cell r="F938">
            <v>313800</v>
          </cell>
          <cell r="G938" t="str">
            <v>Maria Jose Flores Alvarez</v>
          </cell>
        </row>
        <row r="939">
          <cell r="F939">
            <v>314566</v>
          </cell>
          <cell r="G939" t="str">
            <v>Maria Jose Gonzalez Orellana</v>
          </cell>
        </row>
        <row r="940">
          <cell r="F940">
            <v>311569</v>
          </cell>
          <cell r="G940" t="str">
            <v>Maria Jose Gramajo Garcia De Monzon</v>
          </cell>
        </row>
        <row r="941">
          <cell r="F941">
            <v>313095</v>
          </cell>
          <cell r="G941" t="str">
            <v>Maria Jose Meza De Leon</v>
          </cell>
        </row>
        <row r="942">
          <cell r="F942">
            <v>300191</v>
          </cell>
          <cell r="G942" t="str">
            <v>Maria Jose Salazar Rueda</v>
          </cell>
        </row>
        <row r="943">
          <cell r="F943">
            <v>314226</v>
          </cell>
          <cell r="G943" t="str">
            <v>Maria Josee Morales Vaides</v>
          </cell>
        </row>
        <row r="944">
          <cell r="F944">
            <v>315362</v>
          </cell>
          <cell r="G944" t="str">
            <v>Maria Lourdes Ajpuz Julajuj</v>
          </cell>
        </row>
        <row r="945">
          <cell r="F945">
            <v>306697</v>
          </cell>
          <cell r="G945" t="str">
            <v>Maria Luisa Ramos Lopez</v>
          </cell>
        </row>
        <row r="946">
          <cell r="F946">
            <v>314180</v>
          </cell>
          <cell r="G946" t="str">
            <v>Maria Ruby Tzamol Pacay</v>
          </cell>
        </row>
        <row r="947">
          <cell r="F947">
            <v>311686</v>
          </cell>
          <cell r="G947" t="str">
            <v>Maria Teresa Recinos Estrada</v>
          </cell>
        </row>
        <row r="948">
          <cell r="F948">
            <v>315351</v>
          </cell>
          <cell r="G948" t="str">
            <v>Maria Vicenta Lopez Mancilla</v>
          </cell>
        </row>
        <row r="949">
          <cell r="F949">
            <v>311755</v>
          </cell>
          <cell r="G949" t="str">
            <v>Marian Rebeca Gallardo Alvarez</v>
          </cell>
        </row>
        <row r="950">
          <cell r="F950">
            <v>313660</v>
          </cell>
          <cell r="G950" t="str">
            <v>Mariana Del Rosario Escobar Sanchez</v>
          </cell>
        </row>
        <row r="951">
          <cell r="F951">
            <v>314169</v>
          </cell>
          <cell r="G951" t="str">
            <v>Mariano Jose Lopez Cojon</v>
          </cell>
        </row>
        <row r="952">
          <cell r="F952">
            <v>314341</v>
          </cell>
          <cell r="G952" t="str">
            <v>Mariano Jose Trujillo Baldizon</v>
          </cell>
        </row>
        <row r="953">
          <cell r="F953">
            <v>314050</v>
          </cell>
          <cell r="G953" t="str">
            <v>Mariela Alejandra Batz De Leon</v>
          </cell>
        </row>
        <row r="954">
          <cell r="F954">
            <v>311273</v>
          </cell>
          <cell r="G954" t="str">
            <v>Marili Cecilia Ramirez Cardona</v>
          </cell>
        </row>
        <row r="955">
          <cell r="F955">
            <v>312576</v>
          </cell>
          <cell r="G955" t="str">
            <v>Marilin Melisa Lopez Yoc</v>
          </cell>
        </row>
        <row r="956">
          <cell r="F956">
            <v>314530</v>
          </cell>
          <cell r="G956" t="str">
            <v>Marilyn Alexandra Davila Chavez</v>
          </cell>
        </row>
        <row r="957">
          <cell r="F957">
            <v>315099</v>
          </cell>
          <cell r="G957" t="str">
            <v>Marilyn Yulissa Alvarez Toscano</v>
          </cell>
        </row>
        <row r="958">
          <cell r="F958">
            <v>311405</v>
          </cell>
          <cell r="G958" t="str">
            <v>Marina Elena Giron Roldan</v>
          </cell>
        </row>
        <row r="959">
          <cell r="F959">
            <v>314803</v>
          </cell>
          <cell r="G959" t="str">
            <v>Mario David Quilo Hernandez</v>
          </cell>
        </row>
        <row r="960">
          <cell r="F960">
            <v>306487</v>
          </cell>
          <cell r="G960" t="str">
            <v>Mario Estuardo Chavez Zelada</v>
          </cell>
        </row>
        <row r="961">
          <cell r="F961">
            <v>315445</v>
          </cell>
          <cell r="G961" t="str">
            <v>Mario Guberlindo Gonzalez Velasquez</v>
          </cell>
        </row>
        <row r="962">
          <cell r="F962">
            <v>313107</v>
          </cell>
          <cell r="G962" t="str">
            <v>Mario Jose Mejia Escobar</v>
          </cell>
        </row>
        <row r="963">
          <cell r="F963">
            <v>314737</v>
          </cell>
          <cell r="G963" t="str">
            <v>Mario Rene Lopez Gudiel</v>
          </cell>
        </row>
        <row r="964">
          <cell r="F964">
            <v>309842</v>
          </cell>
          <cell r="G964" t="str">
            <v>Maritza Morales Tzoc</v>
          </cell>
        </row>
        <row r="965">
          <cell r="F965">
            <v>312996</v>
          </cell>
          <cell r="G965" t="str">
            <v>Marlen Aida Pelaez Ramirez</v>
          </cell>
        </row>
        <row r="966">
          <cell r="F966">
            <v>310203</v>
          </cell>
          <cell r="G966" t="str">
            <v>Marlen Brigitt Rosales De Leon</v>
          </cell>
        </row>
        <row r="967">
          <cell r="F967">
            <v>314089</v>
          </cell>
          <cell r="G967" t="str">
            <v>Marlin Yesenia Chacon Garcia</v>
          </cell>
        </row>
        <row r="968">
          <cell r="F968">
            <v>314054</v>
          </cell>
          <cell r="G968" t="str">
            <v>Marlon Eduardo Arreaga Escobar</v>
          </cell>
        </row>
        <row r="969">
          <cell r="F969">
            <v>315505</v>
          </cell>
          <cell r="G969" t="str">
            <v>Marlon Eduardo Medrano Sandoval</v>
          </cell>
        </row>
        <row r="970">
          <cell r="F970">
            <v>310727</v>
          </cell>
          <cell r="G970" t="str">
            <v>Marlon Ivan Dardon Hernandez</v>
          </cell>
        </row>
        <row r="971">
          <cell r="F971">
            <v>315341</v>
          </cell>
          <cell r="G971" t="str">
            <v>Marlon Miguelangel Morales Jerez</v>
          </cell>
        </row>
        <row r="972">
          <cell r="F972">
            <v>311604</v>
          </cell>
          <cell r="G972" t="str">
            <v>Marolet Patricia Palacios Argueta</v>
          </cell>
        </row>
        <row r="973">
          <cell r="F973">
            <v>310466</v>
          </cell>
          <cell r="G973" t="str">
            <v>Marta Emilia Moran Lopez</v>
          </cell>
        </row>
        <row r="974">
          <cell r="F974">
            <v>314611</v>
          </cell>
          <cell r="G974" t="str">
            <v>Marta Iris Martinez Sete</v>
          </cell>
        </row>
        <row r="975">
          <cell r="F975">
            <v>312109</v>
          </cell>
          <cell r="G975" t="str">
            <v>Martha Julia Shar Velasquez</v>
          </cell>
        </row>
        <row r="976">
          <cell r="F976">
            <v>315103</v>
          </cell>
          <cell r="G976" t="str">
            <v>Martin Aroldo Lorenzana Flores</v>
          </cell>
        </row>
        <row r="977">
          <cell r="F977">
            <v>315481</v>
          </cell>
          <cell r="G977" t="str">
            <v>Marvin Alejandro Puac Mulul</v>
          </cell>
        </row>
        <row r="978">
          <cell r="F978">
            <v>306655</v>
          </cell>
          <cell r="G978" t="str">
            <v>Marvin Alexander Choguix Chex</v>
          </cell>
        </row>
        <row r="979">
          <cell r="F979">
            <v>311176</v>
          </cell>
          <cell r="G979" t="str">
            <v>Marvin Andolfo Garcia De Leon</v>
          </cell>
        </row>
        <row r="980">
          <cell r="F980">
            <v>315475</v>
          </cell>
          <cell r="G980" t="str">
            <v>Marvin Eduardo Coxaj Sanic</v>
          </cell>
        </row>
        <row r="981">
          <cell r="F981">
            <v>312374</v>
          </cell>
          <cell r="G981" t="str">
            <v>Marvin Eleazar Sunun Acuta</v>
          </cell>
        </row>
        <row r="982">
          <cell r="F982">
            <v>310680</v>
          </cell>
          <cell r="G982" t="str">
            <v>Marvin Estuardo Xiloj De Leon</v>
          </cell>
        </row>
        <row r="983">
          <cell r="F983">
            <v>315460</v>
          </cell>
          <cell r="G983" t="str">
            <v>Marvin Leonel Hernandez Alvarez</v>
          </cell>
        </row>
        <row r="984">
          <cell r="F984">
            <v>307409</v>
          </cell>
          <cell r="G984" t="str">
            <v>Marvin Rodolfo Santizo Rosales</v>
          </cell>
        </row>
        <row r="985">
          <cell r="F985">
            <v>313194</v>
          </cell>
          <cell r="G985" t="str">
            <v>Mary Isabel Xiloj Tajiboy</v>
          </cell>
        </row>
        <row r="986">
          <cell r="F986">
            <v>314092</v>
          </cell>
          <cell r="G986" t="str">
            <v>Maryory Marilu Ramos Reyes</v>
          </cell>
        </row>
        <row r="987">
          <cell r="F987">
            <v>314207</v>
          </cell>
          <cell r="G987" t="str">
            <v>Maryury Yasmin Suret Mejia</v>
          </cell>
        </row>
        <row r="988">
          <cell r="F988">
            <v>314618</v>
          </cell>
          <cell r="G988" t="str">
            <v>Mauro Gilberto Rax Suc</v>
          </cell>
        </row>
        <row r="989">
          <cell r="F989">
            <v>304166</v>
          </cell>
          <cell r="G989" t="str">
            <v>Maviela Bibianeth Castillo Avila</v>
          </cell>
        </row>
        <row r="990">
          <cell r="F990">
            <v>309285</v>
          </cell>
          <cell r="G990" t="str">
            <v>Mavilin Griselda Jacome Molina</v>
          </cell>
        </row>
        <row r="991">
          <cell r="F991">
            <v>315042</v>
          </cell>
          <cell r="G991" t="str">
            <v>Mayki Waleska Alvarez Guzman</v>
          </cell>
        </row>
        <row r="992">
          <cell r="F992">
            <v>314691</v>
          </cell>
          <cell r="G992" t="str">
            <v>Maylin Fernanda Cifuentes Guevara</v>
          </cell>
        </row>
        <row r="993">
          <cell r="F993">
            <v>314857</v>
          </cell>
          <cell r="G993" t="str">
            <v>Maynor Alexander Chen Franco</v>
          </cell>
        </row>
        <row r="994">
          <cell r="F994">
            <v>315320</v>
          </cell>
          <cell r="G994" t="str">
            <v>Maynor David Montufar De La Cruz</v>
          </cell>
        </row>
        <row r="995">
          <cell r="F995">
            <v>314784</v>
          </cell>
          <cell r="G995" t="str">
            <v>Mayra Alejandra Perez Cordero</v>
          </cell>
        </row>
        <row r="996">
          <cell r="F996">
            <v>307616</v>
          </cell>
          <cell r="G996" t="str">
            <v>Mayra Ester Lopez Gonzalez</v>
          </cell>
        </row>
        <row r="997">
          <cell r="F997">
            <v>304234</v>
          </cell>
          <cell r="G997" t="str">
            <v>Mayra Julieta Sincal Coy</v>
          </cell>
        </row>
        <row r="998">
          <cell r="F998">
            <v>314324</v>
          </cell>
          <cell r="G998" t="str">
            <v>Mayra Karina Soc Ovalle</v>
          </cell>
        </row>
        <row r="999">
          <cell r="F999">
            <v>313096</v>
          </cell>
          <cell r="G999" t="str">
            <v>Mayra Noemi Godoy Carrera</v>
          </cell>
        </row>
        <row r="1000">
          <cell r="F1000">
            <v>315528</v>
          </cell>
          <cell r="G1000" t="str">
            <v>Melanie Azucena Choc Garcia</v>
          </cell>
        </row>
        <row r="1001">
          <cell r="F1001">
            <v>309903</v>
          </cell>
          <cell r="G1001" t="str">
            <v>Melanie Vanessa Chacon Godoy</v>
          </cell>
        </row>
        <row r="1002">
          <cell r="F1002">
            <v>301165</v>
          </cell>
          <cell r="G1002" t="str">
            <v>Melissa Lissette Recinos Massella</v>
          </cell>
        </row>
        <row r="1003">
          <cell r="F1003">
            <v>314782</v>
          </cell>
          <cell r="G1003" t="str">
            <v>Melissandra Ruiz Ramirez</v>
          </cell>
        </row>
        <row r="1004">
          <cell r="F1004">
            <v>314053</v>
          </cell>
          <cell r="G1004" t="str">
            <v>Melody Arelis Elvira Monterroso</v>
          </cell>
        </row>
        <row r="1005">
          <cell r="F1005">
            <v>314777</v>
          </cell>
          <cell r="G1005" t="str">
            <v>Melvin Antonio Hernandez Gutierrez</v>
          </cell>
        </row>
        <row r="1006">
          <cell r="F1006">
            <v>315452</v>
          </cell>
          <cell r="G1006" t="str">
            <v>Melvin Everardo Morales Navas</v>
          </cell>
        </row>
        <row r="1007">
          <cell r="F1007">
            <v>315416</v>
          </cell>
          <cell r="G1007" t="str">
            <v>Melvin Hermenegildo Yagut Monterroso</v>
          </cell>
        </row>
        <row r="1008">
          <cell r="F1008">
            <v>315107</v>
          </cell>
          <cell r="G1008" t="str">
            <v>Merari Abigail Orantes Gonzalez</v>
          </cell>
        </row>
        <row r="1009">
          <cell r="F1009">
            <v>304528</v>
          </cell>
          <cell r="G1009" t="str">
            <v>Merari Abigail Veliz Samayoa</v>
          </cell>
        </row>
        <row r="1010">
          <cell r="F1010">
            <v>311310</v>
          </cell>
          <cell r="G1010" t="str">
            <v>Merari Madai Arana Erazo</v>
          </cell>
        </row>
        <row r="1011">
          <cell r="F1011">
            <v>314447</v>
          </cell>
          <cell r="G1011" t="str">
            <v>Mercy Roxana Galvez Canales</v>
          </cell>
        </row>
        <row r="1012">
          <cell r="F1012">
            <v>314610</v>
          </cell>
          <cell r="G1012" t="str">
            <v>Merly Carolina Lopez Laynez</v>
          </cell>
        </row>
        <row r="1013">
          <cell r="F1013">
            <v>315402</v>
          </cell>
          <cell r="G1013" t="str">
            <v>Merly Sorayda Ramirez Mendez</v>
          </cell>
        </row>
        <row r="1014">
          <cell r="F1014">
            <v>315499</v>
          </cell>
          <cell r="G1014" t="str">
            <v>Miguel Angel Arias Maquin</v>
          </cell>
        </row>
        <row r="1015">
          <cell r="F1015">
            <v>302368</v>
          </cell>
          <cell r="G1015" t="str">
            <v>Miguel Angel Moya Cabnal</v>
          </cell>
        </row>
        <row r="1016">
          <cell r="F1016">
            <v>307315</v>
          </cell>
          <cell r="G1016" t="str">
            <v>Miguel Angel Vicente Morales</v>
          </cell>
        </row>
        <row r="1017">
          <cell r="F1017">
            <v>307063</v>
          </cell>
          <cell r="G1017" t="str">
            <v>Miguel Omar Zuleta Solorzano</v>
          </cell>
        </row>
        <row r="1018">
          <cell r="F1018">
            <v>311165</v>
          </cell>
          <cell r="G1018" t="str">
            <v>Miguel Orlando Sebastian Juchan</v>
          </cell>
        </row>
        <row r="1019">
          <cell r="F1019">
            <v>310954</v>
          </cell>
          <cell r="G1019" t="str">
            <v>Mildre Fabiola Gomez Barillas</v>
          </cell>
        </row>
        <row r="1020">
          <cell r="F1020">
            <v>315346</v>
          </cell>
          <cell r="G1020" t="str">
            <v>Mildred Elizabeth Solis Quevedo</v>
          </cell>
        </row>
        <row r="1021">
          <cell r="F1021">
            <v>314330</v>
          </cell>
          <cell r="G1021" t="str">
            <v>Mildred Magaly Ortega Pac</v>
          </cell>
        </row>
        <row r="1022">
          <cell r="F1022">
            <v>314985</v>
          </cell>
          <cell r="G1022" t="str">
            <v>Mildred Magaly Sul Lopez</v>
          </cell>
        </row>
        <row r="1023">
          <cell r="F1023">
            <v>309503</v>
          </cell>
          <cell r="G1023" t="str">
            <v>Mildred Yaneth Figueroa Garcia</v>
          </cell>
        </row>
        <row r="1024">
          <cell r="F1024">
            <v>301826</v>
          </cell>
          <cell r="G1024" t="str">
            <v>Mildred Yanett Cruz Alvarez</v>
          </cell>
        </row>
        <row r="1025">
          <cell r="F1025">
            <v>313864</v>
          </cell>
          <cell r="G1025" t="str">
            <v>Milena Maria Mendez Cheguen</v>
          </cell>
        </row>
        <row r="1026">
          <cell r="F1026">
            <v>314919</v>
          </cell>
          <cell r="G1026" t="str">
            <v>Milton Enrique Yax Sosa</v>
          </cell>
        </row>
        <row r="1027">
          <cell r="F1027">
            <v>312699</v>
          </cell>
          <cell r="G1027" t="str">
            <v>Milton Rene Estrada Coc</v>
          </cell>
        </row>
        <row r="1028">
          <cell r="F1028">
            <v>310468</v>
          </cell>
          <cell r="G1028" t="str">
            <v>Milton Roberto Juarez Lemus</v>
          </cell>
        </row>
        <row r="1029">
          <cell r="F1029">
            <v>313534</v>
          </cell>
          <cell r="G1029" t="str">
            <v>Milver Moises Maldonado Pelico</v>
          </cell>
        </row>
        <row r="1030">
          <cell r="F1030">
            <v>314555</v>
          </cell>
          <cell r="G1030" t="str">
            <v>Milvia Fernanda Talento Urbina</v>
          </cell>
        </row>
        <row r="1031">
          <cell r="F1031">
            <v>301347</v>
          </cell>
          <cell r="G1031" t="str">
            <v>Miriam Betsabe Rodas Perez</v>
          </cell>
        </row>
        <row r="1032">
          <cell r="F1032">
            <v>313439</v>
          </cell>
          <cell r="G1032" t="str">
            <v>Miriam Elizabeth Pérez Guerra</v>
          </cell>
        </row>
        <row r="1033">
          <cell r="F1033">
            <v>307748</v>
          </cell>
          <cell r="G1033" t="str">
            <v>Miriam Judith Cermeño Cetino</v>
          </cell>
        </row>
        <row r="1034">
          <cell r="F1034">
            <v>313772</v>
          </cell>
          <cell r="G1034" t="str">
            <v>Miriam Mineidy Moscoso Mayen</v>
          </cell>
        </row>
        <row r="1035">
          <cell r="F1035">
            <v>306649</v>
          </cell>
          <cell r="G1035" t="str">
            <v>Miriam Stefanie Hernandez Subuyuj</v>
          </cell>
        </row>
        <row r="1036">
          <cell r="F1036">
            <v>201909</v>
          </cell>
          <cell r="G1036" t="str">
            <v>Mirian Del Carmen Guzman Maldonado</v>
          </cell>
        </row>
        <row r="1037">
          <cell r="F1037">
            <v>314023</v>
          </cell>
          <cell r="G1037" t="str">
            <v>Mirna Consuelo Muñoz Ordoñez</v>
          </cell>
        </row>
        <row r="1038">
          <cell r="F1038">
            <v>315506</v>
          </cell>
          <cell r="G1038" t="str">
            <v>Mirna Elizabeth Zolote Patzan</v>
          </cell>
        </row>
        <row r="1039">
          <cell r="F1039">
            <v>101866</v>
          </cell>
          <cell r="G1039" t="str">
            <v>Mirna Violeta Carrillo Gonzalez</v>
          </cell>
        </row>
        <row r="1040">
          <cell r="F1040">
            <v>310687</v>
          </cell>
          <cell r="G1040" t="str">
            <v>Mirna Yesenia Umaña Ramos</v>
          </cell>
        </row>
        <row r="1041">
          <cell r="F1041">
            <v>313842</v>
          </cell>
          <cell r="G1041" t="str">
            <v>Mirza Johana Cosigua Rabinal</v>
          </cell>
        </row>
        <row r="1042">
          <cell r="F1042">
            <v>313441</v>
          </cell>
          <cell r="G1042" t="str">
            <v>Moises Dario Flores Amaya</v>
          </cell>
        </row>
        <row r="1043">
          <cell r="F1043">
            <v>313480</v>
          </cell>
          <cell r="G1043" t="str">
            <v>Monica Cecilia Perez Lopez</v>
          </cell>
        </row>
        <row r="1044">
          <cell r="F1044">
            <v>313674</v>
          </cell>
          <cell r="G1044" t="str">
            <v>Monica Gabriela Canizales Santos</v>
          </cell>
        </row>
        <row r="1045">
          <cell r="F1045">
            <v>307706</v>
          </cell>
          <cell r="G1045" t="str">
            <v>Monica Guadalupe Garcia Rivera</v>
          </cell>
        </row>
        <row r="1046">
          <cell r="F1046">
            <v>314918</v>
          </cell>
          <cell r="G1046" t="str">
            <v>Monica Isabel Castillo Avila</v>
          </cell>
        </row>
        <row r="1047">
          <cell r="F1047">
            <v>313553</v>
          </cell>
          <cell r="G1047" t="str">
            <v>Monica Laj De La Cruz</v>
          </cell>
        </row>
        <row r="1048">
          <cell r="F1048">
            <v>308910</v>
          </cell>
          <cell r="G1048" t="str">
            <v>Monica Lisseth Marroquin Salazar</v>
          </cell>
        </row>
        <row r="1049">
          <cell r="F1049">
            <v>302232</v>
          </cell>
          <cell r="G1049" t="str">
            <v>Monica Lizbeth Franco Chacon</v>
          </cell>
        </row>
        <row r="1050">
          <cell r="F1050">
            <v>311945</v>
          </cell>
          <cell r="G1050" t="str">
            <v>Monica Michelle Diaz De Leon De Baltazar</v>
          </cell>
        </row>
        <row r="1051">
          <cell r="F1051">
            <v>315559</v>
          </cell>
          <cell r="G1051" t="str">
            <v>Monica Mishell Perez Ballesteros</v>
          </cell>
        </row>
        <row r="1052">
          <cell r="F1052">
            <v>313346</v>
          </cell>
          <cell r="G1052" t="str">
            <v>Monica Mishell Rendon Gamboa</v>
          </cell>
        </row>
        <row r="1053">
          <cell r="F1053">
            <v>314616</v>
          </cell>
          <cell r="G1053" t="str">
            <v>Monica Raquel Palacios Piedrasanta</v>
          </cell>
        </row>
        <row r="1054">
          <cell r="F1054">
            <v>314653</v>
          </cell>
          <cell r="G1054" t="str">
            <v>Monica Yulissa Sun Pacay</v>
          </cell>
        </row>
        <row r="1055">
          <cell r="F1055">
            <v>311311</v>
          </cell>
          <cell r="G1055" t="str">
            <v>Monica Yulissa Vicente Velasquez</v>
          </cell>
        </row>
        <row r="1056">
          <cell r="F1056">
            <v>313427</v>
          </cell>
          <cell r="G1056" t="str">
            <v>Mynor Genaro Salazar Merida</v>
          </cell>
        </row>
        <row r="1057">
          <cell r="F1057">
            <v>201518</v>
          </cell>
          <cell r="G1057" t="str">
            <v>Myriam Aracely Rivera Gonzalez</v>
          </cell>
        </row>
        <row r="1058">
          <cell r="F1058">
            <v>315266</v>
          </cell>
          <cell r="G1058" t="str">
            <v>Myrka Jessel Rivera Camo</v>
          </cell>
        </row>
        <row r="1059">
          <cell r="F1059">
            <v>314223</v>
          </cell>
          <cell r="G1059" t="str">
            <v>Nadia Estefania Gramajo Archila</v>
          </cell>
        </row>
        <row r="1060">
          <cell r="F1060">
            <v>314959</v>
          </cell>
          <cell r="G1060" t="str">
            <v>Nanci Magali Noj Santos</v>
          </cell>
        </row>
        <row r="1061">
          <cell r="F1061">
            <v>302592</v>
          </cell>
          <cell r="G1061" t="str">
            <v>Nanci Paola Con Morales</v>
          </cell>
        </row>
        <row r="1062">
          <cell r="F1062">
            <v>301700</v>
          </cell>
          <cell r="G1062" t="str">
            <v>Nanci Yanira Navas Garcia</v>
          </cell>
        </row>
        <row r="1063">
          <cell r="F1063">
            <v>312111</v>
          </cell>
          <cell r="G1063" t="str">
            <v>Nancy Corina Quiñonez Rodriguez</v>
          </cell>
        </row>
        <row r="1064">
          <cell r="F1064">
            <v>303538</v>
          </cell>
          <cell r="G1064" t="str">
            <v>Nancy Magaly Izaguirre Galicia</v>
          </cell>
        </row>
        <row r="1065">
          <cell r="F1065">
            <v>305223</v>
          </cell>
          <cell r="G1065" t="str">
            <v>Nancy Pahola De Leon Patzan</v>
          </cell>
        </row>
        <row r="1066">
          <cell r="F1066">
            <v>311423</v>
          </cell>
          <cell r="G1066" t="str">
            <v>Nancy Paola Jimenez Pamal</v>
          </cell>
        </row>
        <row r="1067">
          <cell r="F1067">
            <v>310510</v>
          </cell>
          <cell r="G1067" t="str">
            <v>Nancy Paola Morales Rodriguez</v>
          </cell>
        </row>
        <row r="1068">
          <cell r="F1068">
            <v>312587</v>
          </cell>
          <cell r="G1068" t="str">
            <v>Nancy Roxana Chuy Ponce</v>
          </cell>
        </row>
        <row r="1069">
          <cell r="F1069">
            <v>314745</v>
          </cell>
          <cell r="G1069" t="str">
            <v>Nancy Yaneth Vasquez Chiguichon</v>
          </cell>
        </row>
        <row r="1070">
          <cell r="F1070">
            <v>309809</v>
          </cell>
          <cell r="G1070" t="str">
            <v>Nancy Yessenia Set Iquite</v>
          </cell>
        </row>
        <row r="1071">
          <cell r="F1071">
            <v>311261</v>
          </cell>
          <cell r="G1071" t="str">
            <v>Nasly Abigail Cazian Lopez</v>
          </cell>
        </row>
        <row r="1072">
          <cell r="F1072">
            <v>312545</v>
          </cell>
          <cell r="G1072" t="str">
            <v>Nataly Pamela Fransheska Aguilar Escobar</v>
          </cell>
        </row>
        <row r="1073">
          <cell r="F1073">
            <v>314192</v>
          </cell>
          <cell r="G1073" t="str">
            <v>Neftaly Eliseo Aguilar Hernandez</v>
          </cell>
        </row>
        <row r="1074">
          <cell r="F1074">
            <v>314024</v>
          </cell>
          <cell r="G1074" t="str">
            <v>Nelson Aurelio Portillo Martinez</v>
          </cell>
        </row>
        <row r="1075">
          <cell r="F1075">
            <v>314913</v>
          </cell>
          <cell r="G1075" t="str">
            <v>Nelson Humberto Caal Güe</v>
          </cell>
        </row>
        <row r="1076">
          <cell r="F1076">
            <v>314631</v>
          </cell>
          <cell r="G1076" t="str">
            <v>Nelsy Adali Nova Vivar</v>
          </cell>
        </row>
        <row r="1077">
          <cell r="F1077">
            <v>309216</v>
          </cell>
          <cell r="G1077" t="str">
            <v>Nery Daniel Chipin Lindo</v>
          </cell>
        </row>
        <row r="1078">
          <cell r="F1078">
            <v>313499</v>
          </cell>
          <cell r="G1078" t="str">
            <v>Nestor Donaldo Xiloj Quiej</v>
          </cell>
        </row>
        <row r="1079">
          <cell r="F1079">
            <v>312176</v>
          </cell>
          <cell r="G1079" t="str">
            <v>Nestor Edgardo Gutierrez Lazaro</v>
          </cell>
        </row>
        <row r="1080">
          <cell r="F1080">
            <v>309178</v>
          </cell>
          <cell r="G1080" t="str">
            <v>Nestor Enmanuel Retana Castellanos</v>
          </cell>
        </row>
        <row r="1081">
          <cell r="F1081">
            <v>313878</v>
          </cell>
          <cell r="G1081" t="str">
            <v>Nestor Orlando Aguilar Santos</v>
          </cell>
        </row>
        <row r="1082">
          <cell r="F1082">
            <v>305532</v>
          </cell>
          <cell r="G1082" t="str">
            <v>Nicolas Ajiquichi Ibate</v>
          </cell>
        </row>
        <row r="1083">
          <cell r="F1083">
            <v>312763</v>
          </cell>
          <cell r="G1083" t="str">
            <v>Nicolas Walter Toma Zacarias</v>
          </cell>
        </row>
        <row r="1084">
          <cell r="F1084">
            <v>315413</v>
          </cell>
          <cell r="G1084" t="str">
            <v>Nicomedes Israel Echeverria Pacheco</v>
          </cell>
        </row>
        <row r="1085">
          <cell r="F1085">
            <v>310907</v>
          </cell>
          <cell r="G1085" t="str">
            <v>Nidia Dalila Bantes Segura De Manchame</v>
          </cell>
        </row>
        <row r="1086">
          <cell r="F1086">
            <v>314818</v>
          </cell>
          <cell r="G1086" t="str">
            <v>Nidia Lucy Herrera Lopez</v>
          </cell>
        </row>
        <row r="1087">
          <cell r="F1087">
            <v>301486</v>
          </cell>
          <cell r="G1087" t="str">
            <v>Nidia Maribel Carpio Roca</v>
          </cell>
        </row>
        <row r="1088">
          <cell r="F1088">
            <v>306850</v>
          </cell>
          <cell r="G1088" t="str">
            <v>Nilda Julieta Boror Xuya</v>
          </cell>
        </row>
        <row r="1089">
          <cell r="F1089">
            <v>311624</v>
          </cell>
          <cell r="G1089" t="str">
            <v>Noe Amos Marroquin Sicajol</v>
          </cell>
        </row>
        <row r="1090">
          <cell r="F1090">
            <v>309912</v>
          </cell>
          <cell r="G1090" t="str">
            <v>Noelia Azucena Garcia Mazariegos</v>
          </cell>
        </row>
        <row r="1091">
          <cell r="F1091">
            <v>102045</v>
          </cell>
          <cell r="G1091" t="str">
            <v>Noemi Ruth Hernandez Urrutia</v>
          </cell>
        </row>
        <row r="1092">
          <cell r="F1092">
            <v>310375</v>
          </cell>
          <cell r="G1092" t="str">
            <v>Nora Lisseth Lam Sanchez</v>
          </cell>
        </row>
        <row r="1093">
          <cell r="F1093">
            <v>313429</v>
          </cell>
          <cell r="G1093" t="str">
            <v>Norman Alessandro Madrid Garcia</v>
          </cell>
        </row>
        <row r="1094">
          <cell r="F1094">
            <v>309744</v>
          </cell>
          <cell r="G1094" t="str">
            <v>Odalis Ruby Garcia Siquina</v>
          </cell>
        </row>
        <row r="1095">
          <cell r="F1095">
            <v>315554</v>
          </cell>
          <cell r="G1095" t="str">
            <v>Odalys Faviola Reyes Rivera</v>
          </cell>
        </row>
        <row r="1096">
          <cell r="F1096">
            <v>315037</v>
          </cell>
          <cell r="G1096" t="str">
            <v>Odiel Armando Guerra Aguirre</v>
          </cell>
        </row>
        <row r="1097">
          <cell r="F1097">
            <v>307511</v>
          </cell>
          <cell r="G1097" t="str">
            <v>Odra Arcadia Barduel Sarat</v>
          </cell>
        </row>
        <row r="1098">
          <cell r="F1098">
            <v>310763</v>
          </cell>
          <cell r="G1098" t="str">
            <v>Olga Gabriela Lopez Tzic</v>
          </cell>
        </row>
        <row r="1099">
          <cell r="F1099">
            <v>309989</v>
          </cell>
          <cell r="G1099" t="str">
            <v>Olga Maricela Guarcas Tol</v>
          </cell>
        </row>
        <row r="1100">
          <cell r="F1100">
            <v>315281</v>
          </cell>
          <cell r="G1100" t="str">
            <v>Olinda Juarez Figueno</v>
          </cell>
        </row>
        <row r="1101">
          <cell r="F1101">
            <v>312972</v>
          </cell>
          <cell r="G1101" t="str">
            <v>Omar Anibal Barreda Valenzuela</v>
          </cell>
        </row>
        <row r="1102">
          <cell r="F1102">
            <v>302263</v>
          </cell>
          <cell r="G1102" t="str">
            <v>Oneida Del Carmen Corzo Morales</v>
          </cell>
        </row>
        <row r="1103">
          <cell r="F1103">
            <v>308263</v>
          </cell>
          <cell r="G1103" t="str">
            <v>Oscar Eduardo Xoyon Gomez</v>
          </cell>
        </row>
        <row r="1104">
          <cell r="F1104">
            <v>314104</v>
          </cell>
          <cell r="G1104" t="str">
            <v>Oscar Emilio Gomez Orozco</v>
          </cell>
        </row>
        <row r="1105">
          <cell r="F1105">
            <v>314270</v>
          </cell>
          <cell r="G1105" t="str">
            <v>Oscar Enrique Garcia Gualip</v>
          </cell>
        </row>
        <row r="1106">
          <cell r="F1106">
            <v>315507</v>
          </cell>
          <cell r="G1106" t="str">
            <v>Oscar Estuardo Mancilla Najarro</v>
          </cell>
        </row>
        <row r="1107">
          <cell r="F1107">
            <v>314914</v>
          </cell>
          <cell r="G1107" t="str">
            <v>Oscar Geovany Patzan Patzan</v>
          </cell>
        </row>
        <row r="1108">
          <cell r="F1108">
            <v>308805</v>
          </cell>
          <cell r="G1108" t="str">
            <v>Oscar Israel Thiel Hidalgo</v>
          </cell>
        </row>
        <row r="1109">
          <cell r="F1109">
            <v>315115</v>
          </cell>
          <cell r="G1109" t="str">
            <v>Osman Amilcar Zarate Ixcoy</v>
          </cell>
        </row>
        <row r="1110">
          <cell r="F1110">
            <v>315497</v>
          </cell>
          <cell r="G1110" t="str">
            <v>Osman Ivan Boanerges Coc Coronado</v>
          </cell>
        </row>
        <row r="1111">
          <cell r="F1111">
            <v>310031</v>
          </cell>
          <cell r="G1111" t="str">
            <v>Osvin Daniel Gomez Gonzalez</v>
          </cell>
        </row>
        <row r="1112">
          <cell r="F1112">
            <v>307209</v>
          </cell>
          <cell r="G1112" t="str">
            <v>Oswaldo Marcelino Huix Gomez</v>
          </cell>
        </row>
        <row r="1113">
          <cell r="F1113">
            <v>309656</v>
          </cell>
          <cell r="G1113" t="str">
            <v>Otto Alejandro Barahona Lopez</v>
          </cell>
        </row>
        <row r="1114">
          <cell r="F1114">
            <v>312335</v>
          </cell>
          <cell r="G1114" t="str">
            <v>Otto Leonel Zavala Rodas</v>
          </cell>
        </row>
        <row r="1115">
          <cell r="F1115">
            <v>314894</v>
          </cell>
          <cell r="G1115" t="str">
            <v>Ottoniel Amilcar Gomez Rodriguez</v>
          </cell>
        </row>
        <row r="1116">
          <cell r="F1116">
            <v>315122</v>
          </cell>
          <cell r="G1116" t="str">
            <v>Ottoniel De Jesus Castellanos Ordoñez</v>
          </cell>
        </row>
        <row r="1117">
          <cell r="F1117">
            <v>315454</v>
          </cell>
          <cell r="G1117" t="str">
            <v>Pablo Jose Barillas Sobalvarro</v>
          </cell>
        </row>
        <row r="1118">
          <cell r="F1118">
            <v>314010</v>
          </cell>
          <cell r="G1118" t="str">
            <v>Pablo Raul Calimayor</v>
          </cell>
        </row>
        <row r="1119">
          <cell r="F1119">
            <v>313530</v>
          </cell>
          <cell r="G1119" t="str">
            <v>Paola Veronica Cardenas Toscano</v>
          </cell>
        </row>
        <row r="1120">
          <cell r="F1120">
            <v>314884</v>
          </cell>
          <cell r="G1120" t="str">
            <v>Paula Eliza Santos Corado</v>
          </cell>
        </row>
        <row r="1121">
          <cell r="F1121">
            <v>309035</v>
          </cell>
          <cell r="G1121" t="str">
            <v>Pedro Alexander Sazo Machac</v>
          </cell>
        </row>
        <row r="1122">
          <cell r="F1122">
            <v>308158</v>
          </cell>
          <cell r="G1122" t="str">
            <v>Pedro David Ixcoy Chiquin</v>
          </cell>
        </row>
        <row r="1123">
          <cell r="F1123">
            <v>314694</v>
          </cell>
          <cell r="G1123" t="str">
            <v>Pedro Karol Gomez Lopez</v>
          </cell>
        </row>
        <row r="1124">
          <cell r="F1124">
            <v>311221</v>
          </cell>
          <cell r="G1124" t="str">
            <v>Pedro Natanahel Caxaj Rodriguez</v>
          </cell>
        </row>
        <row r="1125">
          <cell r="F1125">
            <v>314951</v>
          </cell>
          <cell r="G1125" t="str">
            <v>Pedro Rene Ramirez Guzman</v>
          </cell>
        </row>
        <row r="1126">
          <cell r="F1126">
            <v>306911</v>
          </cell>
          <cell r="G1126" t="str">
            <v>Perla Michelle Giron Galdamez</v>
          </cell>
        </row>
        <row r="1127">
          <cell r="F1127">
            <v>303664</v>
          </cell>
          <cell r="G1127" t="str">
            <v>Priscila Merari Sosa Sanabria</v>
          </cell>
        </row>
        <row r="1128">
          <cell r="F1128">
            <v>314450</v>
          </cell>
          <cell r="G1128" t="str">
            <v>Rafael Anibal Sut Tucubal</v>
          </cell>
        </row>
        <row r="1129">
          <cell r="F1129">
            <v>315367</v>
          </cell>
          <cell r="G1129" t="str">
            <v>Raul Adrian Priego Castellanos</v>
          </cell>
        </row>
        <row r="1130">
          <cell r="F1130">
            <v>311720</v>
          </cell>
          <cell r="G1130" t="str">
            <v>Raul Estuardo Roquel Suyuc</v>
          </cell>
        </row>
        <row r="1131">
          <cell r="F1131">
            <v>313341</v>
          </cell>
          <cell r="G1131" t="str">
            <v>Raul Geovanny Garcia Fuentes</v>
          </cell>
        </row>
        <row r="1132">
          <cell r="F1132">
            <v>309191</v>
          </cell>
          <cell r="G1132" t="str">
            <v>Raul Matias Matias</v>
          </cell>
        </row>
        <row r="1133">
          <cell r="F1133">
            <v>315321</v>
          </cell>
          <cell r="G1133" t="str">
            <v>Reina Lorena Canán</v>
          </cell>
        </row>
        <row r="1134">
          <cell r="F1134">
            <v>312312</v>
          </cell>
          <cell r="G1134" t="str">
            <v>Remigio Alexander Gonzalez Suchite</v>
          </cell>
        </row>
        <row r="1135">
          <cell r="F1135">
            <v>306619</v>
          </cell>
          <cell r="G1135" t="str">
            <v>Reyna Angelica Ba Vega</v>
          </cell>
        </row>
        <row r="1136">
          <cell r="F1136">
            <v>315347</v>
          </cell>
          <cell r="G1136" t="str">
            <v>Reyna Floridalma Donis Marroquin</v>
          </cell>
        </row>
        <row r="1137">
          <cell r="F1137">
            <v>314960</v>
          </cell>
          <cell r="G1137" t="str">
            <v>Reyna Sebastiana Reyes Zurdo</v>
          </cell>
        </row>
        <row r="1138">
          <cell r="F1138">
            <v>315170</v>
          </cell>
          <cell r="G1138" t="str">
            <v>Ricardo Alexander Morales Moran</v>
          </cell>
        </row>
        <row r="1139">
          <cell r="F1139">
            <v>315179</v>
          </cell>
          <cell r="G1139" t="str">
            <v>Ricardo Alfonso Chan Lopez</v>
          </cell>
        </row>
        <row r="1140">
          <cell r="F1140">
            <v>311846</v>
          </cell>
          <cell r="G1140" t="str">
            <v>Ricardo Antonio Vasquez Meza</v>
          </cell>
        </row>
        <row r="1141">
          <cell r="F1141">
            <v>314666</v>
          </cell>
          <cell r="G1141" t="str">
            <v>Ricardo Esau Hernandez Baten</v>
          </cell>
        </row>
        <row r="1142">
          <cell r="F1142">
            <v>310610</v>
          </cell>
          <cell r="G1142" t="str">
            <v>Ricky Edson Lux Cassia</v>
          </cell>
        </row>
        <row r="1143">
          <cell r="F1143">
            <v>314813</v>
          </cell>
          <cell r="G1143" t="str">
            <v>Roberto Ardon Ramos</v>
          </cell>
        </row>
        <row r="1144">
          <cell r="F1144">
            <v>312901</v>
          </cell>
          <cell r="G1144" t="str">
            <v>Roberto Augusto Silva Hernandez</v>
          </cell>
        </row>
        <row r="1145">
          <cell r="F1145">
            <v>308852</v>
          </cell>
          <cell r="G1145" t="str">
            <v>Roberto Caal Sente</v>
          </cell>
        </row>
        <row r="1146">
          <cell r="F1146">
            <v>306098</v>
          </cell>
          <cell r="G1146" t="str">
            <v>Roderico Simeon Lopez Lopez</v>
          </cell>
        </row>
        <row r="1147">
          <cell r="F1147">
            <v>313517</v>
          </cell>
          <cell r="G1147" t="str">
            <v>Rogelio Waldemar Aldana Turcios</v>
          </cell>
        </row>
        <row r="1148">
          <cell r="F1148">
            <v>314945</v>
          </cell>
          <cell r="G1148" t="str">
            <v>Rolando Esau Solis Santos</v>
          </cell>
        </row>
        <row r="1149">
          <cell r="F1149">
            <v>313403</v>
          </cell>
          <cell r="G1149" t="str">
            <v>Rolman Eliseo Bautista Mazariegos</v>
          </cell>
        </row>
        <row r="1150">
          <cell r="F1150">
            <v>314776</v>
          </cell>
          <cell r="G1150" t="str">
            <v>Romario Humberto Perez Us</v>
          </cell>
        </row>
        <row r="1151">
          <cell r="F1151">
            <v>315539</v>
          </cell>
          <cell r="G1151" t="str">
            <v>Ronald Arturo Sanchez Mijangos</v>
          </cell>
        </row>
        <row r="1152">
          <cell r="F1152">
            <v>314096</v>
          </cell>
          <cell r="G1152" t="str">
            <v>Ronald Erickson Hernandez Bamac</v>
          </cell>
        </row>
        <row r="1153">
          <cell r="F1153">
            <v>307943</v>
          </cell>
          <cell r="G1153" t="str">
            <v>Ronald Guillermo Garcia</v>
          </cell>
        </row>
        <row r="1154">
          <cell r="F1154">
            <v>315118</v>
          </cell>
          <cell r="G1154" t="str">
            <v>Ronald Ottoniel Ramos Argueta</v>
          </cell>
        </row>
        <row r="1155">
          <cell r="F1155">
            <v>315165</v>
          </cell>
          <cell r="G1155" t="str">
            <v>Ronie Ernesto Gonzalez Alvarado</v>
          </cell>
        </row>
        <row r="1156">
          <cell r="F1156">
            <v>312877</v>
          </cell>
          <cell r="G1156" t="str">
            <v>Rony David Ruano Vasquez</v>
          </cell>
        </row>
        <row r="1157">
          <cell r="F1157">
            <v>310267</v>
          </cell>
          <cell r="G1157" t="str">
            <v>Rony Josue Giron Roca</v>
          </cell>
        </row>
        <row r="1158">
          <cell r="F1158">
            <v>314930</v>
          </cell>
          <cell r="G1158" t="str">
            <v>Rony Oswaldo Gonzalez Lemus</v>
          </cell>
        </row>
        <row r="1159">
          <cell r="F1159">
            <v>315305</v>
          </cell>
          <cell r="G1159" t="str">
            <v>Rosa Isabel Garcia Menchu De Itzep</v>
          </cell>
        </row>
        <row r="1160">
          <cell r="F1160">
            <v>305255</v>
          </cell>
          <cell r="G1160" t="str">
            <v>Rosa Maria Raxtun Estrada</v>
          </cell>
        </row>
        <row r="1161">
          <cell r="F1161">
            <v>313771</v>
          </cell>
          <cell r="G1161" t="str">
            <v>Rosa Maribel Par Gutierrez De Parada</v>
          </cell>
        </row>
        <row r="1162">
          <cell r="F1162">
            <v>315353</v>
          </cell>
          <cell r="G1162" t="str">
            <v>Rosa Mariela Muñoz Samayoa</v>
          </cell>
        </row>
        <row r="1163">
          <cell r="F1163">
            <v>301835</v>
          </cell>
          <cell r="G1163" t="str">
            <v>Rosa Melia Isales Reyes</v>
          </cell>
        </row>
        <row r="1164">
          <cell r="F1164">
            <v>315389</v>
          </cell>
          <cell r="G1164" t="str">
            <v>Rosa Yadira Salguero Ceballos</v>
          </cell>
        </row>
        <row r="1165">
          <cell r="F1165">
            <v>312729</v>
          </cell>
          <cell r="G1165" t="str">
            <v>Rosalbina Magdali Alvarado Ramirez</v>
          </cell>
        </row>
        <row r="1166">
          <cell r="F1166">
            <v>300594</v>
          </cell>
          <cell r="G1166" t="str">
            <v>Rosaura Grisleny Perez Rios</v>
          </cell>
        </row>
        <row r="1167">
          <cell r="F1167">
            <v>303901</v>
          </cell>
          <cell r="G1167" t="str">
            <v>Rosmery Ana Lee Cojom Rodriguez</v>
          </cell>
        </row>
        <row r="1168">
          <cell r="F1168">
            <v>312040</v>
          </cell>
          <cell r="G1168" t="str">
            <v>Rosmery Figueroa Ramirez</v>
          </cell>
        </row>
        <row r="1169">
          <cell r="F1169">
            <v>313606</v>
          </cell>
          <cell r="G1169" t="str">
            <v>Rossana Alejandra Rodas Salguero</v>
          </cell>
        </row>
        <row r="1170">
          <cell r="F1170">
            <v>310534</v>
          </cell>
          <cell r="G1170" t="str">
            <v>Rossel Jose Hernandez Oliva</v>
          </cell>
        </row>
        <row r="1171">
          <cell r="F1171">
            <v>315045</v>
          </cell>
          <cell r="G1171" t="str">
            <v>Roxana Leticia Avila Villatoro</v>
          </cell>
        </row>
        <row r="1172">
          <cell r="F1172">
            <v>314308</v>
          </cell>
          <cell r="G1172" t="str">
            <v>Ruben Dario Peñate Aquino</v>
          </cell>
        </row>
        <row r="1173">
          <cell r="F1173">
            <v>311511</v>
          </cell>
          <cell r="G1173" t="str">
            <v>Ruby Alejandra Merida Rivas</v>
          </cell>
        </row>
        <row r="1174">
          <cell r="F1174">
            <v>312888</v>
          </cell>
          <cell r="G1174" t="str">
            <v>Rudy Alexander Gramajo Reyes</v>
          </cell>
        </row>
        <row r="1175">
          <cell r="F1175">
            <v>314814</v>
          </cell>
          <cell r="G1175" t="str">
            <v>Rudy Fernando Lopez Ajcabal</v>
          </cell>
        </row>
        <row r="1176">
          <cell r="F1176">
            <v>311551</v>
          </cell>
          <cell r="G1176" t="str">
            <v>Ruth Betsabe Campos Vargas</v>
          </cell>
        </row>
        <row r="1177">
          <cell r="F1177">
            <v>312546</v>
          </cell>
          <cell r="G1177" t="str">
            <v>Ruth Hermelinda Cardona Blanco</v>
          </cell>
        </row>
        <row r="1178">
          <cell r="F1178">
            <v>313599</v>
          </cell>
          <cell r="G1178" t="str">
            <v>Ruth Noemi Solis Contreras</v>
          </cell>
        </row>
        <row r="1179">
          <cell r="F1179">
            <v>301658</v>
          </cell>
          <cell r="G1179" t="str">
            <v>Ruth Nohemi Contreras Hernandez</v>
          </cell>
        </row>
        <row r="1180">
          <cell r="F1180">
            <v>301786</v>
          </cell>
          <cell r="G1180" t="str">
            <v>Ruth Nohemi Perez Esteban</v>
          </cell>
        </row>
        <row r="1181">
          <cell r="F1181">
            <v>314606</v>
          </cell>
          <cell r="G1181" t="str">
            <v>Saida Yasmin Garcia Xot</v>
          </cell>
        </row>
        <row r="1182">
          <cell r="F1182">
            <v>312383</v>
          </cell>
          <cell r="G1182" t="str">
            <v>Samuel Everardo Garcia Lemus</v>
          </cell>
        </row>
        <row r="1183">
          <cell r="F1183">
            <v>313592</v>
          </cell>
          <cell r="G1183" t="str">
            <v>Samuel Nehemias Nuñez Michicoj</v>
          </cell>
        </row>
        <row r="1184">
          <cell r="F1184">
            <v>305099</v>
          </cell>
          <cell r="G1184" t="str">
            <v>Sandi Anavela Mejia Alvarado</v>
          </cell>
        </row>
        <row r="1185">
          <cell r="F1185">
            <v>312923</v>
          </cell>
          <cell r="G1185" t="str">
            <v>Sandra Esmeralda Martinez Baeza</v>
          </cell>
        </row>
        <row r="1186">
          <cell r="F1186">
            <v>314420</v>
          </cell>
          <cell r="G1186" t="str">
            <v>Sandra Jeaneth Ajcuc Garcia</v>
          </cell>
        </row>
        <row r="1187">
          <cell r="F1187">
            <v>301460</v>
          </cell>
          <cell r="G1187" t="str">
            <v>Sandra Judith Vasquez Fernandez</v>
          </cell>
        </row>
        <row r="1188">
          <cell r="F1188">
            <v>312012</v>
          </cell>
          <cell r="G1188" t="str">
            <v>Sandra Lucrecia Hernandez Aceituno</v>
          </cell>
        </row>
        <row r="1189">
          <cell r="F1189">
            <v>200872</v>
          </cell>
          <cell r="G1189" t="str">
            <v>Sandra Maritza Mus Chaman</v>
          </cell>
        </row>
        <row r="1190">
          <cell r="F1190">
            <v>314820</v>
          </cell>
          <cell r="G1190" t="str">
            <v>Sandra Mishell Amarilis Gutierrez Palma</v>
          </cell>
        </row>
        <row r="1191">
          <cell r="F1191">
            <v>313875</v>
          </cell>
          <cell r="G1191" t="str">
            <v>Sandra Patricia Mejia Raguex</v>
          </cell>
        </row>
        <row r="1192">
          <cell r="F1192">
            <v>311092</v>
          </cell>
          <cell r="G1192" t="str">
            <v>Sandra Patricia Ochoa Sanchez</v>
          </cell>
        </row>
        <row r="1193">
          <cell r="F1193">
            <v>306416</v>
          </cell>
          <cell r="G1193" t="str">
            <v>Sandy Claribel Barrientos Caal</v>
          </cell>
        </row>
        <row r="1194">
          <cell r="F1194">
            <v>315024</v>
          </cell>
          <cell r="G1194" t="str">
            <v>Sandy Jasmyn Gonzalez Catun</v>
          </cell>
        </row>
        <row r="1195">
          <cell r="F1195">
            <v>312908</v>
          </cell>
          <cell r="G1195" t="str">
            <v>Sandy Maria Flores</v>
          </cell>
        </row>
        <row r="1196">
          <cell r="F1196">
            <v>313078</v>
          </cell>
          <cell r="G1196" t="str">
            <v>Sandy Maribel Herrera Mazariegos</v>
          </cell>
        </row>
        <row r="1197">
          <cell r="F1197">
            <v>301438</v>
          </cell>
          <cell r="G1197" t="str">
            <v>Sandy Mariela Batres Orozco</v>
          </cell>
        </row>
        <row r="1198">
          <cell r="F1198">
            <v>313622</v>
          </cell>
          <cell r="G1198" t="str">
            <v>Sandy Nohemy Sontay Agueda</v>
          </cell>
        </row>
        <row r="1199">
          <cell r="F1199">
            <v>315408</v>
          </cell>
          <cell r="G1199" t="str">
            <v>Sandy Suset Morales Barrientos</v>
          </cell>
        </row>
        <row r="1200">
          <cell r="F1200">
            <v>307105</v>
          </cell>
          <cell r="G1200" t="str">
            <v>Santiago Isaias Barreno Rosales</v>
          </cell>
        </row>
        <row r="1201">
          <cell r="F1201">
            <v>315254</v>
          </cell>
          <cell r="G1201" t="str">
            <v>Santos Ismael Najera Culajay</v>
          </cell>
        </row>
        <row r="1202">
          <cell r="F1202">
            <v>313402</v>
          </cell>
          <cell r="G1202" t="str">
            <v>Santos Valentin Coroy Ruyan</v>
          </cell>
        </row>
        <row r="1203">
          <cell r="F1203">
            <v>312501</v>
          </cell>
          <cell r="G1203" t="str">
            <v>Sara Elizabeth Guzman Linares</v>
          </cell>
        </row>
        <row r="1204">
          <cell r="F1204">
            <v>313492</v>
          </cell>
          <cell r="G1204" t="str">
            <v>Sarvia Bitia Orellana Ortiz</v>
          </cell>
        </row>
        <row r="1205">
          <cell r="F1205">
            <v>309816</v>
          </cell>
          <cell r="G1205" t="str">
            <v>Sayra Elizabeth Reyes Zuñiga</v>
          </cell>
        </row>
        <row r="1206">
          <cell r="F1206">
            <v>314956</v>
          </cell>
          <cell r="G1206" t="str">
            <v>Sebastian Geovanny Calel Ixtuc</v>
          </cell>
        </row>
        <row r="1207">
          <cell r="F1207">
            <v>314855</v>
          </cell>
          <cell r="G1207" t="str">
            <v>Selvin Adan Garcia Portillo</v>
          </cell>
        </row>
        <row r="1208">
          <cell r="F1208">
            <v>312294</v>
          </cell>
          <cell r="G1208" t="str">
            <v>Selvin Geronimo Aguilar</v>
          </cell>
        </row>
        <row r="1209">
          <cell r="F1209">
            <v>302278</v>
          </cell>
          <cell r="G1209" t="str">
            <v>Selvin Manolo Montepeque Merida</v>
          </cell>
        </row>
        <row r="1210">
          <cell r="F1210">
            <v>314266</v>
          </cell>
          <cell r="G1210" t="str">
            <v>Selvin Rodolfo De La Cruz Contreras</v>
          </cell>
        </row>
        <row r="1211">
          <cell r="F1211">
            <v>301308</v>
          </cell>
          <cell r="G1211" t="str">
            <v>Selvyn Ivan Sierra Ramirez</v>
          </cell>
        </row>
        <row r="1212">
          <cell r="F1212">
            <v>312346</v>
          </cell>
          <cell r="G1212" t="str">
            <v>Sendy Vanessa Villagran Garcia</v>
          </cell>
        </row>
        <row r="1213">
          <cell r="F1213">
            <v>314559</v>
          </cell>
          <cell r="G1213" t="str">
            <v>Sergio Alejandro Aguilar Perez</v>
          </cell>
        </row>
        <row r="1214">
          <cell r="F1214">
            <v>101896</v>
          </cell>
          <cell r="G1214" t="str">
            <v>Sergio Estuardo Mejia Lopez</v>
          </cell>
        </row>
        <row r="1215">
          <cell r="F1215">
            <v>315294</v>
          </cell>
          <cell r="G1215" t="str">
            <v>Sergio Obdulio Chali Chocojay</v>
          </cell>
        </row>
        <row r="1216">
          <cell r="F1216">
            <v>314079</v>
          </cell>
          <cell r="G1216" t="str">
            <v>Sharon Klarivel Santis Najarro</v>
          </cell>
        </row>
        <row r="1217">
          <cell r="F1217">
            <v>311147</v>
          </cell>
          <cell r="G1217" t="str">
            <v>Shaury Jazmeny Garcia Arias</v>
          </cell>
        </row>
        <row r="1218">
          <cell r="F1218">
            <v>310599</v>
          </cell>
          <cell r="G1218" t="str">
            <v>Sheila Nineth Mendez Lopez</v>
          </cell>
        </row>
        <row r="1219">
          <cell r="F1219">
            <v>315541</v>
          </cell>
          <cell r="G1219" t="str">
            <v>Sheily Nahomy Oliva Morales</v>
          </cell>
        </row>
        <row r="1220">
          <cell r="F1220">
            <v>304805</v>
          </cell>
          <cell r="G1220" t="str">
            <v>Sheily Raquel Angel Arreaga</v>
          </cell>
        </row>
        <row r="1221">
          <cell r="F1221">
            <v>312357</v>
          </cell>
          <cell r="G1221" t="str">
            <v>Shirley Andrea Lopez Lopez</v>
          </cell>
        </row>
        <row r="1222">
          <cell r="F1222">
            <v>311646</v>
          </cell>
          <cell r="G1222" t="str">
            <v>Shirley Leticia Lissette Lopez Guzman</v>
          </cell>
        </row>
        <row r="1223">
          <cell r="F1223">
            <v>312096</v>
          </cell>
          <cell r="G1223" t="str">
            <v>Silvia Edelmira Garcia Donis</v>
          </cell>
        </row>
        <row r="1224">
          <cell r="F1224">
            <v>301371</v>
          </cell>
          <cell r="G1224" t="str">
            <v>Silvia Gabriela Gonzalez Siliezar</v>
          </cell>
        </row>
        <row r="1225">
          <cell r="F1225">
            <v>313328</v>
          </cell>
          <cell r="G1225" t="str">
            <v>Silvia Leticia Morales Perez</v>
          </cell>
        </row>
        <row r="1226">
          <cell r="F1226">
            <v>309948</v>
          </cell>
          <cell r="G1226" t="str">
            <v>Silvia Lucrecia Gonzalez Char</v>
          </cell>
        </row>
        <row r="1227">
          <cell r="F1227">
            <v>305230</v>
          </cell>
          <cell r="G1227" t="str">
            <v>Silvia Marleni Rac Yoc</v>
          </cell>
        </row>
        <row r="1228">
          <cell r="F1228">
            <v>305427</v>
          </cell>
          <cell r="G1228" t="str">
            <v>Silvia Noemi Calderon</v>
          </cell>
        </row>
        <row r="1229">
          <cell r="F1229">
            <v>306034</v>
          </cell>
          <cell r="G1229" t="str">
            <v>Silvia Patricia Gonzalez Hernandez</v>
          </cell>
        </row>
        <row r="1230">
          <cell r="F1230">
            <v>310105</v>
          </cell>
          <cell r="G1230" t="str">
            <v>Simeon Valentin Gomez Flores</v>
          </cell>
        </row>
        <row r="1231">
          <cell r="F1231">
            <v>313981</v>
          </cell>
          <cell r="G1231" t="str">
            <v>Sindy Beatriz Perez Sanchez</v>
          </cell>
        </row>
        <row r="1232">
          <cell r="F1232">
            <v>314976</v>
          </cell>
          <cell r="G1232" t="str">
            <v>Sindy Carolina Ramirez Pur</v>
          </cell>
        </row>
        <row r="1233">
          <cell r="F1233">
            <v>312881</v>
          </cell>
          <cell r="G1233" t="str">
            <v>Sindy Karina Ramirez Lopez</v>
          </cell>
        </row>
        <row r="1234">
          <cell r="F1234">
            <v>310066</v>
          </cell>
          <cell r="G1234" t="str">
            <v>Sindy Paola Vargas Calderon</v>
          </cell>
        </row>
        <row r="1235">
          <cell r="F1235">
            <v>315466</v>
          </cell>
          <cell r="G1235" t="str">
            <v>Siomara Victoria Valle Sac</v>
          </cell>
        </row>
        <row r="1236">
          <cell r="F1236">
            <v>313593</v>
          </cell>
          <cell r="G1236" t="str">
            <v>Slayker Andony Santiago Natareno</v>
          </cell>
        </row>
        <row r="1237">
          <cell r="F1237">
            <v>315439</v>
          </cell>
          <cell r="G1237" t="str">
            <v>Smaylin Sarita Villatoro Angel</v>
          </cell>
        </row>
        <row r="1238">
          <cell r="F1238">
            <v>310731</v>
          </cell>
          <cell r="G1238" t="str">
            <v>Sofia Etelvina Lopez Perez</v>
          </cell>
        </row>
        <row r="1239">
          <cell r="F1239">
            <v>314735</v>
          </cell>
          <cell r="G1239" t="str">
            <v>Sofia Ines Bermudez Avila</v>
          </cell>
        </row>
        <row r="1240">
          <cell r="F1240">
            <v>315340</v>
          </cell>
          <cell r="G1240" t="str">
            <v>Stefanny Manuela Azaneth Garcia Garcia</v>
          </cell>
        </row>
        <row r="1241">
          <cell r="F1241">
            <v>308054</v>
          </cell>
          <cell r="G1241" t="str">
            <v>Stephanie Abigail De Los Angeles Villalta</v>
          </cell>
        </row>
        <row r="1242">
          <cell r="F1242">
            <v>303382</v>
          </cell>
          <cell r="G1242" t="str">
            <v>Sucely Abigail Nerios Rodriguez</v>
          </cell>
        </row>
        <row r="1243">
          <cell r="F1243">
            <v>314787</v>
          </cell>
          <cell r="G1243" t="str">
            <v>Sucely Analy Arias Paredes</v>
          </cell>
        </row>
        <row r="1244">
          <cell r="F1244">
            <v>310671</v>
          </cell>
          <cell r="G1244" t="str">
            <v>Sucely Paola Godinez Gomez De Perez</v>
          </cell>
        </row>
        <row r="1245">
          <cell r="F1245">
            <v>315386</v>
          </cell>
          <cell r="G1245" t="str">
            <v>Sulibeth Estela Ortega Mendez</v>
          </cell>
        </row>
        <row r="1246">
          <cell r="F1246">
            <v>314347</v>
          </cell>
          <cell r="G1246" t="str">
            <v>Suri Mireidy Perez Estrada</v>
          </cell>
        </row>
        <row r="1247">
          <cell r="F1247">
            <v>313630</v>
          </cell>
          <cell r="G1247" t="str">
            <v>Susan Andrea Perez Lima</v>
          </cell>
        </row>
        <row r="1248">
          <cell r="F1248">
            <v>313395</v>
          </cell>
          <cell r="G1248" t="str">
            <v>Susan Maria Jose Rodas Carranza</v>
          </cell>
        </row>
        <row r="1249">
          <cell r="F1249">
            <v>309883</v>
          </cell>
          <cell r="G1249" t="str">
            <v>Susana Alvarado Gonzalez</v>
          </cell>
        </row>
        <row r="1250">
          <cell r="F1250">
            <v>307664</v>
          </cell>
          <cell r="G1250" t="str">
            <v>Susana Jeanneth Lemus Pineda</v>
          </cell>
        </row>
        <row r="1251">
          <cell r="F1251">
            <v>315313</v>
          </cell>
          <cell r="G1251" t="str">
            <v>Tayme Gabriela Uzu Ramirez</v>
          </cell>
        </row>
        <row r="1252">
          <cell r="F1252">
            <v>314575</v>
          </cell>
          <cell r="G1252" t="str">
            <v>Telma Esperanza Santos Orantes</v>
          </cell>
        </row>
        <row r="1253">
          <cell r="F1253">
            <v>302658</v>
          </cell>
          <cell r="G1253" t="str">
            <v>Telma Sucely Solis Merida</v>
          </cell>
        </row>
        <row r="1254">
          <cell r="F1254">
            <v>315048</v>
          </cell>
          <cell r="G1254" t="str">
            <v>Thania Lucia Romero Garcia</v>
          </cell>
        </row>
        <row r="1255">
          <cell r="F1255">
            <v>302332</v>
          </cell>
          <cell r="G1255" t="str">
            <v>Thelma Patricia Mena Melchor</v>
          </cell>
        </row>
        <row r="1256">
          <cell r="F1256">
            <v>314108</v>
          </cell>
          <cell r="G1256" t="str">
            <v>Thelma Yolanda De Candelaria Garcia Sanchez</v>
          </cell>
        </row>
        <row r="1257">
          <cell r="F1257">
            <v>315049</v>
          </cell>
          <cell r="G1257" t="str">
            <v>Tomas Amador Manuel Martin</v>
          </cell>
        </row>
        <row r="1258">
          <cell r="F1258">
            <v>315373</v>
          </cell>
          <cell r="G1258" t="str">
            <v>Tomas Xiloj Mejia</v>
          </cell>
        </row>
        <row r="1259">
          <cell r="F1259">
            <v>311866</v>
          </cell>
          <cell r="G1259" t="str">
            <v>Treisy Lisbeth Orozco Orozco</v>
          </cell>
        </row>
        <row r="1260">
          <cell r="F1260">
            <v>310220</v>
          </cell>
          <cell r="G1260" t="str">
            <v>Urias Samuel Velasquez Ardeano</v>
          </cell>
        </row>
        <row r="1261">
          <cell r="F1261">
            <v>305903</v>
          </cell>
          <cell r="G1261" t="str">
            <v>Valeska Paola Rivas Gomez</v>
          </cell>
        </row>
        <row r="1262">
          <cell r="F1262">
            <v>314544</v>
          </cell>
          <cell r="G1262" t="str">
            <v>Velvet Sofia Estrada Ruiz</v>
          </cell>
        </row>
        <row r="1263">
          <cell r="F1263">
            <v>314405</v>
          </cell>
          <cell r="G1263" t="str">
            <v>Veronica Alejandra Barahona Santa Cruz</v>
          </cell>
        </row>
        <row r="1264">
          <cell r="F1264">
            <v>311048</v>
          </cell>
          <cell r="G1264" t="str">
            <v>Veronica Dalila Barrios Hernandez</v>
          </cell>
        </row>
        <row r="1265">
          <cell r="F1265">
            <v>311005</v>
          </cell>
          <cell r="G1265" t="str">
            <v>Veronica Sierra Xo</v>
          </cell>
        </row>
        <row r="1266">
          <cell r="F1266">
            <v>304024</v>
          </cell>
          <cell r="G1266" t="str">
            <v>Vicky Roxana Lopez Hernandez</v>
          </cell>
        </row>
        <row r="1267">
          <cell r="F1267">
            <v>300999</v>
          </cell>
          <cell r="G1267" t="str">
            <v>Victor Adolfo Barrios Monzon</v>
          </cell>
        </row>
        <row r="1268">
          <cell r="F1268">
            <v>309689</v>
          </cell>
          <cell r="G1268" t="str">
            <v>Victor Demecio Leon Villeda</v>
          </cell>
        </row>
        <row r="1269">
          <cell r="F1269">
            <v>311258</v>
          </cell>
          <cell r="G1269" t="str">
            <v>Victor Otoniel Sebastian Cardona</v>
          </cell>
        </row>
        <row r="1270">
          <cell r="F1270">
            <v>314367</v>
          </cell>
          <cell r="G1270" t="str">
            <v>Victoria Maria Llamas Perez</v>
          </cell>
        </row>
        <row r="1271">
          <cell r="F1271">
            <v>315399</v>
          </cell>
          <cell r="G1271" t="str">
            <v>Vilma Rossibel Mendez Vasquez</v>
          </cell>
        </row>
        <row r="1272">
          <cell r="F1272">
            <v>312875</v>
          </cell>
          <cell r="G1272" t="str">
            <v>Virginia Nohemi Perez Ajtum</v>
          </cell>
        </row>
        <row r="1273">
          <cell r="F1273">
            <v>313671</v>
          </cell>
          <cell r="G1273" t="str">
            <v>Virginia Yesenia Merida Lopez De Lopez</v>
          </cell>
        </row>
        <row r="1274">
          <cell r="F1274">
            <v>315529</v>
          </cell>
          <cell r="G1274" t="str">
            <v>Vivian Alejandra Ramirez Samayoa</v>
          </cell>
        </row>
        <row r="1275">
          <cell r="F1275">
            <v>310009</v>
          </cell>
          <cell r="G1275" t="str">
            <v>Vivian Celeste De Leon Rian</v>
          </cell>
        </row>
        <row r="1276">
          <cell r="F1276">
            <v>308693</v>
          </cell>
          <cell r="G1276" t="str">
            <v>Vivian Dinora Fuentes Carrillo</v>
          </cell>
        </row>
        <row r="1277">
          <cell r="F1277">
            <v>300347</v>
          </cell>
          <cell r="G1277" t="str">
            <v>Vivian Roxana Piedrasanta Rodriguez</v>
          </cell>
        </row>
        <row r="1278">
          <cell r="F1278">
            <v>306597</v>
          </cell>
          <cell r="G1278" t="str">
            <v>Vivian Samara Sanchez Lopez</v>
          </cell>
        </row>
        <row r="1279">
          <cell r="F1279">
            <v>312772</v>
          </cell>
          <cell r="G1279" t="str">
            <v>Viviana Isabet Machic Tiño</v>
          </cell>
        </row>
        <row r="1280">
          <cell r="F1280">
            <v>314636</v>
          </cell>
          <cell r="G1280" t="str">
            <v>Walkiria Anais Herrera Castillo</v>
          </cell>
        </row>
        <row r="1281">
          <cell r="F1281">
            <v>301033</v>
          </cell>
          <cell r="G1281" t="str">
            <v>Walter Daniel Perea Flores</v>
          </cell>
        </row>
        <row r="1282">
          <cell r="F1282">
            <v>305935</v>
          </cell>
          <cell r="G1282" t="str">
            <v>Walter David De Leon Gomez</v>
          </cell>
        </row>
        <row r="1283">
          <cell r="F1283">
            <v>315324</v>
          </cell>
          <cell r="G1283" t="str">
            <v>Walter Estuardo Guerra López</v>
          </cell>
        </row>
        <row r="1284">
          <cell r="F1284">
            <v>310994</v>
          </cell>
          <cell r="G1284" t="str">
            <v>Walter Geovany Hernandez Hernandez</v>
          </cell>
        </row>
        <row r="1285">
          <cell r="F1285">
            <v>315577</v>
          </cell>
          <cell r="G1285" t="str">
            <v>Walter Yovany Sequec Lopic</v>
          </cell>
        </row>
        <row r="1286">
          <cell r="F1286">
            <v>312305</v>
          </cell>
          <cell r="G1286" t="str">
            <v>Wanda Marisol Cabrera Lemus</v>
          </cell>
        </row>
        <row r="1287">
          <cell r="F1287">
            <v>313388</v>
          </cell>
          <cell r="G1287" t="str">
            <v>Wander Andres Grijlava Porras</v>
          </cell>
        </row>
        <row r="1288">
          <cell r="F1288">
            <v>312738</v>
          </cell>
          <cell r="G1288" t="str">
            <v>Wendoly Beatriz Morales Cornel</v>
          </cell>
        </row>
        <row r="1289">
          <cell r="F1289">
            <v>304802</v>
          </cell>
          <cell r="G1289" t="str">
            <v>Wendy Alejandra Cuyan Alvarez</v>
          </cell>
        </row>
        <row r="1290">
          <cell r="F1290">
            <v>315438</v>
          </cell>
          <cell r="G1290" t="str">
            <v>Wendy Alejandra Monzon Lopez</v>
          </cell>
        </row>
        <row r="1291">
          <cell r="F1291">
            <v>309177</v>
          </cell>
          <cell r="G1291" t="str">
            <v>Wendy Carolina Lopez Alvizuriz</v>
          </cell>
        </row>
        <row r="1292">
          <cell r="F1292">
            <v>315364</v>
          </cell>
          <cell r="G1292" t="str">
            <v>Wendy Corina Najera Vasquez</v>
          </cell>
        </row>
        <row r="1293">
          <cell r="F1293">
            <v>308431</v>
          </cell>
          <cell r="G1293" t="str">
            <v>Wendy Jessenia Arredondo Lopez</v>
          </cell>
        </row>
        <row r="1294">
          <cell r="F1294">
            <v>315096</v>
          </cell>
          <cell r="G1294" t="str">
            <v>Wendy Mariela Diaz Hernandez</v>
          </cell>
        </row>
        <row r="1295">
          <cell r="F1295">
            <v>314551</v>
          </cell>
          <cell r="G1295" t="str">
            <v>Wendy Nineth Perez Roque</v>
          </cell>
        </row>
        <row r="1296">
          <cell r="F1296">
            <v>312886</v>
          </cell>
          <cell r="G1296" t="str">
            <v>Wendy Paola Baquiax Cu</v>
          </cell>
        </row>
        <row r="1297">
          <cell r="F1297">
            <v>306851</v>
          </cell>
          <cell r="G1297" t="str">
            <v>Wendy Paola De Paz Prado</v>
          </cell>
        </row>
        <row r="1298">
          <cell r="F1298">
            <v>313707</v>
          </cell>
          <cell r="G1298" t="str">
            <v>Wendy Paola Rodriguez Gonzalez</v>
          </cell>
        </row>
        <row r="1299">
          <cell r="F1299">
            <v>314055</v>
          </cell>
          <cell r="G1299" t="str">
            <v>Wendy Patricia Lopez Gonzalez</v>
          </cell>
        </row>
        <row r="1300">
          <cell r="F1300">
            <v>310388</v>
          </cell>
          <cell r="G1300" t="str">
            <v>Wendy Susana Chinchilla Cotill</v>
          </cell>
        </row>
        <row r="1301">
          <cell r="F1301">
            <v>315106</v>
          </cell>
          <cell r="G1301" t="str">
            <v>Wendy Victoria Rodriguez Chacon</v>
          </cell>
        </row>
        <row r="1302">
          <cell r="F1302">
            <v>314063</v>
          </cell>
          <cell r="G1302" t="str">
            <v>Wensler David Obando Polanco</v>
          </cell>
        </row>
        <row r="1303">
          <cell r="F1303">
            <v>308069</v>
          </cell>
          <cell r="G1303" t="str">
            <v>Wilda Yohandra Atz Cruz</v>
          </cell>
        </row>
        <row r="1304">
          <cell r="F1304">
            <v>313300</v>
          </cell>
          <cell r="G1304" t="str">
            <v>Wilfido Abraham Cardona Garcia</v>
          </cell>
        </row>
        <row r="1305">
          <cell r="F1305">
            <v>309284</v>
          </cell>
          <cell r="G1305" t="str">
            <v>Wilian Aroldo Lucero Cardona</v>
          </cell>
        </row>
        <row r="1306">
          <cell r="F1306">
            <v>314821</v>
          </cell>
          <cell r="G1306" t="str">
            <v>William Alexander Tobias Gomez</v>
          </cell>
        </row>
        <row r="1307">
          <cell r="F1307">
            <v>314881</v>
          </cell>
          <cell r="G1307" t="str">
            <v>William Eduardo Velasquez Castillo</v>
          </cell>
        </row>
        <row r="1308">
          <cell r="F1308">
            <v>313027</v>
          </cell>
          <cell r="G1308" t="str">
            <v>William Rodolfo Yool Tucux</v>
          </cell>
        </row>
        <row r="1309">
          <cell r="F1309">
            <v>314221</v>
          </cell>
          <cell r="G1309" t="str">
            <v>Willian Baldemar Castillo Ramirez</v>
          </cell>
        </row>
        <row r="1310">
          <cell r="F1310">
            <v>314947</v>
          </cell>
          <cell r="G1310" t="str">
            <v>Wilmer Arnoldo Diaz Martinez</v>
          </cell>
        </row>
        <row r="1311">
          <cell r="F1311">
            <v>306656</v>
          </cell>
          <cell r="G1311" t="str">
            <v>Wilmer Benjamin Vasquez Puac</v>
          </cell>
        </row>
        <row r="1312">
          <cell r="F1312">
            <v>314391</v>
          </cell>
          <cell r="G1312" t="str">
            <v>Wilmer Esteban Lopez Hernandez</v>
          </cell>
        </row>
        <row r="1313">
          <cell r="F1313">
            <v>308506</v>
          </cell>
          <cell r="G1313" t="str">
            <v>Wilmer Estuardo Salama Golon</v>
          </cell>
        </row>
        <row r="1314">
          <cell r="F1314">
            <v>308686</v>
          </cell>
          <cell r="G1314" t="str">
            <v>Wilson Arnoldo Lopez Revolorio</v>
          </cell>
        </row>
        <row r="1315">
          <cell r="F1315">
            <v>312770</v>
          </cell>
          <cell r="G1315" t="str">
            <v>Wilson Manuel Zuñiga Perez</v>
          </cell>
        </row>
        <row r="1316">
          <cell r="F1316">
            <v>300978</v>
          </cell>
          <cell r="G1316" t="str">
            <v>Wuangler Geovane Cal Sucup</v>
          </cell>
        </row>
        <row r="1317">
          <cell r="F1317">
            <v>305989</v>
          </cell>
          <cell r="G1317" t="str">
            <v>Wuilson Ottoniel Hernandez Alonzo</v>
          </cell>
        </row>
        <row r="1318">
          <cell r="F1318">
            <v>314819</v>
          </cell>
          <cell r="G1318" t="str">
            <v>Xiomara Karina Rendon Peinado</v>
          </cell>
        </row>
        <row r="1319">
          <cell r="F1319">
            <v>306493</v>
          </cell>
          <cell r="G1319" t="str">
            <v>Yackelin Maribel Zamora Medina</v>
          </cell>
        </row>
        <row r="1320">
          <cell r="F1320">
            <v>309963</v>
          </cell>
          <cell r="G1320" t="str">
            <v>Yajaira Emiliana Reyes Zapet</v>
          </cell>
        </row>
        <row r="1321">
          <cell r="F1321">
            <v>312248</v>
          </cell>
          <cell r="G1321" t="str">
            <v>Yakelin Consuelo Zapeta Perez</v>
          </cell>
        </row>
        <row r="1322">
          <cell r="F1322">
            <v>310159</v>
          </cell>
          <cell r="G1322" t="str">
            <v>Yaquelin Dinora Xicara Mejia</v>
          </cell>
        </row>
        <row r="1323">
          <cell r="F1323">
            <v>309920</v>
          </cell>
          <cell r="G1323" t="str">
            <v>Yaquelin Karina Virula Patzan</v>
          </cell>
        </row>
        <row r="1324">
          <cell r="F1324">
            <v>312505</v>
          </cell>
          <cell r="G1324" t="str">
            <v>Yaquelin Yessenia Sapon Gonzalez</v>
          </cell>
        </row>
        <row r="1325">
          <cell r="F1325">
            <v>309463</v>
          </cell>
          <cell r="G1325" t="str">
            <v>Yasmin Paola Sicay Marroquin</v>
          </cell>
        </row>
        <row r="1326">
          <cell r="F1326">
            <v>313857</v>
          </cell>
          <cell r="G1326" t="str">
            <v>Yefersson Zabala Aviles</v>
          </cell>
        </row>
        <row r="1327">
          <cell r="F1327">
            <v>313628</v>
          </cell>
          <cell r="G1327" t="str">
            <v>Yefry Jesus Soto</v>
          </cell>
        </row>
        <row r="1328">
          <cell r="F1328">
            <v>310318</v>
          </cell>
          <cell r="G1328" t="str">
            <v>Yeimi Yareli Moscoso Guzman</v>
          </cell>
        </row>
        <row r="1329">
          <cell r="F1329">
            <v>313558</v>
          </cell>
          <cell r="G1329" t="str">
            <v>Yener Catarino Chilel Velasquez</v>
          </cell>
        </row>
        <row r="1330">
          <cell r="F1330">
            <v>303083</v>
          </cell>
          <cell r="G1330" t="str">
            <v>Yeni Elizabeth Carrillo Barrios</v>
          </cell>
        </row>
        <row r="1331">
          <cell r="F1331">
            <v>313221</v>
          </cell>
          <cell r="G1331" t="str">
            <v>Yeni Jannet Morales Sintud</v>
          </cell>
        </row>
        <row r="1332">
          <cell r="F1332">
            <v>315374</v>
          </cell>
          <cell r="G1332" t="str">
            <v>Yeni Sabrina Ordonez Gonzalez De Chicas</v>
          </cell>
        </row>
        <row r="1333">
          <cell r="F1333">
            <v>314613</v>
          </cell>
          <cell r="G1333" t="str">
            <v>Yenifer Alicia Yessenia Tzib Lemus</v>
          </cell>
        </row>
        <row r="1334">
          <cell r="F1334">
            <v>308434</v>
          </cell>
          <cell r="G1334" t="str">
            <v>Yenifer Antonieta Borja Aragon</v>
          </cell>
        </row>
        <row r="1335">
          <cell r="F1335">
            <v>313725</v>
          </cell>
          <cell r="G1335" t="str">
            <v>Yenner Antonio Perez Castro</v>
          </cell>
        </row>
        <row r="1336">
          <cell r="F1336">
            <v>314562</v>
          </cell>
          <cell r="G1336" t="str">
            <v>Yesenia Noemi Gutierrez Argueta</v>
          </cell>
        </row>
        <row r="1337">
          <cell r="F1337">
            <v>311581</v>
          </cell>
          <cell r="G1337" t="str">
            <v>Yesi Lisbet Fuentes Velarde</v>
          </cell>
        </row>
        <row r="1338">
          <cell r="F1338">
            <v>312579</v>
          </cell>
          <cell r="G1338" t="str">
            <v>Yesica Elizabet Marroquin Vielman</v>
          </cell>
        </row>
        <row r="1339">
          <cell r="F1339">
            <v>315433</v>
          </cell>
          <cell r="G1339" t="str">
            <v>Yessica Paola Perez Poma</v>
          </cell>
        </row>
        <row r="1340">
          <cell r="F1340">
            <v>311486</v>
          </cell>
          <cell r="G1340" t="str">
            <v>Yolisma Yaneth Vasquez Najera</v>
          </cell>
        </row>
        <row r="1341">
          <cell r="F1341">
            <v>315060</v>
          </cell>
          <cell r="G1341" t="str">
            <v>Yonatan Alexander Perez Scott</v>
          </cell>
        </row>
        <row r="1342">
          <cell r="F1342">
            <v>312632</v>
          </cell>
          <cell r="G1342" t="str">
            <v>Yonatan Nazareth Zapeta Gomez</v>
          </cell>
        </row>
        <row r="1343">
          <cell r="F1343">
            <v>312988</v>
          </cell>
          <cell r="G1343" t="str">
            <v>Yonathan Neftali Moran Velasquez</v>
          </cell>
        </row>
        <row r="1344">
          <cell r="F1344">
            <v>305872</v>
          </cell>
          <cell r="G1344" t="str">
            <v>Yoni Adan Gutierrez Veliz</v>
          </cell>
        </row>
        <row r="1345">
          <cell r="F1345">
            <v>312087</v>
          </cell>
          <cell r="G1345" t="str">
            <v>Yoni Yosuen Rodriguez Sosa</v>
          </cell>
        </row>
        <row r="1346">
          <cell r="F1346">
            <v>312317</v>
          </cell>
          <cell r="G1346" t="str">
            <v>Yoselin Alejandra Barrios Reyes</v>
          </cell>
        </row>
        <row r="1347">
          <cell r="F1347">
            <v>313057</v>
          </cell>
          <cell r="G1347" t="str">
            <v>Yoselin Alejandra Moran Burgos</v>
          </cell>
        </row>
        <row r="1348">
          <cell r="F1348">
            <v>314700</v>
          </cell>
          <cell r="G1348" t="str">
            <v>Yoselin Andrea Cipriano Garcia</v>
          </cell>
        </row>
        <row r="1349">
          <cell r="F1349">
            <v>314280</v>
          </cell>
          <cell r="G1349" t="str">
            <v>Yoselin Ninet Lopez Quibaja</v>
          </cell>
        </row>
        <row r="1350">
          <cell r="F1350">
            <v>314388</v>
          </cell>
          <cell r="G1350" t="str">
            <v>Yubithza Azucena Gamez Agustin De Cordova</v>
          </cell>
        </row>
        <row r="1351">
          <cell r="F1351">
            <v>310717</v>
          </cell>
          <cell r="G1351" t="str">
            <v>Yuliana Elizabeth Hernandez Lopez</v>
          </cell>
        </row>
        <row r="1352">
          <cell r="F1352">
            <v>314472</v>
          </cell>
          <cell r="G1352" t="str">
            <v>Yuri Madali Cabrera Garcia</v>
          </cell>
        </row>
        <row r="1353">
          <cell r="F1353">
            <v>310871</v>
          </cell>
          <cell r="G1353" t="str">
            <v>Yuri Vanessa Bac Caal</v>
          </cell>
        </row>
        <row r="1354">
          <cell r="F1354">
            <v>302802</v>
          </cell>
          <cell r="G1354" t="str">
            <v>Yuri Yesenia Beza Ramirez</v>
          </cell>
        </row>
        <row r="1355">
          <cell r="F1355">
            <v>310778</v>
          </cell>
          <cell r="G1355" t="str">
            <v>Zacarias Rigoberto Cuc Tiul</v>
          </cell>
        </row>
        <row r="1356">
          <cell r="F1356">
            <v>309651</v>
          </cell>
          <cell r="G1356" t="str">
            <v>Zaira Eloiza Orantes Ramirez</v>
          </cell>
        </row>
        <row r="1357">
          <cell r="F1357">
            <v>315308</v>
          </cell>
          <cell r="G1357" t="str">
            <v>Zalma Esmeralda Flores Tojin</v>
          </cell>
        </row>
        <row r="1358">
          <cell r="F1358">
            <v>306856</v>
          </cell>
          <cell r="G1358" t="str">
            <v>Zoraida Marisol Martinez Perez</v>
          </cell>
        </row>
        <row r="1359">
          <cell r="F1359">
            <v>313411</v>
          </cell>
          <cell r="G1359" t="str">
            <v>Zulema Noemy Aristondo Lopez</v>
          </cell>
        </row>
        <row r="1360">
          <cell r="F1360">
            <v>312665</v>
          </cell>
          <cell r="G1360" t="str">
            <v>Zulma Damaris Menchu Mendez</v>
          </cell>
        </row>
        <row r="1361">
          <cell r="F1361">
            <v>314042</v>
          </cell>
          <cell r="G1361" t="str">
            <v>Zulmy Paola Mateo Salazar</v>
          </cell>
        </row>
        <row r="1362">
          <cell r="F1362">
            <v>313161</v>
          </cell>
          <cell r="G1362" t="str">
            <v>Zuly Beatriz De Jesus Lopez Martinez</v>
          </cell>
        </row>
        <row r="1363">
          <cell r="F1363">
            <v>314783</v>
          </cell>
          <cell r="G1363" t="str">
            <v>Jency Noeli Estrada Paredes</v>
          </cell>
        </row>
        <row r="1364">
          <cell r="F1364">
            <v>311880</v>
          </cell>
          <cell r="G1364" t="str">
            <v>Patricia Alejandra Ramos Velasquez</v>
          </cell>
        </row>
        <row r="1365">
          <cell r="F1365">
            <v>313031</v>
          </cell>
          <cell r="G1365" t="str">
            <v>Lesly Sucely Ramirez Maxin</v>
          </cell>
        </row>
        <row r="1366">
          <cell r="F1366">
            <v>313155</v>
          </cell>
          <cell r="G1366" t="str">
            <v>Aylin Jiceli Romero Cruz</v>
          </cell>
        </row>
        <row r="1367">
          <cell r="F1367">
            <v>314858</v>
          </cell>
          <cell r="G1367" t="str">
            <v>Henry De Jesus Mujo Garcia</v>
          </cell>
        </row>
        <row r="1368">
          <cell r="F1368">
            <v>315188</v>
          </cell>
          <cell r="G1368" t="str">
            <v>Zoila Edmunda Pirir Tezen</v>
          </cell>
        </row>
        <row r="1369">
          <cell r="F1369">
            <v>314690</v>
          </cell>
          <cell r="G1369" t="str">
            <v>Scarlet Iveth Rosales Rivera</v>
          </cell>
        </row>
        <row r="1370">
          <cell r="F1370">
            <v>309417</v>
          </cell>
          <cell r="G1370" t="str">
            <v>Lisbeth Sarai Gutierrez Oscal</v>
          </cell>
        </row>
        <row r="1371">
          <cell r="F1371">
            <v>314284</v>
          </cell>
          <cell r="G1371" t="str">
            <v>William Alexander Gonzalez Mendoza</v>
          </cell>
        </row>
        <row r="1372">
          <cell r="F1372">
            <v>312424</v>
          </cell>
          <cell r="G1372" t="str">
            <v>Andrea Fernanda Martin Flores</v>
          </cell>
        </row>
        <row r="1373">
          <cell r="F1373">
            <v>313081</v>
          </cell>
          <cell r="G1373" t="str">
            <v>Alba Mariana Higueros Micheo</v>
          </cell>
        </row>
        <row r="1374">
          <cell r="F1374">
            <v>315184</v>
          </cell>
          <cell r="G1374" t="str">
            <v>Leysly Rubi Panchoy Rivera</v>
          </cell>
        </row>
        <row r="1375">
          <cell r="F1375">
            <v>315248</v>
          </cell>
          <cell r="G1375" t="str">
            <v>Claudia Marissa Chuquiej Granados</v>
          </cell>
        </row>
        <row r="1376">
          <cell r="F1376">
            <v>314982</v>
          </cell>
          <cell r="G1376" t="str">
            <v>Alvin David Cush Roman</v>
          </cell>
        </row>
        <row r="1377">
          <cell r="F1377">
            <v>312859</v>
          </cell>
          <cell r="G1377" t="str">
            <v>Wilson Eli Pineda Argueta</v>
          </cell>
        </row>
        <row r="1378">
          <cell r="F1378">
            <v>315040</v>
          </cell>
          <cell r="G1378" t="str">
            <v>Renny Camilo Ixcopal Ramirez</v>
          </cell>
        </row>
        <row r="1379">
          <cell r="F1379">
            <v>315061</v>
          </cell>
          <cell r="G1379" t="str">
            <v>Durvin Dayanara Mejicanos Ramos</v>
          </cell>
        </row>
        <row r="1380">
          <cell r="F1380">
            <v>314923</v>
          </cell>
          <cell r="G1380" t="str">
            <v>Sergio Alexander Urizar Godínez</v>
          </cell>
        </row>
        <row r="1381">
          <cell r="F1381">
            <v>314511</v>
          </cell>
          <cell r="G1381" t="str">
            <v>Dulce Maria Fajardo Ramos</v>
          </cell>
        </row>
        <row r="1382">
          <cell r="F1382">
            <v>315316</v>
          </cell>
          <cell r="G1382" t="str">
            <v>Axel Alexander Lemus Ovando</v>
          </cell>
        </row>
        <row r="1383">
          <cell r="F1383">
            <v>314538</v>
          </cell>
          <cell r="G1383" t="str">
            <v>Cristofer Melgar Ortega</v>
          </cell>
        </row>
        <row r="1384">
          <cell r="F1384">
            <v>315046</v>
          </cell>
          <cell r="G1384" t="str">
            <v>Maria Damaris Noemi Asig Cu</v>
          </cell>
        </row>
        <row r="1385">
          <cell r="F1385">
            <v>314652</v>
          </cell>
          <cell r="G1385" t="str">
            <v>Leyvi Diana Morales Garrido</v>
          </cell>
        </row>
        <row r="1386">
          <cell r="F1386">
            <v>314440</v>
          </cell>
          <cell r="G1386" t="str">
            <v>Luis Alexsander Barco Ramirez</v>
          </cell>
        </row>
        <row r="1387">
          <cell r="F1387">
            <v>315249</v>
          </cell>
          <cell r="G1387" t="str">
            <v>Estuardo Rocael Chivalan Caal</v>
          </cell>
        </row>
        <row r="1388">
          <cell r="F1388">
            <v>315301</v>
          </cell>
          <cell r="G1388" t="str">
            <v>Carlos Edmundo Hernandez Miranda</v>
          </cell>
        </row>
        <row r="1389">
          <cell r="F1389">
            <v>313008</v>
          </cell>
          <cell r="G1389" t="str">
            <v>Jose Guillermo Ixen Queche</v>
          </cell>
        </row>
        <row r="1390">
          <cell r="F1390">
            <v>309110</v>
          </cell>
          <cell r="G1390" t="str">
            <v>Josselyn Fabiola Xunic Taquiej</v>
          </cell>
        </row>
        <row r="1391">
          <cell r="F1391">
            <v>312944</v>
          </cell>
          <cell r="G1391" t="str">
            <v>Lesly Araceli Mendez Gonzalez</v>
          </cell>
        </row>
        <row r="1392">
          <cell r="F1392">
            <v>314043</v>
          </cell>
          <cell r="G1392" t="str">
            <v>Luis Miguel Camaja Recinos</v>
          </cell>
        </row>
        <row r="1393">
          <cell r="F1393">
            <v>308753</v>
          </cell>
          <cell r="G1393" t="str">
            <v>Wilson Estuardo Vicente Tzun</v>
          </cell>
        </row>
        <row r="1394">
          <cell r="F1394">
            <v>312219</v>
          </cell>
          <cell r="G1394" t="str">
            <v>Yenifer Magali Arana Tezen</v>
          </cell>
        </row>
        <row r="1395">
          <cell r="F1395">
            <v>314664</v>
          </cell>
          <cell r="G1395" t="str">
            <v>Favio Juan Manuel Citalan Gomez</v>
          </cell>
        </row>
        <row r="1396">
          <cell r="F1396">
            <v>315314</v>
          </cell>
          <cell r="G1396" t="str">
            <v>Katherine Maria Pereira Estacuy</v>
          </cell>
        </row>
        <row r="1397">
          <cell r="F1397">
            <v>309750</v>
          </cell>
          <cell r="G1397" t="str">
            <v>Maria Teresa Hom Guit</v>
          </cell>
        </row>
        <row r="1398">
          <cell r="F1398">
            <v>307867</v>
          </cell>
          <cell r="G1398" t="str">
            <v>Alex Jose Bamaca Baltazar</v>
          </cell>
        </row>
        <row r="1399">
          <cell r="F1399">
            <v>313410</v>
          </cell>
          <cell r="G1399" t="str">
            <v>Esmeralda Claribel Velasquez Hernandez</v>
          </cell>
        </row>
        <row r="1400">
          <cell r="F1400">
            <v>315157</v>
          </cell>
          <cell r="G1400" t="str">
            <v>Nancy Rocio Maldonado Lopez</v>
          </cell>
        </row>
        <row r="1401">
          <cell r="F1401">
            <v>303878</v>
          </cell>
          <cell r="G1401" t="str">
            <v>Milka Patricia Merida Muñoz</v>
          </cell>
        </row>
        <row r="1402">
          <cell r="F1402">
            <v>315187</v>
          </cell>
          <cell r="G1402" t="str">
            <v>Luis Fernando Ramos Reynoso</v>
          </cell>
        </row>
        <row r="1403">
          <cell r="F1403">
            <v>310537</v>
          </cell>
          <cell r="G1403" t="str">
            <v>Astrid Anybeth Ochoa Sac</v>
          </cell>
        </row>
        <row r="1404">
          <cell r="F1404">
            <v>314578</v>
          </cell>
          <cell r="G1404" t="str">
            <v>Ana Gabriela Garcia Ajanel</v>
          </cell>
        </row>
        <row r="1405">
          <cell r="F1405">
            <v>315331</v>
          </cell>
          <cell r="G1405" t="str">
            <v>Dallynn Eunice Perez Herrera</v>
          </cell>
        </row>
        <row r="1406">
          <cell r="F1406">
            <v>314950</v>
          </cell>
          <cell r="G1406" t="str">
            <v>Saul Rodrigo Monterroso Belteton</v>
          </cell>
        </row>
        <row r="1407">
          <cell r="F1407">
            <v>312575</v>
          </cell>
          <cell r="G1407" t="str">
            <v>Sugey Alejandrina Ramirez Zepeda</v>
          </cell>
        </row>
        <row r="1408">
          <cell r="F1408">
            <v>309102</v>
          </cell>
          <cell r="G1408" t="str">
            <v>Josselyn Jasmin Asencio Revolorio De Lopez</v>
          </cell>
        </row>
        <row r="1409">
          <cell r="F1409">
            <v>313516</v>
          </cell>
          <cell r="G1409" t="str">
            <v>Mayra Leticia Diaz Armas</v>
          </cell>
        </row>
        <row r="1410">
          <cell r="F1410">
            <v>314786</v>
          </cell>
          <cell r="G1410" t="str">
            <v>Andrea Stephany Villeda Bran</v>
          </cell>
        </row>
        <row r="1411">
          <cell r="F1411">
            <v>313482</v>
          </cell>
          <cell r="G1411" t="str">
            <v>Alexandra Stefania Estrada Flores</v>
          </cell>
        </row>
        <row r="1412">
          <cell r="F1412">
            <v>313642</v>
          </cell>
          <cell r="G1412" t="str">
            <v>Jose Luis Landaverry Arana</v>
          </cell>
        </row>
        <row r="1413">
          <cell r="F1413">
            <v>314734</v>
          </cell>
          <cell r="G1413" t="str">
            <v>Maria Teresa Barrientos Perdomo</v>
          </cell>
        </row>
        <row r="1414">
          <cell r="F1414">
            <v>312551</v>
          </cell>
          <cell r="G1414" t="str">
            <v>Zenia Estefania Alvarado Alvarado</v>
          </cell>
        </row>
        <row r="1415">
          <cell r="F1415">
            <v>311524</v>
          </cell>
          <cell r="G1415" t="str">
            <v>Iris Marleny Alvarado Barrios</v>
          </cell>
        </row>
        <row r="1416">
          <cell r="F1416">
            <v>309360</v>
          </cell>
          <cell r="G1416" t="str">
            <v>Diana Violeta Yaguas Carin</v>
          </cell>
        </row>
        <row r="1417">
          <cell r="F1417">
            <v>309560</v>
          </cell>
          <cell r="G1417" t="str">
            <v>Astrid Gabriela Carin Castillo</v>
          </cell>
        </row>
        <row r="1418">
          <cell r="F1418">
            <v>313834</v>
          </cell>
          <cell r="G1418" t="str">
            <v>Luis Fernando Cuque Marquez</v>
          </cell>
        </row>
        <row r="1419">
          <cell r="F1419">
            <v>312983</v>
          </cell>
          <cell r="G1419" t="str">
            <v>Jennifer Jeaneth Patzan Urizar</v>
          </cell>
        </row>
        <row r="1420">
          <cell r="F1420">
            <v>313043</v>
          </cell>
          <cell r="G1420" t="str">
            <v>Saul Alexander Sicay Ramirez</v>
          </cell>
        </row>
        <row r="1421">
          <cell r="F1421">
            <v>315052</v>
          </cell>
          <cell r="G1421" t="str">
            <v>Ana Ruth Garcia Garcia</v>
          </cell>
        </row>
        <row r="1422">
          <cell r="F1422">
            <v>311322</v>
          </cell>
          <cell r="G1422" t="str">
            <v>Valerie Andrea Rivas Del Valle</v>
          </cell>
        </row>
        <row r="1423">
          <cell r="F1423">
            <v>313852</v>
          </cell>
          <cell r="G1423" t="str">
            <v>Brandon Steven Quiñonez Garcia</v>
          </cell>
        </row>
        <row r="1424">
          <cell r="F1424">
            <v>310326</v>
          </cell>
          <cell r="G1424" t="str">
            <v>Bryan Daniel Donado Ortiz</v>
          </cell>
        </row>
        <row r="1425">
          <cell r="F1425">
            <v>312039</v>
          </cell>
          <cell r="G1425" t="str">
            <v>Lourdes Yamileth Escobar Recinos</v>
          </cell>
        </row>
        <row r="1426">
          <cell r="F1426">
            <v>315030</v>
          </cell>
          <cell r="G1426" t="str">
            <v>Daniel Antonio Gonzalez Del Cid</v>
          </cell>
        </row>
        <row r="1427">
          <cell r="F1427">
            <v>314898</v>
          </cell>
          <cell r="G1427" t="str">
            <v>Jose Danilo Chacar Saguach</v>
          </cell>
        </row>
        <row r="1428">
          <cell r="F1428">
            <v>315306</v>
          </cell>
          <cell r="G1428" t="str">
            <v>Karen Melissa Munoz Guevara</v>
          </cell>
        </row>
        <row r="1429">
          <cell r="F1429">
            <v>315370</v>
          </cell>
          <cell r="G1429" t="str">
            <v>Mario Eduardo Reyes Argueta</v>
          </cell>
        </row>
        <row r="1430">
          <cell r="F1430">
            <v>315354</v>
          </cell>
          <cell r="G1430" t="str">
            <v>Diego Rodrigo Morales Camacho</v>
          </cell>
        </row>
        <row r="1431">
          <cell r="F1431">
            <v>314676</v>
          </cell>
          <cell r="G1431" t="str">
            <v>Irvin Lizardo Miranda Guzman</v>
          </cell>
        </row>
        <row r="1432">
          <cell r="F1432">
            <v>314069</v>
          </cell>
          <cell r="G1432" t="str">
            <v>Yesenia Nataly Alvarado Sarpec</v>
          </cell>
        </row>
        <row r="1433">
          <cell r="F1433">
            <v>315328</v>
          </cell>
          <cell r="G1433" t="str">
            <v xml:space="preserve">Ludwin Oscar David Chavez </v>
          </cell>
        </row>
        <row r="1434">
          <cell r="F1434">
            <v>314629</v>
          </cell>
          <cell r="G1434" t="str">
            <v>Heidy Azucena Martinez Garcia</v>
          </cell>
        </row>
        <row r="1435">
          <cell r="F1435">
            <v>314358</v>
          </cell>
          <cell r="G1435" t="str">
            <v>Manuel Eduardo Garcia Diaz</v>
          </cell>
        </row>
        <row r="1436">
          <cell r="F1436">
            <v>314090</v>
          </cell>
          <cell r="G1436" t="str">
            <v>Dayana Mishell Mazariegos Gomez</v>
          </cell>
        </row>
        <row r="1437">
          <cell r="F1437">
            <v>311202</v>
          </cell>
          <cell r="G1437" t="str">
            <v>Vilma Lizeth Caal Yantuche</v>
          </cell>
        </row>
        <row r="1438">
          <cell r="F1438">
            <v>314693</v>
          </cell>
          <cell r="G1438" t="str">
            <v>Oscar Javier Veliz Galvez</v>
          </cell>
        </row>
        <row r="1439">
          <cell r="F1439">
            <v>307008</v>
          </cell>
          <cell r="G1439" t="str">
            <v>Evelyn Rebeca Lopez Socoy</v>
          </cell>
        </row>
        <row r="1440">
          <cell r="F1440">
            <v>313003</v>
          </cell>
          <cell r="G1440" t="str">
            <v>Jonathan Renato Chete Urias</v>
          </cell>
        </row>
        <row r="1441">
          <cell r="F1441">
            <v>315224</v>
          </cell>
          <cell r="G1441" t="str">
            <v>Dina Nohemi Solano Juarez</v>
          </cell>
        </row>
        <row r="1442">
          <cell r="F1442">
            <v>315178</v>
          </cell>
          <cell r="G1442" t="str">
            <v>Melany Nohemi Velasquez Solorzano</v>
          </cell>
        </row>
        <row r="1443">
          <cell r="F1443">
            <v>314040</v>
          </cell>
          <cell r="G1443" t="str">
            <v>Cindy Abigail Patzan Perez</v>
          </cell>
        </row>
        <row r="1444">
          <cell r="F1444">
            <v>315172</v>
          </cell>
          <cell r="G1444" t="str">
            <v>Merlyn Esther Pérez Girón</v>
          </cell>
        </row>
        <row r="1445">
          <cell r="F1445">
            <v>314726</v>
          </cell>
          <cell r="G1445" t="str">
            <v>Bryan Roberto Sanchez Echeverria</v>
          </cell>
        </row>
        <row r="1446">
          <cell r="F1446">
            <v>306350</v>
          </cell>
          <cell r="G1446" t="str">
            <v>Andrea Eunice Velasquez Mazariegos</v>
          </cell>
        </row>
        <row r="1447">
          <cell r="F1447">
            <v>314282</v>
          </cell>
          <cell r="G1447" t="str">
            <v>Yolanda Genoveva Lopez Bamaca</v>
          </cell>
        </row>
        <row r="1448">
          <cell r="F1448">
            <v>314675</v>
          </cell>
          <cell r="G1448" t="str">
            <v>Edson Romeo Maldonado Reyes</v>
          </cell>
        </row>
        <row r="1449">
          <cell r="F1449">
            <v>313056</v>
          </cell>
          <cell r="G1449" t="str">
            <v>Suceli Isamar Orozco Fuentes</v>
          </cell>
        </row>
        <row r="1450">
          <cell r="F1450">
            <v>311573</v>
          </cell>
          <cell r="G1450" t="str">
            <v>Karen Gabriela Uz Shalix</v>
          </cell>
        </row>
        <row r="1451">
          <cell r="F1451">
            <v>313661</v>
          </cell>
          <cell r="G1451" t="str">
            <v>Mario Jose Herrera De Leon</v>
          </cell>
        </row>
        <row r="1452">
          <cell r="F1452">
            <v>314134</v>
          </cell>
          <cell r="G1452" t="str">
            <v>Rogelia Emperatriz Ortiz Alcantara</v>
          </cell>
        </row>
        <row r="1453">
          <cell r="F1453">
            <v>315207</v>
          </cell>
          <cell r="G1453" t="str">
            <v>Yeison Lemuel Lopez Vasquez</v>
          </cell>
        </row>
        <row r="1454">
          <cell r="F1454">
            <v>312659</v>
          </cell>
          <cell r="G1454" t="str">
            <v>Danny Johana Perez Reyes</v>
          </cell>
        </row>
        <row r="1455">
          <cell r="F1455">
            <v>315587</v>
          </cell>
          <cell r="G1455" t="str">
            <v>Pedro Jose Castañeda Velasquez</v>
          </cell>
        </row>
        <row r="1456">
          <cell r="F1456">
            <v>315590</v>
          </cell>
          <cell r="G1456" t="str">
            <v>Jamileth Andreina Arreaga Quin</v>
          </cell>
        </row>
        <row r="1457">
          <cell r="F1457">
            <v>315602</v>
          </cell>
          <cell r="G1457" t="str">
            <v>Ventura Rivera, Rhode Esperanza</v>
          </cell>
        </row>
        <row r="1458">
          <cell r="F1458">
            <v>315607</v>
          </cell>
          <cell r="G1458" t="str">
            <v>Ruiz Castillo, Maria Antonia</v>
          </cell>
        </row>
        <row r="1459">
          <cell r="F1459">
            <v>315611</v>
          </cell>
          <cell r="G1459" t="str">
            <v>Cordova Newbery, Allison Alejandra</v>
          </cell>
        </row>
        <row r="1460">
          <cell r="F1460">
            <v>315612</v>
          </cell>
          <cell r="G1460" t="str">
            <v>Castanon Lopez, Brandon Eliberto</v>
          </cell>
        </row>
        <row r="1461">
          <cell r="F1461">
            <v>315616</v>
          </cell>
          <cell r="G1461" t="str">
            <v>Diaz Calderon, Josue Noe</v>
          </cell>
        </row>
        <row r="1462">
          <cell r="F1462">
            <v>315629</v>
          </cell>
          <cell r="G1462" t="str">
            <v>Rucuch Choguaj, Miguel</v>
          </cell>
        </row>
        <row r="1463">
          <cell r="F1463">
            <v>315630</v>
          </cell>
          <cell r="G1463" t="str">
            <v>Zavala Soto, Alisson Yisel</v>
          </cell>
        </row>
        <row r="1464">
          <cell r="F1464">
            <v>309658</v>
          </cell>
          <cell r="G1464" t="str">
            <v xml:space="preserve">Otto Alejandro Barahona López </v>
          </cell>
        </row>
        <row r="1465">
          <cell r="F1465">
            <v>301291</v>
          </cell>
          <cell r="G1465" t="str">
            <v>Alexandra Carolina Valdez Vasquez</v>
          </cell>
        </row>
        <row r="1466">
          <cell r="F1466">
            <v>307550</v>
          </cell>
          <cell r="G1466" t="str">
            <v>Aura Marleny Perez Ventura</v>
          </cell>
        </row>
        <row r="1467">
          <cell r="F1467">
            <v>312210</v>
          </cell>
          <cell r="G1467" t="str">
            <v>Carlos Enrique Saenz Cardona</v>
          </cell>
        </row>
        <row r="1468">
          <cell r="F1468">
            <v>304801</v>
          </cell>
          <cell r="G1468" t="str">
            <v>Celeste Azucena Estrada Salvador De Estrada</v>
          </cell>
        </row>
        <row r="1469">
          <cell r="F1469">
            <v>314684</v>
          </cell>
          <cell r="G1469" t="str">
            <v>Escarlet Liliana Molina Herrera De Bolaños</v>
          </cell>
        </row>
        <row r="1470">
          <cell r="F1470">
            <v>309956</v>
          </cell>
          <cell r="G1470" t="str">
            <v>Heidy Celeste San Jose Diaz</v>
          </cell>
        </row>
        <row r="1471">
          <cell r="F1471">
            <v>314978</v>
          </cell>
          <cell r="G1471" t="str">
            <v>Jhoseline Esmeralda Medina Rivas</v>
          </cell>
        </row>
        <row r="1472">
          <cell r="F1472">
            <v>302674</v>
          </cell>
          <cell r="G1472" t="str">
            <v>Karen Elizabeth Roman Castellanos</v>
          </cell>
        </row>
        <row r="1473">
          <cell r="F1473">
            <v>315147</v>
          </cell>
          <cell r="G1473" t="str">
            <v>Karin Zulema Molina Fonseca</v>
          </cell>
        </row>
        <row r="1474">
          <cell r="F1474">
            <v>312838</v>
          </cell>
          <cell r="G1474" t="str">
            <v>Katherine Lucia Carranza Ortega</v>
          </cell>
        </row>
        <row r="1475">
          <cell r="F1475">
            <v>305064</v>
          </cell>
          <cell r="G1475" t="str">
            <v>Lilian Jose Lopez Quevedo</v>
          </cell>
        </row>
        <row r="1476">
          <cell r="F1476">
            <v>308754</v>
          </cell>
          <cell r="G1476" t="str">
            <v>Luis Alberto Perez Barrios</v>
          </cell>
        </row>
        <row r="1477">
          <cell r="F1477">
            <v>313396</v>
          </cell>
          <cell r="G1477" t="str">
            <v>Luz Mariela Donis Gonzalez</v>
          </cell>
        </row>
        <row r="1478">
          <cell r="F1478">
            <v>306330</v>
          </cell>
          <cell r="G1478" t="str">
            <v>Maria Andree Gonzalez</v>
          </cell>
        </row>
        <row r="1479">
          <cell r="F1479">
            <v>307198</v>
          </cell>
          <cell r="G1479" t="str">
            <v>Maria Gabriela Coloma Morales</v>
          </cell>
        </row>
        <row r="1480">
          <cell r="F1480">
            <v>307786</v>
          </cell>
          <cell r="G1480" t="str">
            <v>Marvin Alfredo Asturias Mendez</v>
          </cell>
        </row>
        <row r="1481">
          <cell r="F1481">
            <v>300268</v>
          </cell>
          <cell r="G1481" t="str">
            <v>Monica Carolina Pappa Dominguez</v>
          </cell>
        </row>
        <row r="1482">
          <cell r="F1482">
            <v>313636</v>
          </cell>
          <cell r="G1482" t="str">
            <v>Pablo Cesar Oliva Lopez</v>
          </cell>
        </row>
        <row r="1483">
          <cell r="F1483">
            <v>307702</v>
          </cell>
          <cell r="G1483" t="str">
            <v>Rosmeri Elizabeth Alvarez Lopez De Corado</v>
          </cell>
        </row>
        <row r="1484">
          <cell r="F1484">
            <v>314648</v>
          </cell>
          <cell r="G1484" t="str">
            <v>Sergio Vinicio Natareno Paredes</v>
          </cell>
        </row>
        <row r="1485">
          <cell r="F1485">
            <v>309567</v>
          </cell>
          <cell r="G1485" t="str">
            <v>Sindy Elizabeth Chavez Guzman</v>
          </cell>
        </row>
        <row r="1486">
          <cell r="F1486">
            <v>313649</v>
          </cell>
          <cell r="G1486" t="str">
            <v>Victor Hugo Turriz Flores</v>
          </cell>
        </row>
        <row r="1487">
          <cell r="F1487">
            <v>302684</v>
          </cell>
          <cell r="G1487" t="str">
            <v>Ana Melisa Giron Gonzalez</v>
          </cell>
        </row>
        <row r="1488">
          <cell r="F1488">
            <v>302866</v>
          </cell>
          <cell r="G1488" t="str">
            <v>Maria Magdalena Solis Carrera</v>
          </cell>
        </row>
        <row r="1489">
          <cell r="F1489">
            <v>313111</v>
          </cell>
          <cell r="G1489" t="str">
            <v>Mynor Arturo Barrios Reyes</v>
          </cell>
        </row>
        <row r="1490">
          <cell r="F1490">
            <v>313203</v>
          </cell>
          <cell r="G1490" t="str">
            <v>Marvin Alejandro Lopez Solis</v>
          </cell>
        </row>
        <row r="1491">
          <cell r="F1491">
            <v>302596</v>
          </cell>
          <cell r="G1491" t="str">
            <v>Victor Alfonso Ortega Torres</v>
          </cell>
        </row>
        <row r="1492">
          <cell r="F1492">
            <v>310241</v>
          </cell>
          <cell r="G1492" t="str">
            <v>Heidi Marleny Fajardo Ortiz De Cojon</v>
          </cell>
        </row>
        <row r="1493">
          <cell r="F1493">
            <v>313342</v>
          </cell>
          <cell r="G1493" t="str">
            <v>Magda Karina Mendoza Hernandez</v>
          </cell>
        </row>
        <row r="1494">
          <cell r="F1494">
            <v>301234</v>
          </cell>
          <cell r="G1494" t="str">
            <v>Ana Bertha Guzman Yaggi</v>
          </cell>
        </row>
        <row r="1495">
          <cell r="F1495">
            <v>307154</v>
          </cell>
          <cell r="G1495" t="str">
            <v>Evelin Gicela Burgos Franco</v>
          </cell>
        </row>
        <row r="1496">
          <cell r="F1496">
            <v>305181</v>
          </cell>
          <cell r="G1496" t="str">
            <v>Jose Luis Chay Machic</v>
          </cell>
        </row>
        <row r="1497">
          <cell r="F1497">
            <v>303552</v>
          </cell>
          <cell r="G1497" t="str">
            <v>Liliam Lisseth Santizo Mejia De Cordova</v>
          </cell>
        </row>
        <row r="1498">
          <cell r="F1498">
            <v>303704</v>
          </cell>
          <cell r="G1498" t="str">
            <v>Lisbeth Noemi Hernandez Giron</v>
          </cell>
        </row>
        <row r="1499">
          <cell r="F1499">
            <v>102171</v>
          </cell>
          <cell r="G1499" t="str">
            <v>Maritza Isabel Hernandez Cruz</v>
          </cell>
        </row>
        <row r="1500">
          <cell r="F1500">
            <v>310126</v>
          </cell>
          <cell r="G1500" t="str">
            <v>Jony Estuardo Gamarro Chinchilla</v>
          </cell>
        </row>
        <row r="1501">
          <cell r="F1501">
            <v>307812</v>
          </cell>
          <cell r="G1501" t="str">
            <v>Kevin Josue Moscoso Espino</v>
          </cell>
        </row>
        <row r="1502">
          <cell r="F1502">
            <v>308137</v>
          </cell>
          <cell r="G1502" t="str">
            <v>Oscar Rene Zacarias Jordan</v>
          </cell>
        </row>
        <row r="1503">
          <cell r="F1503">
            <v>311466</v>
          </cell>
          <cell r="G1503" t="str">
            <v>Edgar Estuardo Guerra Romero</v>
          </cell>
        </row>
        <row r="1504">
          <cell r="F1504">
            <v>301374</v>
          </cell>
          <cell r="G1504" t="str">
            <v>Karla Paola Martinez Salazar</v>
          </cell>
        </row>
        <row r="1505">
          <cell r="F1505">
            <v>313446</v>
          </cell>
          <cell r="G1505" t="str">
            <v>Ursula Deyanira Molina Mendoza</v>
          </cell>
        </row>
        <row r="1506">
          <cell r="F1506">
            <v>313780</v>
          </cell>
          <cell r="G1506" t="str">
            <v>Habraham Cesar Torres Alfaro</v>
          </cell>
        </row>
        <row r="1507">
          <cell r="F1507">
            <v>313576</v>
          </cell>
          <cell r="G1507" t="str">
            <v>Hilda Janina Diaz</v>
          </cell>
        </row>
        <row r="1508">
          <cell r="F1508">
            <v>314171</v>
          </cell>
          <cell r="G1508" t="str">
            <v>Jose Alejandro Carrera Tecun</v>
          </cell>
        </row>
        <row r="1509">
          <cell r="F1509">
            <v>313022</v>
          </cell>
          <cell r="G1509" t="str">
            <v>Karim Yaneth Mendez Hidalgo</v>
          </cell>
        </row>
        <row r="1510">
          <cell r="F1510">
            <v>313141</v>
          </cell>
          <cell r="G1510" t="str">
            <v>Edith Carolina Rojas Moreno</v>
          </cell>
        </row>
        <row r="1511">
          <cell r="F1511">
            <v>312615</v>
          </cell>
          <cell r="G1511" t="str">
            <v>Juan Jose Sarceño Siquiej</v>
          </cell>
        </row>
        <row r="1512">
          <cell r="F1512">
            <v>312858</v>
          </cell>
          <cell r="G1512" t="str">
            <v>Juan Pablo Marroquin Franco</v>
          </cell>
        </row>
        <row r="1513">
          <cell r="F1513">
            <v>314739</v>
          </cell>
          <cell r="G1513" t="str">
            <v>Elmer Josue Chinchilla Mendoza</v>
          </cell>
        </row>
        <row r="1514">
          <cell r="F1514">
            <v>315299</v>
          </cell>
          <cell r="G1514" t="str">
            <v>Luis Rodrigo Polanco Marroquin</v>
          </cell>
        </row>
        <row r="1515">
          <cell r="F1515">
            <v>315357</v>
          </cell>
          <cell r="G1515" t="str">
            <v>Linda Garcia          </v>
          </cell>
        </row>
        <row r="1516">
          <cell r="F1516">
            <v>315315</v>
          </cell>
          <cell r="G1516" t="str">
            <v xml:space="preserve">Shirley Guadalupe Munguia Gil </v>
          </cell>
        </row>
        <row r="1517">
          <cell r="F1517">
            <v>315477</v>
          </cell>
          <cell r="G1517" t="str">
            <v xml:space="preserve">Yesenia Guadalupe Ajcu Castillo </v>
          </cell>
        </row>
        <row r="1518">
          <cell r="F1518">
            <v>314170</v>
          </cell>
          <cell r="G1518" t="str">
            <v>Herman Gabriel Mendez Castellanos</v>
          </cell>
        </row>
        <row r="1519">
          <cell r="F1519">
            <v>312053</v>
          </cell>
          <cell r="G1519" t="str">
            <v xml:space="preserve"> Erick Estuardo Gonzalez Culajay</v>
          </cell>
        </row>
        <row r="1520">
          <cell r="F1520">
            <v>309795</v>
          </cell>
          <cell r="G1520" t="str">
            <v xml:space="preserve"> Evelin Johana Perez Fajardo De Estayul</v>
          </cell>
        </row>
        <row r="1521">
          <cell r="F1521">
            <v>308490</v>
          </cell>
          <cell r="G1521" t="str">
            <v xml:space="preserve"> Gabriela Poitan Ordoñez De Garcia</v>
          </cell>
        </row>
        <row r="1522">
          <cell r="F1522">
            <v>311663</v>
          </cell>
          <cell r="G1522" t="str">
            <v xml:space="preserve"> Jenny Betzabel Solis De Hernandez</v>
          </cell>
        </row>
        <row r="1523">
          <cell r="F1523">
            <v>300878</v>
          </cell>
          <cell r="G1523" t="str">
            <v xml:space="preserve"> Juan Francisco Lara Villavicencio</v>
          </cell>
        </row>
        <row r="1524">
          <cell r="F1524">
            <v>311195</v>
          </cell>
          <cell r="G1524" t="str">
            <v xml:space="preserve"> Julia Mariela Lourdette Gonzalez Rosales</v>
          </cell>
        </row>
        <row r="1525">
          <cell r="F1525">
            <v>311073</v>
          </cell>
          <cell r="G1525" t="str">
            <v xml:space="preserve"> Julio Roberto Castellanos Ordoñez</v>
          </cell>
        </row>
        <row r="1526">
          <cell r="F1526">
            <v>309602</v>
          </cell>
          <cell r="G1526" t="str">
            <v xml:space="preserve"> Linda Aracely Garcia Beteta De Cuxulic</v>
          </cell>
        </row>
        <row r="1527">
          <cell r="F1527">
            <v>311706</v>
          </cell>
          <cell r="G1527" t="str">
            <v xml:space="preserve"> Mailyn Anely Chavez Gonzalez</v>
          </cell>
        </row>
        <row r="1528">
          <cell r="F1528">
            <v>311347</v>
          </cell>
          <cell r="G1528" t="str">
            <v xml:space="preserve"> Mario Adolfo Telon Pedroza</v>
          </cell>
        </row>
        <row r="1529">
          <cell r="F1529">
            <v>311236</v>
          </cell>
          <cell r="G1529" t="str">
            <v xml:space="preserve"> Marlon Aroldo De Leon Juarez</v>
          </cell>
        </row>
        <row r="1530">
          <cell r="F1530">
            <v>304620</v>
          </cell>
          <cell r="G1530" t="str">
            <v xml:space="preserve"> Mayra Judith Marroquin Guevara De Melendez</v>
          </cell>
        </row>
        <row r="1531">
          <cell r="F1531">
            <v>311196</v>
          </cell>
          <cell r="G1531" t="str">
            <v xml:space="preserve"> Nancy Mariela Estrada Calel De Samayoa</v>
          </cell>
        </row>
        <row r="1532">
          <cell r="F1532">
            <v>309398</v>
          </cell>
          <cell r="G1532" t="str">
            <v xml:space="preserve"> Sindy Yesenia Fuentes Alvarez De Flores</v>
          </cell>
        </row>
        <row r="1533">
          <cell r="F1533">
            <v>311588</v>
          </cell>
          <cell r="G1533" t="str">
            <v xml:space="preserve"> Wendy Carolina Flores Garcia</v>
          </cell>
        </row>
        <row r="1534">
          <cell r="F1534">
            <v>313885</v>
          </cell>
          <cell r="G1534" t="str">
            <v>Adrian Emanuel Turcios Azurdia</v>
          </cell>
        </row>
        <row r="1535">
          <cell r="F1535">
            <v>314224</v>
          </cell>
          <cell r="G1535" t="str">
            <v>Ana Ruth Wong Mejia</v>
          </cell>
        </row>
        <row r="1536">
          <cell r="F1536">
            <v>314304</v>
          </cell>
          <cell r="G1536" t="str">
            <v>Brenda Yaneth Perez Lucas</v>
          </cell>
        </row>
        <row r="1537">
          <cell r="F1537">
            <v>313839</v>
          </cell>
          <cell r="G1537" t="str">
            <v>Carlos Enrique Dighero Lopez</v>
          </cell>
        </row>
        <row r="1538">
          <cell r="F1538">
            <v>311901</v>
          </cell>
          <cell r="G1538" t="str">
            <v>Edith Veranice Palacios</v>
          </cell>
        </row>
        <row r="1539">
          <cell r="F1539">
            <v>314439</v>
          </cell>
          <cell r="G1539" t="str">
            <v>Hersson Eduardo Leal Garcia</v>
          </cell>
        </row>
        <row r="1540">
          <cell r="F1540">
            <v>313884</v>
          </cell>
          <cell r="G1540" t="str">
            <v>Jasminia Sarai Cotzajay Peñate</v>
          </cell>
        </row>
        <row r="1541">
          <cell r="F1541">
            <v>309852</v>
          </cell>
          <cell r="G1541" t="str">
            <v>Jonathan Rene Villavicencio Soto</v>
          </cell>
        </row>
        <row r="1542">
          <cell r="F1542">
            <v>312709</v>
          </cell>
          <cell r="G1542" t="str">
            <v>Jorge Alfonso Hernandez Chinchilla</v>
          </cell>
        </row>
        <row r="1543">
          <cell r="F1543">
            <v>314436</v>
          </cell>
          <cell r="G1543" t="str">
            <v xml:space="preserve">Jorge Francisco Saban Lopez </v>
          </cell>
        </row>
        <row r="1544">
          <cell r="F1544">
            <v>313114</v>
          </cell>
          <cell r="G1544" t="str">
            <v xml:space="preserve">Jose Albino Albeño Galicia </v>
          </cell>
        </row>
        <row r="1545">
          <cell r="F1545">
            <v>308558</v>
          </cell>
          <cell r="G1545" t="str">
            <v>Jose Emilio Yuman Roche</v>
          </cell>
        </row>
        <row r="1546">
          <cell r="F1546">
            <v>313233</v>
          </cell>
          <cell r="G1546" t="str">
            <v>Jose Miguel Silva Contreras</v>
          </cell>
        </row>
        <row r="1547">
          <cell r="F1547">
            <v>313739</v>
          </cell>
          <cell r="G1547" t="str">
            <v>Lester Onelio Lopez Rosales</v>
          </cell>
        </row>
        <row r="1548">
          <cell r="F1548">
            <v>315361</v>
          </cell>
          <cell r="G1548" t="str">
            <v>Luis Fernando Roche Valenzuela</v>
          </cell>
        </row>
        <row r="1549">
          <cell r="F1549">
            <v>314103</v>
          </cell>
          <cell r="G1549" t="str">
            <v>Luisa Fernanda Marroquin Tiguila</v>
          </cell>
        </row>
        <row r="1550">
          <cell r="F1550">
            <v>313680</v>
          </cell>
          <cell r="G1550" t="str">
            <v>Marco Antonio Salazar Alinzo</v>
          </cell>
        </row>
        <row r="1551">
          <cell r="F1551">
            <v>314359</v>
          </cell>
          <cell r="G1551" t="str">
            <v>Maynor Alexander Perez Surque</v>
          </cell>
        </row>
        <row r="1552">
          <cell r="F1552">
            <v>309332</v>
          </cell>
          <cell r="G1552" t="str">
            <v>Melani Mishell Vasquez Castillo</v>
          </cell>
        </row>
        <row r="1553">
          <cell r="F1553">
            <v>314547</v>
          </cell>
          <cell r="G1553" t="str">
            <v>Nancy Elizabeth Lopez Perez</v>
          </cell>
        </row>
        <row r="1554">
          <cell r="F1554">
            <v>314370</v>
          </cell>
          <cell r="G1554" t="str">
            <v>Olga Roxana Gomez</v>
          </cell>
        </row>
        <row r="1555">
          <cell r="F1555">
            <v>315419</v>
          </cell>
          <cell r="G1555" t="str">
            <v>Rubeldi Ajaniel Roblero Gonzales</v>
          </cell>
        </row>
        <row r="1556">
          <cell r="F1556">
            <v>314769</v>
          </cell>
          <cell r="G1556" t="str">
            <v>Abel Eduardo Lopez Lopez</v>
          </cell>
        </row>
        <row r="1557">
          <cell r="F1557">
            <v>314839</v>
          </cell>
          <cell r="G1557" t="str">
            <v>Ana Gabriela Samayoa Lopez</v>
          </cell>
        </row>
        <row r="1558">
          <cell r="F1558">
            <v>315422</v>
          </cell>
          <cell r="G1558" t="str">
            <v xml:space="preserve">Carlos Alberto Roque </v>
          </cell>
        </row>
        <row r="1559">
          <cell r="F1559">
            <v>314836</v>
          </cell>
          <cell r="G1559" t="str">
            <v xml:space="preserve">Carlos David Ajmac </v>
          </cell>
        </row>
        <row r="1560">
          <cell r="F1560">
            <v>314759</v>
          </cell>
          <cell r="G1560" t="str">
            <v>Carlos Roberto Hernandez Gonzalez</v>
          </cell>
        </row>
        <row r="1561">
          <cell r="F1561">
            <v>314757</v>
          </cell>
          <cell r="G1561" t="str">
            <v>Cristal Estephania Juarroz Muñoz</v>
          </cell>
        </row>
        <row r="1562">
          <cell r="F1562">
            <v>314817</v>
          </cell>
          <cell r="G1562" t="str">
            <v>Cristian Orlando Monzon De Leon</v>
          </cell>
        </row>
        <row r="1563">
          <cell r="F1563">
            <v>314815</v>
          </cell>
          <cell r="G1563" t="str">
            <v>Gabriela Elizabeth Alvarez Mix</v>
          </cell>
        </row>
        <row r="1564">
          <cell r="F1564">
            <v>315421</v>
          </cell>
          <cell r="G1564" t="str">
            <v xml:space="preserve">Gladis Morales Cutzal </v>
          </cell>
        </row>
        <row r="1565">
          <cell r="F1565">
            <v>314794</v>
          </cell>
          <cell r="G1565" t="str">
            <v>Herbert Wellington Rodriguez Ramirez</v>
          </cell>
        </row>
        <row r="1566">
          <cell r="F1566">
            <v>314760</v>
          </cell>
          <cell r="G1566" t="str">
            <v>Jadurani Devi Dasi Archila Lool</v>
          </cell>
        </row>
        <row r="1567">
          <cell r="F1567">
            <v>314838</v>
          </cell>
          <cell r="G1567" t="str">
            <v>Jenifer Lucerito Sique Mayorga</v>
          </cell>
        </row>
        <row r="1568">
          <cell r="F1568">
            <v>314790</v>
          </cell>
          <cell r="G1568" t="str">
            <v>Johana Vidalia Chach Ixcoy</v>
          </cell>
        </row>
        <row r="1569">
          <cell r="F1569">
            <v>314846</v>
          </cell>
          <cell r="G1569" t="str">
            <v>Jonnathan Josue Rodas Florian</v>
          </cell>
        </row>
        <row r="1570">
          <cell r="F1570">
            <v>314761</v>
          </cell>
          <cell r="G1570" t="str">
            <v>Jorge Eduardo Fonseca Palacios</v>
          </cell>
        </row>
        <row r="1571">
          <cell r="F1571">
            <v>314842</v>
          </cell>
          <cell r="G1571" t="str">
            <v>Jose Geovanni Castañeda Galindo</v>
          </cell>
        </row>
        <row r="1572">
          <cell r="F1572">
            <v>314756</v>
          </cell>
          <cell r="G1572" t="str">
            <v>Juan Manuel Gomez Sampuel</v>
          </cell>
        </row>
        <row r="1573">
          <cell r="F1573">
            <v>315366</v>
          </cell>
          <cell r="G1573" t="str">
            <v xml:space="preserve">Mario Enrique Morales Escobar </v>
          </cell>
        </row>
        <row r="1574">
          <cell r="F1574">
            <v>315392</v>
          </cell>
          <cell r="G1574" t="str">
            <v xml:space="preserve">Mijail Erick Joaquín Morales Ortiz </v>
          </cell>
        </row>
        <row r="1575">
          <cell r="F1575">
            <v>314843</v>
          </cell>
          <cell r="G1575" t="str">
            <v>Nancy Pahola Arevalo Yuman</v>
          </cell>
        </row>
        <row r="1576">
          <cell r="F1576">
            <v>314791</v>
          </cell>
          <cell r="G1576" t="str">
            <v>Norman Scott Castillo Rivera</v>
          </cell>
        </row>
        <row r="1577">
          <cell r="F1577">
            <v>314799</v>
          </cell>
          <cell r="G1577" t="str">
            <v>Rusbelindo  Miguel Lopez</v>
          </cell>
        </row>
        <row r="1578">
          <cell r="F1578">
            <v>314751</v>
          </cell>
          <cell r="G1578" t="str">
            <v>Ana Lucia Veliz Solares</v>
          </cell>
        </row>
        <row r="1579">
          <cell r="F1579">
            <v>315169</v>
          </cell>
          <cell r="G1579" t="str">
            <v>Andy Oswaldo Pineda Arriola</v>
          </cell>
        </row>
        <row r="1580">
          <cell r="F1580">
            <v>314903</v>
          </cell>
          <cell r="G1580" t="str">
            <v>Cindy Julissa Herrera</v>
          </cell>
        </row>
        <row r="1581">
          <cell r="F1581">
            <v>314800</v>
          </cell>
          <cell r="G1581" t="str">
            <v>Elmer Eduardo Castillo</v>
          </cell>
        </row>
        <row r="1582">
          <cell r="F1582">
            <v>314748</v>
          </cell>
          <cell r="G1582" t="str">
            <v>Freddy Reynaldo Velarde Valenzuela</v>
          </cell>
        </row>
        <row r="1583">
          <cell r="F1583">
            <v>314795</v>
          </cell>
          <cell r="G1583" t="str">
            <v>Gustavo Ernesto Altan Gonzalez</v>
          </cell>
        </row>
        <row r="1584">
          <cell r="F1584">
            <v>315148</v>
          </cell>
          <cell r="G1584" t="str">
            <v>Irene Beatriz Pena Orellana</v>
          </cell>
        </row>
        <row r="1585">
          <cell r="F1585">
            <v>314906</v>
          </cell>
          <cell r="G1585" t="str">
            <v>Juan Pedro Tiney Cax</v>
          </cell>
        </row>
        <row r="1586">
          <cell r="F1586">
            <v>315322</v>
          </cell>
          <cell r="G1586" t="str">
            <v>Lester Juan Jose Arevalo Reynoso</v>
          </cell>
        </row>
        <row r="1587">
          <cell r="F1587">
            <v>315368</v>
          </cell>
          <cell r="G1587" t="str">
            <v>Marlon Enrique Del Cid Roque</v>
          </cell>
        </row>
        <row r="1588">
          <cell r="F1588">
            <v>315093</v>
          </cell>
          <cell r="G1588" t="str">
            <v>Miriam Eugenia Santizo Montenegro</v>
          </cell>
        </row>
        <row r="1589">
          <cell r="F1589">
            <v>314902</v>
          </cell>
          <cell r="G1589" t="str">
            <v>Roberto Alejandro Alvarez Abularach</v>
          </cell>
        </row>
        <row r="1590">
          <cell r="F1590">
            <v>314755</v>
          </cell>
          <cell r="G1590" t="str">
            <v>Sergio David Gonzalez Perez</v>
          </cell>
        </row>
        <row r="1591">
          <cell r="F1591">
            <v>314967</v>
          </cell>
          <cell r="G1591" t="str">
            <v>Sergio Javier Cortez Tunchez</v>
          </cell>
        </row>
        <row r="1592">
          <cell r="F1592">
            <v>314968</v>
          </cell>
          <cell r="G1592" t="str">
            <v>Sharon Dayana Ninoshka López Márquez</v>
          </cell>
        </row>
        <row r="1593">
          <cell r="F1593">
            <v>311961</v>
          </cell>
          <cell r="G1593" t="str">
            <v xml:space="preserve"> Abner Eli Gonzalez Gonzalez</v>
          </cell>
        </row>
        <row r="1594">
          <cell r="F1594">
            <v>311188</v>
          </cell>
          <cell r="G1594" t="str">
            <v xml:space="preserve"> Ana Ester Cuyan Aguilar De Dominguez</v>
          </cell>
        </row>
        <row r="1595">
          <cell r="F1595">
            <v>311894</v>
          </cell>
          <cell r="G1595" t="str">
            <v xml:space="preserve"> Christyan Stuardo Ronquillo Saravia</v>
          </cell>
        </row>
        <row r="1596">
          <cell r="F1596">
            <v>308901</v>
          </cell>
          <cell r="G1596" t="str">
            <v xml:space="preserve"> David Estuardo Rosales Corado</v>
          </cell>
        </row>
        <row r="1597">
          <cell r="F1597">
            <v>312069</v>
          </cell>
          <cell r="G1597" t="str">
            <v xml:space="preserve"> De Leon Cach Roberto Carlos</v>
          </cell>
        </row>
        <row r="1598">
          <cell r="F1598">
            <v>310331</v>
          </cell>
          <cell r="G1598" t="str">
            <v xml:space="preserve"> Elda Luzbina Valdez Guerra De Fuentes</v>
          </cell>
        </row>
        <row r="1599">
          <cell r="F1599">
            <v>310822</v>
          </cell>
          <cell r="G1599" t="str">
            <v xml:space="preserve"> Jennifer Leticia Gonzalez Pineda</v>
          </cell>
        </row>
        <row r="1600">
          <cell r="F1600">
            <v>308012</v>
          </cell>
          <cell r="G1600" t="str">
            <v xml:space="preserve"> Jocelyn Sucel Yantuche Chin</v>
          </cell>
        </row>
        <row r="1601">
          <cell r="F1601">
            <v>312160</v>
          </cell>
          <cell r="G1601" t="str">
            <v xml:space="preserve"> Jose Rigoberto Osorio Abarca</v>
          </cell>
        </row>
        <row r="1602">
          <cell r="F1602">
            <v>311465</v>
          </cell>
          <cell r="G1602" t="str">
            <v xml:space="preserve"> Kevin Alejandro Corado Estrada</v>
          </cell>
        </row>
        <row r="1603">
          <cell r="F1603">
            <v>311294</v>
          </cell>
          <cell r="G1603" t="str">
            <v xml:space="preserve"> Lotar Robson Araujo Perez</v>
          </cell>
        </row>
        <row r="1604">
          <cell r="F1604">
            <v>310910</v>
          </cell>
          <cell r="G1604" t="str">
            <v xml:space="preserve"> Luis Fernando Lopez Vasquez</v>
          </cell>
        </row>
        <row r="1605">
          <cell r="F1605">
            <v>304279</v>
          </cell>
          <cell r="G1605" t="str">
            <v xml:space="preserve"> Marlon Estuardo Hernandez</v>
          </cell>
        </row>
        <row r="1606">
          <cell r="F1606">
            <v>308911</v>
          </cell>
          <cell r="G1606" t="str">
            <v xml:space="preserve"> Rudy Fernando Orozco Tejeda</v>
          </cell>
        </row>
        <row r="1607">
          <cell r="F1607">
            <v>310214</v>
          </cell>
          <cell r="G1607" t="str">
            <v xml:space="preserve"> Vivian Pamela Rodas Lopez</v>
          </cell>
        </row>
        <row r="1608">
          <cell r="F1608">
            <v>314928</v>
          </cell>
          <cell r="G1608" t="str">
            <v xml:space="preserve">Brandon Steve Juarez Arrazola </v>
          </cell>
        </row>
        <row r="1609">
          <cell r="F1609">
            <v>313239</v>
          </cell>
          <cell r="G1609" t="str">
            <v>Addy Aida Cifuentes Coronado</v>
          </cell>
        </row>
        <row r="1610">
          <cell r="F1610">
            <v>313694</v>
          </cell>
          <cell r="G1610" t="str">
            <v>Alex Humberto Montezuma</v>
          </cell>
        </row>
        <row r="1611">
          <cell r="F1611">
            <v>313241</v>
          </cell>
          <cell r="G1611" t="str">
            <v>Angel Arturo Mauricio Ayapan</v>
          </cell>
        </row>
        <row r="1612">
          <cell r="F1612">
            <v>314323</v>
          </cell>
          <cell r="G1612" t="str">
            <v>Angel Arturo Mauricio Ayapan</v>
          </cell>
        </row>
        <row r="1613">
          <cell r="F1613">
            <v>312327</v>
          </cell>
          <cell r="G1613" t="str">
            <v>Armando Andree Quiñonez Flores</v>
          </cell>
        </row>
        <row r="1614">
          <cell r="F1614">
            <v>313749</v>
          </cell>
          <cell r="G1614" t="str">
            <v>Cesar Haroldo Ixcayau Castro</v>
          </cell>
        </row>
        <row r="1615">
          <cell r="F1615">
            <v>313840</v>
          </cell>
          <cell r="G1615" t="str">
            <v>Claudia Maria Orozco Garcia</v>
          </cell>
        </row>
        <row r="1616">
          <cell r="F1616">
            <v>314119</v>
          </cell>
          <cell r="G1616" t="str">
            <v>Cristian David Urizar Canteo</v>
          </cell>
        </row>
        <row r="1617">
          <cell r="F1617">
            <v>313242</v>
          </cell>
          <cell r="G1617" t="str">
            <v>Guillermo Alejandro Pirir</v>
          </cell>
        </row>
        <row r="1618">
          <cell r="F1618">
            <v>313539</v>
          </cell>
          <cell r="G1618" t="str">
            <v>Joaquin Alonso Murillo Perez</v>
          </cell>
        </row>
        <row r="1619">
          <cell r="F1619">
            <v>314082</v>
          </cell>
          <cell r="G1619" t="str">
            <v>Johanna Amarilis Hernandez Perez</v>
          </cell>
        </row>
        <row r="1620">
          <cell r="F1620">
            <v>313983</v>
          </cell>
          <cell r="G1620" t="str">
            <v>Jose Anibal Reyes Sandoval</v>
          </cell>
        </row>
        <row r="1621">
          <cell r="F1621">
            <v>308875</v>
          </cell>
          <cell r="G1621" t="str">
            <v>Joselyn Manuela Sandoval De Leon</v>
          </cell>
        </row>
        <row r="1622">
          <cell r="F1622">
            <v>313240</v>
          </cell>
          <cell r="G1622" t="str">
            <v>Karen Jamara Luna Menendez</v>
          </cell>
        </row>
        <row r="1623">
          <cell r="F1623">
            <v>314083</v>
          </cell>
          <cell r="G1623" t="str">
            <v>Luis Alfredo Ruben Castillo Mejia</v>
          </cell>
        </row>
        <row r="1624">
          <cell r="F1624">
            <v>312489</v>
          </cell>
          <cell r="G1624" t="str">
            <v>Marliz Irene Bonifaz Lopez</v>
          </cell>
        </row>
        <row r="1625">
          <cell r="F1625">
            <v>313823</v>
          </cell>
          <cell r="G1625" t="str">
            <v>Mildred Mazciel Almazan Lemus Codigo</v>
          </cell>
        </row>
        <row r="1626">
          <cell r="F1626">
            <v>313289</v>
          </cell>
          <cell r="G1626" t="str">
            <v>Orellana Alvarez, Nestor Giovanni</v>
          </cell>
        </row>
        <row r="1627">
          <cell r="F1627">
            <v>312476</v>
          </cell>
          <cell r="G1627" t="str">
            <v>Oscar Oswaldo Ramirez Tahuite</v>
          </cell>
        </row>
        <row r="1628">
          <cell r="F1628">
            <v>313392</v>
          </cell>
          <cell r="G1628" t="str">
            <v>Sandra Marisol Ramirez Solis</v>
          </cell>
        </row>
        <row r="1629">
          <cell r="F1629">
            <v>315101</v>
          </cell>
          <cell r="G1629" t="str">
            <v>Alvaro Oswaldo De La Rosa Hernandez</v>
          </cell>
        </row>
        <row r="1630">
          <cell r="F1630">
            <v>314905</v>
          </cell>
          <cell r="G1630" t="str">
            <v>Antonio Carlos Alvarenga Diaz</v>
          </cell>
        </row>
        <row r="1631">
          <cell r="F1631">
            <v>314885</v>
          </cell>
          <cell r="G1631" t="str">
            <v>Edi Ibander Osoy Lopez</v>
          </cell>
        </row>
        <row r="1632">
          <cell r="F1632">
            <v>314750</v>
          </cell>
          <cell r="G1632" t="str">
            <v>Eswin Leonel Fernandez Diaz</v>
          </cell>
        </row>
        <row r="1633">
          <cell r="F1633">
            <v>314753</v>
          </cell>
          <cell r="G1633" t="str">
            <v>Gabriel Antonio Mucur Arriaga</v>
          </cell>
        </row>
        <row r="1634">
          <cell r="F1634">
            <v>315318</v>
          </cell>
          <cell r="G1634" t="str">
            <v>Gabriela Melissa Arias Ovando</v>
          </cell>
        </row>
        <row r="1635">
          <cell r="F1635">
            <v>315164</v>
          </cell>
          <cell r="G1635" t="str">
            <v>Hernan Antonio Castro Guzman</v>
          </cell>
        </row>
        <row r="1636">
          <cell r="F1636">
            <v>315149</v>
          </cell>
          <cell r="G1636" t="str">
            <v>Jennifer Karla Maria De Leon Yoc</v>
          </cell>
        </row>
        <row r="1637">
          <cell r="F1637">
            <v>315065</v>
          </cell>
          <cell r="G1637" t="str">
            <v>Jennifer Veronica Flores Pineda</v>
          </cell>
        </row>
        <row r="1638">
          <cell r="F1638">
            <v>314797</v>
          </cell>
          <cell r="G1638" t="str">
            <v>Jimmy Alfredo Coronado Cabrera</v>
          </cell>
        </row>
        <row r="1639">
          <cell r="F1639">
            <v>314746</v>
          </cell>
          <cell r="G1639" t="str">
            <v>Jose Luis Quisquinay Inay</v>
          </cell>
        </row>
        <row r="1640">
          <cell r="F1640">
            <v>315231</v>
          </cell>
          <cell r="G1640" t="str">
            <v>Juan Fernando Alvarez Argueta</v>
          </cell>
        </row>
        <row r="1641">
          <cell r="F1641">
            <v>314752</v>
          </cell>
          <cell r="G1641" t="str">
            <v>Luis Arturo Fuentes Jerez</v>
          </cell>
        </row>
        <row r="1642">
          <cell r="F1642">
            <v>314990</v>
          </cell>
          <cell r="G1642" t="str">
            <v>Maria Fernanda Ambrocio Reyes</v>
          </cell>
        </row>
        <row r="1643">
          <cell r="F1643">
            <v>314966</v>
          </cell>
          <cell r="G1643" t="str">
            <v>Marlin Argelia Herrera Claveria</v>
          </cell>
        </row>
        <row r="1644">
          <cell r="F1644">
            <v>314904</v>
          </cell>
          <cell r="G1644" t="str">
            <v>Miguel Estuardo Marín</v>
          </cell>
        </row>
        <row r="1645">
          <cell r="F1645">
            <v>314796</v>
          </cell>
          <cell r="G1645" t="str">
            <v>Ricardo Antonio Ruiz Orozco</v>
          </cell>
        </row>
        <row r="1646">
          <cell r="F1646">
            <v>315365</v>
          </cell>
          <cell r="G1646" t="str">
            <v>Ruth Liliana Reyes Rivas</v>
          </cell>
        </row>
        <row r="1647">
          <cell r="F1647">
            <v>314758</v>
          </cell>
          <cell r="G1647" t="str">
            <v>Sergio Alejandro Estrada Velasco</v>
          </cell>
        </row>
        <row r="1648">
          <cell r="F1648">
            <v>312045</v>
          </cell>
          <cell r="G1648" t="str">
            <v xml:space="preserve"> Edgar Marco Tulio Sanchez Ochoa</v>
          </cell>
        </row>
        <row r="1649">
          <cell r="F1649">
            <v>309496</v>
          </cell>
          <cell r="G1649" t="str">
            <v xml:space="preserve"> Elcira Livduvina Perez Lopez De Merlos</v>
          </cell>
        </row>
        <row r="1650">
          <cell r="F1650">
            <v>311750</v>
          </cell>
          <cell r="G1650" t="str">
            <v xml:space="preserve"> Juan Toma Torrez</v>
          </cell>
        </row>
        <row r="1651">
          <cell r="F1651">
            <v>311539</v>
          </cell>
          <cell r="G1651" t="str">
            <v xml:space="preserve"> Luis Eduardo Garcia Gomez</v>
          </cell>
        </row>
        <row r="1652">
          <cell r="F1652">
            <v>311898</v>
          </cell>
          <cell r="G1652" t="str">
            <v xml:space="preserve"> Nori Liseth Bautista</v>
          </cell>
        </row>
        <row r="1653">
          <cell r="F1653">
            <v>312283</v>
          </cell>
          <cell r="G1653" t="str">
            <v xml:space="preserve"> Oscar Javier Galvez</v>
          </cell>
        </row>
        <row r="1654">
          <cell r="F1654">
            <v>311190</v>
          </cell>
          <cell r="G1654" t="str">
            <v xml:space="preserve"> Pedro Chas Morales</v>
          </cell>
        </row>
        <row r="1655">
          <cell r="F1655">
            <v>311632</v>
          </cell>
          <cell r="G1655" t="str">
            <v>Virginia Del Rosario Matilde Garcia Ico</v>
          </cell>
        </row>
        <row r="1656">
          <cell r="F1656">
            <v>311906</v>
          </cell>
          <cell r="G1656" t="str">
            <v xml:space="preserve"> Yenifer Alejandra Ordoñez</v>
          </cell>
        </row>
        <row r="1657">
          <cell r="F1657">
            <v>314705</v>
          </cell>
          <cell r="G1657" t="str">
            <v>Alex Eduardo Gil Paniagua</v>
          </cell>
        </row>
        <row r="1658">
          <cell r="F1658">
            <v>313182</v>
          </cell>
          <cell r="G1658" t="str">
            <v>Allan Kenneth Chiguichon Solis</v>
          </cell>
        </row>
        <row r="1659">
          <cell r="F1659">
            <v>314363</v>
          </cell>
          <cell r="G1659" t="str">
            <v xml:space="preserve">Anderson Noe Chunix Morales </v>
          </cell>
        </row>
        <row r="1660">
          <cell r="F1660">
            <v>314241</v>
          </cell>
          <cell r="G1660" t="str">
            <v>Andres Simon Sunun</v>
          </cell>
        </row>
        <row r="1661">
          <cell r="F1661">
            <v>309341</v>
          </cell>
          <cell r="G1661" t="str">
            <v>Angel Estuardo Perez Veliz</v>
          </cell>
        </row>
        <row r="1662">
          <cell r="F1662">
            <v>312093</v>
          </cell>
          <cell r="G1662" t="str">
            <v xml:space="preserve">Bobadilla Romero Alan Gonzalo </v>
          </cell>
        </row>
        <row r="1663">
          <cell r="F1663">
            <v>314080</v>
          </cell>
          <cell r="G1663" t="str">
            <v>Bryan Leonardo Lopez</v>
          </cell>
        </row>
        <row r="1664">
          <cell r="F1664">
            <v>314704</v>
          </cell>
          <cell r="G1664" t="str">
            <v xml:space="preserve">Cindy Damaris Villagran Castellano </v>
          </cell>
        </row>
        <row r="1665">
          <cell r="F1665">
            <v>314085</v>
          </cell>
          <cell r="G1665" t="str">
            <v>Cristian Ottoniel Lopez Alvarado</v>
          </cell>
        </row>
        <row r="1666">
          <cell r="F1666">
            <v>314364</v>
          </cell>
          <cell r="G1666" t="str">
            <v xml:space="preserve">Donel Omar Landaverry Solis </v>
          </cell>
        </row>
        <row r="1667">
          <cell r="F1667">
            <v>313373</v>
          </cell>
          <cell r="G1667" t="str">
            <v>Edgar Francisco Yanes Carrera</v>
          </cell>
        </row>
        <row r="1668">
          <cell r="F1668">
            <v>315056</v>
          </cell>
          <cell r="G1668" t="str">
            <v>Esvin David De Jesus Calanche</v>
          </cell>
        </row>
        <row r="1669">
          <cell r="F1669">
            <v>314118</v>
          </cell>
          <cell r="G1669" t="str">
            <v>Ginni Andrea Gramajo Lucas</v>
          </cell>
        </row>
        <row r="1670">
          <cell r="F1670">
            <v>313049</v>
          </cell>
          <cell r="G1670" t="str">
            <v>Herberth Ivan Garcia Davila</v>
          </cell>
        </row>
        <row r="1671">
          <cell r="F1671">
            <v>312162</v>
          </cell>
          <cell r="G1671" t="str">
            <v xml:space="preserve">Hernandez Andrea Yoselin Cristina </v>
          </cell>
        </row>
        <row r="1672">
          <cell r="F1672">
            <v>313692</v>
          </cell>
          <cell r="G1672" t="str">
            <v xml:space="preserve">Ingrid Leticia Paredes Pulido    </v>
          </cell>
        </row>
        <row r="1673">
          <cell r="F1673">
            <v>314500</v>
          </cell>
          <cell r="G1673" t="str">
            <v xml:space="preserve">Jairo Noel Linarez Gomez </v>
          </cell>
        </row>
        <row r="1674">
          <cell r="F1674">
            <v>312369</v>
          </cell>
          <cell r="G1674" t="str">
            <v>Jorge Luis Hernandez Juarez</v>
          </cell>
        </row>
        <row r="1675">
          <cell r="F1675">
            <v>314039</v>
          </cell>
          <cell r="G1675" t="str">
            <v>Juan Humberto Barrios Escobar</v>
          </cell>
        </row>
        <row r="1676">
          <cell r="F1676">
            <v>313540</v>
          </cell>
          <cell r="G1676" t="str">
            <v xml:space="preserve">Juan Manuel Macario Reyna </v>
          </cell>
        </row>
        <row r="1677">
          <cell r="F1677">
            <v>314355</v>
          </cell>
          <cell r="G1677" t="str">
            <v>Kevin Samuel Guamuch Guardado</v>
          </cell>
        </row>
        <row r="1678">
          <cell r="F1678">
            <v>314299</v>
          </cell>
          <cell r="G1678" t="str">
            <v>Lopez Morales, Andrea Lucia</v>
          </cell>
        </row>
        <row r="1679">
          <cell r="F1679">
            <v>314747</v>
          </cell>
          <cell r="G1679" t="str">
            <v>Mayra Azucena Perez Guzman</v>
          </cell>
        </row>
        <row r="1680">
          <cell r="F1680">
            <v>313572</v>
          </cell>
          <cell r="G1680" t="str">
            <v xml:space="preserve">Milton Hardany Dominguez Martinez </v>
          </cell>
        </row>
        <row r="1681">
          <cell r="F1681">
            <v>313541</v>
          </cell>
          <cell r="G1681" t="str">
            <v xml:space="preserve">Mirna Lorena Argueta Ayala </v>
          </cell>
        </row>
        <row r="1682">
          <cell r="F1682">
            <v>315319</v>
          </cell>
          <cell r="G1682" t="str">
            <v xml:space="preserve">Noe Rubell Garcia Cerna </v>
          </cell>
        </row>
        <row r="1683">
          <cell r="F1683">
            <v>314502</v>
          </cell>
          <cell r="G1683" t="str">
            <v>Reyna Elizabeth Panadero</v>
          </cell>
        </row>
        <row r="1684">
          <cell r="F1684">
            <v>313284</v>
          </cell>
          <cell r="G1684" t="str">
            <v>Sebastian Quino Morales</v>
          </cell>
        </row>
        <row r="1685">
          <cell r="F1685">
            <v>311460</v>
          </cell>
          <cell r="G1685" t="str">
            <v xml:space="preserve"> Ana Vilma Bamaca Cardona</v>
          </cell>
        </row>
        <row r="1686">
          <cell r="F1686">
            <v>306579</v>
          </cell>
          <cell r="G1686" t="str">
            <v xml:space="preserve"> Angel Emilio De Jesus Morales Ramirez</v>
          </cell>
        </row>
        <row r="1687">
          <cell r="F1687">
            <v>311234</v>
          </cell>
          <cell r="G1687" t="str">
            <v xml:space="preserve"> Astrid Marlene Diaz</v>
          </cell>
        </row>
        <row r="1688">
          <cell r="F1688">
            <v>308361</v>
          </cell>
          <cell r="G1688" t="str">
            <v xml:space="preserve"> Brenda Maribel Orozco Mendoza</v>
          </cell>
        </row>
        <row r="1689">
          <cell r="F1689">
            <v>311060</v>
          </cell>
          <cell r="G1689" t="str">
            <v xml:space="preserve"> Dora Lissette Higueros Trejo</v>
          </cell>
        </row>
        <row r="1690">
          <cell r="F1690">
            <v>305555</v>
          </cell>
          <cell r="G1690" t="str">
            <v xml:space="preserve"> Heber Antonio Olivares Alvarado</v>
          </cell>
        </row>
        <row r="1691">
          <cell r="F1691">
            <v>308210</v>
          </cell>
          <cell r="G1691" t="str">
            <v xml:space="preserve"> Isaias Ramirez Jimenez</v>
          </cell>
        </row>
        <row r="1692">
          <cell r="F1692">
            <v>310790</v>
          </cell>
          <cell r="G1692" t="str">
            <v xml:space="preserve"> Karina Del Rosario Castro Lopez De Guzman</v>
          </cell>
        </row>
        <row r="1693">
          <cell r="F1693">
            <v>309544</v>
          </cell>
          <cell r="G1693" t="str">
            <v xml:space="preserve"> Lorena Alexandra Lopez Yax</v>
          </cell>
        </row>
        <row r="1694">
          <cell r="F1694">
            <v>308493</v>
          </cell>
          <cell r="G1694" t="str">
            <v xml:space="preserve"> Sandra Beatriz Ardiano De Leon</v>
          </cell>
        </row>
        <row r="1695">
          <cell r="F1695">
            <v>312483</v>
          </cell>
          <cell r="G1695" t="str">
            <v>Berta Elizabeth Rodas Rosales</v>
          </cell>
        </row>
        <row r="1696">
          <cell r="F1696">
            <v>314431</v>
          </cell>
          <cell r="G1696" t="str">
            <v>Cristian Rene Contreras Sales</v>
          </cell>
        </row>
        <row r="1697">
          <cell r="F1697">
            <v>307394</v>
          </cell>
          <cell r="G1697" t="str">
            <v>Damaris Judith Rivas Benitez</v>
          </cell>
        </row>
        <row r="1698">
          <cell r="F1698">
            <v>311082</v>
          </cell>
          <cell r="G1698" t="str">
            <v>Janz Vincent Tunche</v>
          </cell>
        </row>
        <row r="1699">
          <cell r="F1699">
            <v>314301</v>
          </cell>
          <cell r="G1699" t="str">
            <v>Jose Carlos Puluc</v>
          </cell>
        </row>
        <row r="1700">
          <cell r="F1700">
            <v>308405</v>
          </cell>
          <cell r="G1700" t="str">
            <v>Juan Aquino Rac</v>
          </cell>
        </row>
        <row r="1701">
          <cell r="F1701">
            <v>312485</v>
          </cell>
          <cell r="G1701" t="str">
            <v>Juan Ramon Guerra Martinez</v>
          </cell>
        </row>
        <row r="1702">
          <cell r="F1702">
            <v>314527</v>
          </cell>
          <cell r="G1702" t="str">
            <v>Luis Fernando Rodas Pineda</v>
          </cell>
        </row>
        <row r="1703">
          <cell r="F1703">
            <v>312481</v>
          </cell>
          <cell r="G1703" t="str">
            <v>Magdalena Noemi Leonardo Ventura</v>
          </cell>
        </row>
        <row r="1704">
          <cell r="F1704">
            <v>312482</v>
          </cell>
          <cell r="G1704" t="str">
            <v>Mildred Elizabeth Rivera Tenas</v>
          </cell>
        </row>
        <row r="1705">
          <cell r="F1705">
            <v>307005</v>
          </cell>
          <cell r="G1705" t="str">
            <v>Miriam Leticia Romero Torres</v>
          </cell>
        </row>
        <row r="1706">
          <cell r="F1706">
            <v>314227</v>
          </cell>
          <cell r="G1706" t="str">
            <v xml:space="preserve">Mirna Janeth Ordoñez </v>
          </cell>
        </row>
        <row r="1707">
          <cell r="F1707">
            <v>308474</v>
          </cell>
          <cell r="G1707" t="str">
            <v>Victor Abraham Alvarado De La Cruz</v>
          </cell>
        </row>
        <row r="1708">
          <cell r="F1708">
            <v>312480</v>
          </cell>
          <cell r="G1708" t="str">
            <v>Wilson Moises Carias Santos</v>
          </cell>
        </row>
        <row r="1709">
          <cell r="F1709">
            <v>305051</v>
          </cell>
          <cell r="G1709" t="str">
            <v xml:space="preserve"> Amalia Cifuentes Gramajo</v>
          </cell>
        </row>
        <row r="1710">
          <cell r="F1710">
            <v>308201</v>
          </cell>
          <cell r="G1710" t="str">
            <v xml:space="preserve"> Amparo Janet Cardona Linares</v>
          </cell>
        </row>
        <row r="1711">
          <cell r="F1711">
            <v>311232</v>
          </cell>
          <cell r="G1711" t="str">
            <v xml:space="preserve"> Carlos Alberto Roque Galicia</v>
          </cell>
        </row>
        <row r="1712">
          <cell r="F1712">
            <v>310382</v>
          </cell>
          <cell r="G1712" t="str">
            <v xml:space="preserve"> David Gilberto Perez Mayorga</v>
          </cell>
        </row>
        <row r="1713">
          <cell r="F1713">
            <v>305796</v>
          </cell>
          <cell r="G1713" t="str">
            <v xml:space="preserve"> Elias Perez Sequen</v>
          </cell>
        </row>
        <row r="1714">
          <cell r="F1714">
            <v>310823</v>
          </cell>
          <cell r="G1714" t="str">
            <v xml:space="preserve"> Francisca Yesenia Aceytuno Quevedo</v>
          </cell>
        </row>
        <row r="1715">
          <cell r="F1715">
            <v>311152</v>
          </cell>
          <cell r="G1715" t="str">
            <v xml:space="preserve"> Heidi Natali Chacon De La Rosa De Diaz</v>
          </cell>
        </row>
        <row r="1716">
          <cell r="F1716">
            <v>309785</v>
          </cell>
          <cell r="G1716" t="str">
            <v xml:space="preserve"> Jose Esteban Diaz Montufar</v>
          </cell>
        </row>
        <row r="1717">
          <cell r="F1717">
            <v>310787</v>
          </cell>
          <cell r="G1717" t="str">
            <v xml:space="preserve"> Marilin Janeth Sanchez De Rodriguez</v>
          </cell>
        </row>
        <row r="1718">
          <cell r="F1718">
            <v>305520</v>
          </cell>
          <cell r="G1718" t="str">
            <v xml:space="preserve"> Milton Orlando Lopez</v>
          </cell>
        </row>
        <row r="1719">
          <cell r="F1719">
            <v>308978</v>
          </cell>
          <cell r="G1719" t="str">
            <v xml:space="preserve"> Oscar Amilcar Najera Segura</v>
          </cell>
        </row>
        <row r="1720">
          <cell r="F1720">
            <v>311776</v>
          </cell>
          <cell r="G1720" t="str">
            <v xml:space="preserve"> Susan Jackelinne Cristal Sanchez</v>
          </cell>
        </row>
        <row r="1721">
          <cell r="F1721">
            <v>309732</v>
          </cell>
          <cell r="G1721" t="str">
            <v xml:space="preserve"> Wilfredo Noe Tobar Valenzuela</v>
          </cell>
        </row>
        <row r="1722">
          <cell r="F1722">
            <v>314741</v>
          </cell>
          <cell r="G1722" t="str">
            <v>Angelica Lorena Garcia Gonzalez</v>
          </cell>
        </row>
        <row r="1723">
          <cell r="F1723">
            <v>314546</v>
          </cell>
          <cell r="G1723" t="str">
            <v xml:space="preserve">Cinthia Irene Paz Caal   </v>
          </cell>
        </row>
        <row r="1724">
          <cell r="F1724">
            <v>313746</v>
          </cell>
          <cell r="G1724" t="str">
            <v>Cristian Omar Cruz Mata</v>
          </cell>
        </row>
        <row r="1725">
          <cell r="F1725">
            <v>315327</v>
          </cell>
          <cell r="G1725" t="str">
            <v>Daninyer Alfonso Orellana Madrid</v>
          </cell>
        </row>
        <row r="1726">
          <cell r="F1726">
            <v>314084</v>
          </cell>
          <cell r="G1726" t="str">
            <v>Edgar Emilio Gomez Bobadilla</v>
          </cell>
        </row>
        <row r="1727">
          <cell r="F1727">
            <v>313195</v>
          </cell>
          <cell r="G1727" t="str">
            <v>Edna Helenin Benitez Guzman De Altan</v>
          </cell>
        </row>
        <row r="1728">
          <cell r="F1728">
            <v>313259</v>
          </cell>
          <cell r="G1728" t="str">
            <v>Edvin Orlando Tuis Guerra</v>
          </cell>
        </row>
        <row r="1729">
          <cell r="F1729">
            <v>314524</v>
          </cell>
          <cell r="G1729" t="str">
            <v>Francisco Antonio Davila Morales</v>
          </cell>
        </row>
        <row r="1730">
          <cell r="F1730">
            <v>314329</v>
          </cell>
          <cell r="G1730" t="str">
            <v>Fredy Joel Lopez Santiago</v>
          </cell>
        </row>
        <row r="1731">
          <cell r="F1731">
            <v>314305</v>
          </cell>
          <cell r="G1731" t="str">
            <v>Henry Gustavo Vasquez Robledo</v>
          </cell>
        </row>
        <row r="1732">
          <cell r="F1732">
            <v>311962</v>
          </cell>
          <cell r="G1732" t="str">
            <v>Hugo David Monroy Pichola</v>
          </cell>
        </row>
        <row r="1733">
          <cell r="F1733">
            <v>311075</v>
          </cell>
          <cell r="G1733" t="str">
            <v>Jorge Alberto Buch Patzan</v>
          </cell>
        </row>
        <row r="1734">
          <cell r="F1734">
            <v>311233</v>
          </cell>
          <cell r="G1734" t="str">
            <v>Maria Fernanda Del Rosario Orellana Lima De Orellana</v>
          </cell>
        </row>
        <row r="1735">
          <cell r="F1735">
            <v>314811</v>
          </cell>
          <cell r="G1735" t="str">
            <v>Marlon Estuardo Hernandez Moreira</v>
          </cell>
        </row>
        <row r="1736">
          <cell r="F1736">
            <v>313745</v>
          </cell>
          <cell r="G1736" t="str">
            <v>Milvia Alejandra Lopez Marroquin</v>
          </cell>
        </row>
        <row r="1737">
          <cell r="F1737">
            <v>312288</v>
          </cell>
          <cell r="G1737" t="str">
            <v>Miriam Marilisa Herrera Perez</v>
          </cell>
        </row>
        <row r="1738">
          <cell r="F1738">
            <v>312474</v>
          </cell>
          <cell r="G1738" t="str">
            <v>Nancy Paola Ramirez Garcia</v>
          </cell>
        </row>
        <row r="1739">
          <cell r="F1739">
            <v>313756</v>
          </cell>
          <cell r="G1739" t="str">
            <v>Walter Josue Corona Barrera</v>
          </cell>
        </row>
        <row r="1740">
          <cell r="F1740">
            <v>312284</v>
          </cell>
          <cell r="G1740" t="str">
            <v xml:space="preserve"> Arnoldo Coque Hernandez</v>
          </cell>
        </row>
        <row r="1741">
          <cell r="F1741">
            <v>312015</v>
          </cell>
          <cell r="G1741" t="str">
            <v xml:space="preserve"> Carlos Alfredo Cuc Cuxe</v>
          </cell>
        </row>
        <row r="1742">
          <cell r="F1742">
            <v>310710</v>
          </cell>
          <cell r="G1742" t="str">
            <v xml:space="preserve"> Edgar Enrique Garcia Cortave</v>
          </cell>
        </row>
        <row r="1743">
          <cell r="F1743">
            <v>311459</v>
          </cell>
          <cell r="G1743" t="str">
            <v xml:space="preserve"> Gandy Baygesus Sanchez Estrada</v>
          </cell>
        </row>
        <row r="1744">
          <cell r="F1744">
            <v>303585</v>
          </cell>
          <cell r="G1744" t="str">
            <v xml:space="preserve"> Gerber Estuardo Albizures Archila</v>
          </cell>
        </row>
        <row r="1745">
          <cell r="F1745">
            <v>310704</v>
          </cell>
          <cell r="G1745" t="str">
            <v xml:space="preserve"> Henry Samuel De Leon Menchu</v>
          </cell>
        </row>
        <row r="1746">
          <cell r="F1746">
            <v>311359</v>
          </cell>
          <cell r="G1746" t="str">
            <v xml:space="preserve"> Jania Nataly De Leon Ramirez De Suret</v>
          </cell>
        </row>
        <row r="1747">
          <cell r="F1747">
            <v>306643</v>
          </cell>
          <cell r="G1747" t="str">
            <v xml:space="preserve"> Marvin Saul Sical Ventura</v>
          </cell>
        </row>
        <row r="1748">
          <cell r="F1748">
            <v>307846</v>
          </cell>
          <cell r="G1748" t="str">
            <v xml:space="preserve"> Sandra Patricia Baran Avila</v>
          </cell>
        </row>
        <row r="1749">
          <cell r="F1749">
            <v>307962</v>
          </cell>
          <cell r="G1749" t="str">
            <v xml:space="preserve"> Selvyn David Payola Ayala</v>
          </cell>
        </row>
        <row r="1750">
          <cell r="F1750">
            <v>307891</v>
          </cell>
          <cell r="G1750" t="str">
            <v xml:space="preserve"> Susana Rodriguez Cordova</v>
          </cell>
        </row>
        <row r="1751">
          <cell r="F1751">
            <v>314936</v>
          </cell>
          <cell r="G1751" t="str">
            <v>Alex Fernando Garcia De Leon</v>
          </cell>
        </row>
        <row r="1752">
          <cell r="F1752">
            <v>313295</v>
          </cell>
          <cell r="G1752" t="str">
            <v>Amed Carlos Eduardo Matheu Cabrera</v>
          </cell>
        </row>
        <row r="1753">
          <cell r="F1753">
            <v>314413</v>
          </cell>
          <cell r="G1753" t="str">
            <v>Carmen Arely Perez Escobar</v>
          </cell>
        </row>
        <row r="1754">
          <cell r="F1754">
            <v>315237</v>
          </cell>
          <cell r="G1754" t="str">
            <v>Celia Mariela Castillo Beteta</v>
          </cell>
        </row>
        <row r="1755">
          <cell r="F1755">
            <v>311345</v>
          </cell>
          <cell r="G1755" t="str">
            <v>Darwin Ruben Martinez Ramirez</v>
          </cell>
        </row>
        <row r="1756">
          <cell r="F1756">
            <v>314250</v>
          </cell>
          <cell r="G1756" t="str">
            <v>Diego Armando Contreras Flores</v>
          </cell>
        </row>
        <row r="1757">
          <cell r="F1757">
            <v>314281</v>
          </cell>
          <cell r="G1757" t="str">
            <v>Edward Josue Cortez Belloso</v>
          </cell>
        </row>
        <row r="1758">
          <cell r="F1758">
            <v>313451</v>
          </cell>
          <cell r="G1758" t="str">
            <v>Erick Dionicio Alvarez Flores</v>
          </cell>
        </row>
        <row r="1759">
          <cell r="F1759">
            <v>313497</v>
          </cell>
          <cell r="G1759" t="str">
            <v>Francisco Roman Aceytuno Ramos</v>
          </cell>
        </row>
        <row r="1760">
          <cell r="F1760">
            <v>314013</v>
          </cell>
          <cell r="G1760" t="str">
            <v>Jose Orlando Lopez Matzar</v>
          </cell>
        </row>
        <row r="1761">
          <cell r="F1761">
            <v>313262</v>
          </cell>
          <cell r="G1761" t="str">
            <v>Juan Luis Soyos Tzoy</v>
          </cell>
        </row>
        <row r="1762">
          <cell r="F1762">
            <v>313583</v>
          </cell>
          <cell r="G1762" t="str">
            <v>Laiza Marleny Gomez Garcia De Gomez</v>
          </cell>
        </row>
        <row r="1763">
          <cell r="F1763">
            <v>314762</v>
          </cell>
          <cell r="G1763" t="str">
            <v>Mario Ernesto Alvarado Molina</v>
          </cell>
        </row>
        <row r="1764">
          <cell r="F1764">
            <v>311902</v>
          </cell>
          <cell r="G1764" t="str">
            <v>Mario Raul Monroy Monroy</v>
          </cell>
        </row>
        <row r="1765">
          <cell r="F1765">
            <v>313251</v>
          </cell>
          <cell r="G1765" t="str">
            <v>Mario Ricardo Gabriel Monterroso</v>
          </cell>
        </row>
        <row r="1766">
          <cell r="F1766">
            <v>312564</v>
          </cell>
          <cell r="G1766" t="str">
            <v xml:space="preserve">Marlyn Carolina Hernandez Escobar De Dubon </v>
          </cell>
        </row>
        <row r="1767">
          <cell r="F1767">
            <v>313011</v>
          </cell>
          <cell r="G1767" t="str">
            <v>Miguel David Boch Cifuentes</v>
          </cell>
        </row>
        <row r="1768">
          <cell r="F1768">
            <v>313750</v>
          </cell>
          <cell r="G1768" t="str">
            <v xml:space="preserve">Mildred Alejandra Sapon Ruano   </v>
          </cell>
        </row>
        <row r="1769">
          <cell r="F1769">
            <v>313212</v>
          </cell>
          <cell r="G1769" t="str">
            <v>Shirley Mariana Lopez Natarengo</v>
          </cell>
        </row>
        <row r="1770">
          <cell r="F1770">
            <v>313261</v>
          </cell>
          <cell r="G1770" t="str">
            <v>Viviana Maribel Ortiz Barrios</v>
          </cell>
        </row>
        <row r="1771">
          <cell r="F1771">
            <v>309678</v>
          </cell>
          <cell r="G1771" t="str">
            <v xml:space="preserve"> Carla Noemi Irias Alvarez</v>
          </cell>
        </row>
        <row r="1772">
          <cell r="F1772">
            <v>311704</v>
          </cell>
          <cell r="G1772" t="str">
            <v xml:space="preserve"> Celedonia Isabel Chan Batz De Iscaya</v>
          </cell>
        </row>
        <row r="1773">
          <cell r="F1773">
            <v>308464</v>
          </cell>
          <cell r="G1773" t="str">
            <v xml:space="preserve"> Enmanuel Antonio Ochoa Hernandez</v>
          </cell>
        </row>
        <row r="1774">
          <cell r="F1774">
            <v>311964</v>
          </cell>
          <cell r="G1774" t="str">
            <v xml:space="preserve"> Estephanie Michelle Mendez Cano De Rivera</v>
          </cell>
        </row>
        <row r="1775">
          <cell r="F1775">
            <v>311963</v>
          </cell>
          <cell r="G1775" t="str">
            <v xml:space="preserve"> Giovanni Noel Valdez Rodriguez</v>
          </cell>
        </row>
        <row r="1776">
          <cell r="F1776">
            <v>308771</v>
          </cell>
          <cell r="G1776" t="str">
            <v xml:space="preserve"> Gloria Estefanilla Espinoza Garcia</v>
          </cell>
        </row>
        <row r="1777">
          <cell r="F1777">
            <v>311530</v>
          </cell>
          <cell r="G1777" t="str">
            <v xml:space="preserve"> Laura Ninoshka Mogollon Galvez De Ortiz</v>
          </cell>
        </row>
        <row r="1778">
          <cell r="F1778">
            <v>309348</v>
          </cell>
          <cell r="G1778" t="str">
            <v xml:space="preserve"> Ludbind Alexander Noriega Chavez</v>
          </cell>
        </row>
        <row r="1779">
          <cell r="F1779">
            <v>303093</v>
          </cell>
          <cell r="G1779" t="str">
            <v xml:space="preserve"> Rony Armando Choche Perez</v>
          </cell>
        </row>
        <row r="1780">
          <cell r="F1780">
            <v>311838</v>
          </cell>
          <cell r="G1780" t="str">
            <v xml:space="preserve"> Sarah Noemy Sandoval Poggio</v>
          </cell>
        </row>
        <row r="1781">
          <cell r="F1781">
            <v>310071</v>
          </cell>
          <cell r="G1781" t="str">
            <v xml:space="preserve"> Victoria Aracely Gomez Ochoa</v>
          </cell>
        </row>
        <row r="1782">
          <cell r="F1782">
            <v>315129</v>
          </cell>
          <cell r="G1782" t="str">
            <v xml:space="preserve">Angel Israel Perez Perez </v>
          </cell>
        </row>
        <row r="1783">
          <cell r="F1783">
            <v>314522</v>
          </cell>
          <cell r="G1783" t="str">
            <v>Argentina Frisdy Juarez Lopez</v>
          </cell>
        </row>
        <row r="1784">
          <cell r="F1784">
            <v>311595</v>
          </cell>
          <cell r="G1784" t="str">
            <v>Billy Giovanny Avalos Castillo</v>
          </cell>
        </row>
        <row r="1785">
          <cell r="F1785">
            <v>312457</v>
          </cell>
          <cell r="G1785" t="str">
            <v>Edgar Estuardo Moran Lopez</v>
          </cell>
        </row>
        <row r="1786">
          <cell r="F1786">
            <v>313314</v>
          </cell>
          <cell r="G1786" t="str">
            <v>Elida Bertilia Donis Aguilar</v>
          </cell>
        </row>
        <row r="1787">
          <cell r="F1787">
            <v>313108</v>
          </cell>
          <cell r="G1787" t="str">
            <v>Evelyn Karina Lorenzana Gomez</v>
          </cell>
        </row>
        <row r="1788">
          <cell r="F1788">
            <v>313313</v>
          </cell>
          <cell r="G1788" t="str">
            <v>Francisco Roberto Contreras Bernardino</v>
          </cell>
        </row>
        <row r="1789">
          <cell r="F1789">
            <v>313757</v>
          </cell>
          <cell r="G1789" t="str">
            <v>Geydi Yanira Roque Esquivel</v>
          </cell>
        </row>
        <row r="1790">
          <cell r="F1790">
            <v>309122</v>
          </cell>
          <cell r="G1790" t="str">
            <v>Greyci Yulissa Aliñado Rodriguez</v>
          </cell>
        </row>
        <row r="1791">
          <cell r="F1791">
            <v>314362</v>
          </cell>
          <cell r="G1791" t="str">
            <v>Heber Adiel Dardon Batres</v>
          </cell>
        </row>
        <row r="1792">
          <cell r="F1792">
            <v>315073</v>
          </cell>
          <cell r="G1792" t="str">
            <v xml:space="preserve">Jose Manuel Molina Gaitan </v>
          </cell>
        </row>
        <row r="1793">
          <cell r="F1793">
            <v>314490</v>
          </cell>
          <cell r="G1793" t="str">
            <v xml:space="preserve">Josue Omar Rosas Vasquez </v>
          </cell>
        </row>
        <row r="1794">
          <cell r="F1794">
            <v>311662</v>
          </cell>
          <cell r="G1794" t="str">
            <v>Juan Antonio Juarez Recinos</v>
          </cell>
        </row>
        <row r="1795">
          <cell r="F1795">
            <v>312848</v>
          </cell>
          <cell r="G1795" t="str">
            <v>Juan Humberto Castillo Garcia</v>
          </cell>
        </row>
        <row r="1796">
          <cell r="F1796">
            <v>313196</v>
          </cell>
          <cell r="G1796" t="str">
            <v>Maria Fernanda Palencia Campo</v>
          </cell>
        </row>
        <row r="1797">
          <cell r="F1797">
            <v>315406</v>
          </cell>
          <cell r="G1797" t="str">
            <v>Maria Fernandez Perez Rangel</v>
          </cell>
        </row>
        <row r="1798">
          <cell r="F1798">
            <v>314302</v>
          </cell>
          <cell r="G1798" t="str">
            <v>Mario Rene Garcia Paredes</v>
          </cell>
        </row>
        <row r="1799">
          <cell r="F1799">
            <v>313758</v>
          </cell>
          <cell r="G1799" t="str">
            <v>Melani Andrea Salcedo Acevedo</v>
          </cell>
        </row>
        <row r="1800">
          <cell r="F1800">
            <v>314656</v>
          </cell>
          <cell r="G1800" t="str">
            <v>Nancy Johana Flores Barrera</v>
          </cell>
        </row>
        <row r="1801">
          <cell r="F1801">
            <v>313835</v>
          </cell>
          <cell r="G1801" t="str">
            <v>Rainer Daniel Melgar Chajon</v>
          </cell>
        </row>
        <row r="1802">
          <cell r="F1802">
            <v>312478</v>
          </cell>
          <cell r="G1802" t="str">
            <v>Walter Josue Ampudia Martinez</v>
          </cell>
        </row>
        <row r="1803">
          <cell r="F1803">
            <v>315200</v>
          </cell>
          <cell r="G1803" t="str">
            <v xml:space="preserve">Yeni Amarilis Ruano </v>
          </cell>
        </row>
        <row r="1804">
          <cell r="F1804">
            <v>315029</v>
          </cell>
          <cell r="G1804" t="str">
            <v>Camelia Bocel Tun</v>
          </cell>
        </row>
        <row r="1805">
          <cell r="F1805">
            <v>314847</v>
          </cell>
          <cell r="G1805" t="str">
            <v>Donald Jacshon Abac Velasquez</v>
          </cell>
        </row>
        <row r="1806">
          <cell r="F1806">
            <v>314911</v>
          </cell>
          <cell r="G1806" t="str">
            <v>Jose Armando Valdez Juarez</v>
          </cell>
        </row>
        <row r="1807">
          <cell r="F1807">
            <v>314907</v>
          </cell>
          <cell r="G1807" t="str">
            <v>Jose Gabriel Armas Sandoval</v>
          </cell>
        </row>
        <row r="1808">
          <cell r="F1808">
            <v>315190</v>
          </cell>
          <cell r="G1808" t="str">
            <v xml:space="preserve">Edy Alexander Gonzalez Ramos </v>
          </cell>
        </row>
        <row r="1809">
          <cell r="F1809">
            <v>315176</v>
          </cell>
          <cell r="G1809" t="str">
            <v xml:space="preserve">Etson Samuel Villatoro Saballos </v>
          </cell>
        </row>
        <row r="1810">
          <cell r="F1810">
            <v>315080</v>
          </cell>
          <cell r="G1810" t="str">
            <v>Horacio Rafael Molina Avila</v>
          </cell>
        </row>
        <row r="1811">
          <cell r="F1811">
            <v>315177</v>
          </cell>
          <cell r="G1811" t="str">
            <v xml:space="preserve">Keitlin Anahi Martinez Castillo </v>
          </cell>
        </row>
        <row r="1812">
          <cell r="F1812">
            <v>315189</v>
          </cell>
          <cell r="G1812" t="str">
            <v xml:space="preserve">Milthon Yobany Castillo Martinez </v>
          </cell>
        </row>
        <row r="1813">
          <cell r="F1813">
            <v>315469</v>
          </cell>
          <cell r="G1813" t="str">
            <v xml:space="preserve">Milvia Fabiola Velasquez </v>
          </cell>
        </row>
        <row r="1814">
          <cell r="F1814">
            <v>315360</v>
          </cell>
          <cell r="G1814" t="str">
            <v>Eneas Valdez Colop</v>
          </cell>
        </row>
        <row r="1815">
          <cell r="F1815">
            <v>315461</v>
          </cell>
          <cell r="G1815" t="str">
            <v>Teylor Cuyuch</v>
          </cell>
        </row>
        <row r="1816">
          <cell r="F1816">
            <v>315390</v>
          </cell>
          <cell r="G1816" t="str">
            <v>Jose Carlos Morales</v>
          </cell>
        </row>
        <row r="1817">
          <cell r="F1817">
            <v>315464</v>
          </cell>
          <cell r="G1817" t="str">
            <v>Maria Alejandra Mazariegos</v>
          </cell>
        </row>
        <row r="1818">
          <cell r="F1818">
            <v>315574</v>
          </cell>
          <cell r="G1818" t="str">
            <v>Maryury De Los Angeles Garcia Romero</v>
          </cell>
        </row>
        <row r="1819">
          <cell r="F1819">
            <v>315596</v>
          </cell>
          <cell r="G1819" t="str">
            <v>Etson Eduardo Hernandez Campos</v>
          </cell>
        </row>
        <row r="1820">
          <cell r="F1820">
            <v>315593</v>
          </cell>
          <cell r="G1820" t="str">
            <v>Flora Anabella Yaxcal Fernandez</v>
          </cell>
        </row>
        <row r="1821">
          <cell r="F1821">
            <v>315595</v>
          </cell>
          <cell r="G1821" t="str">
            <v xml:space="preserve">Jaqueline Paola Santizo Roman </v>
          </cell>
        </row>
        <row r="1822">
          <cell r="F1822">
            <v>315292</v>
          </cell>
          <cell r="G1822" t="str">
            <v>Mijail Erick Joaquin Morales Ortiz</v>
          </cell>
        </row>
        <row r="1823">
          <cell r="F1823">
            <v>860486</v>
          </cell>
          <cell r="G1823" t="str">
            <v>Brenda Lucrecia Velasquez Cifuentes</v>
          </cell>
        </row>
        <row r="1824">
          <cell r="F1824">
            <v>860236</v>
          </cell>
          <cell r="G1824" t="str">
            <v>Emmanuel Gonzalez</v>
          </cell>
        </row>
        <row r="1825">
          <cell r="F1825" t="str">
            <v>UN</v>
          </cell>
          <cell r="G1825" t="str">
            <v>UN</v>
          </cell>
        </row>
        <row r="1826">
          <cell r="F1826">
            <v>315625</v>
          </cell>
          <cell r="G1826" t="str">
            <v>CLAUDIA ELIZABETH CARRERA MARROQUIN</v>
          </cell>
        </row>
        <row r="1827">
          <cell r="F1827">
            <v>315666</v>
          </cell>
          <cell r="G1827" t="str">
            <v>SINDY AMARILIS SANCHEZ MONTERROSO</v>
          </cell>
        </row>
        <row r="1828">
          <cell r="F1828">
            <v>315691</v>
          </cell>
          <cell r="G1828" t="str">
            <v>JAIME RENE JUAREZ SANCHEZ</v>
          </cell>
        </row>
        <row r="1829">
          <cell r="F1829">
            <v>315750</v>
          </cell>
          <cell r="G1829" t="str">
            <v>KEILA PAOLA CALDERON LOPEZ</v>
          </cell>
        </row>
        <row r="1830">
          <cell r="F1830">
            <v>315721</v>
          </cell>
          <cell r="G1830" t="str">
            <v>HECTOR LEONEL MEJICANOS CRUZ</v>
          </cell>
        </row>
        <row r="1831">
          <cell r="F1831">
            <v>315847</v>
          </cell>
          <cell r="G1831" t="str">
            <v>YEFRI ESTUARDO LOPEZ VELASQUEZ</v>
          </cell>
        </row>
        <row r="1832">
          <cell r="F1832">
            <v>315833</v>
          </cell>
          <cell r="G1832" t="str">
            <v>MARIA DE LOS ANGELES MURALLES MURALLES</v>
          </cell>
        </row>
        <row r="1833">
          <cell r="F1833">
            <v>315621</v>
          </cell>
          <cell r="G1833" t="str">
            <v>SAYDA ROCIO JUAREZ SANJAY</v>
          </cell>
        </row>
        <row r="1834">
          <cell r="F1834">
            <v>315816</v>
          </cell>
          <cell r="G1834" t="str">
            <v>RANDALL  AREVALO RUIZ</v>
          </cell>
        </row>
        <row r="1835">
          <cell r="F1835">
            <v>315692</v>
          </cell>
          <cell r="G1835" t="str">
            <v>Jose David Jimenez Valle</v>
          </cell>
        </row>
        <row r="1836">
          <cell r="F1836">
            <v>315801</v>
          </cell>
          <cell r="G1836" t="str">
            <v>YENIFFER GUADALUPE CHIQUIN CARBONELL</v>
          </cell>
        </row>
        <row r="1837">
          <cell r="F1837">
            <v>315649</v>
          </cell>
          <cell r="G1837" t="str">
            <v>JOSE LEON CHOGUAJ TOJIN</v>
          </cell>
        </row>
        <row r="1838">
          <cell r="F1838">
            <v>315986</v>
          </cell>
          <cell r="G1838" t="str">
            <v>KELVYN AMERICO SOSA OCHOA</v>
          </cell>
        </row>
        <row r="1839">
          <cell r="F1839">
            <v>315693</v>
          </cell>
          <cell r="G1839" t="str">
            <v>barbara asibinac</v>
          </cell>
        </row>
        <row r="1840">
          <cell r="F1840">
            <v>315974</v>
          </cell>
          <cell r="G1840" t="str">
            <v>Ana Victoria Noj Galindo</v>
          </cell>
        </row>
        <row r="1841">
          <cell r="F1841">
            <v>316040</v>
          </cell>
          <cell r="G1841" t="str">
            <v>Douglas Armando Flores Mendoza</v>
          </cell>
        </row>
        <row r="1842">
          <cell r="F1842">
            <v>315825</v>
          </cell>
          <cell r="G1842" t="str">
            <v>Reina Elizabeth Chacon Vasquez</v>
          </cell>
        </row>
        <row r="1843">
          <cell r="F1843">
            <v>315597</v>
          </cell>
          <cell r="G1843" t="str">
            <v>Edgar Jhonatan Contreras Garcia</v>
          </cell>
        </row>
        <row r="1844">
          <cell r="F1844">
            <v>316083</v>
          </cell>
          <cell r="G1844" t="str">
            <v>Marlen Erendida Rivas Gonzalez</v>
          </cell>
        </row>
        <row r="1845">
          <cell r="F1845">
            <v>315665</v>
          </cell>
          <cell r="G1845" t="str">
            <v>jefferson jose antonio interano solis</v>
          </cell>
        </row>
        <row r="1846">
          <cell r="F1846">
            <v>315913</v>
          </cell>
          <cell r="G1846" t="str">
            <v>HERLY SARAI GONZALEZ VELASQUEZ</v>
          </cell>
        </row>
        <row r="1847">
          <cell r="F1847">
            <v>315765</v>
          </cell>
          <cell r="G1847" t="str">
            <v>JACQUELINE ESTER PATZAN TZUNUN</v>
          </cell>
        </row>
        <row r="1848">
          <cell r="F1848">
            <v>316051</v>
          </cell>
          <cell r="G1848" t="str">
            <v>CHRISTIN ANDREA CASTILLO CALDERON</v>
          </cell>
        </row>
        <row r="1849">
          <cell r="F1849">
            <v>315939</v>
          </cell>
          <cell r="G1849" t="str">
            <v>JOSE DAVID BAMACA</v>
          </cell>
        </row>
        <row r="1850">
          <cell r="F1850">
            <v>315744</v>
          </cell>
          <cell r="G1850" t="str">
            <v>JACKELINE SUSANA HERRARTE BOCHE</v>
          </cell>
        </row>
        <row r="1851">
          <cell r="F1851">
            <v>316187</v>
          </cell>
          <cell r="G1851" t="str">
            <v xml:space="preserve">ADY MICHELLE LOPEZ QUEL </v>
          </cell>
        </row>
        <row r="1852">
          <cell r="F1852">
            <v>315786</v>
          </cell>
          <cell r="G1852" t="str">
            <v>EDUARDO ISAIAS HERNANDEZ AMBROCIO</v>
          </cell>
        </row>
        <row r="1853">
          <cell r="F1853">
            <v>315803</v>
          </cell>
          <cell r="G1853" t="str">
            <v>DEYVID SAUL OSORIO COLIN</v>
          </cell>
        </row>
        <row r="1854">
          <cell r="F1854">
            <v>315893</v>
          </cell>
          <cell r="G1854" t="str">
            <v xml:space="preserve">BRYAN ALEXANDER LAINES MARROQUIN </v>
          </cell>
        </row>
        <row r="1855">
          <cell r="F1855">
            <v>315890</v>
          </cell>
          <cell r="G1855" t="str">
            <v>ERICK JOSUE PINEDA CACEROS</v>
          </cell>
        </row>
        <row r="1856">
          <cell r="F1856">
            <v>316190</v>
          </cell>
          <cell r="G1856" t="str">
            <v>JOSE MANUEL MELLADO ESQUIBEL</v>
          </cell>
        </row>
        <row r="1857">
          <cell r="F1857">
            <v>315843</v>
          </cell>
          <cell r="G1857" t="str">
            <v xml:space="preserve">JENNIFER YESSENIA PEREZ MORALES </v>
          </cell>
        </row>
        <row r="1858">
          <cell r="F1858">
            <v>315840</v>
          </cell>
          <cell r="G1858" t="str">
            <v>Cesar David Perez Garrido</v>
          </cell>
        </row>
        <row r="1859">
          <cell r="F1859">
            <v>315697</v>
          </cell>
          <cell r="G1859" t="str">
            <v xml:space="preserve">Karen Dayana Xiquin Sanchez </v>
          </cell>
        </row>
        <row r="1860">
          <cell r="F1860">
            <v>315946</v>
          </cell>
          <cell r="G1860" t="str">
            <v xml:space="preserve"> MANUEL ADAN SURUY JIMENEZ</v>
          </cell>
        </row>
        <row r="1861">
          <cell r="F1861">
            <v>315784</v>
          </cell>
          <cell r="G1861" t="str">
            <v xml:space="preserve">JORGE MARIO SIC </v>
          </cell>
        </row>
        <row r="1862">
          <cell r="F1862">
            <v>316001</v>
          </cell>
          <cell r="G1862" t="str">
            <v>WENDY DANIELA CAMEY MATEO</v>
          </cell>
        </row>
        <row r="1863">
          <cell r="F1863">
            <v>315777</v>
          </cell>
          <cell r="G1863" t="str">
            <v>Jonatan Mauricio Padilla Marroquin</v>
          </cell>
        </row>
        <row r="1864">
          <cell r="F1864">
            <v>315699</v>
          </cell>
          <cell r="G1864" t="str">
            <v>Gualfer Orlando Dieguez Ibanez</v>
          </cell>
        </row>
        <row r="1865">
          <cell r="F1865">
            <v>315994</v>
          </cell>
          <cell r="G1865" t="str">
            <v>Edwin Wilfredo Pineda Giron</v>
          </cell>
        </row>
        <row r="1866">
          <cell r="F1866">
            <v>315766</v>
          </cell>
          <cell r="G1866" t="str">
            <v>Edgar Omar de Jesus Andrade Monterroso</v>
          </cell>
        </row>
        <row r="1867">
          <cell r="F1867">
            <v>315987</v>
          </cell>
          <cell r="G1867" t="str">
            <v>FRANCISCO DANIEL ARGUETA RAMIREZ</v>
          </cell>
        </row>
        <row r="1868">
          <cell r="F1868">
            <v>316208</v>
          </cell>
          <cell r="G1868" t="str">
            <v>LEYCER ULICES CANA ANDRADE</v>
          </cell>
        </row>
        <row r="1869">
          <cell r="F1869">
            <v>316193</v>
          </cell>
          <cell r="G1869" t="str">
            <v>Maria de Lourdes Leb Nij</v>
          </cell>
        </row>
        <row r="1870">
          <cell r="F1870">
            <v>316176</v>
          </cell>
          <cell r="G1870" t="str">
            <v>ROSA ANGELICA ZURDO GONZALEZ</v>
          </cell>
        </row>
        <row r="1871">
          <cell r="F1871">
            <v>316293</v>
          </cell>
          <cell r="G1871" t="str">
            <v>LUCIO MOISES CHAVEZ CHAVEZ</v>
          </cell>
        </row>
        <row r="1872">
          <cell r="F1872">
            <v>316090</v>
          </cell>
          <cell r="G1872" t="str">
            <v>ASTRID SUCELY VELIZ CAAL</v>
          </cell>
        </row>
        <row r="1873">
          <cell r="F1873">
            <v>316057</v>
          </cell>
          <cell r="G1873" t="str">
            <v>ROGELIO ARMANDO ACEITUNO HERRERA</v>
          </cell>
        </row>
        <row r="1874">
          <cell r="F1874">
            <v>315962</v>
          </cell>
          <cell r="G1874" t="str">
            <v>Jennifer Celeste Delgado Garcia</v>
          </cell>
        </row>
        <row r="1875">
          <cell r="F1875">
            <v>316237</v>
          </cell>
          <cell r="G1875" t="str">
            <v>MARIA DEL ROSARIO ESPINOZA CRUZ</v>
          </cell>
        </row>
        <row r="1876">
          <cell r="F1876">
            <v>316054</v>
          </cell>
          <cell r="G1876" t="str">
            <v>Kevin Steve Barrera Galicia</v>
          </cell>
        </row>
        <row r="1877">
          <cell r="F1877">
            <v>315734</v>
          </cell>
          <cell r="G1877" t="str">
            <v>DULCE MARINA LOPEZ SOLIS</v>
          </cell>
        </row>
        <row r="1878">
          <cell r="F1878">
            <v>316098</v>
          </cell>
          <cell r="G1878" t="str">
            <v>KARLA ALEJANDRA CHAVEZ PEÑA</v>
          </cell>
        </row>
        <row r="1879">
          <cell r="F1879">
            <v>315679</v>
          </cell>
          <cell r="G1879" t="str">
            <v>ANGELA XIOMARA PONCIANO GONZALEZ</v>
          </cell>
        </row>
        <row r="1880">
          <cell r="F1880">
            <v>315769</v>
          </cell>
          <cell r="G1880" t="str">
            <v>URIAS VENANCIO LOPEZ COTON</v>
          </cell>
        </row>
        <row r="1881">
          <cell r="F1881">
            <v>316174</v>
          </cell>
          <cell r="G1881" t="str">
            <v>ENRIQUE ALFONSO LOPEZ RAMREZ</v>
          </cell>
        </row>
        <row r="1882">
          <cell r="F1882">
            <v>316152</v>
          </cell>
          <cell r="G1882" t="str">
            <v>Yenica Limni López Sebastian</v>
          </cell>
        </row>
        <row r="1883">
          <cell r="F1883">
            <v>315882</v>
          </cell>
          <cell r="G1883" t="str">
            <v>RUTH ANAI GOMEZ RAMIREZ</v>
          </cell>
        </row>
        <row r="1884">
          <cell r="F1884">
            <v>316241</v>
          </cell>
          <cell r="G1884" t="str">
            <v>ALLAN ESMAYLIN CABRERA PEREZ</v>
          </cell>
        </row>
        <row r="1885">
          <cell r="F1885">
            <v>315651</v>
          </cell>
          <cell r="G1885" t="str">
            <v>WALTER EDUARDO RODAS RIOS</v>
          </cell>
        </row>
        <row r="1886">
          <cell r="F1886">
            <v>316011</v>
          </cell>
          <cell r="G1886" t="str">
            <v>KEVIN MAUEL PEREZ OROZCO</v>
          </cell>
        </row>
        <row r="1887">
          <cell r="F1887">
            <v>316263</v>
          </cell>
          <cell r="G1887" t="str">
            <v>LUIS FERNANDO LOPEZ VASQUEZ</v>
          </cell>
        </row>
        <row r="1888">
          <cell r="F1888">
            <v>315661</v>
          </cell>
          <cell r="G1888" t="str">
            <v>MIGUEL ANGEL MENDEZ JUAREZ</v>
          </cell>
        </row>
        <row r="1889">
          <cell r="F1889">
            <v>316060</v>
          </cell>
          <cell r="G1889" t="str">
            <v>CARLOS ENRIQUE SOSA HERNANDEZ</v>
          </cell>
        </row>
        <row r="1890">
          <cell r="F1890">
            <v>315992</v>
          </cell>
          <cell r="G1890" t="str">
            <v>LISBETH VICTORIA GARCIA</v>
          </cell>
        </row>
        <row r="1891">
          <cell r="F1891">
            <v>316191</v>
          </cell>
          <cell r="G1891" t="str">
            <v>Katerin Mishel Acosta Lobos</v>
          </cell>
        </row>
        <row r="1892">
          <cell r="F1892">
            <v>316294</v>
          </cell>
          <cell r="G1892" t="str">
            <v>Carmen Fernanda Ramos Jimenez</v>
          </cell>
        </row>
        <row r="1893">
          <cell r="F1893">
            <v>90012428</v>
          </cell>
          <cell r="G1893" t="str">
            <v>Lesly Alejandra Urbina Chojolan</v>
          </cell>
        </row>
        <row r="1894">
          <cell r="F1894">
            <v>90013944</v>
          </cell>
          <cell r="G1894" t="str">
            <v>KARLA ROSARIO MARTINEZ SOTO</v>
          </cell>
        </row>
        <row r="1895">
          <cell r="F1895">
            <v>316240</v>
          </cell>
          <cell r="G1895" t="str">
            <v>WILMER GUILLERMO PEREZ CHAY</v>
          </cell>
        </row>
        <row r="1896">
          <cell r="F1896">
            <v>90014151</v>
          </cell>
          <cell r="G1896" t="str">
            <v>ANDERSON NOE MORALES MARROQUIN</v>
          </cell>
        </row>
        <row r="1897">
          <cell r="F1897">
            <v>90013720</v>
          </cell>
          <cell r="G1897" t="str">
            <v>OBED DANIEL RAMIREZ FUENTES</v>
          </cell>
        </row>
        <row r="1898">
          <cell r="F1898">
            <v>90012315</v>
          </cell>
          <cell r="G1898" t="str">
            <v>Lorenzo Antonio Herrera Tobar</v>
          </cell>
        </row>
        <row r="1899">
          <cell r="F1899">
            <v>90013833</v>
          </cell>
          <cell r="G1899" t="str">
            <v>Melane Alejandra Contreras Sicajan</v>
          </cell>
        </row>
        <row r="1900">
          <cell r="F1900">
            <v>90018997</v>
          </cell>
          <cell r="G1900" t="str">
            <v>Daniel Uvaldo Barreno Meneses</v>
          </cell>
        </row>
        <row r="1901">
          <cell r="F1901">
            <v>90014269</v>
          </cell>
          <cell r="G1901" t="str">
            <v>Lusvin Ariel Villacinda Flores</v>
          </cell>
        </row>
        <row r="1902">
          <cell r="F1902" t="str">
            <v>N/A</v>
          </cell>
          <cell r="G1902" t="str">
            <v>N/A</v>
          </cell>
        </row>
        <row r="1903">
          <cell r="F1903">
            <v>90014281</v>
          </cell>
          <cell r="G1903" t="str">
            <v>MARIO EMANUEL DE JESUS MENDOZA</v>
          </cell>
        </row>
        <row r="1904">
          <cell r="F1904">
            <v>90019660</v>
          </cell>
          <cell r="G1904" t="str">
            <v>MONICA ILDUARA LIMA</v>
          </cell>
        </row>
        <row r="1905">
          <cell r="F1905">
            <v>90018838</v>
          </cell>
          <cell r="G1905" t="str">
            <v>PERLA ESPERANZA ORDONEZ ZULETA</v>
          </cell>
        </row>
        <row r="1906">
          <cell r="F1906">
            <v>90013719</v>
          </cell>
          <cell r="G1906" t="str">
            <v>MONICA CAROLINA LIMA CIFUENTES</v>
          </cell>
        </row>
        <row r="1907">
          <cell r="F1907">
            <v>90019011</v>
          </cell>
          <cell r="G1907" t="str">
            <v>ANGEL JOEL CASTRO COSAJAY</v>
          </cell>
        </row>
        <row r="1908">
          <cell r="F1908">
            <v>90019588</v>
          </cell>
          <cell r="G1908" t="str">
            <v>SANDRA MARIELA LÓPEZ MARROQUÍN</v>
          </cell>
        </row>
        <row r="1909">
          <cell r="F1909">
            <v>90019689</v>
          </cell>
          <cell r="G1909" t="str">
            <v xml:space="preserve">HELEN YADIRA DE LEON QUIÑONEZ </v>
          </cell>
        </row>
        <row r="1910">
          <cell r="F1910">
            <v>90024021</v>
          </cell>
          <cell r="G1910" t="str">
            <v>MANUEL MEJIA AYERDI</v>
          </cell>
        </row>
        <row r="1911">
          <cell r="F1911">
            <v>90013782</v>
          </cell>
          <cell r="G1911" t="str">
            <v>Williams Jose Galvez Jordan</v>
          </cell>
        </row>
        <row r="1912">
          <cell r="F1912">
            <v>90024411</v>
          </cell>
          <cell r="G1912" t="str">
            <v>DINA ELIZABETH GARRIDO ALVAREZ</v>
          </cell>
        </row>
        <row r="1913">
          <cell r="F1913">
            <v>90024370</v>
          </cell>
          <cell r="G1913" t="str">
            <v>Marilin Yasmin Godoy Morataya</v>
          </cell>
        </row>
        <row r="1914">
          <cell r="F1914">
            <v>90024235</v>
          </cell>
          <cell r="G1914" t="str">
            <v>JASON ALBERTO BOLAÑOS GUTIERREZ</v>
          </cell>
        </row>
        <row r="1915">
          <cell r="F1915">
            <v>90028187</v>
          </cell>
          <cell r="G1915" t="str">
            <v>MIRELLI RAMIREZ GARCIA</v>
          </cell>
        </row>
        <row r="1916">
          <cell r="F1916">
            <v>90025289</v>
          </cell>
          <cell r="G1916" t="str">
            <v>DIEGO ALEJANDRO DONIS JUAREZ</v>
          </cell>
        </row>
        <row r="1917">
          <cell r="F1917">
            <v>90028608</v>
          </cell>
          <cell r="G1917" t="str">
            <v>ERLIN ROBERTO XEC ANGULO</v>
          </cell>
        </row>
        <row r="1918">
          <cell r="F1918">
            <v>90028491</v>
          </cell>
          <cell r="G1918" t="str">
            <v xml:space="preserve">ADOLFO RAFAEL SEGOVIA QUEZADA </v>
          </cell>
        </row>
        <row r="1919">
          <cell r="F1919">
            <v>90024419</v>
          </cell>
          <cell r="G1919" t="str">
            <v>HELEN JASSMIN REYES PALACIOS</v>
          </cell>
        </row>
        <row r="1920">
          <cell r="F1920">
            <v>90028606</v>
          </cell>
          <cell r="G1920" t="str">
            <v>Laura Angelica Lux Tzunun</v>
          </cell>
        </row>
        <row r="1921">
          <cell r="F1921">
            <v>90028496</v>
          </cell>
          <cell r="G1921" t="str">
            <v>SORAYDA BETZAI CHAVEZ</v>
          </cell>
        </row>
        <row r="1922">
          <cell r="F1922">
            <v>90024632</v>
          </cell>
          <cell r="G1922" t="str">
            <v xml:space="preserve">ERICKA SANDOVAL </v>
          </cell>
        </row>
        <row r="1923">
          <cell r="F1923">
            <v>90025666</v>
          </cell>
          <cell r="G1923" t="str">
            <v>PAULY MARTINA TOJ</v>
          </cell>
        </row>
        <row r="1924">
          <cell r="F1924">
            <v>90027918</v>
          </cell>
          <cell r="G1924" t="str">
            <v>GERBER ALEXANDER SAGUACHE BENITO</v>
          </cell>
        </row>
        <row r="1925">
          <cell r="F1925">
            <v>90027845</v>
          </cell>
          <cell r="G1925" t="str">
            <v>SHIRLEY DAYANA RAMIREZ GALLARDO</v>
          </cell>
        </row>
        <row r="1926">
          <cell r="F1926">
            <v>90027868</v>
          </cell>
          <cell r="G1926" t="str">
            <v>ASHLY ANABELLA RAYMUNDO GONZALEZ</v>
          </cell>
        </row>
        <row r="1927">
          <cell r="F1927">
            <v>90028292</v>
          </cell>
          <cell r="G1927" t="str">
            <v>JULISSA CRISTIANY ESCOBAR ACEITUNO</v>
          </cell>
        </row>
        <row r="1928">
          <cell r="F1928">
            <v>90025620</v>
          </cell>
          <cell r="G1928" t="str">
            <v>ANA LUISA JIMENEZ CORADO</v>
          </cell>
        </row>
        <row r="1929">
          <cell r="F1929">
            <v>315856</v>
          </cell>
          <cell r="G1929" t="str">
            <v>TERESA CAROLINA PRIMERO JALAL</v>
          </cell>
        </row>
        <row r="1930">
          <cell r="F1930">
            <v>316023</v>
          </cell>
          <cell r="G1930" t="str">
            <v>MARIA ANGELICA TRUJILLO CORONADO DE ANDRADE</v>
          </cell>
        </row>
        <row r="1931">
          <cell r="F1931">
            <v>315925</v>
          </cell>
          <cell r="G1931" t="str">
            <v>JOSTHYN RAUL PARDO OBREGON</v>
          </cell>
        </row>
        <row r="1932">
          <cell r="F1932">
            <v>315841</v>
          </cell>
          <cell r="G1932" t="str">
            <v>LESBIA ROXANA ROJAS CASTRO</v>
          </cell>
        </row>
        <row r="1933">
          <cell r="F1933">
            <v>315870</v>
          </cell>
          <cell r="G1933" t="str">
            <v>ADOLFO RONALDO ALFARO RIVERA</v>
          </cell>
        </row>
        <row r="1934">
          <cell r="F1934">
            <v>90051364</v>
          </cell>
          <cell r="G1934" t="str">
            <v>DORIS  YANALI CANCINOS MEJIA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tiembre 24"/>
      <sheetName val="Datos"/>
    </sheetNames>
    <sheetDataSet>
      <sheetData sheetId="0" refreshError="1"/>
      <sheetData sheetId="1">
        <row r="1">
          <cell r="F1" t="str">
            <v>Codigo Empleado</v>
          </cell>
          <cell r="G1" t="str">
            <v>Nombre Empleado</v>
          </cell>
        </row>
        <row r="2">
          <cell r="F2">
            <v>314692</v>
          </cell>
          <cell r="G2" t="str">
            <v>Abi Susana Santos Alvarado</v>
          </cell>
        </row>
        <row r="3">
          <cell r="F3">
            <v>313537</v>
          </cell>
          <cell r="G3" t="str">
            <v>Abigail Nohemi Letona Lopez</v>
          </cell>
        </row>
        <row r="4">
          <cell r="F4">
            <v>314163</v>
          </cell>
          <cell r="G4" t="str">
            <v>Abner Amilcar Miguel Pedro</v>
          </cell>
        </row>
        <row r="5">
          <cell r="F5">
            <v>300544</v>
          </cell>
          <cell r="G5" t="str">
            <v>Abner Enmanuel Perez Rodriguez</v>
          </cell>
        </row>
        <row r="6">
          <cell r="F6">
            <v>315208</v>
          </cell>
          <cell r="G6" t="str">
            <v>Abner Juan Alexander Menchu Tiu</v>
          </cell>
        </row>
        <row r="7">
          <cell r="F7">
            <v>315069</v>
          </cell>
          <cell r="G7" t="str">
            <v>Abner Rocael Sosa Escobar</v>
          </cell>
        </row>
        <row r="8">
          <cell r="F8">
            <v>310864</v>
          </cell>
          <cell r="G8" t="str">
            <v>Adelaida Garcia Hernandez</v>
          </cell>
        </row>
        <row r="9">
          <cell r="F9">
            <v>314604</v>
          </cell>
          <cell r="G9" t="str">
            <v>Adieny Moren Ramirez Gamboa</v>
          </cell>
        </row>
        <row r="10">
          <cell r="F10">
            <v>311687</v>
          </cell>
          <cell r="G10" t="str">
            <v>Aida Gabriela De Leon Carrascoza</v>
          </cell>
        </row>
        <row r="11">
          <cell r="F11">
            <v>315221</v>
          </cell>
          <cell r="G11" t="str">
            <v>Alan David Perez Muyus</v>
          </cell>
        </row>
        <row r="12">
          <cell r="F12">
            <v>311950</v>
          </cell>
          <cell r="G12" t="str">
            <v>Alan Javier Castillo Ordoñez</v>
          </cell>
        </row>
        <row r="13">
          <cell r="F13">
            <v>313765</v>
          </cell>
          <cell r="G13" t="str">
            <v>Alan Ricardo Flores Diaz</v>
          </cell>
        </row>
        <row r="14">
          <cell r="F14">
            <v>312686</v>
          </cell>
          <cell r="G14" t="str">
            <v>Alba Azucena Santeliz Marin</v>
          </cell>
        </row>
        <row r="15">
          <cell r="F15">
            <v>313531</v>
          </cell>
          <cell r="G15" t="str">
            <v>Alejandra Gramajo Marroquin</v>
          </cell>
        </row>
        <row r="16">
          <cell r="F16">
            <v>313714</v>
          </cell>
          <cell r="G16" t="str">
            <v>Alejandra Julissa Solis Aguilar</v>
          </cell>
        </row>
        <row r="17">
          <cell r="F17">
            <v>313994</v>
          </cell>
          <cell r="G17" t="str">
            <v>Alejandra Naime Muñoz Letona</v>
          </cell>
        </row>
        <row r="18">
          <cell r="F18">
            <v>314849</v>
          </cell>
          <cell r="G18" t="str">
            <v>Alejandro Enrique Mejicanos Ramos</v>
          </cell>
        </row>
        <row r="19">
          <cell r="F19">
            <v>315220</v>
          </cell>
          <cell r="G19" t="str">
            <v>Alejandro Jose Mont Diaz</v>
          </cell>
        </row>
        <row r="20">
          <cell r="F20">
            <v>311810</v>
          </cell>
          <cell r="G20" t="str">
            <v>Alexander Macario Gonzalez Monterroso</v>
          </cell>
        </row>
        <row r="21">
          <cell r="F21">
            <v>300907</v>
          </cell>
          <cell r="G21" t="str">
            <v>Alexangel Quan Urrutia</v>
          </cell>
        </row>
        <row r="22">
          <cell r="F22">
            <v>312962</v>
          </cell>
          <cell r="G22" t="str">
            <v>Alexia Paola Marroquin Lopez</v>
          </cell>
        </row>
        <row r="23">
          <cell r="F23">
            <v>314671</v>
          </cell>
          <cell r="G23" t="str">
            <v>Alexsandra Daniela Cano Garcia</v>
          </cell>
        </row>
        <row r="24">
          <cell r="F24">
            <v>311103</v>
          </cell>
          <cell r="G24" t="str">
            <v>Alfredo Chiyal Bocel</v>
          </cell>
        </row>
        <row r="25">
          <cell r="F25">
            <v>311576</v>
          </cell>
          <cell r="G25" t="str">
            <v>Alfredo Gomez Lancerio</v>
          </cell>
        </row>
        <row r="26">
          <cell r="F26">
            <v>313014</v>
          </cell>
          <cell r="G26" t="str">
            <v>Alfredo Monsanto Santos</v>
          </cell>
        </row>
        <row r="27">
          <cell r="F27">
            <v>315223</v>
          </cell>
          <cell r="G27" t="str">
            <v>Alicia Magaly Juarez Quiacain</v>
          </cell>
        </row>
        <row r="28">
          <cell r="F28">
            <v>314035</v>
          </cell>
          <cell r="G28" t="str">
            <v>Alisson Andrea Jacobo Castro</v>
          </cell>
        </row>
        <row r="29">
          <cell r="F29">
            <v>315214</v>
          </cell>
          <cell r="G29" t="str">
            <v>Allan David Galdamez De Leon</v>
          </cell>
        </row>
        <row r="30">
          <cell r="F30">
            <v>306902</v>
          </cell>
          <cell r="G30" t="str">
            <v>Allan Kalleb Garcia Cahuex</v>
          </cell>
        </row>
        <row r="31">
          <cell r="F31">
            <v>315434</v>
          </cell>
          <cell r="G31" t="str">
            <v>Alma Carolina Herrera Pirir</v>
          </cell>
        </row>
        <row r="32">
          <cell r="F32">
            <v>315280</v>
          </cell>
          <cell r="G32" t="str">
            <v>Alma Rosa Valle Blandon</v>
          </cell>
        </row>
        <row r="33">
          <cell r="F33">
            <v>302247</v>
          </cell>
          <cell r="G33" t="str">
            <v>Alma Yecenia Ramon Oroxon</v>
          </cell>
        </row>
        <row r="34">
          <cell r="F34">
            <v>310433</v>
          </cell>
          <cell r="G34" t="str">
            <v>Alma Zucely Sarceño Peralta</v>
          </cell>
        </row>
        <row r="35">
          <cell r="F35">
            <v>313286</v>
          </cell>
          <cell r="G35" t="str">
            <v>Alvaro Fernando Acte Mérida</v>
          </cell>
        </row>
        <row r="36">
          <cell r="F36">
            <v>313119</v>
          </cell>
          <cell r="G36" t="str">
            <v>Alvaro Luis Carias Gonzalez</v>
          </cell>
        </row>
        <row r="37">
          <cell r="F37">
            <v>313528</v>
          </cell>
          <cell r="G37" t="str">
            <v>Amairani Lilibeth Escobar Maquin</v>
          </cell>
        </row>
        <row r="38">
          <cell r="F38">
            <v>309338</v>
          </cell>
          <cell r="G38" t="str">
            <v>Amalia Rebeca Son Juarez</v>
          </cell>
        </row>
        <row r="39">
          <cell r="F39">
            <v>309664</v>
          </cell>
          <cell r="G39" t="str">
            <v>Amarilis Sarita Ajtun Lopez</v>
          </cell>
        </row>
        <row r="40">
          <cell r="F40">
            <v>309337</v>
          </cell>
          <cell r="G40" t="str">
            <v>Amauri Santillano Catalan</v>
          </cell>
        </row>
        <row r="41">
          <cell r="F41">
            <v>315553</v>
          </cell>
          <cell r="G41" t="str">
            <v>Amed Isram Rodas Garcia</v>
          </cell>
        </row>
        <row r="42">
          <cell r="F42">
            <v>301503</v>
          </cell>
          <cell r="G42" t="str">
            <v>America Romilia Martinez Ramirez</v>
          </cell>
        </row>
        <row r="43">
          <cell r="F43">
            <v>311055</v>
          </cell>
          <cell r="G43" t="str">
            <v>Amram Dodanim Lopez Cahuec</v>
          </cell>
        </row>
        <row r="44">
          <cell r="F44">
            <v>307790</v>
          </cell>
          <cell r="G44" t="str">
            <v>Ana Cecilia Navichoc Chiquival</v>
          </cell>
        </row>
        <row r="45">
          <cell r="F45">
            <v>315044</v>
          </cell>
          <cell r="G45" t="str">
            <v>Ana Celeste Garcia Garcia</v>
          </cell>
        </row>
        <row r="46">
          <cell r="F46">
            <v>309527</v>
          </cell>
          <cell r="G46" t="str">
            <v>Ana Gabriela Caal Cruz</v>
          </cell>
        </row>
        <row r="47">
          <cell r="F47">
            <v>313217</v>
          </cell>
          <cell r="G47" t="str">
            <v>Ana Gabriela Damian Ixbalan</v>
          </cell>
        </row>
        <row r="48">
          <cell r="F48">
            <v>305932</v>
          </cell>
          <cell r="G48" t="str">
            <v>Ana Gabriela De La Cruz Aguilar</v>
          </cell>
        </row>
        <row r="49">
          <cell r="F49">
            <v>314984</v>
          </cell>
          <cell r="G49" t="str">
            <v>Ana Gabriela Equite Diaz</v>
          </cell>
        </row>
        <row r="50">
          <cell r="F50">
            <v>307751</v>
          </cell>
          <cell r="G50" t="str">
            <v>Ana Gabriela Gonzalez Herrera</v>
          </cell>
        </row>
        <row r="51">
          <cell r="F51">
            <v>310329</v>
          </cell>
          <cell r="G51" t="str">
            <v>Ana Leticia Lux Say</v>
          </cell>
        </row>
        <row r="52">
          <cell r="F52">
            <v>311761</v>
          </cell>
          <cell r="G52" t="str">
            <v>Ana Lourdes Muñoz Pensamiento</v>
          </cell>
        </row>
        <row r="53">
          <cell r="F53">
            <v>311111</v>
          </cell>
          <cell r="G53" t="str">
            <v>Ana Lucia Donis Franco</v>
          </cell>
        </row>
        <row r="54">
          <cell r="F54">
            <v>313991</v>
          </cell>
          <cell r="G54" t="str">
            <v>Ana Lucia Gudiel Vasquez</v>
          </cell>
        </row>
        <row r="55">
          <cell r="F55">
            <v>307442</v>
          </cell>
          <cell r="G55" t="str">
            <v>Ana Lucia Ramirez Aquino</v>
          </cell>
        </row>
        <row r="56">
          <cell r="F56">
            <v>306767</v>
          </cell>
          <cell r="G56" t="str">
            <v>Ana Marcela Castillo Rodriguez</v>
          </cell>
        </row>
        <row r="57">
          <cell r="F57">
            <v>312249</v>
          </cell>
          <cell r="G57" t="str">
            <v>Ana Margarita Barrera Estrada</v>
          </cell>
        </row>
        <row r="58">
          <cell r="F58">
            <v>202795</v>
          </cell>
          <cell r="G58" t="str">
            <v>Ana Maria Barrios Alejos</v>
          </cell>
        </row>
        <row r="59">
          <cell r="F59">
            <v>315474</v>
          </cell>
          <cell r="G59" t="str">
            <v>Ana Merced Arriola Gomez</v>
          </cell>
        </row>
        <row r="60">
          <cell r="F60">
            <v>308129</v>
          </cell>
          <cell r="G60" t="str">
            <v>Ana Mercedes Tiul Caal</v>
          </cell>
        </row>
        <row r="61">
          <cell r="F61">
            <v>314191</v>
          </cell>
          <cell r="G61" t="str">
            <v>Ana Patricia Escobar Cardona</v>
          </cell>
        </row>
        <row r="62">
          <cell r="F62">
            <v>310191</v>
          </cell>
          <cell r="G62" t="str">
            <v>Ana Paulina Macario Del Cid</v>
          </cell>
        </row>
        <row r="63">
          <cell r="F63">
            <v>310728</v>
          </cell>
          <cell r="G63" t="str">
            <v>Ana Rita Morales Mata</v>
          </cell>
        </row>
        <row r="64">
          <cell r="F64">
            <v>314469</v>
          </cell>
          <cell r="G64" t="str">
            <v>Ana Sofia Castillo Armas</v>
          </cell>
        </row>
        <row r="65">
          <cell r="F65">
            <v>312945</v>
          </cell>
          <cell r="G65" t="str">
            <v>Ana Victoria Gonzalez Garcia</v>
          </cell>
        </row>
        <row r="66">
          <cell r="F66">
            <v>314019</v>
          </cell>
          <cell r="G66" t="str">
            <v>Anali Guadalupe Salazar Rodriguez</v>
          </cell>
        </row>
        <row r="67">
          <cell r="F67">
            <v>315372</v>
          </cell>
          <cell r="G67" t="str">
            <v>Andrea Ayalett Ochoa Lopez</v>
          </cell>
        </row>
        <row r="68">
          <cell r="F68">
            <v>311505</v>
          </cell>
          <cell r="G68" t="str">
            <v>Andrea Dayana Ordoñez Mendez</v>
          </cell>
        </row>
        <row r="69">
          <cell r="F69">
            <v>315215</v>
          </cell>
          <cell r="G69" t="str">
            <v>Andrea Fernanda Villela Hernandez</v>
          </cell>
        </row>
        <row r="70">
          <cell r="F70">
            <v>311380</v>
          </cell>
          <cell r="G70" t="str">
            <v>Andrea Lisbeth Ruiz Rodas</v>
          </cell>
        </row>
        <row r="71">
          <cell r="F71">
            <v>311137</v>
          </cell>
          <cell r="G71" t="str">
            <v>Andrea Lucia Lopez Ajin</v>
          </cell>
        </row>
        <row r="72">
          <cell r="F72">
            <v>303012</v>
          </cell>
          <cell r="G72" t="str">
            <v>Andrea Marbely Letran Juarez</v>
          </cell>
        </row>
        <row r="73">
          <cell r="F73">
            <v>315264</v>
          </cell>
          <cell r="G73" t="str">
            <v>Andrea Margarita Gomez Morales</v>
          </cell>
        </row>
        <row r="74">
          <cell r="F74">
            <v>302630</v>
          </cell>
          <cell r="G74" t="str">
            <v>Andrea Maria Alvarez Calderon</v>
          </cell>
        </row>
        <row r="75">
          <cell r="F75">
            <v>314057</v>
          </cell>
          <cell r="G75" t="str">
            <v>Andrea Michelle Urbina Solorzano</v>
          </cell>
        </row>
        <row r="76">
          <cell r="F76">
            <v>312310</v>
          </cell>
          <cell r="G76" t="str">
            <v>Andrea Paola Santisteban Per</v>
          </cell>
        </row>
        <row r="77">
          <cell r="F77">
            <v>311079</v>
          </cell>
          <cell r="G77" t="str">
            <v>Andrea Sucely Ortiz Villavicencio</v>
          </cell>
        </row>
        <row r="78">
          <cell r="F78">
            <v>311759</v>
          </cell>
          <cell r="G78" t="str">
            <v>Andrea Yesenia Carpio Ramirez</v>
          </cell>
        </row>
        <row r="79">
          <cell r="F79">
            <v>313301</v>
          </cell>
          <cell r="G79" t="str">
            <v>Andreina Antonieta Velasquez Fuentes</v>
          </cell>
        </row>
        <row r="80">
          <cell r="F80">
            <v>315450</v>
          </cell>
          <cell r="G80" t="str">
            <v>Andreina Nataly Canahui Ochoa</v>
          </cell>
        </row>
        <row r="81">
          <cell r="F81">
            <v>314933</v>
          </cell>
          <cell r="G81" t="str">
            <v>Angel Eliu Humberto Caal Lopez</v>
          </cell>
        </row>
        <row r="82">
          <cell r="F82">
            <v>306471</v>
          </cell>
          <cell r="G82" t="str">
            <v>Angel Enmanuel Quim Macz</v>
          </cell>
        </row>
        <row r="83">
          <cell r="F83">
            <v>309415</v>
          </cell>
          <cell r="G83" t="str">
            <v>Angel Jose Figueroa Garcia</v>
          </cell>
        </row>
        <row r="84">
          <cell r="F84">
            <v>315312</v>
          </cell>
          <cell r="G84" t="str">
            <v>Angel Josue Ortiz De Leon</v>
          </cell>
        </row>
        <row r="85">
          <cell r="F85">
            <v>305814</v>
          </cell>
          <cell r="G85" t="str">
            <v>Angel Josue Perez Rivera</v>
          </cell>
        </row>
        <row r="86">
          <cell r="F86">
            <v>314564</v>
          </cell>
          <cell r="G86" t="str">
            <v>Angel Raderyk Vasquez Ovando</v>
          </cell>
        </row>
        <row r="87">
          <cell r="F87">
            <v>312055</v>
          </cell>
          <cell r="G87" t="str">
            <v>Angela Daniela Mazariegos Herrera</v>
          </cell>
        </row>
        <row r="88">
          <cell r="F88">
            <v>311086</v>
          </cell>
          <cell r="G88" t="str">
            <v>Angela Esmeralda Reyes Arriaza</v>
          </cell>
        </row>
        <row r="89">
          <cell r="F89">
            <v>309859</v>
          </cell>
          <cell r="G89" t="str">
            <v>Angela Ester Gramajo Galicia</v>
          </cell>
        </row>
        <row r="90">
          <cell r="F90">
            <v>315026</v>
          </cell>
          <cell r="G90" t="str">
            <v>Angela Marizol Ramon Escobar</v>
          </cell>
        </row>
        <row r="91">
          <cell r="F91">
            <v>314696</v>
          </cell>
          <cell r="G91" t="str">
            <v>Angelica Sol Ortiz</v>
          </cell>
        </row>
        <row r="92">
          <cell r="F92">
            <v>311699</v>
          </cell>
          <cell r="G92" t="str">
            <v>Anika Beira Domingo Escobar</v>
          </cell>
        </row>
        <row r="93">
          <cell r="F93">
            <v>315556</v>
          </cell>
          <cell r="G93" t="str">
            <v>Anthony Enrique Castellanos Perez</v>
          </cell>
        </row>
        <row r="94">
          <cell r="F94">
            <v>315121</v>
          </cell>
          <cell r="G94" t="str">
            <v>Antoni Alexis Del Cid Sian</v>
          </cell>
        </row>
        <row r="95">
          <cell r="F95">
            <v>311557</v>
          </cell>
          <cell r="G95" t="str">
            <v>Aracely Nohemy Fuentes Alonzo</v>
          </cell>
        </row>
        <row r="96">
          <cell r="F96">
            <v>102256</v>
          </cell>
          <cell r="G96" t="str">
            <v>Arelis Noemi Gonzalez Vivar</v>
          </cell>
        </row>
        <row r="97">
          <cell r="F97">
            <v>315150</v>
          </cell>
          <cell r="G97" t="str">
            <v>Arely Maoly Aguilar Y Aguilar</v>
          </cell>
        </row>
        <row r="98">
          <cell r="F98">
            <v>309908</v>
          </cell>
          <cell r="G98" t="str">
            <v>Arleth Julissa Paredez Ramirez</v>
          </cell>
        </row>
        <row r="99">
          <cell r="F99">
            <v>315532</v>
          </cell>
          <cell r="G99" t="str">
            <v>Ashley Dayana Franco Sandoval</v>
          </cell>
        </row>
        <row r="100">
          <cell r="F100">
            <v>315493</v>
          </cell>
          <cell r="G100" t="str">
            <v>Astrid Carolina Lopez Lopez</v>
          </cell>
        </row>
        <row r="101">
          <cell r="F101">
            <v>310020</v>
          </cell>
          <cell r="G101" t="str">
            <v>Astrid Elena Alvarado Lopez</v>
          </cell>
        </row>
        <row r="102">
          <cell r="F102">
            <v>315277</v>
          </cell>
          <cell r="G102" t="str">
            <v>Astrid Guadalupe Fernandez Perez</v>
          </cell>
        </row>
        <row r="103">
          <cell r="F103">
            <v>310483</v>
          </cell>
          <cell r="G103" t="str">
            <v>Astrid Ivone Hernandez</v>
          </cell>
        </row>
        <row r="104">
          <cell r="F104">
            <v>309804</v>
          </cell>
          <cell r="G104" t="str">
            <v>Astrid Leonela Barrios Velasquez</v>
          </cell>
        </row>
        <row r="105">
          <cell r="F105">
            <v>312146</v>
          </cell>
          <cell r="G105" t="str">
            <v>Astrid Lisbeth Morales Morales</v>
          </cell>
        </row>
        <row r="106">
          <cell r="F106">
            <v>310967</v>
          </cell>
          <cell r="G106" t="str">
            <v>Astrid Marielena Mendez Garcia</v>
          </cell>
        </row>
        <row r="107">
          <cell r="F107">
            <v>311328</v>
          </cell>
          <cell r="G107" t="str">
            <v>Astrid Yohana Escobar Oliva</v>
          </cell>
        </row>
        <row r="108">
          <cell r="F108">
            <v>314277</v>
          </cell>
          <cell r="G108" t="str">
            <v>Aura Josefina Coy Tiul</v>
          </cell>
        </row>
        <row r="109">
          <cell r="F109">
            <v>202265</v>
          </cell>
          <cell r="G109" t="str">
            <v>Aura Leticia Aparicio Marin</v>
          </cell>
        </row>
        <row r="110">
          <cell r="F110">
            <v>314986</v>
          </cell>
          <cell r="G110" t="str">
            <v>Aura Lourdes Garcia Gomez</v>
          </cell>
        </row>
        <row r="111">
          <cell r="F111">
            <v>314350</v>
          </cell>
          <cell r="G111" t="str">
            <v>Aura Mirthala Castillo Castillo</v>
          </cell>
        </row>
        <row r="112">
          <cell r="F112">
            <v>313666</v>
          </cell>
          <cell r="G112" t="str">
            <v>Avner Josue Merida Molina</v>
          </cell>
        </row>
        <row r="113">
          <cell r="F113">
            <v>315388</v>
          </cell>
          <cell r="G113" t="str">
            <v>Axel Anderson Montufar Roca</v>
          </cell>
        </row>
        <row r="114">
          <cell r="F114">
            <v>314730</v>
          </cell>
          <cell r="G114" t="str">
            <v>Axel Denilson Hernandez Tocay</v>
          </cell>
        </row>
        <row r="115">
          <cell r="F115">
            <v>315271</v>
          </cell>
          <cell r="G115" t="str">
            <v>Axel Roberto Guzman Coro</v>
          </cell>
        </row>
        <row r="116">
          <cell r="F116">
            <v>308798</v>
          </cell>
          <cell r="G116" t="str">
            <v>Axel Wilfredo Caal Coy</v>
          </cell>
        </row>
        <row r="117">
          <cell r="F117">
            <v>307068</v>
          </cell>
          <cell r="G117" t="str">
            <v>Azucena Raquel Luis Perez</v>
          </cell>
        </row>
        <row r="118">
          <cell r="F118">
            <v>313706</v>
          </cell>
          <cell r="G118" t="str">
            <v>Barbara Alejandra Toj Romero</v>
          </cell>
        </row>
        <row r="119">
          <cell r="F119">
            <v>311943</v>
          </cell>
          <cell r="G119" t="str">
            <v>Beberli Yuceli Gomez Davila</v>
          </cell>
        </row>
        <row r="120">
          <cell r="F120">
            <v>311141</v>
          </cell>
          <cell r="G120" t="str">
            <v>Beberlin Dayana Veron Garcia</v>
          </cell>
        </row>
        <row r="121">
          <cell r="F121">
            <v>312544</v>
          </cell>
          <cell r="G121" t="str">
            <v>Beberly Angeaneth Gonzalez Ruiz</v>
          </cell>
        </row>
        <row r="122">
          <cell r="F122">
            <v>309965</v>
          </cell>
          <cell r="G122" t="str">
            <v>Beberly Karina Ramirez Ismatul</v>
          </cell>
        </row>
        <row r="123">
          <cell r="F123">
            <v>313675</v>
          </cell>
          <cell r="G123" t="str">
            <v>Beberly Salvador Zuñiga</v>
          </cell>
        </row>
        <row r="124">
          <cell r="F124">
            <v>311623</v>
          </cell>
          <cell r="G124" t="str">
            <v>Belgica Lizeth Can Guitz</v>
          </cell>
        </row>
        <row r="125">
          <cell r="F125">
            <v>314219</v>
          </cell>
          <cell r="G125" t="str">
            <v>Berta Leticia Yapan Pelen</v>
          </cell>
        </row>
        <row r="126">
          <cell r="F126">
            <v>314495</v>
          </cell>
          <cell r="G126" t="str">
            <v>Bertha Lidia Morataya Diaz</v>
          </cell>
        </row>
        <row r="127">
          <cell r="F127">
            <v>310116</v>
          </cell>
          <cell r="G127" t="str">
            <v>Bertha Rosalba Gabriel Vasquez</v>
          </cell>
        </row>
        <row r="128">
          <cell r="F128">
            <v>312164</v>
          </cell>
          <cell r="G128" t="str">
            <v>Betzy Dayana Gutierrez Chon</v>
          </cell>
        </row>
        <row r="129">
          <cell r="F129">
            <v>314695</v>
          </cell>
          <cell r="G129" t="str">
            <v>Beverly Jeanette Panjoj Tiriquiz</v>
          </cell>
        </row>
        <row r="130">
          <cell r="F130">
            <v>305070</v>
          </cell>
          <cell r="G130" t="str">
            <v>Beverly Walesca Morales Ibarra</v>
          </cell>
        </row>
        <row r="131">
          <cell r="F131">
            <v>314496</v>
          </cell>
          <cell r="G131" t="str">
            <v>Blanca Cristina Saquic Ac</v>
          </cell>
        </row>
        <row r="132">
          <cell r="F132">
            <v>310463</v>
          </cell>
          <cell r="G132" t="str">
            <v>Blanca Olinda Quintanilla Godoy</v>
          </cell>
        </row>
        <row r="133">
          <cell r="F133">
            <v>315542</v>
          </cell>
          <cell r="G133" t="str">
            <v>Brandon Alberto Jerez Cajas</v>
          </cell>
        </row>
        <row r="134">
          <cell r="F134">
            <v>313655</v>
          </cell>
          <cell r="G134" t="str">
            <v>Brandon Antonio Alvarez Lopez</v>
          </cell>
        </row>
        <row r="135">
          <cell r="F135">
            <v>311035</v>
          </cell>
          <cell r="G135" t="str">
            <v>Brandon Ivan De Mata Monzon</v>
          </cell>
        </row>
        <row r="136">
          <cell r="F136">
            <v>315227</v>
          </cell>
          <cell r="G136" t="str">
            <v>Brayan Alexander Lopez Garcia</v>
          </cell>
        </row>
        <row r="137">
          <cell r="F137">
            <v>311689</v>
          </cell>
          <cell r="G137" t="str">
            <v>Brayan Alexander Recancoy Ramos</v>
          </cell>
        </row>
        <row r="138">
          <cell r="F138">
            <v>314853</v>
          </cell>
          <cell r="G138" t="str">
            <v>Brayan Dennis Lopez Puac</v>
          </cell>
        </row>
        <row r="139">
          <cell r="F139">
            <v>310812</v>
          </cell>
          <cell r="G139" t="str">
            <v>Brayan Franklin Lopez Alvarez</v>
          </cell>
        </row>
        <row r="140">
          <cell r="F140">
            <v>308857</v>
          </cell>
          <cell r="G140" t="str">
            <v>Brenda Elizabeth Sanchez Barrientos</v>
          </cell>
        </row>
        <row r="141">
          <cell r="F141">
            <v>305633</v>
          </cell>
          <cell r="G141" t="str">
            <v>Brenda Esmeralda Alvarado Pascual</v>
          </cell>
        </row>
        <row r="142">
          <cell r="F142">
            <v>311220</v>
          </cell>
          <cell r="G142" t="str">
            <v>Brenda Karina Coxaj Peinado</v>
          </cell>
        </row>
        <row r="143">
          <cell r="F143">
            <v>314642</v>
          </cell>
          <cell r="G143" t="str">
            <v>Brenda Liseth Ixcoy Tulujan</v>
          </cell>
        </row>
        <row r="144">
          <cell r="F144">
            <v>304427</v>
          </cell>
          <cell r="G144" t="str">
            <v>Brenda Lucrecia Lopez Gonzalez</v>
          </cell>
        </row>
        <row r="145">
          <cell r="F145">
            <v>315536</v>
          </cell>
          <cell r="G145" t="str">
            <v>Brenda Lucrecia Ruiz Sanchez</v>
          </cell>
        </row>
        <row r="146">
          <cell r="F146">
            <v>310019</v>
          </cell>
          <cell r="G146" t="str">
            <v>Brenda Maribel Montenegro Reyes</v>
          </cell>
        </row>
        <row r="147">
          <cell r="F147">
            <v>301074</v>
          </cell>
          <cell r="G147" t="str">
            <v>Brenda Marisol Aguilar Patzan</v>
          </cell>
        </row>
        <row r="148">
          <cell r="F148">
            <v>313843</v>
          </cell>
          <cell r="G148" t="str">
            <v>Brenda Marisol Sanchez Chivalan</v>
          </cell>
        </row>
        <row r="149">
          <cell r="F149">
            <v>309042</v>
          </cell>
          <cell r="G149" t="str">
            <v>Brenda Perez Morales</v>
          </cell>
        </row>
        <row r="150">
          <cell r="F150">
            <v>306259</v>
          </cell>
          <cell r="G150" t="str">
            <v>Brenda Raquel Ramirez Sanchez</v>
          </cell>
        </row>
        <row r="151">
          <cell r="F151">
            <v>315398</v>
          </cell>
          <cell r="G151" t="str">
            <v>Bretany Celeste Ramirez Monroy</v>
          </cell>
        </row>
        <row r="152">
          <cell r="F152">
            <v>313436</v>
          </cell>
          <cell r="G152" t="str">
            <v>Brian Baudilio Orozco Perez</v>
          </cell>
        </row>
        <row r="153">
          <cell r="F153">
            <v>310691</v>
          </cell>
          <cell r="G153" t="str">
            <v>Brisley Cristina Ortiz Zelada</v>
          </cell>
        </row>
        <row r="154">
          <cell r="F154">
            <v>314290</v>
          </cell>
          <cell r="G154" t="str">
            <v>Bryan Alexander Emanuel Orozco Lancerio</v>
          </cell>
        </row>
        <row r="155">
          <cell r="F155">
            <v>315133</v>
          </cell>
          <cell r="G155" t="str">
            <v>Bryan Daniel Milián De Leon</v>
          </cell>
        </row>
        <row r="156">
          <cell r="F156">
            <v>307335</v>
          </cell>
          <cell r="G156" t="str">
            <v>Bryllan Armando Sierra Sierra</v>
          </cell>
        </row>
        <row r="157">
          <cell r="F157">
            <v>314864</v>
          </cell>
          <cell r="G157" t="str">
            <v>Byron Estuardo Paredes Villela</v>
          </cell>
        </row>
        <row r="158">
          <cell r="F158">
            <v>313648</v>
          </cell>
          <cell r="G158" t="str">
            <v>Byron Giovanni Veliz Vasquez</v>
          </cell>
        </row>
        <row r="159">
          <cell r="F159">
            <v>303766</v>
          </cell>
          <cell r="G159" t="str">
            <v>Byron Josue Moscoso Vega</v>
          </cell>
        </row>
        <row r="160">
          <cell r="F160">
            <v>313985</v>
          </cell>
          <cell r="G160" t="str">
            <v>Byron Mauricio Amezquita Rivas</v>
          </cell>
        </row>
        <row r="161">
          <cell r="F161">
            <v>315267</v>
          </cell>
          <cell r="G161" t="str">
            <v>Carla Esmeralda Candido Gonzalez</v>
          </cell>
        </row>
        <row r="162">
          <cell r="F162">
            <v>314451</v>
          </cell>
          <cell r="G162" t="str">
            <v>Carla Fernanda Fernandez Lopez</v>
          </cell>
        </row>
        <row r="163">
          <cell r="F163">
            <v>312153</v>
          </cell>
          <cell r="G163" t="str">
            <v>Carlos Adalberto Diaz Escobar</v>
          </cell>
        </row>
        <row r="164">
          <cell r="F164">
            <v>315125</v>
          </cell>
          <cell r="G164" t="str">
            <v>Carlos Alberto Galvez Hernandez</v>
          </cell>
        </row>
        <row r="165">
          <cell r="F165">
            <v>314135</v>
          </cell>
          <cell r="G165" t="str">
            <v>Carlos Alberto Guzman Hernandez</v>
          </cell>
        </row>
        <row r="166">
          <cell r="F166">
            <v>315051</v>
          </cell>
          <cell r="G166" t="str">
            <v>Carlos Alfredo Catun Rax</v>
          </cell>
        </row>
        <row r="167">
          <cell r="F167">
            <v>309822</v>
          </cell>
          <cell r="G167" t="str">
            <v>Carlos Anibal Caal Tux</v>
          </cell>
        </row>
        <row r="168">
          <cell r="F168">
            <v>302371</v>
          </cell>
          <cell r="G168" t="str">
            <v>Carlos Arturo Straube Lopez</v>
          </cell>
        </row>
        <row r="169">
          <cell r="F169">
            <v>314738</v>
          </cell>
          <cell r="G169" t="str">
            <v>Carlos David Castillo Gamboa</v>
          </cell>
        </row>
        <row r="170">
          <cell r="F170">
            <v>315158</v>
          </cell>
          <cell r="G170" t="str">
            <v>Carlos Emilio Cumez Chenol</v>
          </cell>
        </row>
        <row r="171">
          <cell r="F171">
            <v>312533</v>
          </cell>
          <cell r="G171" t="str">
            <v>Carlos Enrique Coz Toc</v>
          </cell>
        </row>
        <row r="172">
          <cell r="F172">
            <v>314773</v>
          </cell>
          <cell r="G172" t="str">
            <v>Carlos Enrique Ramirez Lopez</v>
          </cell>
        </row>
        <row r="173">
          <cell r="F173">
            <v>313303</v>
          </cell>
          <cell r="G173" t="str">
            <v>Carlos Enrique Vasquez Esteban</v>
          </cell>
        </row>
        <row r="174">
          <cell r="F174">
            <v>314841</v>
          </cell>
          <cell r="G174" t="str">
            <v>Carlos Estuardo Campos Asig</v>
          </cell>
        </row>
        <row r="175">
          <cell r="F175">
            <v>308075</v>
          </cell>
          <cell r="G175" t="str">
            <v>Carlos Humberto De Paz Paiz</v>
          </cell>
        </row>
        <row r="176">
          <cell r="F176">
            <v>314441</v>
          </cell>
          <cell r="G176" t="str">
            <v>Carlos Josue Perez Garcia</v>
          </cell>
        </row>
        <row r="177">
          <cell r="F177">
            <v>202153</v>
          </cell>
          <cell r="G177" t="str">
            <v>Carlos Leonel Corado Sosa</v>
          </cell>
        </row>
        <row r="178">
          <cell r="F178">
            <v>313324</v>
          </cell>
          <cell r="G178" t="str">
            <v>Carlos Miguel Carrillo Perez</v>
          </cell>
        </row>
        <row r="179">
          <cell r="F179">
            <v>310535</v>
          </cell>
          <cell r="G179" t="str">
            <v>Carlos Oliverio Ortiz Villalobos</v>
          </cell>
        </row>
        <row r="180">
          <cell r="F180">
            <v>315501</v>
          </cell>
          <cell r="G180" t="str">
            <v>Carlos Onofre Sierra Vasquez</v>
          </cell>
        </row>
        <row r="181">
          <cell r="F181">
            <v>313844</v>
          </cell>
          <cell r="G181" t="str">
            <v>Carlos Raul Pedroza Lopez</v>
          </cell>
        </row>
        <row r="182">
          <cell r="F182">
            <v>315111</v>
          </cell>
          <cell r="G182" t="str">
            <v>Carlos Roberto Arana Garcia</v>
          </cell>
        </row>
        <row r="183">
          <cell r="F183">
            <v>304522</v>
          </cell>
          <cell r="G183" t="str">
            <v>Carlos Saul Santizo Lopez</v>
          </cell>
        </row>
        <row r="184">
          <cell r="F184">
            <v>315182</v>
          </cell>
          <cell r="G184" t="str">
            <v>Carmen Amalia Macario Rixtun</v>
          </cell>
        </row>
        <row r="185">
          <cell r="F185">
            <v>311800</v>
          </cell>
          <cell r="G185" t="str">
            <v>Carmen Elizabeth Vargas Tun</v>
          </cell>
        </row>
        <row r="186">
          <cell r="F186">
            <v>312849</v>
          </cell>
          <cell r="G186" t="str">
            <v>Carmen Liliana Subuyuj Ordoñez</v>
          </cell>
        </row>
        <row r="187">
          <cell r="F187">
            <v>315498</v>
          </cell>
          <cell r="G187" t="str">
            <v>Carolina Azucena Lima Contreras</v>
          </cell>
        </row>
        <row r="188">
          <cell r="F188">
            <v>312692</v>
          </cell>
          <cell r="G188" t="str">
            <v>Catarina Del Rosario Lopez Taquiej</v>
          </cell>
        </row>
        <row r="189">
          <cell r="F189">
            <v>314287</v>
          </cell>
          <cell r="G189" t="str">
            <v>Caterin Berenise Cayax Atz</v>
          </cell>
        </row>
        <row r="190">
          <cell r="F190">
            <v>313662</v>
          </cell>
          <cell r="G190" t="str">
            <v>Catirin Marbella Juarez Garcia</v>
          </cell>
        </row>
        <row r="191">
          <cell r="F191">
            <v>307766</v>
          </cell>
          <cell r="G191" t="str">
            <v>Cecia Amabil Lopez Valencia</v>
          </cell>
        </row>
        <row r="192">
          <cell r="F192">
            <v>311730</v>
          </cell>
          <cell r="G192" t="str">
            <v>Cecilia Margoth Lopez Raymundo</v>
          </cell>
        </row>
        <row r="193">
          <cell r="F193">
            <v>314955</v>
          </cell>
          <cell r="G193" t="str">
            <v>Celia Esperanza Arroyo Chiche</v>
          </cell>
        </row>
        <row r="194">
          <cell r="F194">
            <v>310950</v>
          </cell>
          <cell r="G194" t="str">
            <v>Cendy Regina Axulen Gonzalez</v>
          </cell>
        </row>
        <row r="195">
          <cell r="F195">
            <v>314640</v>
          </cell>
          <cell r="G195" t="str">
            <v>Cesar Estuardo Perez Monterroso</v>
          </cell>
        </row>
        <row r="196">
          <cell r="F196">
            <v>300192</v>
          </cell>
          <cell r="G196" t="str">
            <v>Cesar Fernando Reyna Almengor</v>
          </cell>
        </row>
        <row r="197">
          <cell r="F197">
            <v>313484</v>
          </cell>
          <cell r="G197" t="str">
            <v>Cesar Geovanni Tuc Sum</v>
          </cell>
        </row>
        <row r="198">
          <cell r="F198">
            <v>303330</v>
          </cell>
          <cell r="G198" t="str">
            <v>Cesar Geovanny De Leon Palacios</v>
          </cell>
        </row>
        <row r="199">
          <cell r="F199">
            <v>314446</v>
          </cell>
          <cell r="G199" t="str">
            <v>Cesar Humberto Cazun Hernandez</v>
          </cell>
        </row>
        <row r="200">
          <cell r="F200">
            <v>314900</v>
          </cell>
          <cell r="G200" t="str">
            <v>Cesar Oliverio Orozco Flores</v>
          </cell>
        </row>
        <row r="201">
          <cell r="F201">
            <v>311692</v>
          </cell>
          <cell r="G201" t="str">
            <v>Cesia Paola Marroquin Sanchez</v>
          </cell>
        </row>
        <row r="202">
          <cell r="F202">
            <v>315401</v>
          </cell>
          <cell r="G202" t="str">
            <v>Christa Maria Belen Barrera Mazariegos</v>
          </cell>
        </row>
        <row r="203">
          <cell r="F203">
            <v>315509</v>
          </cell>
          <cell r="G203" t="str">
            <v>Christiam Daniel Arroyo Cisneros</v>
          </cell>
        </row>
        <row r="204">
          <cell r="F204">
            <v>310362</v>
          </cell>
          <cell r="G204" t="str">
            <v>Christian Alejandro Tistoj Lopez</v>
          </cell>
        </row>
        <row r="205">
          <cell r="F205">
            <v>315525</v>
          </cell>
          <cell r="G205" t="str">
            <v>Christian Bladimir Panjoj Mejia</v>
          </cell>
        </row>
        <row r="206">
          <cell r="F206">
            <v>314565</v>
          </cell>
          <cell r="G206" t="str">
            <v>Christian Eduardo Celada Orellana</v>
          </cell>
        </row>
        <row r="207">
          <cell r="F207">
            <v>309907</v>
          </cell>
          <cell r="G207" t="str">
            <v>Christofer Antonio Chali Bacajol</v>
          </cell>
        </row>
        <row r="208">
          <cell r="F208">
            <v>312703</v>
          </cell>
          <cell r="G208" t="str">
            <v>Cindy Aracely Ruano Can</v>
          </cell>
        </row>
        <row r="209">
          <cell r="F209">
            <v>307760</v>
          </cell>
          <cell r="G209" t="str">
            <v>Cindy Beatriz Reyes De Leon</v>
          </cell>
        </row>
        <row r="210">
          <cell r="F210">
            <v>312950</v>
          </cell>
          <cell r="G210" t="str">
            <v>Cindy Carolina Sandoval Ruiz</v>
          </cell>
        </row>
        <row r="211">
          <cell r="F211">
            <v>312302</v>
          </cell>
          <cell r="G211" t="str">
            <v>Cindy Gabriela Chanchavac Mejia</v>
          </cell>
        </row>
        <row r="212">
          <cell r="F212">
            <v>315484</v>
          </cell>
          <cell r="G212" t="str">
            <v>Cindy Gabriela Perez</v>
          </cell>
        </row>
        <row r="213">
          <cell r="F213">
            <v>312872</v>
          </cell>
          <cell r="G213" t="str">
            <v>Cindy Judith Urizar Davila</v>
          </cell>
        </row>
        <row r="214">
          <cell r="F214">
            <v>312532</v>
          </cell>
          <cell r="G214" t="str">
            <v>Cindy Melissa Cordon Alfaro</v>
          </cell>
        </row>
        <row r="215">
          <cell r="F215">
            <v>314028</v>
          </cell>
          <cell r="G215" t="str">
            <v>Cindy Paola Garcia Monroy</v>
          </cell>
        </row>
        <row r="216">
          <cell r="F216">
            <v>314689</v>
          </cell>
          <cell r="G216" t="str">
            <v>Cindy Veronica Bran Polanco</v>
          </cell>
        </row>
        <row r="217">
          <cell r="F217">
            <v>314409</v>
          </cell>
          <cell r="G217" t="str">
            <v>Cindy Yenibeth Cano Claudio</v>
          </cell>
        </row>
        <row r="218">
          <cell r="F218">
            <v>310946</v>
          </cell>
          <cell r="G218" t="str">
            <v>Cindy Yesenia Morales Quevedo De Abril</v>
          </cell>
        </row>
        <row r="219">
          <cell r="F219">
            <v>312831</v>
          </cell>
          <cell r="G219" t="str">
            <v>Cindy Yojana Mendoza Cajas</v>
          </cell>
        </row>
        <row r="220">
          <cell r="F220">
            <v>312181</v>
          </cell>
          <cell r="G220" t="str">
            <v>Clara Elizabeth Joge Torres</v>
          </cell>
        </row>
        <row r="221">
          <cell r="F221">
            <v>310768</v>
          </cell>
          <cell r="G221" t="str">
            <v>Clara Lorena Perez Hernandez</v>
          </cell>
        </row>
        <row r="222">
          <cell r="F222">
            <v>315453</v>
          </cell>
          <cell r="G222" t="str">
            <v>Claudia Analy Argueta Matias</v>
          </cell>
        </row>
        <row r="223">
          <cell r="F223">
            <v>306444</v>
          </cell>
          <cell r="G223" t="str">
            <v>Claudia Dolores Barcenas Guillen</v>
          </cell>
        </row>
        <row r="224">
          <cell r="F224">
            <v>301809</v>
          </cell>
          <cell r="G224" t="str">
            <v>Claudia Eugenia Chavarria Ramos</v>
          </cell>
        </row>
        <row r="225">
          <cell r="F225">
            <v>311808</v>
          </cell>
          <cell r="G225" t="str">
            <v>Claudia Lorena Quino Isaguirre</v>
          </cell>
        </row>
        <row r="226">
          <cell r="F226">
            <v>314574</v>
          </cell>
          <cell r="G226" t="str">
            <v>Claudia Marisol Esquivel Ramirez</v>
          </cell>
        </row>
        <row r="227">
          <cell r="F227">
            <v>313613</v>
          </cell>
          <cell r="G227" t="str">
            <v>Claudia Noemi Marroquin Perez</v>
          </cell>
        </row>
        <row r="228">
          <cell r="F228">
            <v>306569</v>
          </cell>
          <cell r="G228" t="str">
            <v>Claudia Susana Garcia</v>
          </cell>
        </row>
        <row r="229">
          <cell r="F229">
            <v>311441</v>
          </cell>
          <cell r="G229" t="str">
            <v>Claudia Yaneth Hidalgo Gonzalez</v>
          </cell>
        </row>
        <row r="230">
          <cell r="F230">
            <v>303265</v>
          </cell>
          <cell r="G230" t="str">
            <v>Claudia Yesenia Pinto Picen</v>
          </cell>
        </row>
        <row r="231">
          <cell r="F231">
            <v>313318</v>
          </cell>
          <cell r="G231" t="str">
            <v>Claudia Yesenia Ramos Perez</v>
          </cell>
        </row>
        <row r="232">
          <cell r="F232">
            <v>309535</v>
          </cell>
          <cell r="G232" t="str">
            <v>Coralia Brenda Judith Ruano Hernandez</v>
          </cell>
        </row>
        <row r="233">
          <cell r="F233">
            <v>310711</v>
          </cell>
          <cell r="G233" t="str">
            <v>Cristian Alfredo Jimenez Quino</v>
          </cell>
        </row>
        <row r="234">
          <cell r="F234">
            <v>312995</v>
          </cell>
          <cell r="G234" t="str">
            <v>Cristian Esleiter Zuleta Batres</v>
          </cell>
        </row>
        <row r="235">
          <cell r="F235">
            <v>314701</v>
          </cell>
          <cell r="G235" t="str">
            <v>Cristian Orlando Leonardo Cortez</v>
          </cell>
        </row>
        <row r="236">
          <cell r="F236">
            <v>314612</v>
          </cell>
          <cell r="G236" t="str">
            <v>Cristian Romulo Rolando Cojulun Barrera</v>
          </cell>
        </row>
        <row r="237">
          <cell r="F237">
            <v>314468</v>
          </cell>
          <cell r="G237" t="str">
            <v>Cristian Salvador Perez Quiroa</v>
          </cell>
        </row>
        <row r="238">
          <cell r="F238">
            <v>314670</v>
          </cell>
          <cell r="G238" t="str">
            <v>Cristian Tomas Chuc Perez</v>
          </cell>
        </row>
        <row r="239">
          <cell r="F239">
            <v>315578</v>
          </cell>
          <cell r="G239" t="str">
            <v>Cristian Ubaldo De Leon Ramirez</v>
          </cell>
        </row>
        <row r="240">
          <cell r="F240">
            <v>307449</v>
          </cell>
          <cell r="G240" t="str">
            <v>Cristina De Jesus Hernandez Macajola</v>
          </cell>
        </row>
        <row r="241">
          <cell r="F241">
            <v>306823</v>
          </cell>
          <cell r="G241" t="str">
            <v>Cristina Mariela Sapon Morales</v>
          </cell>
        </row>
        <row r="242">
          <cell r="F242">
            <v>313589</v>
          </cell>
          <cell r="G242" t="str">
            <v>Cristobal Vinicio Chacon Rosana</v>
          </cell>
        </row>
        <row r="243">
          <cell r="F243">
            <v>310386</v>
          </cell>
          <cell r="G243" t="str">
            <v>Cristy Charito Bran Guerra</v>
          </cell>
        </row>
        <row r="244">
          <cell r="F244">
            <v>314883</v>
          </cell>
          <cell r="G244" t="str">
            <v>Cynthia Guisela Samayoa Aldana</v>
          </cell>
        </row>
        <row r="245">
          <cell r="F245">
            <v>313709</v>
          </cell>
          <cell r="G245" t="str">
            <v>Cynthia Marisol Gonzalez Vargas</v>
          </cell>
        </row>
        <row r="246">
          <cell r="F246">
            <v>314097</v>
          </cell>
          <cell r="G246" t="str">
            <v>Cynthia Rosaura Cruz Cosajay</v>
          </cell>
        </row>
        <row r="247">
          <cell r="F247">
            <v>314981</v>
          </cell>
          <cell r="G247" t="str">
            <v>Dalila Marisol Ramos Galan</v>
          </cell>
        </row>
        <row r="248">
          <cell r="F248">
            <v>308765</v>
          </cell>
          <cell r="G248" t="str">
            <v>Damaris Abigail Garcia Perez</v>
          </cell>
        </row>
        <row r="249">
          <cell r="F249">
            <v>315256</v>
          </cell>
          <cell r="G249" t="str">
            <v>Damaris Abigail Urizar Martinez</v>
          </cell>
        </row>
        <row r="250">
          <cell r="F250">
            <v>312949</v>
          </cell>
          <cell r="G250" t="str">
            <v>Damaris Liseth Sagastume Pinto</v>
          </cell>
        </row>
        <row r="251">
          <cell r="F251">
            <v>314411</v>
          </cell>
          <cell r="G251" t="str">
            <v>Damaris Paola Gonzalez Gallardo</v>
          </cell>
        </row>
        <row r="252">
          <cell r="F252">
            <v>314179</v>
          </cell>
          <cell r="G252" t="str">
            <v>Damaris Sucely Mendez Roche</v>
          </cell>
        </row>
        <row r="253">
          <cell r="F253">
            <v>314276</v>
          </cell>
          <cell r="G253" t="str">
            <v>Damaris Violeta Gonzalez Miguel</v>
          </cell>
        </row>
        <row r="254">
          <cell r="F254">
            <v>313514</v>
          </cell>
          <cell r="G254" t="str">
            <v>Danae Melissa Xitumul Ruiz</v>
          </cell>
        </row>
        <row r="255">
          <cell r="F255">
            <v>313868</v>
          </cell>
          <cell r="G255" t="str">
            <v>Danely Arleth Rubin Escobar</v>
          </cell>
        </row>
        <row r="256">
          <cell r="F256">
            <v>315480</v>
          </cell>
          <cell r="G256" t="str">
            <v>Daneylie Abigalie Dardon Gomez</v>
          </cell>
        </row>
        <row r="257">
          <cell r="F257">
            <v>314406</v>
          </cell>
          <cell r="G257" t="str">
            <v>Daniel Abrahan Castillo Hernandez</v>
          </cell>
        </row>
        <row r="258">
          <cell r="F258">
            <v>314646</v>
          </cell>
          <cell r="G258" t="str">
            <v>Daniel Alfredo Aguirre Marroquin</v>
          </cell>
        </row>
        <row r="259">
          <cell r="F259">
            <v>305521</v>
          </cell>
          <cell r="G259" t="str">
            <v>Daniel Antonio Aceituno Paredes</v>
          </cell>
        </row>
        <row r="260">
          <cell r="F260">
            <v>315568</v>
          </cell>
          <cell r="G260" t="str">
            <v>Daniel Isai Moran Lima</v>
          </cell>
        </row>
        <row r="261">
          <cell r="F261">
            <v>310374</v>
          </cell>
          <cell r="G261" t="str">
            <v>Daniela Amarilis Davila Juarez</v>
          </cell>
        </row>
        <row r="262">
          <cell r="F262">
            <v>315104</v>
          </cell>
          <cell r="G262" t="str">
            <v>Dany Adalberto Choc Bac</v>
          </cell>
        </row>
        <row r="263">
          <cell r="F263">
            <v>314807</v>
          </cell>
          <cell r="G263" t="str">
            <v>Daomi Mishel Larios Morales</v>
          </cell>
        </row>
        <row r="264">
          <cell r="F264">
            <v>312391</v>
          </cell>
          <cell r="G264" t="str">
            <v>Daphne Pamela Lopez Rodriguez</v>
          </cell>
        </row>
        <row r="265">
          <cell r="F265">
            <v>312172</v>
          </cell>
          <cell r="G265" t="str">
            <v>Darbin Alejandro Soto Rodriguez</v>
          </cell>
        </row>
        <row r="266">
          <cell r="F266">
            <v>314845</v>
          </cell>
          <cell r="G266" t="str">
            <v>Darissa Anahi Galindo Monzon</v>
          </cell>
        </row>
        <row r="267">
          <cell r="F267">
            <v>312419</v>
          </cell>
          <cell r="G267" t="str">
            <v>Darli Asuceli Florian Garcia</v>
          </cell>
        </row>
        <row r="268">
          <cell r="F268">
            <v>312836</v>
          </cell>
          <cell r="G268" t="str">
            <v>Darlin Estefany Coyoy Rivas</v>
          </cell>
        </row>
        <row r="269">
          <cell r="F269">
            <v>312077</v>
          </cell>
          <cell r="G269" t="str">
            <v>Darlin Pamela Aguilar De La Cruz</v>
          </cell>
        </row>
        <row r="270">
          <cell r="F270">
            <v>314775</v>
          </cell>
          <cell r="G270" t="str">
            <v>Darlyn Dayanara Cortez Ramirez</v>
          </cell>
        </row>
        <row r="271">
          <cell r="F271">
            <v>312223</v>
          </cell>
          <cell r="G271" t="str">
            <v>Darlyn Guadalupe Barrios Yax</v>
          </cell>
        </row>
        <row r="272">
          <cell r="F272">
            <v>309926</v>
          </cell>
          <cell r="G272" t="str">
            <v>Darwin Alexis Ponciano Cruz</v>
          </cell>
        </row>
        <row r="273">
          <cell r="F273">
            <v>315167</v>
          </cell>
          <cell r="G273" t="str">
            <v>Darwin Omar Cabrera Cheguen</v>
          </cell>
        </row>
        <row r="274">
          <cell r="F274">
            <v>310390</v>
          </cell>
          <cell r="G274" t="str">
            <v>Dauris Yomira Tellechea Lopez</v>
          </cell>
        </row>
        <row r="275">
          <cell r="F275">
            <v>202076</v>
          </cell>
          <cell r="G275" t="str">
            <v>David De Jesus Quel Orozco</v>
          </cell>
        </row>
        <row r="276">
          <cell r="F276">
            <v>314891</v>
          </cell>
          <cell r="G276" t="str">
            <v>David Emanuel Cachin Morales</v>
          </cell>
        </row>
        <row r="277">
          <cell r="F277">
            <v>309831</v>
          </cell>
          <cell r="G277" t="str">
            <v>David Mejia Vicente</v>
          </cell>
        </row>
        <row r="278">
          <cell r="F278">
            <v>315533</v>
          </cell>
          <cell r="G278" t="str">
            <v>Dayana Paola Lopez Bolanos</v>
          </cell>
        </row>
        <row r="279">
          <cell r="F279">
            <v>314017</v>
          </cell>
          <cell r="G279" t="str">
            <v>Dayanna Beatriz Cachupe Chavac</v>
          </cell>
        </row>
        <row r="280">
          <cell r="F280">
            <v>314852</v>
          </cell>
          <cell r="G280" t="str">
            <v>Daylin Ambrocia Cruz Lopez</v>
          </cell>
        </row>
        <row r="281">
          <cell r="F281">
            <v>313408</v>
          </cell>
          <cell r="G281" t="str">
            <v>Dayne Dalu Sanchez Hernandez</v>
          </cell>
        </row>
        <row r="282">
          <cell r="F282">
            <v>315552</v>
          </cell>
          <cell r="G282" t="str">
            <v>Debora Eunice Tzay Chuluc</v>
          </cell>
        </row>
        <row r="283">
          <cell r="F283">
            <v>313629</v>
          </cell>
          <cell r="G283" t="str">
            <v>Debora Madahi Escobar Gomez</v>
          </cell>
        </row>
        <row r="284">
          <cell r="F284">
            <v>315270</v>
          </cell>
          <cell r="G284" t="str">
            <v>Debora Paola Sepez Cuc</v>
          </cell>
        </row>
        <row r="285">
          <cell r="F285">
            <v>314353</v>
          </cell>
          <cell r="G285" t="str">
            <v>Deisy Gabriela Pineda Paiz</v>
          </cell>
        </row>
        <row r="286">
          <cell r="F286">
            <v>302751</v>
          </cell>
          <cell r="G286" t="str">
            <v>Delia Virginia Piedrasanta Parra</v>
          </cell>
        </row>
        <row r="287">
          <cell r="F287">
            <v>201031</v>
          </cell>
          <cell r="G287" t="str">
            <v>Delio Maynor Lopez Barrios</v>
          </cell>
        </row>
        <row r="288">
          <cell r="F288">
            <v>311758</v>
          </cell>
          <cell r="G288" t="str">
            <v>Delmy Fabiola Orellana Barrientos</v>
          </cell>
        </row>
        <row r="289">
          <cell r="F289">
            <v>307870</v>
          </cell>
          <cell r="G289" t="str">
            <v>Delmy Francisca Lopez Perez</v>
          </cell>
        </row>
        <row r="290">
          <cell r="F290">
            <v>314901</v>
          </cell>
          <cell r="G290" t="str">
            <v>Delmy Vanesa Morales Ramirez</v>
          </cell>
        </row>
        <row r="291">
          <cell r="F291">
            <v>306256</v>
          </cell>
          <cell r="G291" t="str">
            <v>Delwin Leonel Vasquez Barrera</v>
          </cell>
        </row>
        <row r="292">
          <cell r="F292">
            <v>314540</v>
          </cell>
          <cell r="G292" t="str">
            <v>Denilson Laureano De Paz Galdamez</v>
          </cell>
        </row>
        <row r="293">
          <cell r="F293">
            <v>312158</v>
          </cell>
          <cell r="G293" t="str">
            <v>Derick Juan David Coti Camas</v>
          </cell>
        </row>
        <row r="294">
          <cell r="F294">
            <v>315437</v>
          </cell>
          <cell r="G294" t="str">
            <v>Deysi Liliana Caal Oxom</v>
          </cell>
        </row>
        <row r="295">
          <cell r="F295">
            <v>309692</v>
          </cell>
          <cell r="G295" t="str">
            <v>Deysi Margoth Lopez Monroy</v>
          </cell>
        </row>
        <row r="296">
          <cell r="F296">
            <v>309418</v>
          </cell>
          <cell r="G296" t="str">
            <v>Deysi Noemi Aranoli Carias Pimentel</v>
          </cell>
        </row>
        <row r="297">
          <cell r="F297">
            <v>313797</v>
          </cell>
          <cell r="G297" t="str">
            <v>Deysi Paola Lopez Yanes De Conde</v>
          </cell>
        </row>
        <row r="298">
          <cell r="F298">
            <v>312166</v>
          </cell>
          <cell r="G298" t="str">
            <v>Deysi Roxana Pablo Ramirez</v>
          </cell>
        </row>
        <row r="299">
          <cell r="F299">
            <v>313856</v>
          </cell>
          <cell r="G299" t="str">
            <v>Diana Andrea Castillo Mejia</v>
          </cell>
        </row>
        <row r="300">
          <cell r="F300">
            <v>310411</v>
          </cell>
          <cell r="G300" t="str">
            <v>Diana Elizabeth Ayfan Del Cid</v>
          </cell>
        </row>
        <row r="301">
          <cell r="F301">
            <v>315070</v>
          </cell>
          <cell r="G301" t="str">
            <v>Diana Guisela Satey De Leon</v>
          </cell>
        </row>
        <row r="302">
          <cell r="F302">
            <v>315089</v>
          </cell>
          <cell r="G302" t="str">
            <v>Diana Lizeth Acabal Pansay</v>
          </cell>
        </row>
        <row r="303">
          <cell r="F303">
            <v>315209</v>
          </cell>
          <cell r="G303" t="str">
            <v>Diana Mishel Perez Flores</v>
          </cell>
        </row>
        <row r="304">
          <cell r="F304">
            <v>314964</v>
          </cell>
          <cell r="G304" t="str">
            <v>Diana Priscila Reyes Bran</v>
          </cell>
        </row>
        <row r="305">
          <cell r="F305">
            <v>315545</v>
          </cell>
          <cell r="G305" t="str">
            <v>Diego Alejandro Monroy Barillas</v>
          </cell>
        </row>
        <row r="306">
          <cell r="F306">
            <v>314603</v>
          </cell>
          <cell r="G306" t="str">
            <v>Diego Antonio Dubon Suyen</v>
          </cell>
        </row>
        <row r="307">
          <cell r="F307">
            <v>314912</v>
          </cell>
          <cell r="G307" t="str">
            <v>Diego Ezequiel Samayoa Toledo</v>
          </cell>
        </row>
        <row r="308">
          <cell r="F308">
            <v>314021</v>
          </cell>
          <cell r="G308" t="str">
            <v>Diego Josue David Dieguez Vivar</v>
          </cell>
        </row>
        <row r="309">
          <cell r="F309">
            <v>314609</v>
          </cell>
          <cell r="G309" t="str">
            <v>Dilma Carolina Zetino Zepeda</v>
          </cell>
        </row>
        <row r="310">
          <cell r="F310">
            <v>315393</v>
          </cell>
          <cell r="G310" t="str">
            <v>Dina Azucena Ortiz Crispin</v>
          </cell>
        </row>
        <row r="311">
          <cell r="F311">
            <v>301534</v>
          </cell>
          <cell r="G311" t="str">
            <v>Donald Alejandro Mendez Mayen</v>
          </cell>
        </row>
        <row r="312">
          <cell r="F312">
            <v>314070</v>
          </cell>
          <cell r="G312" t="str">
            <v>Donetta Diaz Oroman</v>
          </cell>
        </row>
        <row r="313">
          <cell r="F313">
            <v>313316</v>
          </cell>
          <cell r="G313" t="str">
            <v>Dora Estefany Garcia Zetino</v>
          </cell>
        </row>
        <row r="314">
          <cell r="F314">
            <v>308707</v>
          </cell>
          <cell r="G314" t="str">
            <v>Dorcas Raquel Palacios Reyes</v>
          </cell>
        </row>
        <row r="315">
          <cell r="F315">
            <v>308921</v>
          </cell>
          <cell r="G315" t="str">
            <v>Doris Elizabeth Sandoval Gonzalez</v>
          </cell>
        </row>
        <row r="316">
          <cell r="F316">
            <v>315057</v>
          </cell>
          <cell r="G316" t="str">
            <v>Dorman Fernando Gomez Perez</v>
          </cell>
        </row>
        <row r="317">
          <cell r="F317">
            <v>312651</v>
          </cell>
          <cell r="G317" t="str">
            <v>Douglas Alberto Luna</v>
          </cell>
        </row>
        <row r="318">
          <cell r="F318">
            <v>314635</v>
          </cell>
          <cell r="G318" t="str">
            <v>Douglas Armando Garcia Machic</v>
          </cell>
        </row>
        <row r="319">
          <cell r="F319">
            <v>313351</v>
          </cell>
          <cell r="G319" t="str">
            <v>Douglas Nehemias Paz Agustin</v>
          </cell>
        </row>
        <row r="320">
          <cell r="F320">
            <v>309154</v>
          </cell>
          <cell r="G320" t="str">
            <v>Duglas Alexander Ramirez</v>
          </cell>
        </row>
        <row r="321">
          <cell r="F321">
            <v>310593</v>
          </cell>
          <cell r="G321" t="str">
            <v>Dulce Estrellita Boche Pineda</v>
          </cell>
        </row>
        <row r="322">
          <cell r="F322">
            <v>312578</v>
          </cell>
          <cell r="G322" t="str">
            <v>Dulce Fabiola Cabrera Alvarado</v>
          </cell>
        </row>
        <row r="323">
          <cell r="F323">
            <v>314977</v>
          </cell>
          <cell r="G323" t="str">
            <v>Dulce Gollin Garcia</v>
          </cell>
        </row>
        <row r="324">
          <cell r="F324">
            <v>315028</v>
          </cell>
          <cell r="G324" t="str">
            <v>Dulce Maria Barillas Pineda</v>
          </cell>
        </row>
        <row r="325">
          <cell r="F325">
            <v>314016</v>
          </cell>
          <cell r="G325" t="str">
            <v>Dulce Maria De Los Angeles Carranza Poitan</v>
          </cell>
        </row>
        <row r="326">
          <cell r="F326">
            <v>314338</v>
          </cell>
          <cell r="G326" t="str">
            <v>Dulce Maria Sican Galicia</v>
          </cell>
        </row>
        <row r="327">
          <cell r="F327">
            <v>301052</v>
          </cell>
          <cell r="G327" t="str">
            <v>Dulsse Gabriela Muñoz Giordano</v>
          </cell>
        </row>
        <row r="328">
          <cell r="F328">
            <v>313406</v>
          </cell>
          <cell r="G328" t="str">
            <v>Duncan Vladimir Fuentes Marroquin</v>
          </cell>
        </row>
        <row r="329">
          <cell r="F329">
            <v>315551</v>
          </cell>
          <cell r="G329" t="str">
            <v>Dylan Anderson Rodriguez Paredes</v>
          </cell>
        </row>
        <row r="330">
          <cell r="F330">
            <v>301579</v>
          </cell>
          <cell r="G330" t="str">
            <v>Eber Manuel Valdes Samayoa</v>
          </cell>
        </row>
        <row r="331">
          <cell r="F331">
            <v>314077</v>
          </cell>
          <cell r="G331" t="str">
            <v>Eddy Estuardo Lool Calderon</v>
          </cell>
        </row>
        <row r="332">
          <cell r="F332">
            <v>304630</v>
          </cell>
          <cell r="G332" t="str">
            <v>Eddy Jose Cabrera Rivas</v>
          </cell>
        </row>
        <row r="333">
          <cell r="F333">
            <v>315163</v>
          </cell>
          <cell r="G333" t="str">
            <v>Edgar Alejandro Alvarado Juarez</v>
          </cell>
        </row>
        <row r="334">
          <cell r="F334">
            <v>314231</v>
          </cell>
          <cell r="G334" t="str">
            <v>Edgar Alfonso Escoto Asig</v>
          </cell>
        </row>
        <row r="335">
          <cell r="F335">
            <v>312910</v>
          </cell>
          <cell r="G335" t="str">
            <v>Edgar Augusto Lara Joachin</v>
          </cell>
        </row>
        <row r="336">
          <cell r="F336">
            <v>314531</v>
          </cell>
          <cell r="G336" t="str">
            <v>Edgar Josue Lopez Cahuec</v>
          </cell>
        </row>
        <row r="337">
          <cell r="F337">
            <v>309428</v>
          </cell>
          <cell r="G337" t="str">
            <v>Edgar Manrique Flores Sanchez</v>
          </cell>
        </row>
        <row r="338">
          <cell r="F338">
            <v>313559</v>
          </cell>
          <cell r="G338" t="str">
            <v>Edgar Ricardo Lopez Valenzuela</v>
          </cell>
        </row>
        <row r="339">
          <cell r="F339">
            <v>314916</v>
          </cell>
          <cell r="G339" t="str">
            <v>Edgar Samuel Chavez Garcia</v>
          </cell>
        </row>
        <row r="340">
          <cell r="F340">
            <v>313861</v>
          </cell>
          <cell r="G340" t="str">
            <v>Edith Guadalupe Del Cid Orellana</v>
          </cell>
        </row>
        <row r="341">
          <cell r="F341">
            <v>304240</v>
          </cell>
          <cell r="G341" t="str">
            <v>Edna Fabiola Miranda Nufio</v>
          </cell>
        </row>
        <row r="342">
          <cell r="F342">
            <v>313770</v>
          </cell>
          <cell r="G342" t="str">
            <v>Edna Rubi Hernandez Retana</v>
          </cell>
        </row>
        <row r="343">
          <cell r="F343">
            <v>308533</v>
          </cell>
          <cell r="G343" t="str">
            <v>Eduardo Antonio Sotoj Zepeda</v>
          </cell>
        </row>
        <row r="344">
          <cell r="F344">
            <v>315502</v>
          </cell>
          <cell r="G344" t="str">
            <v>Eduardo Eliu Camey Coyoy</v>
          </cell>
        </row>
        <row r="345">
          <cell r="F345">
            <v>315483</v>
          </cell>
          <cell r="G345" t="str">
            <v>Eduardo Jose Perez Pichilla</v>
          </cell>
        </row>
        <row r="346">
          <cell r="F346">
            <v>306695</v>
          </cell>
          <cell r="G346" t="str">
            <v>Eduvina Lisbeth Chilel Garcia</v>
          </cell>
        </row>
        <row r="347">
          <cell r="F347">
            <v>313804</v>
          </cell>
          <cell r="G347" t="str">
            <v>Edvin Daniel Compa Oroxom</v>
          </cell>
        </row>
        <row r="348">
          <cell r="F348">
            <v>305736</v>
          </cell>
          <cell r="G348" t="str">
            <v>Edvin Estuardo Ordoñez Gonzalez</v>
          </cell>
        </row>
        <row r="349">
          <cell r="F349">
            <v>313327</v>
          </cell>
          <cell r="G349" t="str">
            <v>Edvin Raul Chavez Monroy</v>
          </cell>
        </row>
        <row r="350">
          <cell r="F350">
            <v>309209</v>
          </cell>
          <cell r="G350" t="str">
            <v>Edward Andoni Alvarez Agueda</v>
          </cell>
        </row>
        <row r="351">
          <cell r="F351">
            <v>311219</v>
          </cell>
          <cell r="G351" t="str">
            <v>Edward Oswaldo Mo Macz</v>
          </cell>
        </row>
        <row r="352">
          <cell r="F352">
            <v>315174</v>
          </cell>
          <cell r="G352" t="str">
            <v>Edwin Adolfo Soberanis Mazariegos</v>
          </cell>
        </row>
        <row r="353">
          <cell r="F353">
            <v>312540</v>
          </cell>
          <cell r="G353" t="str">
            <v>Edwin Alexander Davila Xitumul</v>
          </cell>
        </row>
        <row r="354">
          <cell r="F354">
            <v>313701</v>
          </cell>
          <cell r="G354" t="str">
            <v>Edwin Ernesto Sut Chinol</v>
          </cell>
        </row>
        <row r="355">
          <cell r="F355">
            <v>312557</v>
          </cell>
          <cell r="G355" t="str">
            <v>Edwin Romeo Eleazar Ochoa Lopez</v>
          </cell>
        </row>
        <row r="356">
          <cell r="F356">
            <v>311167</v>
          </cell>
          <cell r="G356" t="str">
            <v>Edy Giancarlo Moreno Pineda</v>
          </cell>
        </row>
        <row r="357">
          <cell r="F357">
            <v>312542</v>
          </cell>
          <cell r="G357" t="str">
            <v>Elba Eulalia Esquite Lemus</v>
          </cell>
        </row>
        <row r="358">
          <cell r="F358">
            <v>303412</v>
          </cell>
          <cell r="G358" t="str">
            <v>Elder Antonio Mendez Tobar</v>
          </cell>
        </row>
        <row r="359">
          <cell r="F359">
            <v>315436</v>
          </cell>
          <cell r="G359" t="str">
            <v>Elder Frankiln Cax Dionicio</v>
          </cell>
        </row>
        <row r="360">
          <cell r="F360">
            <v>311891</v>
          </cell>
          <cell r="G360" t="str">
            <v>Elder Uzias Jordan Perez</v>
          </cell>
        </row>
        <row r="361">
          <cell r="F361">
            <v>309812</v>
          </cell>
          <cell r="G361" t="str">
            <v>Elena Yazmin Valdez Gallegos</v>
          </cell>
        </row>
        <row r="362">
          <cell r="F362">
            <v>314275</v>
          </cell>
          <cell r="G362" t="str">
            <v>Elias Jose Daniel Estrada Nufio</v>
          </cell>
        </row>
        <row r="363">
          <cell r="F363">
            <v>307588</v>
          </cell>
          <cell r="G363" t="str">
            <v>Elida Noemi Monroy Ortega</v>
          </cell>
        </row>
        <row r="364">
          <cell r="F364">
            <v>315463</v>
          </cell>
          <cell r="G364" t="str">
            <v>Elin Magali Gallardo Velasquez</v>
          </cell>
        </row>
        <row r="365">
          <cell r="F365">
            <v>310755</v>
          </cell>
          <cell r="G365" t="str">
            <v>Elisa Clementina Mazariegos Andrade</v>
          </cell>
        </row>
        <row r="366">
          <cell r="F366">
            <v>314466</v>
          </cell>
          <cell r="G366" t="str">
            <v>Eliseo Gonzalez De Leon</v>
          </cell>
        </row>
        <row r="367">
          <cell r="F367">
            <v>310043</v>
          </cell>
          <cell r="G367" t="str">
            <v>Elizangela Jazmin Barillas Ramirez</v>
          </cell>
        </row>
        <row r="368">
          <cell r="F368">
            <v>314443</v>
          </cell>
          <cell r="G368" t="str">
            <v>Elmer Antonio Muñoz Alvarez</v>
          </cell>
        </row>
        <row r="369">
          <cell r="F369">
            <v>314763</v>
          </cell>
          <cell r="G369" t="str">
            <v>Elsa Edith Alixjandra Morales Cordon</v>
          </cell>
        </row>
        <row r="370">
          <cell r="F370">
            <v>311227</v>
          </cell>
          <cell r="G370" t="str">
            <v>Elsa Karina Siquibache Perez</v>
          </cell>
        </row>
        <row r="371">
          <cell r="F371">
            <v>308968</v>
          </cell>
          <cell r="G371" t="str">
            <v>Eluizer Amadeus De Leon De Leon</v>
          </cell>
        </row>
        <row r="372">
          <cell r="F372">
            <v>314871</v>
          </cell>
          <cell r="G372" t="str">
            <v>Elvis Ariel Juarez Solis</v>
          </cell>
        </row>
        <row r="373">
          <cell r="F373">
            <v>313368</v>
          </cell>
          <cell r="G373" t="str">
            <v>Elvis Orlando Lopez Marroquin</v>
          </cell>
        </row>
        <row r="374">
          <cell r="F374">
            <v>314342</v>
          </cell>
          <cell r="G374" t="str">
            <v>Emanuel Perez Garnillo</v>
          </cell>
        </row>
        <row r="375">
          <cell r="F375">
            <v>312736</v>
          </cell>
          <cell r="G375" t="str">
            <v>Emely Johanna Urbina Beltran</v>
          </cell>
        </row>
        <row r="376">
          <cell r="F376">
            <v>312762</v>
          </cell>
          <cell r="G376" t="str">
            <v>Emerson Ezequiel Giron Lopez</v>
          </cell>
        </row>
        <row r="377">
          <cell r="F377">
            <v>303591</v>
          </cell>
          <cell r="G377" t="str">
            <v>Emerson Josue Lopez Hernandez</v>
          </cell>
        </row>
        <row r="378">
          <cell r="F378">
            <v>312165</v>
          </cell>
          <cell r="G378" t="str">
            <v>Emily Jisselle Rosales Paz</v>
          </cell>
        </row>
        <row r="379">
          <cell r="F379">
            <v>313560</v>
          </cell>
          <cell r="G379" t="str">
            <v>Emy Noemi Vicente Herrera</v>
          </cell>
        </row>
        <row r="380">
          <cell r="F380">
            <v>315047</v>
          </cell>
          <cell r="G380" t="str">
            <v>Erick Adolfo Orellana Lopez</v>
          </cell>
        </row>
        <row r="381">
          <cell r="F381">
            <v>311598</v>
          </cell>
          <cell r="G381" t="str">
            <v>Erick Antonio Perez Perez</v>
          </cell>
        </row>
        <row r="382">
          <cell r="F382">
            <v>311742</v>
          </cell>
          <cell r="G382" t="str">
            <v>Erick Estuardo Morales Samayoa</v>
          </cell>
        </row>
        <row r="383">
          <cell r="F383">
            <v>308758</v>
          </cell>
          <cell r="G383" t="str">
            <v>Erick Gamaliel Pineda Mendez</v>
          </cell>
        </row>
        <row r="384">
          <cell r="F384">
            <v>314371</v>
          </cell>
          <cell r="G384" t="str">
            <v>Erick Guillermo Sierra Escobar</v>
          </cell>
        </row>
        <row r="385">
          <cell r="F385">
            <v>314095</v>
          </cell>
          <cell r="G385" t="str">
            <v>Erick Joel Diaz Barrera</v>
          </cell>
        </row>
        <row r="386">
          <cell r="F386">
            <v>314408</v>
          </cell>
          <cell r="G386" t="str">
            <v>Erick Josue Martinez Pineda</v>
          </cell>
        </row>
        <row r="387">
          <cell r="F387">
            <v>312434</v>
          </cell>
          <cell r="G387" t="str">
            <v>Erick Manuel Umul Quiej</v>
          </cell>
        </row>
        <row r="388">
          <cell r="F388">
            <v>202410</v>
          </cell>
          <cell r="G388" t="str">
            <v>Erick Oswaldo Aguilar Santiago</v>
          </cell>
        </row>
        <row r="389">
          <cell r="F389">
            <v>310750</v>
          </cell>
          <cell r="G389" t="str">
            <v>Erick Uriel Sandoval Herrera</v>
          </cell>
        </row>
        <row r="390">
          <cell r="F390">
            <v>304557</v>
          </cell>
          <cell r="G390" t="str">
            <v>Ericka Arceli Gonzalez Astorga</v>
          </cell>
        </row>
        <row r="391">
          <cell r="F391">
            <v>308593</v>
          </cell>
          <cell r="G391" t="str">
            <v>Ericka Beatriz Tiu Arriola</v>
          </cell>
        </row>
        <row r="392">
          <cell r="F392">
            <v>310893</v>
          </cell>
          <cell r="G392" t="str">
            <v>Ericka Florentina Hernandez Bermudes</v>
          </cell>
        </row>
        <row r="393">
          <cell r="F393">
            <v>310845</v>
          </cell>
          <cell r="G393" t="str">
            <v>Ericka Gricelda Beatriz Calderon Lopez</v>
          </cell>
        </row>
        <row r="394">
          <cell r="F394">
            <v>313654</v>
          </cell>
          <cell r="G394" t="str">
            <v>Ericka Mabel Choc Vasquez</v>
          </cell>
        </row>
        <row r="395">
          <cell r="F395">
            <v>308152</v>
          </cell>
          <cell r="G395" t="str">
            <v>Ericka Nathali Huitz Ortega</v>
          </cell>
        </row>
        <row r="396">
          <cell r="F396">
            <v>313812</v>
          </cell>
          <cell r="G396" t="str">
            <v>Erickson Amilcar Vasquez Garrido</v>
          </cell>
        </row>
        <row r="397">
          <cell r="F397">
            <v>303616</v>
          </cell>
          <cell r="G397" t="str">
            <v>Erik Leonel Alva</v>
          </cell>
        </row>
        <row r="398">
          <cell r="F398">
            <v>310011</v>
          </cell>
          <cell r="G398" t="str">
            <v>Erika Alejandra Hernandez Vega</v>
          </cell>
        </row>
        <row r="399">
          <cell r="F399">
            <v>314808</v>
          </cell>
          <cell r="G399" t="str">
            <v>Erika Carolina Lopez Chiroy</v>
          </cell>
        </row>
        <row r="400">
          <cell r="F400">
            <v>306497</v>
          </cell>
          <cell r="G400" t="str">
            <v>Erika Ixtan Canil</v>
          </cell>
        </row>
        <row r="401">
          <cell r="F401">
            <v>314703</v>
          </cell>
          <cell r="G401" t="str">
            <v>Erlinda Elizabeth Cabrera</v>
          </cell>
        </row>
        <row r="402">
          <cell r="F402">
            <v>315535</v>
          </cell>
          <cell r="G402" t="str">
            <v>Ernesto Perez Tecun</v>
          </cell>
        </row>
        <row r="403">
          <cell r="F403">
            <v>313727</v>
          </cell>
          <cell r="G403" t="str">
            <v>Erwin Antonio Lorenzo Zamora</v>
          </cell>
        </row>
        <row r="404">
          <cell r="F404">
            <v>315123</v>
          </cell>
          <cell r="G404" t="str">
            <v>Esdras Daniel Pablo Solis</v>
          </cell>
        </row>
        <row r="405">
          <cell r="F405">
            <v>315491</v>
          </cell>
          <cell r="G405" t="str">
            <v>Esdras Eduardo Hernadez Morales</v>
          </cell>
        </row>
        <row r="406">
          <cell r="F406">
            <v>314068</v>
          </cell>
          <cell r="G406" t="str">
            <v>Esdras Manases Vasquez Vasquez</v>
          </cell>
        </row>
        <row r="407">
          <cell r="F407">
            <v>313871</v>
          </cell>
          <cell r="G407" t="str">
            <v>Eskarleth Julieta Coloma Camey</v>
          </cell>
        </row>
        <row r="408">
          <cell r="F408">
            <v>312554</v>
          </cell>
          <cell r="G408" t="str">
            <v>Esmaylin Alexis Melchor Lopez</v>
          </cell>
        </row>
        <row r="409">
          <cell r="F409">
            <v>315510</v>
          </cell>
          <cell r="G409" t="str">
            <v>Esteban Alfonso Gonzalez Osuna</v>
          </cell>
        </row>
        <row r="410">
          <cell r="F410">
            <v>313644</v>
          </cell>
          <cell r="G410" t="str">
            <v>Estefani Elizabeth Tzul Macario</v>
          </cell>
        </row>
        <row r="411">
          <cell r="F411">
            <v>312323</v>
          </cell>
          <cell r="G411" t="str">
            <v>Estefani Mishel Carpio Alvarado</v>
          </cell>
        </row>
        <row r="412">
          <cell r="F412">
            <v>313428</v>
          </cell>
          <cell r="G412" t="str">
            <v>Estefany Catalina Suazo Garcia</v>
          </cell>
        </row>
        <row r="413">
          <cell r="F413">
            <v>311094</v>
          </cell>
          <cell r="G413" t="str">
            <v>Estefany Virginia Perez Leiva</v>
          </cell>
        </row>
        <row r="414">
          <cell r="F414">
            <v>313151</v>
          </cell>
          <cell r="G414" t="str">
            <v>Ester Yulissa Salazar Sanches</v>
          </cell>
        </row>
        <row r="415">
          <cell r="F415">
            <v>308702</v>
          </cell>
          <cell r="G415" t="str">
            <v>Estuardo Alejandro Us Chanchavac</v>
          </cell>
        </row>
        <row r="416">
          <cell r="F416">
            <v>315564</v>
          </cell>
          <cell r="G416" t="str">
            <v>Esvin Rolando Orozco Mulul</v>
          </cell>
        </row>
        <row r="417">
          <cell r="F417">
            <v>314285</v>
          </cell>
          <cell r="G417" t="str">
            <v>Eswin Antonio Carrillo Barrera</v>
          </cell>
        </row>
        <row r="418">
          <cell r="F418">
            <v>311882</v>
          </cell>
          <cell r="G418" t="str">
            <v>Eswin Aroldo Ordoñez Robles</v>
          </cell>
        </row>
        <row r="419">
          <cell r="F419">
            <v>315041</v>
          </cell>
          <cell r="G419" t="str">
            <v>Eugenia Azucely Lopez De De Aguirre</v>
          </cell>
        </row>
        <row r="420">
          <cell r="F420">
            <v>313219</v>
          </cell>
          <cell r="G420" t="str">
            <v>Eunice Alejandrina Simon Gonzalez</v>
          </cell>
        </row>
        <row r="421">
          <cell r="F421">
            <v>314553</v>
          </cell>
          <cell r="G421" t="str">
            <v>Eva Argentina Ramirez Perez</v>
          </cell>
        </row>
        <row r="422">
          <cell r="F422">
            <v>313803</v>
          </cell>
          <cell r="G422" t="str">
            <v>Eva Yustinia Lopez Zuñiga</v>
          </cell>
        </row>
        <row r="423">
          <cell r="F423">
            <v>314445</v>
          </cell>
          <cell r="G423" t="str">
            <v>Evelin Lorena Noguera García</v>
          </cell>
        </row>
        <row r="424">
          <cell r="F424">
            <v>314320</v>
          </cell>
          <cell r="G424" t="str">
            <v>Evelin Maria Padilla Garcia</v>
          </cell>
        </row>
        <row r="425">
          <cell r="F425">
            <v>313699</v>
          </cell>
          <cell r="G425" t="str">
            <v>Evelin Yulissa Lopez Villar</v>
          </cell>
        </row>
        <row r="426">
          <cell r="F426">
            <v>307498</v>
          </cell>
          <cell r="G426" t="str">
            <v>Evelyn Julieta Lopez Peralta</v>
          </cell>
        </row>
        <row r="427">
          <cell r="F427">
            <v>312811</v>
          </cell>
          <cell r="G427" t="str">
            <v>Evelyn Maritza Chumil Monroy</v>
          </cell>
        </row>
        <row r="428">
          <cell r="F428">
            <v>313353</v>
          </cell>
          <cell r="G428" t="str">
            <v>Evelyn Marleny Rosales Cutz</v>
          </cell>
        </row>
        <row r="429">
          <cell r="F429">
            <v>313264</v>
          </cell>
          <cell r="G429" t="str">
            <v>Evelyn Mishell Catalan Pixtun</v>
          </cell>
        </row>
        <row r="430">
          <cell r="F430">
            <v>314528</v>
          </cell>
          <cell r="G430" t="str">
            <v>Evelyn Nohemi Morales Lopez</v>
          </cell>
        </row>
        <row r="431">
          <cell r="F431">
            <v>311933</v>
          </cell>
          <cell r="G431" t="str">
            <v>Evelyn Rocio Chiquival Piquic</v>
          </cell>
        </row>
        <row r="432">
          <cell r="F432">
            <v>315213</v>
          </cell>
          <cell r="G432" t="str">
            <v>Evelyn Susana Hernandez Ambrosio</v>
          </cell>
        </row>
        <row r="433">
          <cell r="F433">
            <v>311721</v>
          </cell>
          <cell r="G433" t="str">
            <v>Evelyn Yaneth Aceituno Lara</v>
          </cell>
        </row>
        <row r="434">
          <cell r="F434">
            <v>313016</v>
          </cell>
          <cell r="G434" t="str">
            <v>Ever Josue Del Valle Rivera</v>
          </cell>
        </row>
        <row r="435">
          <cell r="F435">
            <v>313552</v>
          </cell>
          <cell r="G435" t="str">
            <v>Everilda Choc Caal</v>
          </cell>
        </row>
        <row r="436">
          <cell r="F436">
            <v>313091</v>
          </cell>
          <cell r="G436" t="str">
            <v>Fabian De Jesus Ramirez Icute</v>
          </cell>
        </row>
        <row r="437">
          <cell r="F437">
            <v>312169</v>
          </cell>
          <cell r="G437" t="str">
            <v>Fabiola Hernandez Bartolon</v>
          </cell>
        </row>
        <row r="438">
          <cell r="F438">
            <v>308284</v>
          </cell>
          <cell r="G438" t="str">
            <v>Fabiola Ninett Beteta Barillas</v>
          </cell>
        </row>
        <row r="439">
          <cell r="F439">
            <v>312293</v>
          </cell>
          <cell r="G439" t="str">
            <v>Fabricio Daniel Cajas Cifuentes</v>
          </cell>
        </row>
        <row r="440">
          <cell r="F440">
            <v>315582</v>
          </cell>
          <cell r="G440" t="str">
            <v>Fatima Mercedes Montes Quezada</v>
          </cell>
        </row>
        <row r="441">
          <cell r="F441">
            <v>314263</v>
          </cell>
          <cell r="G441" t="str">
            <v>Feliciana Isabel Ramirez Raymundo</v>
          </cell>
        </row>
        <row r="442">
          <cell r="F442">
            <v>314012</v>
          </cell>
          <cell r="G442" t="str">
            <v>Felix Rodolfo Alvarado Jimenez</v>
          </cell>
        </row>
        <row r="443">
          <cell r="F443">
            <v>314349</v>
          </cell>
          <cell r="G443" t="str">
            <v>Fernanda Lucia Lopez Estrada</v>
          </cell>
        </row>
        <row r="444">
          <cell r="F444">
            <v>312409</v>
          </cell>
          <cell r="G444" t="str">
            <v>Fernanda Rene Villatoro Guarcas</v>
          </cell>
        </row>
        <row r="445">
          <cell r="F445">
            <v>314934</v>
          </cell>
          <cell r="G445" t="str">
            <v>Fernando Jose Monzon Castañeda</v>
          </cell>
        </row>
        <row r="446">
          <cell r="F446">
            <v>315303</v>
          </cell>
          <cell r="G446" t="str">
            <v>Flavio Ernesto Monzón Rummler</v>
          </cell>
        </row>
        <row r="447">
          <cell r="F447">
            <v>315309</v>
          </cell>
          <cell r="G447" t="str">
            <v>Flor De Maria Lopez Garcia</v>
          </cell>
        </row>
        <row r="448">
          <cell r="F448">
            <v>307917</v>
          </cell>
          <cell r="G448" t="str">
            <v>Flor De Maria Mux Ramos</v>
          </cell>
        </row>
        <row r="449">
          <cell r="F449">
            <v>315038</v>
          </cell>
          <cell r="G449" t="str">
            <v>Flor Sylvestre Orellana Gonzalez</v>
          </cell>
        </row>
        <row r="450">
          <cell r="F450">
            <v>101729</v>
          </cell>
          <cell r="G450" t="str">
            <v>Florencio Monterroso Estrada</v>
          </cell>
        </row>
        <row r="451">
          <cell r="F451">
            <v>314230</v>
          </cell>
          <cell r="G451" t="str">
            <v>Floridalma Leticia Lopez Ramirez</v>
          </cell>
        </row>
        <row r="452">
          <cell r="F452">
            <v>314093</v>
          </cell>
          <cell r="G452" t="str">
            <v>Floridalma Nicolas Yos</v>
          </cell>
        </row>
        <row r="453">
          <cell r="F453">
            <v>312717</v>
          </cell>
          <cell r="G453" t="str">
            <v>Florita Reyes Roblero Morales</v>
          </cell>
        </row>
        <row r="454">
          <cell r="F454">
            <v>314785</v>
          </cell>
          <cell r="G454" t="str">
            <v>Flory Azucena De Leon Ventura</v>
          </cell>
        </row>
        <row r="455">
          <cell r="F455">
            <v>310144</v>
          </cell>
          <cell r="G455" t="str">
            <v>Francisco Javier Diaz Avila</v>
          </cell>
        </row>
        <row r="456">
          <cell r="F456">
            <v>315457</v>
          </cell>
          <cell r="G456" t="str">
            <v>Francisco Joel Gomez Rodriguez</v>
          </cell>
        </row>
        <row r="457">
          <cell r="F457">
            <v>311612</v>
          </cell>
          <cell r="G457" t="str">
            <v>Franklin Alexander Perez Paiz</v>
          </cell>
        </row>
        <row r="458">
          <cell r="F458">
            <v>315204</v>
          </cell>
          <cell r="G458" t="str">
            <v>Gabriel Antonio Rodas Domingo</v>
          </cell>
        </row>
        <row r="459">
          <cell r="F459">
            <v>311548</v>
          </cell>
          <cell r="G459" t="str">
            <v>Gabriela Alejandra Estrada Aroche</v>
          </cell>
        </row>
        <row r="460">
          <cell r="F460">
            <v>306667</v>
          </cell>
          <cell r="G460" t="str">
            <v>Gabriela Elizabeth Flores Santos</v>
          </cell>
        </row>
        <row r="461">
          <cell r="F461">
            <v>314533</v>
          </cell>
          <cell r="G461" t="str">
            <v>Gabriela Liseth Perez Monzon</v>
          </cell>
        </row>
        <row r="462">
          <cell r="F462">
            <v>311817</v>
          </cell>
          <cell r="G462" t="str">
            <v>Gabriela Paola Macario Lopez</v>
          </cell>
        </row>
        <row r="463">
          <cell r="F463">
            <v>301309</v>
          </cell>
          <cell r="G463" t="str">
            <v>Gabriela Pelaez Gonzalez</v>
          </cell>
        </row>
        <row r="464">
          <cell r="F464">
            <v>315530</v>
          </cell>
          <cell r="G464" t="str">
            <v>Gabriela Raquel Pixtun Trujillo</v>
          </cell>
        </row>
        <row r="465">
          <cell r="F465">
            <v>315343</v>
          </cell>
          <cell r="G465" t="str">
            <v>Gabriela Valeska Lemus Cotuc</v>
          </cell>
        </row>
        <row r="466">
          <cell r="F466">
            <v>309911</v>
          </cell>
          <cell r="G466" t="str">
            <v>Gaby Beatriz Lopez Lopez</v>
          </cell>
        </row>
        <row r="467">
          <cell r="F467">
            <v>315485</v>
          </cell>
          <cell r="G467" t="str">
            <v>Geraldy Daleska Cuyan Giron</v>
          </cell>
        </row>
        <row r="468">
          <cell r="F468">
            <v>307104</v>
          </cell>
          <cell r="G468" t="str">
            <v>Gerber Ariel De Leon Elias</v>
          </cell>
        </row>
        <row r="469">
          <cell r="F469">
            <v>312975</v>
          </cell>
          <cell r="G469" t="str">
            <v>Gerberth Aridmendi Arevalo Zepeda</v>
          </cell>
        </row>
        <row r="470">
          <cell r="F470">
            <v>306654</v>
          </cell>
          <cell r="G470" t="str">
            <v>Gerson Arcadio Hernandez Barrios</v>
          </cell>
        </row>
        <row r="471">
          <cell r="F471">
            <v>315035</v>
          </cell>
          <cell r="G471" t="str">
            <v>Gerson David Ortega Soto</v>
          </cell>
        </row>
        <row r="472">
          <cell r="F472">
            <v>315255</v>
          </cell>
          <cell r="G472" t="str">
            <v>Gerson Rene Galicia Alvarez</v>
          </cell>
        </row>
        <row r="473">
          <cell r="F473">
            <v>313730</v>
          </cell>
          <cell r="G473" t="str">
            <v>Gerson Rolando Alcantara Gonzalez</v>
          </cell>
        </row>
        <row r="474">
          <cell r="F474">
            <v>315273</v>
          </cell>
          <cell r="G474" t="str">
            <v>Gladis Guadalupe Tuyuc Ramirez</v>
          </cell>
        </row>
        <row r="475">
          <cell r="F475">
            <v>309429</v>
          </cell>
          <cell r="G475" t="str">
            <v>Gladis Mishel Aguilar Garcia</v>
          </cell>
        </row>
        <row r="476">
          <cell r="F476">
            <v>315265</v>
          </cell>
          <cell r="G476" t="str">
            <v>Gladis Nohemi Noj Hernandez De De Leon</v>
          </cell>
        </row>
        <row r="477">
          <cell r="F477">
            <v>301514</v>
          </cell>
          <cell r="G477" t="str">
            <v>Gladiz Maricela Guamuch Caracun De Lopez</v>
          </cell>
        </row>
        <row r="478">
          <cell r="F478">
            <v>309950</v>
          </cell>
          <cell r="G478" t="str">
            <v>Gladys Maribel Chamale Cotzajay</v>
          </cell>
        </row>
        <row r="479">
          <cell r="F479">
            <v>315349</v>
          </cell>
          <cell r="G479" t="str">
            <v>Gladys Marleny Rodriguez Tzoc</v>
          </cell>
        </row>
        <row r="480">
          <cell r="F480">
            <v>306248</v>
          </cell>
          <cell r="G480" t="str">
            <v>Gladys Susana Marin De Leon</v>
          </cell>
        </row>
        <row r="481">
          <cell r="F481">
            <v>310719</v>
          </cell>
          <cell r="G481" t="str">
            <v>Gladyz Ninett Sanchez Perez</v>
          </cell>
        </row>
        <row r="482">
          <cell r="F482">
            <v>309945</v>
          </cell>
          <cell r="G482" t="str">
            <v>Glenda Flor De Maria Caal</v>
          </cell>
        </row>
        <row r="483">
          <cell r="F483">
            <v>314619</v>
          </cell>
          <cell r="G483" t="str">
            <v>Glenda Isabel Perez Velasquez</v>
          </cell>
        </row>
        <row r="484">
          <cell r="F484">
            <v>315263</v>
          </cell>
          <cell r="G484" t="str">
            <v>Glendy Aracely Arevalo Estrada</v>
          </cell>
        </row>
        <row r="485">
          <cell r="F485">
            <v>312140</v>
          </cell>
          <cell r="G485" t="str">
            <v>Glendy Elizabeth Aspuac Xunux</v>
          </cell>
        </row>
        <row r="486">
          <cell r="F486">
            <v>304949</v>
          </cell>
          <cell r="G486" t="str">
            <v>Glendy Modesta Orellana Sanabria</v>
          </cell>
        </row>
        <row r="487">
          <cell r="F487">
            <v>314189</v>
          </cell>
          <cell r="G487" t="str">
            <v>Gloria Angelica Torres Franco</v>
          </cell>
        </row>
        <row r="488">
          <cell r="F488">
            <v>304943</v>
          </cell>
          <cell r="G488" t="str">
            <v>Gloria Hernandez Reyes</v>
          </cell>
        </row>
        <row r="489">
          <cell r="F489">
            <v>314569</v>
          </cell>
          <cell r="G489" t="str">
            <v>Gonzalo Danilo Castillo Miche</v>
          </cell>
        </row>
        <row r="490">
          <cell r="F490">
            <v>310114</v>
          </cell>
          <cell r="G490" t="str">
            <v>Guadalupe Marroquin Mayen</v>
          </cell>
        </row>
        <row r="491">
          <cell r="F491">
            <v>313710</v>
          </cell>
          <cell r="G491" t="str">
            <v>Gustavo Adolfo Mixtun Sunun</v>
          </cell>
        </row>
        <row r="492">
          <cell r="F492">
            <v>314863</v>
          </cell>
          <cell r="G492" t="str">
            <v>Gustavo Manuel Cifuentes De Mata</v>
          </cell>
        </row>
        <row r="493">
          <cell r="F493">
            <v>315412</v>
          </cell>
          <cell r="G493" t="str">
            <v>Hairo Andre Contreras Paz</v>
          </cell>
        </row>
        <row r="494">
          <cell r="F494">
            <v>311419</v>
          </cell>
          <cell r="G494" t="str">
            <v>Hallari Michel Orozco Chapen</v>
          </cell>
        </row>
        <row r="495">
          <cell r="F495">
            <v>312961</v>
          </cell>
          <cell r="G495" t="str">
            <v>Hans Estuard Milian Alarcon</v>
          </cell>
        </row>
        <row r="496">
          <cell r="F496">
            <v>315569</v>
          </cell>
          <cell r="G496" t="str">
            <v>Heber Benjamin Gomez Ramirez</v>
          </cell>
        </row>
        <row r="497">
          <cell r="F497">
            <v>315175</v>
          </cell>
          <cell r="G497" t="str">
            <v>Heber Nehemias Velasquez Lorenzo</v>
          </cell>
        </row>
        <row r="498">
          <cell r="F498">
            <v>315576</v>
          </cell>
          <cell r="G498" t="str">
            <v>Heber Uziel Ruiz Escobar</v>
          </cell>
        </row>
        <row r="499">
          <cell r="F499">
            <v>315154</v>
          </cell>
          <cell r="G499" t="str">
            <v>Hector Estuardo Velasquez Carvajal</v>
          </cell>
        </row>
        <row r="500">
          <cell r="F500">
            <v>312588</v>
          </cell>
          <cell r="G500" t="str">
            <v>Hector Manuel Pojoy Berduo</v>
          </cell>
        </row>
        <row r="501">
          <cell r="F501">
            <v>309925</v>
          </cell>
          <cell r="G501" t="str">
            <v>Hector Marco Tulio Torres Garcia</v>
          </cell>
        </row>
        <row r="502">
          <cell r="F502">
            <v>312114</v>
          </cell>
          <cell r="G502" t="str">
            <v>Hegner Aquino Mateo Recinos</v>
          </cell>
        </row>
        <row r="503">
          <cell r="F503">
            <v>310694</v>
          </cell>
          <cell r="G503" t="str">
            <v>Heidy Carolina Monterroso Monterroso</v>
          </cell>
        </row>
        <row r="504">
          <cell r="F504">
            <v>315300</v>
          </cell>
          <cell r="G504" t="str">
            <v>Heidy Karina Gil Quinti</v>
          </cell>
        </row>
        <row r="505">
          <cell r="F505">
            <v>314029</v>
          </cell>
          <cell r="G505" t="str">
            <v>Heidy Noely Yupe Hernandez</v>
          </cell>
        </row>
        <row r="506">
          <cell r="F506">
            <v>313510</v>
          </cell>
          <cell r="G506" t="str">
            <v>Heidy Patricia Santizo López</v>
          </cell>
        </row>
        <row r="507">
          <cell r="F507">
            <v>308951</v>
          </cell>
          <cell r="G507" t="str">
            <v>Heidy Sucely Boc Monroy</v>
          </cell>
        </row>
        <row r="508">
          <cell r="F508">
            <v>301847</v>
          </cell>
          <cell r="G508" t="str">
            <v>Heidy Yanet Reyes Presencin</v>
          </cell>
        </row>
        <row r="509">
          <cell r="F509">
            <v>314009</v>
          </cell>
          <cell r="G509" t="str">
            <v>Heily Marie Taracena Diaz</v>
          </cell>
        </row>
        <row r="510">
          <cell r="F510">
            <v>303959</v>
          </cell>
          <cell r="G510" t="str">
            <v>Helen Editt Solorzano Estrada</v>
          </cell>
        </row>
        <row r="511">
          <cell r="F511">
            <v>308028</v>
          </cell>
          <cell r="G511" t="str">
            <v>Helen Eunice Hernandez Recinos</v>
          </cell>
        </row>
        <row r="512">
          <cell r="F512">
            <v>302479</v>
          </cell>
          <cell r="G512" t="str">
            <v>Helen Xiomara Roldan Sagastume</v>
          </cell>
        </row>
        <row r="513">
          <cell r="F513">
            <v>313041</v>
          </cell>
          <cell r="G513" t="str">
            <v>Hellen Marisol Velasquez Ciprian</v>
          </cell>
        </row>
        <row r="514">
          <cell r="F514">
            <v>313729</v>
          </cell>
          <cell r="G514" t="str">
            <v>Henry David Lopez Perez</v>
          </cell>
        </row>
        <row r="515">
          <cell r="F515">
            <v>307713</v>
          </cell>
          <cell r="G515" t="str">
            <v>Henry Donaldo Rodriguez Perez</v>
          </cell>
        </row>
        <row r="516">
          <cell r="F516">
            <v>315304</v>
          </cell>
          <cell r="G516" t="str">
            <v>Henry Gabriel Morales Chinchilla</v>
          </cell>
        </row>
        <row r="517">
          <cell r="F517">
            <v>314630</v>
          </cell>
          <cell r="G517" t="str">
            <v>Henry Misael Serech Ramon</v>
          </cell>
        </row>
        <row r="518">
          <cell r="F518">
            <v>312139</v>
          </cell>
          <cell r="G518" t="str">
            <v>Herber Ardany Lucho Samayoa</v>
          </cell>
        </row>
        <row r="519">
          <cell r="F519">
            <v>310725</v>
          </cell>
          <cell r="G519" t="str">
            <v>Herber Humberto Cax Gonzales</v>
          </cell>
        </row>
        <row r="520">
          <cell r="F520">
            <v>309034</v>
          </cell>
          <cell r="G520" t="str">
            <v>Herbert Josue Mucia Garcia</v>
          </cell>
        </row>
        <row r="521">
          <cell r="F521">
            <v>315218</v>
          </cell>
          <cell r="G521" t="str">
            <v>Herberth Alberto Barrios Perez</v>
          </cell>
        </row>
        <row r="522">
          <cell r="F522">
            <v>315050</v>
          </cell>
          <cell r="G522" t="str">
            <v>Hercy Dayana Hidalgo Romero</v>
          </cell>
        </row>
        <row r="523">
          <cell r="F523">
            <v>312377</v>
          </cell>
          <cell r="G523" t="str">
            <v>Hesler Jonathan Quevedo De La Cruz</v>
          </cell>
        </row>
        <row r="524">
          <cell r="F524">
            <v>315495</v>
          </cell>
          <cell r="G524" t="str">
            <v>Heydee Johana Marisol Cho Del Valle</v>
          </cell>
        </row>
        <row r="525">
          <cell r="F525">
            <v>302285</v>
          </cell>
          <cell r="G525" t="str">
            <v>Heydi Yaneth Sales Mazariegos</v>
          </cell>
        </row>
        <row r="526">
          <cell r="F526">
            <v>309528</v>
          </cell>
          <cell r="G526" t="str">
            <v>Heydi Zuleyma Gue Cac</v>
          </cell>
        </row>
        <row r="527">
          <cell r="F527">
            <v>310612</v>
          </cell>
          <cell r="G527" t="str">
            <v>Heydy Mariela Santiago Armas</v>
          </cell>
        </row>
        <row r="528">
          <cell r="F528">
            <v>301649</v>
          </cell>
          <cell r="G528" t="str">
            <v>Hilda Paola Lopez Cano</v>
          </cell>
        </row>
        <row r="529">
          <cell r="F529">
            <v>306404</v>
          </cell>
          <cell r="G529" t="str">
            <v>Hugo Leonel Tahual Ramos</v>
          </cell>
        </row>
        <row r="530">
          <cell r="F530">
            <v>313743</v>
          </cell>
          <cell r="G530" t="str">
            <v>Hugo Rolando Ruiz Alquijay</v>
          </cell>
        </row>
        <row r="531">
          <cell r="F531">
            <v>310888</v>
          </cell>
          <cell r="G531" t="str">
            <v>Hugo Vinicio Chavez Barrios</v>
          </cell>
        </row>
        <row r="532">
          <cell r="F532">
            <v>302261</v>
          </cell>
          <cell r="G532" t="str">
            <v>Idalia Ester Espino Lopez</v>
          </cell>
        </row>
        <row r="533">
          <cell r="F533">
            <v>304392</v>
          </cell>
          <cell r="G533" t="str">
            <v>Ilda Gricelda Garcia Zacarias</v>
          </cell>
        </row>
        <row r="534">
          <cell r="F534">
            <v>313703</v>
          </cell>
          <cell r="G534" t="str">
            <v>Ilda Magnolia Lopez Ramirez</v>
          </cell>
        </row>
        <row r="535">
          <cell r="F535">
            <v>310432</v>
          </cell>
          <cell r="G535" t="str">
            <v>Ilda Merary Calachij Mendez</v>
          </cell>
        </row>
        <row r="536">
          <cell r="F536">
            <v>309389</v>
          </cell>
          <cell r="G536" t="str">
            <v>Ilsy Meliza Matzir Lebon</v>
          </cell>
        </row>
        <row r="537">
          <cell r="F537">
            <v>303674</v>
          </cell>
          <cell r="G537" t="str">
            <v>Imelda Elizabeth Castro Rodas</v>
          </cell>
        </row>
        <row r="538">
          <cell r="F538">
            <v>301644</v>
          </cell>
          <cell r="G538" t="str">
            <v>Imelda Eugenia Recinos Martinez</v>
          </cell>
        </row>
        <row r="539">
          <cell r="F539">
            <v>307030</v>
          </cell>
          <cell r="G539" t="str">
            <v>Ingrid Alejandra Juarez Yanes</v>
          </cell>
        </row>
        <row r="540">
          <cell r="F540">
            <v>315503</v>
          </cell>
          <cell r="G540" t="str">
            <v>Ingrid Benita Tojin Chuc</v>
          </cell>
        </row>
        <row r="541">
          <cell r="F541">
            <v>312398</v>
          </cell>
          <cell r="G541" t="str">
            <v>Ingrid Esteffany Salazar Sosa</v>
          </cell>
        </row>
        <row r="542">
          <cell r="F542">
            <v>301199</v>
          </cell>
          <cell r="G542" t="str">
            <v>Ingrid Haydee Minchez Monzon</v>
          </cell>
        </row>
        <row r="543">
          <cell r="F543">
            <v>304317</v>
          </cell>
          <cell r="G543" t="str">
            <v>Ingrid Johana Muñoz Choc</v>
          </cell>
        </row>
        <row r="544">
          <cell r="F544">
            <v>311286</v>
          </cell>
          <cell r="G544" t="str">
            <v>Ingrid Lorena Anleu Morales</v>
          </cell>
        </row>
        <row r="545">
          <cell r="F545">
            <v>311133</v>
          </cell>
          <cell r="G545" t="str">
            <v>Ingrid Mariela Maldonado Tubac</v>
          </cell>
        </row>
        <row r="546">
          <cell r="F546">
            <v>313304</v>
          </cell>
          <cell r="G546" t="str">
            <v>Ingrid Yojana Ramos Sacalxot</v>
          </cell>
        </row>
        <row r="547">
          <cell r="F547">
            <v>311997</v>
          </cell>
          <cell r="G547" t="str">
            <v>Irene Lizbeth Rodas Cuc</v>
          </cell>
        </row>
        <row r="548">
          <cell r="F548">
            <v>313128</v>
          </cell>
          <cell r="G548" t="str">
            <v>Iris Elizabeth Cardona Gonzalez</v>
          </cell>
        </row>
        <row r="549">
          <cell r="F549">
            <v>314232</v>
          </cell>
          <cell r="G549" t="str">
            <v>Iris Yulisa Camposeco Funes</v>
          </cell>
        </row>
        <row r="550">
          <cell r="F550">
            <v>312920</v>
          </cell>
          <cell r="G550" t="str">
            <v>Irma Leticia Raquec Yos</v>
          </cell>
        </row>
        <row r="551">
          <cell r="F551">
            <v>314336</v>
          </cell>
          <cell r="G551" t="str">
            <v>Isaac David Ismael Calderon Socop</v>
          </cell>
        </row>
        <row r="552">
          <cell r="F552">
            <v>315186</v>
          </cell>
          <cell r="G552" t="str">
            <v>Isabelita Retana Zepeda</v>
          </cell>
        </row>
        <row r="553">
          <cell r="F553">
            <v>311913</v>
          </cell>
          <cell r="G553" t="str">
            <v>Isai Bernabe Quiroa Alvarez</v>
          </cell>
        </row>
        <row r="554">
          <cell r="F554">
            <v>315302</v>
          </cell>
          <cell r="G554" t="str">
            <v>Isai De Jesus Cabrera Tirado</v>
          </cell>
        </row>
        <row r="555">
          <cell r="F555">
            <v>314983</v>
          </cell>
          <cell r="G555" t="str">
            <v>Ismael Josafat Barrios</v>
          </cell>
        </row>
        <row r="556">
          <cell r="F556">
            <v>313569</v>
          </cell>
          <cell r="G556" t="str">
            <v>Ismar Manfredo Gomez Batres</v>
          </cell>
        </row>
        <row r="557">
          <cell r="F557">
            <v>315034</v>
          </cell>
          <cell r="G557" t="str">
            <v>Jackeline Andrea Yancor Wilhelm</v>
          </cell>
        </row>
        <row r="558">
          <cell r="F558">
            <v>315352</v>
          </cell>
          <cell r="G558" t="str">
            <v>Jackeline Ester Vasquez Pernillo</v>
          </cell>
        </row>
        <row r="559">
          <cell r="F559">
            <v>100717</v>
          </cell>
          <cell r="G559" t="str">
            <v>Jackeline Larisa De Leon Roldan</v>
          </cell>
        </row>
        <row r="560">
          <cell r="F560">
            <v>313656</v>
          </cell>
          <cell r="G560" t="str">
            <v>Jackelinne Judith Paz Morales</v>
          </cell>
        </row>
        <row r="561">
          <cell r="F561">
            <v>312255</v>
          </cell>
          <cell r="G561" t="str">
            <v>Jacqueline Mercedes Portuguez Simaj</v>
          </cell>
        </row>
        <row r="562">
          <cell r="F562">
            <v>314780</v>
          </cell>
          <cell r="G562" t="str">
            <v>Jacqueline Michell Arroyo Mendoza</v>
          </cell>
        </row>
        <row r="563">
          <cell r="F563">
            <v>301265</v>
          </cell>
          <cell r="G563" t="str">
            <v>Jaime Estuardo Gonzalez Lopez</v>
          </cell>
        </row>
        <row r="564">
          <cell r="F564">
            <v>314552</v>
          </cell>
          <cell r="G564" t="str">
            <v>Jaime Ottoniel Del Aguila Pineda</v>
          </cell>
        </row>
        <row r="565">
          <cell r="F565">
            <v>301608</v>
          </cell>
          <cell r="G565" t="str">
            <v>Jaime Rene Guzman Muy</v>
          </cell>
        </row>
        <row r="566">
          <cell r="F566">
            <v>314866</v>
          </cell>
          <cell r="G566" t="str">
            <v>Jaime Wilfredo Chub Coc</v>
          </cell>
        </row>
        <row r="567">
          <cell r="F567">
            <v>314935</v>
          </cell>
          <cell r="G567" t="str">
            <v>Jairo Anibal Veliz Carrera</v>
          </cell>
        </row>
        <row r="568">
          <cell r="F568">
            <v>313086</v>
          </cell>
          <cell r="G568" t="str">
            <v>Jairo Onesimo Aguilar Cabrera</v>
          </cell>
        </row>
        <row r="569">
          <cell r="F569">
            <v>314146</v>
          </cell>
          <cell r="G569" t="str">
            <v>Jairo Saul Lopez Quinteros</v>
          </cell>
        </row>
        <row r="570">
          <cell r="F570">
            <v>315130</v>
          </cell>
          <cell r="G570" t="str">
            <v>Jakelyn Estrella Erazo Asencio</v>
          </cell>
        </row>
        <row r="571">
          <cell r="F571">
            <v>315546</v>
          </cell>
          <cell r="G571" t="str">
            <v>James Alexander Marquez Salazar</v>
          </cell>
        </row>
        <row r="572">
          <cell r="F572">
            <v>314261</v>
          </cell>
          <cell r="G572" t="str">
            <v>Jannely Darlene Telon Giron</v>
          </cell>
        </row>
        <row r="573">
          <cell r="F573">
            <v>313187</v>
          </cell>
          <cell r="G573" t="str">
            <v>Janyer Violeta Aguirre Alvarez</v>
          </cell>
        </row>
        <row r="574">
          <cell r="F574">
            <v>308525</v>
          </cell>
          <cell r="G574" t="str">
            <v>Jaquelin Paola Lopez Bocel</v>
          </cell>
        </row>
        <row r="575">
          <cell r="F575">
            <v>308189</v>
          </cell>
          <cell r="G575" t="str">
            <v>Jaquelin Rocxana Cantey De Leon</v>
          </cell>
        </row>
        <row r="576">
          <cell r="F576">
            <v>312758</v>
          </cell>
          <cell r="G576" t="str">
            <v>Jaqueline Gabriela Vasquez Icute De Padilla</v>
          </cell>
        </row>
        <row r="577">
          <cell r="F577">
            <v>301462</v>
          </cell>
          <cell r="G577" t="str">
            <v>Jaqueline Johana Hernandez Masaya</v>
          </cell>
        </row>
        <row r="578">
          <cell r="F578">
            <v>310027</v>
          </cell>
          <cell r="G578" t="str">
            <v>Jaqueline Mishel Zetino Culan</v>
          </cell>
        </row>
        <row r="579">
          <cell r="F579">
            <v>313663</v>
          </cell>
          <cell r="G579" t="str">
            <v>Jaqueline Mishell Perez Sanic</v>
          </cell>
        </row>
        <row r="580">
          <cell r="F580">
            <v>314697</v>
          </cell>
          <cell r="G580" t="str">
            <v>Jaqueline Noemi Cojon Franco</v>
          </cell>
        </row>
        <row r="581">
          <cell r="F581">
            <v>314526</v>
          </cell>
          <cell r="G581" t="str">
            <v>Jaqueline Sarai Reynoso Perez</v>
          </cell>
        </row>
        <row r="582">
          <cell r="F582">
            <v>314952</v>
          </cell>
          <cell r="G582" t="str">
            <v>Jaqueline Stephanie Espinoza Espinoza</v>
          </cell>
        </row>
        <row r="583">
          <cell r="F583">
            <v>315467</v>
          </cell>
          <cell r="G583" t="str">
            <v>Jaqueline Vanessa Cardona Del Cid</v>
          </cell>
        </row>
        <row r="584">
          <cell r="F584">
            <v>314066</v>
          </cell>
          <cell r="G584" t="str">
            <v>Jaquelyn Marleny Fernandez</v>
          </cell>
        </row>
        <row r="585">
          <cell r="F585">
            <v>314639</v>
          </cell>
          <cell r="G585" t="str">
            <v>Jarod Emanuel Prado Sanchez</v>
          </cell>
        </row>
        <row r="586">
          <cell r="F586">
            <v>311320</v>
          </cell>
          <cell r="G586" t="str">
            <v>Jasly Elisama Escobar Mayen</v>
          </cell>
        </row>
        <row r="587">
          <cell r="F587">
            <v>304531</v>
          </cell>
          <cell r="G587" t="str">
            <v>Jasmin Cristabel Rosales</v>
          </cell>
        </row>
        <row r="588">
          <cell r="F588">
            <v>315500</v>
          </cell>
          <cell r="G588" t="str">
            <v>Jasson Daniel Morales Garcia</v>
          </cell>
        </row>
        <row r="589">
          <cell r="F589">
            <v>315383</v>
          </cell>
          <cell r="G589" t="str">
            <v>Javier Estuardo Calderon Caceres</v>
          </cell>
        </row>
        <row r="590">
          <cell r="F590">
            <v>307598</v>
          </cell>
          <cell r="G590" t="str">
            <v>Javier Ignacio Monzon Leon</v>
          </cell>
        </row>
        <row r="591">
          <cell r="F591">
            <v>312743</v>
          </cell>
          <cell r="G591" t="str">
            <v>Jayro Vinicio Alvarado Rodriguez</v>
          </cell>
        </row>
        <row r="592">
          <cell r="F592">
            <v>313435</v>
          </cell>
          <cell r="G592" t="str">
            <v>Jefferson Marvin Baudilio Aldana Lozano</v>
          </cell>
        </row>
        <row r="593">
          <cell r="F593">
            <v>310987</v>
          </cell>
          <cell r="G593" t="str">
            <v>Jeffrey Donely Alvarez Garcia</v>
          </cell>
        </row>
        <row r="594">
          <cell r="F594">
            <v>315307</v>
          </cell>
          <cell r="G594" t="str">
            <v>Jeicob Manrique Argueta Ovalle</v>
          </cell>
        </row>
        <row r="595">
          <cell r="F595">
            <v>313167</v>
          </cell>
          <cell r="G595" t="str">
            <v>Jency Julissa Chavarria Garcia</v>
          </cell>
        </row>
        <row r="596">
          <cell r="F596">
            <v>309592</v>
          </cell>
          <cell r="G596" t="str">
            <v>Jenifer Estrella Alvarez Cruz</v>
          </cell>
        </row>
        <row r="597">
          <cell r="F597">
            <v>308871</v>
          </cell>
          <cell r="G597" t="str">
            <v>Jenifer Lisset Chicol Solis</v>
          </cell>
        </row>
        <row r="598">
          <cell r="F598">
            <v>310744</v>
          </cell>
          <cell r="G598" t="str">
            <v>Jenifer Lucrecia Herrera Gonzalez</v>
          </cell>
        </row>
        <row r="599">
          <cell r="F599">
            <v>312022</v>
          </cell>
          <cell r="G599" t="str">
            <v>Jenifer Maria Lopez Jimenez</v>
          </cell>
        </row>
        <row r="600">
          <cell r="F600">
            <v>311998</v>
          </cell>
          <cell r="G600" t="str">
            <v>Jenifer Patricia Ruano Camo</v>
          </cell>
        </row>
        <row r="601">
          <cell r="F601">
            <v>314393</v>
          </cell>
          <cell r="G601" t="str">
            <v>Jeniffer Yadaris Villegas Montepeque</v>
          </cell>
        </row>
        <row r="602">
          <cell r="F602">
            <v>312144</v>
          </cell>
          <cell r="G602" t="str">
            <v>Jennie Beatriz Aguilar Gonzalez</v>
          </cell>
        </row>
        <row r="603">
          <cell r="F603">
            <v>310751</v>
          </cell>
          <cell r="G603" t="str">
            <v>Jennifer Alejandra Escobar De Leon</v>
          </cell>
        </row>
        <row r="604">
          <cell r="F604">
            <v>311804</v>
          </cell>
          <cell r="G604" t="str">
            <v>Jennifer Carolina Xitimul Aguilar</v>
          </cell>
        </row>
        <row r="605">
          <cell r="F605">
            <v>315185</v>
          </cell>
          <cell r="G605" t="str">
            <v>Jennifer Estefany Argueta De Leon</v>
          </cell>
        </row>
        <row r="606">
          <cell r="F606">
            <v>313611</v>
          </cell>
          <cell r="G606" t="str">
            <v>Jennifer Mishel Reyes Solis</v>
          </cell>
        </row>
        <row r="607">
          <cell r="F607">
            <v>314306</v>
          </cell>
          <cell r="G607" t="str">
            <v>Jennifer Noemi Soch Castro</v>
          </cell>
        </row>
        <row r="608">
          <cell r="F608">
            <v>312876</v>
          </cell>
          <cell r="G608" t="str">
            <v>Jennifer Pahola Calderon Lopez</v>
          </cell>
        </row>
        <row r="609">
          <cell r="F609">
            <v>311421</v>
          </cell>
          <cell r="G609" t="str">
            <v>Jennifer Scarlett Garcia Perez</v>
          </cell>
        </row>
        <row r="610">
          <cell r="F610">
            <v>312270</v>
          </cell>
          <cell r="G610" t="str">
            <v>Jennifer Vanessa Rodriguez Hernandez</v>
          </cell>
        </row>
        <row r="611">
          <cell r="F611">
            <v>313387</v>
          </cell>
          <cell r="G611" t="str">
            <v>Jennifer Waleska Arévalo Barrios</v>
          </cell>
        </row>
        <row r="612">
          <cell r="F612">
            <v>312117</v>
          </cell>
          <cell r="G612" t="str">
            <v>Jenniffer Jazmin Ramos Madriles</v>
          </cell>
        </row>
        <row r="613">
          <cell r="F613">
            <v>310238</v>
          </cell>
          <cell r="G613" t="str">
            <v>Jennyfer Cristina Zamora Rosales</v>
          </cell>
        </row>
        <row r="614">
          <cell r="F614">
            <v>312732</v>
          </cell>
          <cell r="G614" t="str">
            <v>Jerson Herminio Melchor Vasquez</v>
          </cell>
        </row>
        <row r="615">
          <cell r="F615">
            <v>314962</v>
          </cell>
          <cell r="G615" t="str">
            <v>Jessica Alejandra Castillo Alvarado</v>
          </cell>
        </row>
        <row r="616">
          <cell r="F616">
            <v>314100</v>
          </cell>
          <cell r="G616" t="str">
            <v>Jessica Elizabeth Perez Noriega</v>
          </cell>
        </row>
        <row r="617">
          <cell r="F617">
            <v>311601</v>
          </cell>
          <cell r="G617" t="str">
            <v>Jessica Haydee Garcia Cuyuche</v>
          </cell>
        </row>
        <row r="618">
          <cell r="F618">
            <v>314620</v>
          </cell>
          <cell r="G618" t="str">
            <v>Jessica Jasmin Baltazar Fuentes</v>
          </cell>
        </row>
        <row r="619">
          <cell r="F619">
            <v>302841</v>
          </cell>
          <cell r="G619" t="str">
            <v>Jessica Maria Jose Santizo Guzman</v>
          </cell>
        </row>
        <row r="620">
          <cell r="F620">
            <v>306420</v>
          </cell>
          <cell r="G620" t="str">
            <v>Jessica Paola Espinoza Solares</v>
          </cell>
        </row>
        <row r="621">
          <cell r="F621">
            <v>313826</v>
          </cell>
          <cell r="G621" t="str">
            <v>Jesus Alberto Vasquez</v>
          </cell>
        </row>
        <row r="622">
          <cell r="F622">
            <v>314641</v>
          </cell>
          <cell r="G622" t="str">
            <v>Jesus Emanuel Ramos Perez</v>
          </cell>
        </row>
        <row r="623">
          <cell r="F623">
            <v>314554</v>
          </cell>
          <cell r="G623" t="str">
            <v>Jhonatan Alexis Ramos Tecun</v>
          </cell>
        </row>
        <row r="624">
          <cell r="F624">
            <v>309115</v>
          </cell>
          <cell r="G624" t="str">
            <v>Jhony Ivan Perez Castillo</v>
          </cell>
        </row>
        <row r="625">
          <cell r="F625">
            <v>311171</v>
          </cell>
          <cell r="G625" t="str">
            <v>Jhoselyn Guadalupe Aquino Maldonado</v>
          </cell>
        </row>
        <row r="626">
          <cell r="F626">
            <v>311987</v>
          </cell>
          <cell r="G626" t="str">
            <v>Jhosseline Stefanie Zermeño Ayala</v>
          </cell>
        </row>
        <row r="627">
          <cell r="F627">
            <v>315116</v>
          </cell>
          <cell r="G627" t="str">
            <v>Jocelyn Fabiola Negro Vasquez</v>
          </cell>
        </row>
        <row r="628">
          <cell r="F628">
            <v>314644</v>
          </cell>
          <cell r="G628" t="str">
            <v>Joel Bernardino Pu Vicente</v>
          </cell>
        </row>
        <row r="629">
          <cell r="F629">
            <v>314368</v>
          </cell>
          <cell r="G629" t="str">
            <v>Johanna Cecilia Hernandez Ixtecoc</v>
          </cell>
        </row>
        <row r="630">
          <cell r="F630">
            <v>314339</v>
          </cell>
          <cell r="G630" t="str">
            <v>Jonatan Estuardo Lopez Gonzalez</v>
          </cell>
        </row>
        <row r="631">
          <cell r="F631">
            <v>313157</v>
          </cell>
          <cell r="G631" t="str">
            <v>Jonatan Guillermo Soto Urbina</v>
          </cell>
        </row>
        <row r="632">
          <cell r="F632">
            <v>315492</v>
          </cell>
          <cell r="G632" t="str">
            <v>Jonathan Daniel Perez Marroquin</v>
          </cell>
        </row>
        <row r="633">
          <cell r="F633">
            <v>315156</v>
          </cell>
          <cell r="G633" t="str">
            <v>Jonathan Donely Sandoval Soch</v>
          </cell>
        </row>
        <row r="634">
          <cell r="F634">
            <v>315451</v>
          </cell>
          <cell r="G634" t="str">
            <v>Jonathan Estuardo Boteo Hernandez</v>
          </cell>
        </row>
        <row r="635">
          <cell r="F635">
            <v>314228</v>
          </cell>
          <cell r="G635" t="str">
            <v>Jordi Alexander Yuman Ramos</v>
          </cell>
        </row>
        <row r="636">
          <cell r="F636">
            <v>305955</v>
          </cell>
          <cell r="G636" t="str">
            <v>Jorge Alfredo Gutierrez Rodriguez</v>
          </cell>
        </row>
        <row r="637">
          <cell r="F637">
            <v>309695</v>
          </cell>
          <cell r="G637" t="str">
            <v>Jorge Andres Sunum Sacul</v>
          </cell>
        </row>
        <row r="638">
          <cell r="F638">
            <v>310641</v>
          </cell>
          <cell r="G638" t="str">
            <v>Jorge Antonio Ramirez Sicay</v>
          </cell>
        </row>
        <row r="639">
          <cell r="F639">
            <v>300150</v>
          </cell>
          <cell r="G639" t="str">
            <v>Jorge Ckristian Murga</v>
          </cell>
        </row>
        <row r="640">
          <cell r="F640">
            <v>315114</v>
          </cell>
          <cell r="G640" t="str">
            <v>Jorge Enrique Tzic Cruz</v>
          </cell>
        </row>
        <row r="641">
          <cell r="F641">
            <v>300590</v>
          </cell>
          <cell r="G641" t="str">
            <v>Jorge Luis Hernandez Corado</v>
          </cell>
        </row>
        <row r="642">
          <cell r="F642">
            <v>315173</v>
          </cell>
          <cell r="G642" t="str">
            <v>Jorge Luis Morales Lopez</v>
          </cell>
        </row>
        <row r="643">
          <cell r="F643">
            <v>315067</v>
          </cell>
          <cell r="G643" t="str">
            <v>Jorge Luis Rizo Melgar</v>
          </cell>
        </row>
        <row r="644">
          <cell r="F644">
            <v>309498</v>
          </cell>
          <cell r="G644" t="str">
            <v>Jorge Ramiro Ixpec Tinti</v>
          </cell>
        </row>
        <row r="645">
          <cell r="F645">
            <v>313405</v>
          </cell>
          <cell r="G645" t="str">
            <v>Josabet Anai Paz Lobos</v>
          </cell>
        </row>
        <row r="646">
          <cell r="F646">
            <v>315268</v>
          </cell>
          <cell r="G646" t="str">
            <v>Jose Alberto Alveno Chacon</v>
          </cell>
        </row>
        <row r="647">
          <cell r="F647">
            <v>312319</v>
          </cell>
          <cell r="G647" t="str">
            <v>Jose Alberto Sosa</v>
          </cell>
        </row>
        <row r="648">
          <cell r="F648">
            <v>315039</v>
          </cell>
          <cell r="G648" t="str">
            <v>Jose Alejandro Hernandez Escobar</v>
          </cell>
        </row>
        <row r="649">
          <cell r="F649">
            <v>310674</v>
          </cell>
          <cell r="G649" t="str">
            <v>Jose Armando Bamaca De Leon</v>
          </cell>
        </row>
        <row r="650">
          <cell r="F650">
            <v>313612</v>
          </cell>
          <cell r="G650" t="str">
            <v>Jose Baldemar Galicia Muñoz</v>
          </cell>
        </row>
        <row r="651">
          <cell r="F651">
            <v>314216</v>
          </cell>
          <cell r="G651" t="str">
            <v>Jose Bernardo Yax Pop</v>
          </cell>
        </row>
        <row r="652">
          <cell r="F652">
            <v>314504</v>
          </cell>
          <cell r="G652" t="str">
            <v>Jose Carlos Lopez Santisteban</v>
          </cell>
        </row>
        <row r="653">
          <cell r="F653">
            <v>310673</v>
          </cell>
          <cell r="G653" t="str">
            <v>Jose Carlos Orozco Lopez</v>
          </cell>
        </row>
        <row r="654">
          <cell r="F654">
            <v>308982</v>
          </cell>
          <cell r="G654" t="str">
            <v>Jose Daniel Sosa Torres</v>
          </cell>
        </row>
        <row r="655">
          <cell r="F655">
            <v>314510</v>
          </cell>
          <cell r="G655" t="str">
            <v>Jose David Flores Enriquez</v>
          </cell>
        </row>
        <row r="656">
          <cell r="F656">
            <v>315261</v>
          </cell>
          <cell r="G656" t="str">
            <v>Jose Emmanuel Ixcajo Higueros</v>
          </cell>
        </row>
        <row r="657">
          <cell r="F657">
            <v>313766</v>
          </cell>
          <cell r="G657" t="str">
            <v>Jose Francisco Aquino Monterroso</v>
          </cell>
        </row>
        <row r="658">
          <cell r="F658">
            <v>315415</v>
          </cell>
          <cell r="G658" t="str">
            <v>Jose Guillermo Marroquin Alvarado</v>
          </cell>
        </row>
        <row r="659">
          <cell r="F659">
            <v>306915</v>
          </cell>
          <cell r="G659" t="str">
            <v>Jose Luis Chinchilla</v>
          </cell>
        </row>
        <row r="660">
          <cell r="F660">
            <v>309765</v>
          </cell>
          <cell r="G660" t="str">
            <v>Jose Luis Velasquez Miche</v>
          </cell>
        </row>
        <row r="661">
          <cell r="F661">
            <v>314262</v>
          </cell>
          <cell r="G661" t="str">
            <v>Jose Manuel Carreto Lopez</v>
          </cell>
        </row>
        <row r="662">
          <cell r="F662">
            <v>315487</v>
          </cell>
          <cell r="G662" t="str">
            <v>Jose Manuel Vasquez Osoy</v>
          </cell>
        </row>
        <row r="663">
          <cell r="F663">
            <v>304892</v>
          </cell>
          <cell r="G663" t="str">
            <v>Jose Mario Alberto Ordoñez Quiñonez</v>
          </cell>
        </row>
        <row r="664">
          <cell r="F664">
            <v>313023</v>
          </cell>
          <cell r="G664" t="str">
            <v>Jose Miguel Angel Noj Aguilar</v>
          </cell>
        </row>
        <row r="665">
          <cell r="F665">
            <v>312573</v>
          </cell>
          <cell r="G665" t="str">
            <v>Jose Miguel Santos Roca</v>
          </cell>
        </row>
        <row r="666">
          <cell r="F666">
            <v>311802</v>
          </cell>
          <cell r="G666" t="str">
            <v>Jose Roberto Samayoa Bernal</v>
          </cell>
        </row>
        <row r="667">
          <cell r="F667">
            <v>314614</v>
          </cell>
          <cell r="G667" t="str">
            <v>Jose Rodrigo Choc Turcios</v>
          </cell>
        </row>
        <row r="668">
          <cell r="F668">
            <v>314729</v>
          </cell>
          <cell r="G668" t="str">
            <v>Joselin Rocio Galicia Mendez</v>
          </cell>
        </row>
        <row r="669">
          <cell r="F669">
            <v>315496</v>
          </cell>
          <cell r="G669" t="str">
            <v>Joseline Otilia Lorenzana Obando</v>
          </cell>
        </row>
        <row r="670">
          <cell r="F670">
            <v>310302</v>
          </cell>
          <cell r="G670" t="str">
            <v>Joselyn Amparo Jolon Arenas</v>
          </cell>
        </row>
        <row r="671">
          <cell r="F671">
            <v>315573</v>
          </cell>
          <cell r="G671" t="str">
            <v>Joselyn Marilu Lima Hernandez</v>
          </cell>
        </row>
        <row r="672">
          <cell r="F672">
            <v>313361</v>
          </cell>
          <cell r="G672" t="str">
            <v>Joselyne Elizabeth Sanchez Rodriguez</v>
          </cell>
        </row>
        <row r="673">
          <cell r="F673">
            <v>309870</v>
          </cell>
          <cell r="G673" t="str">
            <v>Joselyne Gabriela Ruiz Serra</v>
          </cell>
        </row>
        <row r="674">
          <cell r="F674">
            <v>311407</v>
          </cell>
          <cell r="G674" t="str">
            <v>Joshelyn Andrea Ozuna Rosales</v>
          </cell>
        </row>
        <row r="675">
          <cell r="F675">
            <v>315066</v>
          </cell>
          <cell r="G675" t="str">
            <v>Joshua Leonel Pardo Carrera</v>
          </cell>
        </row>
        <row r="676">
          <cell r="F676">
            <v>314433</v>
          </cell>
          <cell r="G676" t="str">
            <v>Josselin Azucena Cortez Hernandez</v>
          </cell>
        </row>
        <row r="677">
          <cell r="F677">
            <v>315560</v>
          </cell>
          <cell r="G677" t="str">
            <v>Josseline Maribel Sarceno Guerra</v>
          </cell>
        </row>
        <row r="678">
          <cell r="F678">
            <v>314268</v>
          </cell>
          <cell r="G678" t="str">
            <v>Josseline Mishel Flores Baren</v>
          </cell>
        </row>
        <row r="679">
          <cell r="F679">
            <v>313034</v>
          </cell>
          <cell r="G679" t="str">
            <v>Josselyn Raab Morales Arana</v>
          </cell>
        </row>
        <row r="680">
          <cell r="F680">
            <v>314989</v>
          </cell>
          <cell r="G680" t="str">
            <v>Josue Adrian Gutierrez Garcia</v>
          </cell>
        </row>
        <row r="681">
          <cell r="F681">
            <v>308461</v>
          </cell>
          <cell r="G681" t="str">
            <v>Josue Gamaliel Rivera</v>
          </cell>
        </row>
        <row r="682">
          <cell r="F682">
            <v>315155</v>
          </cell>
          <cell r="G682" t="str">
            <v>Josue Helaman Delgado Rivera</v>
          </cell>
        </row>
        <row r="683">
          <cell r="F683">
            <v>315011</v>
          </cell>
          <cell r="G683" t="str">
            <v>Josue Ivan Escobar De Leon</v>
          </cell>
        </row>
        <row r="684">
          <cell r="F684">
            <v>313389</v>
          </cell>
          <cell r="G684" t="str">
            <v>Josue Leonel Hernandez Diaz</v>
          </cell>
        </row>
        <row r="685">
          <cell r="F685">
            <v>301059</v>
          </cell>
          <cell r="G685" t="str">
            <v>Jovita Vasquez Cuestas</v>
          </cell>
        </row>
        <row r="686">
          <cell r="F686">
            <v>314492</v>
          </cell>
          <cell r="G686" t="str">
            <v>Juan Antonio Alvarez Paniagua</v>
          </cell>
        </row>
        <row r="687">
          <cell r="F687">
            <v>313594</v>
          </cell>
          <cell r="G687" t="str">
            <v>Juan Carlos Enrique Molina Ramirez</v>
          </cell>
        </row>
        <row r="688">
          <cell r="F688">
            <v>314452</v>
          </cell>
          <cell r="G688" t="str">
            <v>Juan Carlos Ivan Garcia Garcia</v>
          </cell>
        </row>
        <row r="689">
          <cell r="F689">
            <v>307279</v>
          </cell>
          <cell r="G689" t="str">
            <v>Juan Carlos Perez Cahueque</v>
          </cell>
        </row>
        <row r="690">
          <cell r="F690">
            <v>315455</v>
          </cell>
          <cell r="G690" t="str">
            <v>Juan Daniel Davila Juarez</v>
          </cell>
        </row>
        <row r="691">
          <cell r="F691">
            <v>312318</v>
          </cell>
          <cell r="G691" t="str">
            <v>Juan Enrique Garcia</v>
          </cell>
        </row>
        <row r="692">
          <cell r="F692">
            <v>314669</v>
          </cell>
          <cell r="G692" t="str">
            <v>Juan Enrique Jul Coc</v>
          </cell>
        </row>
        <row r="693">
          <cell r="F693">
            <v>311223</v>
          </cell>
          <cell r="G693" t="str">
            <v>Juan Francisco Gudiel Castillo</v>
          </cell>
        </row>
        <row r="694">
          <cell r="F694">
            <v>313343</v>
          </cell>
          <cell r="G694" t="str">
            <v>Juan Francisco Lopez Salic</v>
          </cell>
        </row>
        <row r="695">
          <cell r="F695">
            <v>300401</v>
          </cell>
          <cell r="G695" t="str">
            <v>Juan Gabriel Mendoza Alvarez</v>
          </cell>
        </row>
        <row r="696">
          <cell r="F696">
            <v>313617</v>
          </cell>
          <cell r="G696" t="str">
            <v>Juan Isael Amador</v>
          </cell>
        </row>
        <row r="697">
          <cell r="F697">
            <v>314961</v>
          </cell>
          <cell r="G697" t="str">
            <v>Juan Jose Cifuentes Chavez</v>
          </cell>
        </row>
        <row r="698">
          <cell r="F698">
            <v>300919</v>
          </cell>
          <cell r="G698" t="str">
            <v>Juan Jose Rodriguez Catu</v>
          </cell>
        </row>
        <row r="699">
          <cell r="F699">
            <v>313044</v>
          </cell>
          <cell r="G699" t="str">
            <v>Juan Luis Ajcet Xicay</v>
          </cell>
        </row>
        <row r="700">
          <cell r="F700">
            <v>314665</v>
          </cell>
          <cell r="G700" t="str">
            <v>Juan Manuel Lopez Hernandez</v>
          </cell>
        </row>
        <row r="701">
          <cell r="F701">
            <v>315275</v>
          </cell>
          <cell r="G701" t="str">
            <v>Juana Del Carmen Arias Lopez</v>
          </cell>
        </row>
        <row r="702">
          <cell r="F702">
            <v>314557</v>
          </cell>
          <cell r="G702" t="str">
            <v>Juana Ester Alvarez Tuluxan</v>
          </cell>
        </row>
        <row r="703">
          <cell r="F703">
            <v>313604</v>
          </cell>
          <cell r="G703" t="str">
            <v>Julia Damaris Raquel Ramirez Torres</v>
          </cell>
        </row>
        <row r="704">
          <cell r="F704">
            <v>315411</v>
          </cell>
          <cell r="G704" t="str">
            <v>Julio Alberto Guerra Jacinto</v>
          </cell>
        </row>
        <row r="705">
          <cell r="F705">
            <v>306242</v>
          </cell>
          <cell r="G705" t="str">
            <v>Julio Amilcar Oswaldo Ico Rey</v>
          </cell>
        </row>
        <row r="706">
          <cell r="F706">
            <v>310693</v>
          </cell>
          <cell r="G706" t="str">
            <v>Julio Antonio Gonzalez Izaguirre</v>
          </cell>
        </row>
        <row r="707">
          <cell r="F707">
            <v>302559</v>
          </cell>
          <cell r="G707" t="str">
            <v>Julio Belarmino Mendez Camey</v>
          </cell>
        </row>
        <row r="708">
          <cell r="F708">
            <v>314740</v>
          </cell>
          <cell r="G708" t="str">
            <v>Julio Cesar Cuellar Revolorio</v>
          </cell>
        </row>
        <row r="709">
          <cell r="F709">
            <v>308266</v>
          </cell>
          <cell r="G709" t="str">
            <v>Julio Cesar De Leon Huinac</v>
          </cell>
        </row>
        <row r="710">
          <cell r="F710">
            <v>311388</v>
          </cell>
          <cell r="G710" t="str">
            <v>Julio David Ambrosio Hernandez</v>
          </cell>
        </row>
        <row r="711">
          <cell r="F711">
            <v>313493</v>
          </cell>
          <cell r="G711" t="str">
            <v>Julio Rene Medina Mendez</v>
          </cell>
        </row>
        <row r="712">
          <cell r="F712">
            <v>314194</v>
          </cell>
          <cell r="G712" t="str">
            <v>Junior Stiven Gonzalez Fuentes</v>
          </cell>
        </row>
        <row r="713">
          <cell r="F713">
            <v>308411</v>
          </cell>
          <cell r="G713" t="str">
            <v>Karen Alejandra Cotoc Valdes</v>
          </cell>
        </row>
        <row r="714">
          <cell r="F714">
            <v>313225</v>
          </cell>
          <cell r="G714" t="str">
            <v>Karen Deniss Lucas Chavez</v>
          </cell>
        </row>
        <row r="715">
          <cell r="F715">
            <v>311553</v>
          </cell>
          <cell r="G715" t="str">
            <v>Karen Elizabeth Racancoj Tin</v>
          </cell>
        </row>
        <row r="716">
          <cell r="F716">
            <v>312029</v>
          </cell>
          <cell r="G716" t="str">
            <v>Karen Faviola Lutin Sanchez</v>
          </cell>
        </row>
        <row r="717">
          <cell r="F717">
            <v>314954</v>
          </cell>
          <cell r="G717" t="str">
            <v>Karen Jeanet Pacheco Gomez</v>
          </cell>
        </row>
        <row r="718">
          <cell r="F718">
            <v>305618</v>
          </cell>
          <cell r="G718" t="str">
            <v>Karen Julisa Fernandez Vides</v>
          </cell>
        </row>
        <row r="719">
          <cell r="F719">
            <v>308561</v>
          </cell>
          <cell r="G719" t="str">
            <v>Karen Leticia Vasquez Castañeda</v>
          </cell>
        </row>
        <row r="720">
          <cell r="F720">
            <v>313722</v>
          </cell>
          <cell r="G720" t="str">
            <v>Karen Marilu Chavez Suchite</v>
          </cell>
        </row>
        <row r="721">
          <cell r="F721">
            <v>315110</v>
          </cell>
          <cell r="G721" t="str">
            <v>Karen Marleny Perez Fuentes</v>
          </cell>
        </row>
        <row r="722">
          <cell r="F722">
            <v>311616</v>
          </cell>
          <cell r="G722" t="str">
            <v>Karen Meliza Saavedra Morataya</v>
          </cell>
        </row>
        <row r="723">
          <cell r="F723">
            <v>309014</v>
          </cell>
          <cell r="G723" t="str">
            <v>Karen Mishelle Chavez Segura</v>
          </cell>
        </row>
        <row r="724">
          <cell r="F724">
            <v>314217</v>
          </cell>
          <cell r="G724" t="str">
            <v>Karen Nohemi Perez Santos</v>
          </cell>
        </row>
        <row r="725">
          <cell r="F725">
            <v>315274</v>
          </cell>
          <cell r="G725" t="str">
            <v>Karen Rubi Perez Calderon</v>
          </cell>
        </row>
        <row r="726">
          <cell r="F726">
            <v>308426</v>
          </cell>
          <cell r="G726" t="str">
            <v>Karen Susana Marcos Yupe</v>
          </cell>
        </row>
        <row r="727">
          <cell r="F727">
            <v>311722</v>
          </cell>
          <cell r="G727" t="str">
            <v>Karen Verali Sagastume Oliveros</v>
          </cell>
        </row>
        <row r="728">
          <cell r="F728">
            <v>308244</v>
          </cell>
          <cell r="G728" t="str">
            <v>Karen Yamileth Rosales Alarcon</v>
          </cell>
        </row>
        <row r="729">
          <cell r="F729">
            <v>312215</v>
          </cell>
          <cell r="G729" t="str">
            <v>Karin Liseth Son Chonay</v>
          </cell>
        </row>
        <row r="730">
          <cell r="F730">
            <v>301583</v>
          </cell>
          <cell r="G730" t="str">
            <v>Karin Yesenia Nova Posadas</v>
          </cell>
        </row>
        <row r="731">
          <cell r="F731">
            <v>313918</v>
          </cell>
          <cell r="G731" t="str">
            <v>Karina Lizeth Pineda Ortiz</v>
          </cell>
        </row>
        <row r="732">
          <cell r="F732">
            <v>312403</v>
          </cell>
          <cell r="G732" t="str">
            <v>Karla Elizabeth Lopez Tupul</v>
          </cell>
        </row>
        <row r="733">
          <cell r="F733">
            <v>304664</v>
          </cell>
          <cell r="G733" t="str">
            <v>Karla Eunice Godinez Mendoza</v>
          </cell>
        </row>
        <row r="734">
          <cell r="F734">
            <v>315490</v>
          </cell>
          <cell r="G734" t="str">
            <v>Karla Jasmin Pelen Rafael</v>
          </cell>
        </row>
        <row r="735">
          <cell r="F735">
            <v>314673</v>
          </cell>
          <cell r="G735" t="str">
            <v>Karla Maria Montejo Martinez</v>
          </cell>
        </row>
        <row r="736">
          <cell r="F736">
            <v>313079</v>
          </cell>
          <cell r="G736" t="str">
            <v>Karla Mariela Lopez Salguero</v>
          </cell>
        </row>
        <row r="737">
          <cell r="F737">
            <v>314464</v>
          </cell>
          <cell r="G737" t="str">
            <v>Karla Melisa Trejo Lopez</v>
          </cell>
        </row>
        <row r="738">
          <cell r="F738">
            <v>314206</v>
          </cell>
          <cell r="G738" t="str">
            <v>Karla Nineth Guzman Carrera De Velasquez</v>
          </cell>
        </row>
        <row r="739">
          <cell r="F739">
            <v>314831</v>
          </cell>
          <cell r="G739" t="str">
            <v>Karla Paola Solorzano Monroy</v>
          </cell>
        </row>
        <row r="740">
          <cell r="F740">
            <v>309957</v>
          </cell>
          <cell r="G740" t="str">
            <v>Karla Veronica Zepeda Moran</v>
          </cell>
        </row>
        <row r="741">
          <cell r="F741">
            <v>310487</v>
          </cell>
          <cell r="G741" t="str">
            <v>Karla Yaneth Vasquez Gomez</v>
          </cell>
        </row>
        <row r="742">
          <cell r="F742">
            <v>314444</v>
          </cell>
          <cell r="G742" t="str">
            <v>Karla Yanira Francisco Morales</v>
          </cell>
        </row>
        <row r="743">
          <cell r="F743">
            <v>305608</v>
          </cell>
          <cell r="G743" t="str">
            <v>Karla Yanira Franco Perez</v>
          </cell>
        </row>
        <row r="744">
          <cell r="F744">
            <v>312982</v>
          </cell>
          <cell r="G744" t="str">
            <v>Karla Yessenia Garcia Lopez</v>
          </cell>
        </row>
        <row r="745">
          <cell r="F745">
            <v>314044</v>
          </cell>
          <cell r="G745" t="str">
            <v>Karol Liset Reyes Alvarez</v>
          </cell>
        </row>
        <row r="746">
          <cell r="F746">
            <v>311039</v>
          </cell>
          <cell r="G746" t="str">
            <v>Karolyn Gisselle Palma Ramirez</v>
          </cell>
        </row>
        <row r="747">
          <cell r="F747">
            <v>309255</v>
          </cell>
          <cell r="G747" t="str">
            <v>Katerin Mariela Miranda Perez</v>
          </cell>
        </row>
        <row r="748">
          <cell r="F748">
            <v>308909</v>
          </cell>
          <cell r="G748" t="str">
            <v>Katerine Andrea Mansilla Vasquez</v>
          </cell>
        </row>
        <row r="749">
          <cell r="F749">
            <v>314344</v>
          </cell>
          <cell r="G749" t="str">
            <v>Katherin Maria Del Rosario Curiales Catalan</v>
          </cell>
        </row>
        <row r="750">
          <cell r="F750">
            <v>311930</v>
          </cell>
          <cell r="G750" t="str">
            <v>Katherine Andreina Rodriguez Flores</v>
          </cell>
        </row>
        <row r="751">
          <cell r="F751">
            <v>314987</v>
          </cell>
          <cell r="G751" t="str">
            <v>Katherine Dayana Sinay Colindres</v>
          </cell>
        </row>
        <row r="752">
          <cell r="F752">
            <v>313018</v>
          </cell>
          <cell r="G752" t="str">
            <v>Katherine Guissele Camey Gonzalez</v>
          </cell>
        </row>
        <row r="753">
          <cell r="F753">
            <v>305303</v>
          </cell>
          <cell r="G753" t="str">
            <v>Katherine Stephani Cazanga Giron</v>
          </cell>
        </row>
        <row r="754">
          <cell r="F754">
            <v>310764</v>
          </cell>
          <cell r="G754" t="str">
            <v>Katherine Yorleny Montepeque Echeverria</v>
          </cell>
        </row>
        <row r="755">
          <cell r="F755">
            <v>312313</v>
          </cell>
          <cell r="G755" t="str">
            <v>Katherinne Marleny Ruano Vasquez</v>
          </cell>
        </row>
        <row r="756">
          <cell r="F756">
            <v>312966</v>
          </cell>
          <cell r="G756" t="str">
            <v>Katheryn Nohemi Pineda Sun</v>
          </cell>
        </row>
        <row r="757">
          <cell r="F757">
            <v>314949</v>
          </cell>
          <cell r="G757" t="str">
            <v>Kathleen Yadira Martinez Salazar</v>
          </cell>
        </row>
        <row r="758">
          <cell r="F758">
            <v>307014</v>
          </cell>
          <cell r="G758" t="str">
            <v>Keila Abigail Lopez Argueta</v>
          </cell>
        </row>
        <row r="759">
          <cell r="F759">
            <v>315508</v>
          </cell>
          <cell r="G759" t="str">
            <v>Keila Betsaida Mendoza Pineda</v>
          </cell>
        </row>
        <row r="760">
          <cell r="F760">
            <v>315062</v>
          </cell>
          <cell r="G760" t="str">
            <v>Keili Yanira Arceno Solano</v>
          </cell>
        </row>
        <row r="761">
          <cell r="F761">
            <v>314165</v>
          </cell>
          <cell r="G761" t="str">
            <v>Kelly Dayanna Patzan Giron</v>
          </cell>
        </row>
        <row r="762">
          <cell r="F762">
            <v>315570</v>
          </cell>
          <cell r="G762" t="str">
            <v>Kemberly Del Rosario Zecena Ramos</v>
          </cell>
        </row>
        <row r="763">
          <cell r="F763">
            <v>314804</v>
          </cell>
          <cell r="G763" t="str">
            <v>Kendy Daniela Ramirez Lopez</v>
          </cell>
        </row>
        <row r="764">
          <cell r="F764">
            <v>313433</v>
          </cell>
          <cell r="G764" t="str">
            <v>Kenia Estefania Mateo Castro</v>
          </cell>
        </row>
        <row r="765">
          <cell r="F765">
            <v>314991</v>
          </cell>
          <cell r="G765" t="str">
            <v>Kevin Alberto Castillo Matias</v>
          </cell>
        </row>
        <row r="766">
          <cell r="F766">
            <v>314026</v>
          </cell>
          <cell r="G766" t="str">
            <v>Kevin Alberto Lopez Ortiz</v>
          </cell>
        </row>
        <row r="767">
          <cell r="F767">
            <v>315246</v>
          </cell>
          <cell r="G767" t="str">
            <v>Kevin Alexander Escobar Cante</v>
          </cell>
        </row>
        <row r="768">
          <cell r="F768">
            <v>312218</v>
          </cell>
          <cell r="G768" t="str">
            <v>Kevin Amilcar Cor Guzman</v>
          </cell>
        </row>
        <row r="769">
          <cell r="F769">
            <v>311369</v>
          </cell>
          <cell r="G769" t="str">
            <v>Kevin Antonio Perez Gonzalez</v>
          </cell>
        </row>
        <row r="770">
          <cell r="F770">
            <v>314627</v>
          </cell>
          <cell r="G770" t="str">
            <v>Kevin Daniel Chonay Perez</v>
          </cell>
        </row>
        <row r="771">
          <cell r="F771">
            <v>311228</v>
          </cell>
          <cell r="G771" t="str">
            <v>Kevin Doley Alexander Gomez Lopez</v>
          </cell>
        </row>
        <row r="772">
          <cell r="F772">
            <v>309148</v>
          </cell>
          <cell r="G772" t="str">
            <v>Kevin Estuardo Yac Garcia</v>
          </cell>
        </row>
        <row r="773">
          <cell r="F773">
            <v>311643</v>
          </cell>
          <cell r="G773" t="str">
            <v>Kevin Javier Ortiz Gonzalez</v>
          </cell>
        </row>
        <row r="774">
          <cell r="F774">
            <v>311034</v>
          </cell>
          <cell r="G774" t="str">
            <v>Kevin Jordano Barrios Chin</v>
          </cell>
        </row>
        <row r="775">
          <cell r="F775">
            <v>314011</v>
          </cell>
          <cell r="G775" t="str">
            <v>Kevin Jose Mijangos Vasquez</v>
          </cell>
        </row>
        <row r="776">
          <cell r="F776">
            <v>314743</v>
          </cell>
          <cell r="G776" t="str">
            <v>Kevin Josue Sevilla Nieto</v>
          </cell>
        </row>
        <row r="777">
          <cell r="F777">
            <v>311639</v>
          </cell>
          <cell r="G777" t="str">
            <v>Kevin Omar Ortiz Contreras</v>
          </cell>
        </row>
        <row r="778">
          <cell r="F778">
            <v>310538</v>
          </cell>
          <cell r="G778" t="str">
            <v>Kevin Orlando Ventura Lopez</v>
          </cell>
        </row>
        <row r="779">
          <cell r="F779">
            <v>311932</v>
          </cell>
          <cell r="G779" t="str">
            <v>Kevin Rene Medrano Sarceño</v>
          </cell>
        </row>
        <row r="780">
          <cell r="F780">
            <v>308269</v>
          </cell>
          <cell r="G780" t="str">
            <v>Kevin Ruben Perez Lopez</v>
          </cell>
        </row>
        <row r="781">
          <cell r="F781">
            <v>313566</v>
          </cell>
          <cell r="G781" t="str">
            <v>Kevin Saul Rodriguez Vasquez</v>
          </cell>
        </row>
        <row r="782">
          <cell r="F782">
            <v>313520</v>
          </cell>
          <cell r="G782" t="str">
            <v>Kevin Winston Chavez Alvarez</v>
          </cell>
        </row>
        <row r="783">
          <cell r="F783">
            <v>312178</v>
          </cell>
          <cell r="G783" t="str">
            <v>Keyla Cristy Dubon Pernillo</v>
          </cell>
        </row>
        <row r="784">
          <cell r="F784">
            <v>305666</v>
          </cell>
          <cell r="G784" t="str">
            <v>Kezmi Romani Garcia Mendez</v>
          </cell>
        </row>
        <row r="785">
          <cell r="F785">
            <v>314754</v>
          </cell>
          <cell r="G785" t="str">
            <v>Kimberly Anayanci Tello Morales</v>
          </cell>
        </row>
        <row r="786">
          <cell r="F786">
            <v>314051</v>
          </cell>
          <cell r="G786" t="str">
            <v>Kimberly Dayanna Herrera Marroquin</v>
          </cell>
        </row>
        <row r="787">
          <cell r="F787">
            <v>313302</v>
          </cell>
          <cell r="G787" t="str">
            <v>Kimberly Guadalupe Mulul Pelico</v>
          </cell>
        </row>
        <row r="788">
          <cell r="F788">
            <v>314218</v>
          </cell>
          <cell r="G788" t="str">
            <v>Kimberly Guadalupe Soto</v>
          </cell>
        </row>
        <row r="789">
          <cell r="F789">
            <v>305285</v>
          </cell>
          <cell r="G789" t="str">
            <v>Kimberly Judith Lopez Amaya</v>
          </cell>
        </row>
        <row r="790">
          <cell r="F790">
            <v>309753</v>
          </cell>
          <cell r="G790" t="str">
            <v>Kimberly Melissa Juarez Ramirez</v>
          </cell>
        </row>
        <row r="791">
          <cell r="F791">
            <v>312174</v>
          </cell>
          <cell r="G791" t="str">
            <v>Kimberly Mishel Merida Cortez</v>
          </cell>
        </row>
        <row r="792">
          <cell r="F792">
            <v>310926</v>
          </cell>
          <cell r="G792" t="str">
            <v>Kimberly Nohemi Alvarado Toj</v>
          </cell>
        </row>
        <row r="793">
          <cell r="F793">
            <v>315095</v>
          </cell>
          <cell r="G793" t="str">
            <v>Kimberly Suseli Ibarra Barahona</v>
          </cell>
        </row>
        <row r="794">
          <cell r="F794">
            <v>313601</v>
          </cell>
          <cell r="G794" t="str">
            <v>Kimberly Yasmin Alvarado Veliz</v>
          </cell>
        </row>
        <row r="795">
          <cell r="F795">
            <v>310820</v>
          </cell>
          <cell r="G795" t="str">
            <v>Kleidy Smaily Lopez Lopez De Vicente</v>
          </cell>
        </row>
        <row r="796">
          <cell r="F796">
            <v>315345</v>
          </cell>
          <cell r="G796" t="str">
            <v>Klisman Julio Rolando Lopez Garcia</v>
          </cell>
        </row>
        <row r="797">
          <cell r="F797">
            <v>315369</v>
          </cell>
          <cell r="G797" t="str">
            <v>Krisla Mayte Madrigales Palencia</v>
          </cell>
        </row>
        <row r="798">
          <cell r="F798">
            <v>314417</v>
          </cell>
          <cell r="G798" t="str">
            <v>Krisley Mary Dayana Mazariegos Vega</v>
          </cell>
        </row>
        <row r="799">
          <cell r="F799">
            <v>311096</v>
          </cell>
          <cell r="G799" t="str">
            <v>Larry Noel Gomez Cuellar</v>
          </cell>
        </row>
        <row r="800">
          <cell r="F800">
            <v>315400</v>
          </cell>
          <cell r="G800" t="str">
            <v>Laura Cecilia De Leon Zapeta</v>
          </cell>
        </row>
        <row r="801">
          <cell r="F801">
            <v>312722</v>
          </cell>
          <cell r="G801" t="str">
            <v>Laura Dairis Analy Zeceña Minera</v>
          </cell>
        </row>
        <row r="802">
          <cell r="F802">
            <v>314274</v>
          </cell>
          <cell r="G802" t="str">
            <v>Laura Estefania Cardona Mateo</v>
          </cell>
        </row>
        <row r="803">
          <cell r="F803">
            <v>309643</v>
          </cell>
          <cell r="G803" t="str">
            <v>Laura Gabriela Hernandez Merida</v>
          </cell>
        </row>
        <row r="804">
          <cell r="F804">
            <v>312253</v>
          </cell>
          <cell r="G804" t="str">
            <v>Laura Jajairy Ramirez Veron</v>
          </cell>
        </row>
        <row r="805">
          <cell r="F805">
            <v>315183</v>
          </cell>
          <cell r="G805" t="str">
            <v>Laura Lisbeth Gonzalez Ajin</v>
          </cell>
        </row>
        <row r="806">
          <cell r="F806">
            <v>315144</v>
          </cell>
          <cell r="G806" t="str">
            <v>Lazaro Castro Cajanti</v>
          </cell>
        </row>
        <row r="807">
          <cell r="F807">
            <v>314220</v>
          </cell>
          <cell r="G807" t="str">
            <v>Lea Maria Lopez Agustin</v>
          </cell>
        </row>
        <row r="808">
          <cell r="F808">
            <v>303284</v>
          </cell>
          <cell r="G808" t="str">
            <v>Legbi Evangelina Martinez Vicente</v>
          </cell>
        </row>
        <row r="809">
          <cell r="F809">
            <v>304200</v>
          </cell>
          <cell r="G809" t="str">
            <v>Legna Magali Juarez Aroche</v>
          </cell>
        </row>
        <row r="810">
          <cell r="F810">
            <v>310692</v>
          </cell>
          <cell r="G810" t="str">
            <v>Leidy Ana Deisy Macz Valey</v>
          </cell>
        </row>
        <row r="811">
          <cell r="F811">
            <v>303971</v>
          </cell>
          <cell r="G811" t="str">
            <v>Leidy Marisol Perez Arias</v>
          </cell>
        </row>
        <row r="812">
          <cell r="F812">
            <v>312969</v>
          </cell>
          <cell r="G812" t="str">
            <v>Lely Herrera Molina</v>
          </cell>
        </row>
        <row r="813">
          <cell r="F813">
            <v>315278</v>
          </cell>
          <cell r="G813" t="str">
            <v>Leon Vicente Estuardo Ical Chub</v>
          </cell>
        </row>
        <row r="814">
          <cell r="F814">
            <v>306895</v>
          </cell>
          <cell r="G814" t="str">
            <v>Leonardo Bocel Lopez</v>
          </cell>
        </row>
        <row r="815">
          <cell r="F815">
            <v>315257</v>
          </cell>
          <cell r="G815" t="str">
            <v>Lesli Carolina Iquique Chamale</v>
          </cell>
        </row>
        <row r="816">
          <cell r="F816">
            <v>310605</v>
          </cell>
          <cell r="G816" t="str">
            <v>Lesli Paola Mendez Palencia</v>
          </cell>
        </row>
        <row r="817">
          <cell r="F817">
            <v>307367</v>
          </cell>
          <cell r="G817" t="str">
            <v>Lesli Paola Vasquez Villalta</v>
          </cell>
        </row>
        <row r="818">
          <cell r="F818">
            <v>314870</v>
          </cell>
          <cell r="G818" t="str">
            <v>Leslie Karina Peliz Garcia</v>
          </cell>
        </row>
        <row r="819">
          <cell r="F819">
            <v>314382</v>
          </cell>
          <cell r="G819" t="str">
            <v>Leslie Veronica Varela Echeverria</v>
          </cell>
        </row>
        <row r="820">
          <cell r="F820">
            <v>310067</v>
          </cell>
          <cell r="G820" t="str">
            <v>Lesly Alejandra Estrada Chacon</v>
          </cell>
        </row>
        <row r="821">
          <cell r="F821">
            <v>307352</v>
          </cell>
          <cell r="G821" t="str">
            <v>Lesly Anali Monterroso Ramirez</v>
          </cell>
        </row>
        <row r="822">
          <cell r="F822">
            <v>310143</v>
          </cell>
          <cell r="G822" t="str">
            <v>Lesly Aurora Hernandez Godoy</v>
          </cell>
        </row>
        <row r="823">
          <cell r="F823">
            <v>312833</v>
          </cell>
          <cell r="G823" t="str">
            <v>Lesly Fabiola Solorzano Garcia</v>
          </cell>
        </row>
        <row r="824">
          <cell r="F824">
            <v>315132</v>
          </cell>
          <cell r="G824" t="str">
            <v>Lesly Lisseth Ligorria Torres</v>
          </cell>
        </row>
        <row r="825">
          <cell r="F825">
            <v>309366</v>
          </cell>
          <cell r="G825" t="str">
            <v>Lesly Maribel Hidalgo Barrios</v>
          </cell>
        </row>
        <row r="826">
          <cell r="F826">
            <v>314328</v>
          </cell>
          <cell r="G826" t="str">
            <v>Lesly Marileny De Leon De Leon</v>
          </cell>
        </row>
        <row r="827">
          <cell r="F827">
            <v>315317</v>
          </cell>
          <cell r="G827" t="str">
            <v>Lesly Nereyda Ixquiac Vidaurre</v>
          </cell>
        </row>
        <row r="828">
          <cell r="F828">
            <v>313889</v>
          </cell>
          <cell r="G828" t="str">
            <v>Lesly Noemi Morales Molina</v>
          </cell>
        </row>
        <row r="829">
          <cell r="F829">
            <v>310261</v>
          </cell>
          <cell r="G829" t="str">
            <v>Lesly Rosibel Asencio Estrada</v>
          </cell>
        </row>
        <row r="830">
          <cell r="F830">
            <v>311985</v>
          </cell>
          <cell r="G830" t="str">
            <v>Lesly Vanessa Jerez Herrera</v>
          </cell>
        </row>
        <row r="831">
          <cell r="F831">
            <v>307718</v>
          </cell>
          <cell r="G831" t="str">
            <v>Lesly Yohanna Ramirez Sarceño</v>
          </cell>
        </row>
        <row r="832">
          <cell r="F832">
            <v>307269</v>
          </cell>
          <cell r="G832" t="str">
            <v>Lester Alexander Rodriguez Arevalo</v>
          </cell>
        </row>
        <row r="833">
          <cell r="F833">
            <v>102070</v>
          </cell>
          <cell r="G833" t="str">
            <v>Lester Giovanni Barrios Gonzalez</v>
          </cell>
        </row>
        <row r="834">
          <cell r="F834">
            <v>313030</v>
          </cell>
          <cell r="G834" t="str">
            <v>Lester Ottoniel Martinez Gonzalez</v>
          </cell>
        </row>
        <row r="835">
          <cell r="F835">
            <v>314628</v>
          </cell>
          <cell r="G835" t="str">
            <v>Levy Jhafreth Molina Castellanos</v>
          </cell>
        </row>
        <row r="836">
          <cell r="F836">
            <v>315074</v>
          </cell>
          <cell r="G836" t="str">
            <v>Leyvis Anihela Melendez Garcia</v>
          </cell>
        </row>
        <row r="837">
          <cell r="F837">
            <v>310347</v>
          </cell>
          <cell r="G837" t="str">
            <v>Lidia Sarahi Rodriguez Zamora</v>
          </cell>
        </row>
        <row r="838">
          <cell r="F838">
            <v>313802</v>
          </cell>
          <cell r="G838" t="str">
            <v>Ligia Delfina Caal Coy</v>
          </cell>
        </row>
        <row r="839">
          <cell r="F839">
            <v>303594</v>
          </cell>
          <cell r="G839" t="str">
            <v>Ligia Iveth Marroquin Lechuga</v>
          </cell>
        </row>
        <row r="840">
          <cell r="F840">
            <v>311440</v>
          </cell>
          <cell r="G840" t="str">
            <v>Lili Azucena Perez Yantuch</v>
          </cell>
        </row>
        <row r="841">
          <cell r="F841">
            <v>310148</v>
          </cell>
          <cell r="G841" t="str">
            <v>Lilian Carolina Quiñonez Garcia</v>
          </cell>
        </row>
        <row r="842">
          <cell r="F842">
            <v>300280</v>
          </cell>
          <cell r="G842" t="str">
            <v>Lilian Del Carmen Franco Curin</v>
          </cell>
        </row>
        <row r="843">
          <cell r="F843">
            <v>306962</v>
          </cell>
          <cell r="G843" t="str">
            <v>Lilian Elizabeth Diaz Rivera</v>
          </cell>
        </row>
        <row r="844">
          <cell r="F844">
            <v>314279</v>
          </cell>
          <cell r="G844" t="str">
            <v>Lilian Evelyn Sajbochol Garcia</v>
          </cell>
        </row>
        <row r="845">
          <cell r="F845">
            <v>305035</v>
          </cell>
          <cell r="G845" t="str">
            <v>Lilian Nohemi Santos Bailon</v>
          </cell>
        </row>
        <row r="846">
          <cell r="F846">
            <v>314899</v>
          </cell>
          <cell r="G846" t="str">
            <v>Lilian Vanessa Tezó Monterroso</v>
          </cell>
        </row>
        <row r="847">
          <cell r="F847">
            <v>314728</v>
          </cell>
          <cell r="G847" t="str">
            <v>Lilian Yomara Perez Ajxup</v>
          </cell>
        </row>
        <row r="848">
          <cell r="F848">
            <v>313768</v>
          </cell>
          <cell r="G848" t="str">
            <v>Liliana Marisela Chamorro Tax</v>
          </cell>
        </row>
        <row r="849">
          <cell r="F849">
            <v>314091</v>
          </cell>
          <cell r="G849" t="str">
            <v>Linda Gineli Segura Perez</v>
          </cell>
        </row>
        <row r="850">
          <cell r="F850">
            <v>310198</v>
          </cell>
          <cell r="G850" t="str">
            <v>Linsi Mishell Batz Marroquin</v>
          </cell>
        </row>
        <row r="851">
          <cell r="F851">
            <v>309262</v>
          </cell>
          <cell r="G851" t="str">
            <v>Lisbeth Carolina Hernandez Urrutia</v>
          </cell>
        </row>
        <row r="852">
          <cell r="F852">
            <v>315486</v>
          </cell>
          <cell r="G852" t="str">
            <v>Lisbeth Jeaneth Sucup</v>
          </cell>
        </row>
        <row r="853">
          <cell r="F853">
            <v>311492</v>
          </cell>
          <cell r="G853" t="str">
            <v>Liseth Aldai De La Cruz Lopez</v>
          </cell>
        </row>
        <row r="854">
          <cell r="F854">
            <v>315403</v>
          </cell>
          <cell r="G854" t="str">
            <v>Lizbeth Liliana Peren Velasquez</v>
          </cell>
        </row>
        <row r="855">
          <cell r="F855">
            <v>312792</v>
          </cell>
          <cell r="G855" t="str">
            <v>Llori Eriselda Zuñiga Gomez</v>
          </cell>
        </row>
        <row r="856">
          <cell r="F856">
            <v>314774</v>
          </cell>
          <cell r="G856" t="str">
            <v>Loida Eunice Celada Panjoj</v>
          </cell>
        </row>
        <row r="857">
          <cell r="F857">
            <v>310872</v>
          </cell>
          <cell r="G857" t="str">
            <v>Loida Raquel Juarez Ixpata</v>
          </cell>
        </row>
        <row r="858">
          <cell r="F858">
            <v>312765</v>
          </cell>
          <cell r="G858" t="str">
            <v>Londy Yazmin Gonzalez Ramirez</v>
          </cell>
        </row>
        <row r="859">
          <cell r="F859">
            <v>303967</v>
          </cell>
          <cell r="G859" t="str">
            <v>Loren Alejandra Gutierrez Perez</v>
          </cell>
        </row>
        <row r="860">
          <cell r="F860">
            <v>311367</v>
          </cell>
          <cell r="G860" t="str">
            <v>Lorena Elisbeth Gomez Ajanel</v>
          </cell>
        </row>
        <row r="861">
          <cell r="F861">
            <v>310502</v>
          </cell>
          <cell r="G861" t="str">
            <v>Lourdes Cristina Flores Tahuite</v>
          </cell>
        </row>
        <row r="862">
          <cell r="F862">
            <v>315124</v>
          </cell>
          <cell r="G862" t="str">
            <v>Lourdes Guadalupe Solorzano Herrera</v>
          </cell>
        </row>
        <row r="863">
          <cell r="F863">
            <v>313529</v>
          </cell>
          <cell r="G863" t="str">
            <v>Lucia Adali Alvarado Juarez</v>
          </cell>
        </row>
        <row r="864">
          <cell r="F864">
            <v>314022</v>
          </cell>
          <cell r="G864" t="str">
            <v>Lucinda Nova Garcia</v>
          </cell>
        </row>
        <row r="865">
          <cell r="F865">
            <v>309747</v>
          </cell>
          <cell r="G865" t="str">
            <v>Ludwin Enrique Pineda Soto</v>
          </cell>
        </row>
        <row r="866">
          <cell r="F866">
            <v>315489</v>
          </cell>
          <cell r="G866" t="str">
            <v>Ludwyn Alejandro Estrada Giron</v>
          </cell>
        </row>
        <row r="867">
          <cell r="F867">
            <v>313595</v>
          </cell>
          <cell r="G867" t="str">
            <v>Luis Alan Caceros Chub</v>
          </cell>
        </row>
        <row r="868">
          <cell r="F868">
            <v>311207</v>
          </cell>
          <cell r="G868" t="str">
            <v>Luis Alberto Figueroa Vasquez</v>
          </cell>
        </row>
        <row r="869">
          <cell r="F869">
            <v>304473</v>
          </cell>
          <cell r="G869" t="str">
            <v>Luis Alberto Najera Solis</v>
          </cell>
        </row>
        <row r="870">
          <cell r="F870">
            <v>314202</v>
          </cell>
          <cell r="G870" t="str">
            <v>Luis Antonio Cotzajay Quelex</v>
          </cell>
        </row>
        <row r="871">
          <cell r="F871">
            <v>302484</v>
          </cell>
          <cell r="G871" t="str">
            <v>Luis Armando Ramirez De Leon</v>
          </cell>
        </row>
        <row r="872">
          <cell r="F872">
            <v>315385</v>
          </cell>
          <cell r="G872" t="str">
            <v>Luis Carlos Xitimul Ramirez</v>
          </cell>
        </row>
        <row r="873">
          <cell r="F873">
            <v>308614</v>
          </cell>
          <cell r="G873" t="str">
            <v>Luis De Jesus Julian Lopez</v>
          </cell>
        </row>
        <row r="874">
          <cell r="F874">
            <v>315222</v>
          </cell>
          <cell r="G874" t="str">
            <v>Luis Diego Figueroa Coronado</v>
          </cell>
        </row>
        <row r="875">
          <cell r="F875">
            <v>306213</v>
          </cell>
          <cell r="G875" t="str">
            <v>Luis Eduardo Corado Lara</v>
          </cell>
        </row>
        <row r="876">
          <cell r="F876">
            <v>315363</v>
          </cell>
          <cell r="G876" t="str">
            <v>Luis Eduardo Fuentes Flores</v>
          </cell>
        </row>
        <row r="877">
          <cell r="F877">
            <v>314162</v>
          </cell>
          <cell r="G877" t="str">
            <v>Luis Eduardo Gonzalez Arriaza</v>
          </cell>
        </row>
        <row r="878">
          <cell r="F878">
            <v>311975</v>
          </cell>
          <cell r="G878" t="str">
            <v>Luis Eduardo Ramirez Arriaza</v>
          </cell>
        </row>
        <row r="879">
          <cell r="F879">
            <v>300922</v>
          </cell>
          <cell r="G879" t="str">
            <v>Luis Ernesto Medrano Chajon</v>
          </cell>
        </row>
        <row r="880">
          <cell r="F880">
            <v>308519</v>
          </cell>
          <cell r="G880" t="str">
            <v>Luis Felipe Cuzal Gomez</v>
          </cell>
        </row>
        <row r="881">
          <cell r="F881">
            <v>314812</v>
          </cell>
          <cell r="G881" t="str">
            <v>Luis Fernando Alvarado Tocay</v>
          </cell>
        </row>
        <row r="882">
          <cell r="F882">
            <v>304509</v>
          </cell>
          <cell r="G882" t="str">
            <v>Luis Fernando Jerez Perez</v>
          </cell>
        </row>
        <row r="883">
          <cell r="F883">
            <v>313479</v>
          </cell>
          <cell r="G883" t="str">
            <v>Luis Fernando Lopez Lopez</v>
          </cell>
        </row>
        <row r="884">
          <cell r="F884">
            <v>310923</v>
          </cell>
          <cell r="G884" t="str">
            <v>Luis Fernando Lopez Lopez</v>
          </cell>
        </row>
        <row r="885">
          <cell r="F885">
            <v>307904</v>
          </cell>
          <cell r="G885" t="str">
            <v>Luis Fernando Martin Mateo</v>
          </cell>
        </row>
        <row r="886">
          <cell r="F886">
            <v>312303</v>
          </cell>
          <cell r="G886" t="str">
            <v>Luis Fernando Morales Chocoy</v>
          </cell>
        </row>
        <row r="887">
          <cell r="F887">
            <v>314124</v>
          </cell>
          <cell r="G887" t="str">
            <v>Luis Fernando Perez Torres</v>
          </cell>
        </row>
        <row r="888">
          <cell r="F888">
            <v>306713</v>
          </cell>
          <cell r="G888" t="str">
            <v>Luis Fernando Santos Aguilar</v>
          </cell>
        </row>
        <row r="889">
          <cell r="F889">
            <v>315342</v>
          </cell>
          <cell r="G889" t="str">
            <v>Luis Fernando Valle Cuyun</v>
          </cell>
        </row>
        <row r="890">
          <cell r="F890">
            <v>312257</v>
          </cell>
          <cell r="G890" t="str">
            <v>Luis Giovanni Coronado Vasquez</v>
          </cell>
        </row>
        <row r="891">
          <cell r="F891">
            <v>307113</v>
          </cell>
          <cell r="G891" t="str">
            <v>Luis Pedro Herrera España</v>
          </cell>
        </row>
        <row r="892">
          <cell r="F892">
            <v>303961</v>
          </cell>
          <cell r="G892" t="str">
            <v>Luis Rene Morales Lopez</v>
          </cell>
        </row>
        <row r="893">
          <cell r="F893">
            <v>308796</v>
          </cell>
          <cell r="G893" t="str">
            <v>Luis Tito Rene Esquivel Yancor</v>
          </cell>
        </row>
        <row r="894">
          <cell r="F894">
            <v>307862</v>
          </cell>
          <cell r="G894" t="str">
            <v>Luisa Fernanda Castro Garcia</v>
          </cell>
        </row>
        <row r="895">
          <cell r="F895">
            <v>310734</v>
          </cell>
          <cell r="G895" t="str">
            <v>Lupita Genesis Samanta Granados Valenzuela</v>
          </cell>
        </row>
        <row r="896">
          <cell r="F896">
            <v>309761</v>
          </cell>
          <cell r="G896" t="str">
            <v>Lusi Angelica Coyoy Hernandez</v>
          </cell>
        </row>
        <row r="897">
          <cell r="F897">
            <v>310867</v>
          </cell>
          <cell r="G897" t="str">
            <v>Madelin Raquel Garcia Punay</v>
          </cell>
        </row>
        <row r="898">
          <cell r="F898">
            <v>310796</v>
          </cell>
          <cell r="G898" t="str">
            <v>Madelyn Estefany Vega Velasquez</v>
          </cell>
        </row>
        <row r="899">
          <cell r="F899">
            <v>314563</v>
          </cell>
          <cell r="G899" t="str">
            <v>Madelyn Siomara Mazul De Leon</v>
          </cell>
        </row>
        <row r="900">
          <cell r="F900">
            <v>304658</v>
          </cell>
          <cell r="G900" t="str">
            <v>Madelyn Virginia Lopez Ortega</v>
          </cell>
        </row>
        <row r="901">
          <cell r="F901">
            <v>315181</v>
          </cell>
          <cell r="G901" t="str">
            <v>Magda Beatriz Galvez Fernandez</v>
          </cell>
        </row>
        <row r="902">
          <cell r="F902">
            <v>311615</v>
          </cell>
          <cell r="G902" t="str">
            <v>Magda Corina Gutierrez Yool</v>
          </cell>
        </row>
        <row r="903">
          <cell r="F903">
            <v>312044</v>
          </cell>
          <cell r="G903" t="str">
            <v>Magda Danira Catalan Paz</v>
          </cell>
        </row>
        <row r="904">
          <cell r="F904">
            <v>307582</v>
          </cell>
          <cell r="G904" t="str">
            <v>Mahely Elva Maria Franco Gualim</v>
          </cell>
        </row>
        <row r="905">
          <cell r="F905">
            <v>301669</v>
          </cell>
          <cell r="G905" t="str">
            <v>Manfredo Alexander Castillo Quex</v>
          </cell>
        </row>
        <row r="906">
          <cell r="F906">
            <v>309811</v>
          </cell>
          <cell r="G906" t="str">
            <v>Manfredo Isaias Orozco Perez</v>
          </cell>
        </row>
        <row r="907">
          <cell r="F907">
            <v>314136</v>
          </cell>
          <cell r="G907" t="str">
            <v>Manlio Alcides Godinez Yanez</v>
          </cell>
        </row>
        <row r="908">
          <cell r="F908">
            <v>315094</v>
          </cell>
          <cell r="G908" t="str">
            <v>Manuel Enrique Espinoza Cermeño</v>
          </cell>
        </row>
        <row r="909">
          <cell r="F909">
            <v>312835</v>
          </cell>
          <cell r="G909" t="str">
            <v>Manuel Estuardo Arriaga Garcia</v>
          </cell>
        </row>
        <row r="910">
          <cell r="F910">
            <v>314608</v>
          </cell>
          <cell r="G910" t="str">
            <v>Marbin Yobani Calderon Vicente</v>
          </cell>
        </row>
        <row r="911">
          <cell r="F911">
            <v>314041</v>
          </cell>
          <cell r="G911" t="str">
            <v>Marcela Isabel Medrano Ajquiy</v>
          </cell>
        </row>
        <row r="912">
          <cell r="F912">
            <v>308478</v>
          </cell>
          <cell r="G912" t="str">
            <v>Marco Antonio Tejada Herrera</v>
          </cell>
        </row>
        <row r="913">
          <cell r="F913">
            <v>315216</v>
          </cell>
          <cell r="G913" t="str">
            <v>Marcos Avilio Santizo Roman</v>
          </cell>
        </row>
        <row r="914">
          <cell r="F914">
            <v>312919</v>
          </cell>
          <cell r="G914" t="str">
            <v>Marcos Daniel Miranda Ordoñez</v>
          </cell>
        </row>
        <row r="915">
          <cell r="F915">
            <v>306192</v>
          </cell>
          <cell r="G915" t="str">
            <v>Marenda Mishel Galeano Lopez</v>
          </cell>
        </row>
        <row r="916">
          <cell r="F916">
            <v>311597</v>
          </cell>
          <cell r="G916" t="str">
            <v>Maria Alejandra Estrada Morales</v>
          </cell>
        </row>
        <row r="917">
          <cell r="F917">
            <v>315488</v>
          </cell>
          <cell r="G917" t="str">
            <v>Maria Alejandra Lanuza Perez</v>
          </cell>
        </row>
        <row r="918">
          <cell r="F918">
            <v>315414</v>
          </cell>
          <cell r="G918" t="str">
            <v>Maria Alejandra Perez Martinez</v>
          </cell>
        </row>
        <row r="919">
          <cell r="F919">
            <v>314383</v>
          </cell>
          <cell r="G919" t="str">
            <v>Maria De La Luz Masaya Moreno</v>
          </cell>
        </row>
        <row r="920">
          <cell r="F920">
            <v>314419</v>
          </cell>
          <cell r="G920" t="str">
            <v>Maria De Los Angeles Hernandez Oliva</v>
          </cell>
        </row>
        <row r="921">
          <cell r="F921">
            <v>309455</v>
          </cell>
          <cell r="G921" t="str">
            <v>Maria Del Rosario De Leon Puac</v>
          </cell>
        </row>
        <row r="922">
          <cell r="F922">
            <v>310240</v>
          </cell>
          <cell r="G922" t="str">
            <v>Maria Del Rosario Sion Calel</v>
          </cell>
        </row>
        <row r="923">
          <cell r="F923">
            <v>311583</v>
          </cell>
          <cell r="G923" t="str">
            <v>Maria Elizabeth Recinos Villagran</v>
          </cell>
        </row>
        <row r="924">
          <cell r="F924">
            <v>315128</v>
          </cell>
          <cell r="G924" t="str">
            <v>Maria Eugenia Alvarez Lopez</v>
          </cell>
        </row>
        <row r="925">
          <cell r="F925">
            <v>309571</v>
          </cell>
          <cell r="G925" t="str">
            <v>Maria Fernanda Aldana Fernandez</v>
          </cell>
        </row>
        <row r="926">
          <cell r="F926">
            <v>305630</v>
          </cell>
          <cell r="G926" t="str">
            <v>Maria Fernanda Duran Barrera De De De Leon</v>
          </cell>
        </row>
        <row r="927">
          <cell r="F927">
            <v>315325</v>
          </cell>
          <cell r="G927" t="str">
            <v>Maria Fernanda García Patzán</v>
          </cell>
        </row>
        <row r="928">
          <cell r="F928">
            <v>315310</v>
          </cell>
          <cell r="G928" t="str">
            <v>Maria Fernanda Reyes Trinidad</v>
          </cell>
        </row>
        <row r="929">
          <cell r="F929">
            <v>314265</v>
          </cell>
          <cell r="G929" t="str">
            <v>Maria Fernanda Sanches Yoc</v>
          </cell>
        </row>
        <row r="930">
          <cell r="F930">
            <v>313724</v>
          </cell>
          <cell r="G930" t="str">
            <v>Maria Fernanda Tomas</v>
          </cell>
        </row>
        <row r="931">
          <cell r="F931">
            <v>315252</v>
          </cell>
          <cell r="G931" t="str">
            <v>Maria Gabriela Giron De Leon</v>
          </cell>
        </row>
        <row r="932">
          <cell r="F932">
            <v>309515</v>
          </cell>
          <cell r="G932" t="str">
            <v>Maria Guadalupe Marroquin Camargo</v>
          </cell>
        </row>
        <row r="933">
          <cell r="F933">
            <v>313732</v>
          </cell>
          <cell r="G933" t="str">
            <v>Maria Isabel Martinez</v>
          </cell>
        </row>
        <row r="934">
          <cell r="F934">
            <v>314027</v>
          </cell>
          <cell r="G934" t="str">
            <v>Maria Isabel Reyes Aguirre</v>
          </cell>
        </row>
        <row r="935">
          <cell r="F935">
            <v>311474</v>
          </cell>
          <cell r="G935" t="str">
            <v>Maria Jose Alvarado Lopez De Barrientos</v>
          </cell>
        </row>
        <row r="936">
          <cell r="F936">
            <v>312356</v>
          </cell>
          <cell r="G936" t="str">
            <v>Maria Jose Fernandez Melendez</v>
          </cell>
        </row>
        <row r="937">
          <cell r="F937">
            <v>313800</v>
          </cell>
          <cell r="G937" t="str">
            <v>Maria Jose Flores Alvarez</v>
          </cell>
        </row>
        <row r="938">
          <cell r="F938">
            <v>314566</v>
          </cell>
          <cell r="G938" t="str">
            <v>Maria Jose Gonzalez Orellana</v>
          </cell>
        </row>
        <row r="939">
          <cell r="F939">
            <v>311569</v>
          </cell>
          <cell r="G939" t="str">
            <v>Maria Jose Gramajo Garcia De Monzon</v>
          </cell>
        </row>
        <row r="940">
          <cell r="F940">
            <v>313095</v>
          </cell>
          <cell r="G940" t="str">
            <v>Maria Jose Meza De Leon</v>
          </cell>
        </row>
        <row r="941">
          <cell r="F941">
            <v>300191</v>
          </cell>
          <cell r="G941" t="str">
            <v>Maria Jose Salazar Rueda</v>
          </cell>
        </row>
        <row r="942">
          <cell r="F942">
            <v>314226</v>
          </cell>
          <cell r="G942" t="str">
            <v>Maria Josee Morales Vaides</v>
          </cell>
        </row>
        <row r="943">
          <cell r="F943">
            <v>315362</v>
          </cell>
          <cell r="G943" t="str">
            <v>Maria Lourdes Ajpuz Julajuj</v>
          </cell>
        </row>
        <row r="944">
          <cell r="F944">
            <v>306697</v>
          </cell>
          <cell r="G944" t="str">
            <v>Maria Luisa Ramos Lopez</v>
          </cell>
        </row>
        <row r="945">
          <cell r="F945">
            <v>314180</v>
          </cell>
          <cell r="G945" t="str">
            <v>Maria Ruby Tzamol Pacay</v>
          </cell>
        </row>
        <row r="946">
          <cell r="F946">
            <v>311686</v>
          </cell>
          <cell r="G946" t="str">
            <v>Maria Teresa Recinos Estrada</v>
          </cell>
        </row>
        <row r="947">
          <cell r="F947">
            <v>315351</v>
          </cell>
          <cell r="G947" t="str">
            <v>Maria Vicenta Lopez Mancilla</v>
          </cell>
        </row>
        <row r="948">
          <cell r="F948">
            <v>311755</v>
          </cell>
          <cell r="G948" t="str">
            <v>Marian Rebeca Gallardo Alvarez</v>
          </cell>
        </row>
        <row r="949">
          <cell r="F949">
            <v>313660</v>
          </cell>
          <cell r="G949" t="str">
            <v>Mariana Del Rosario Escobar Sanchez</v>
          </cell>
        </row>
        <row r="950">
          <cell r="F950">
            <v>314169</v>
          </cell>
          <cell r="G950" t="str">
            <v>Mariano Jose Lopez Cojon</v>
          </cell>
        </row>
        <row r="951">
          <cell r="F951">
            <v>314341</v>
          </cell>
          <cell r="G951" t="str">
            <v>Mariano Jose Trujillo Baldizon</v>
          </cell>
        </row>
        <row r="952">
          <cell r="F952">
            <v>314050</v>
          </cell>
          <cell r="G952" t="str">
            <v>Mariela Alejandra Batz De Leon</v>
          </cell>
        </row>
        <row r="953">
          <cell r="F953">
            <v>311273</v>
          </cell>
          <cell r="G953" t="str">
            <v>Marili Cecilia Ramirez Cardona</v>
          </cell>
        </row>
        <row r="954">
          <cell r="F954">
            <v>312576</v>
          </cell>
          <cell r="G954" t="str">
            <v>Marilin Melisa Lopez Yoc</v>
          </cell>
        </row>
        <row r="955">
          <cell r="F955">
            <v>314530</v>
          </cell>
          <cell r="G955" t="str">
            <v>Marilyn Alexandra Davila Chavez</v>
          </cell>
        </row>
        <row r="956">
          <cell r="F956">
            <v>315099</v>
          </cell>
          <cell r="G956" t="str">
            <v>Marilyn Yulissa Alvarez Toscano</v>
          </cell>
        </row>
        <row r="957">
          <cell r="F957">
            <v>311405</v>
          </cell>
          <cell r="G957" t="str">
            <v>Marina Elena Giron Roldan</v>
          </cell>
        </row>
        <row r="958">
          <cell r="F958">
            <v>314803</v>
          </cell>
          <cell r="G958" t="str">
            <v>Mario David Quilo Hernandez</v>
          </cell>
        </row>
        <row r="959">
          <cell r="F959">
            <v>306487</v>
          </cell>
          <cell r="G959" t="str">
            <v>Mario Estuardo Chavez Zelada</v>
          </cell>
        </row>
        <row r="960">
          <cell r="F960">
            <v>315445</v>
          </cell>
          <cell r="G960" t="str">
            <v>Mario Guberlindo Gonzalez Velasquez</v>
          </cell>
        </row>
        <row r="961">
          <cell r="F961">
            <v>313107</v>
          </cell>
          <cell r="G961" t="str">
            <v>Mario Jose Mejia Escobar</v>
          </cell>
        </row>
        <row r="962">
          <cell r="F962">
            <v>314737</v>
          </cell>
          <cell r="G962" t="str">
            <v>Mario Rene Lopez Gudiel</v>
          </cell>
        </row>
        <row r="963">
          <cell r="F963">
            <v>309842</v>
          </cell>
          <cell r="G963" t="str">
            <v>Maritza Morales Tzoc</v>
          </cell>
        </row>
        <row r="964">
          <cell r="F964">
            <v>312996</v>
          </cell>
          <cell r="G964" t="str">
            <v>Marlen Aida Pelaez Ramirez</v>
          </cell>
        </row>
        <row r="965">
          <cell r="F965">
            <v>310203</v>
          </cell>
          <cell r="G965" t="str">
            <v>Marlen Brigitt Rosales De Leon</v>
          </cell>
        </row>
        <row r="966">
          <cell r="F966">
            <v>314089</v>
          </cell>
          <cell r="G966" t="str">
            <v>Marlin Yesenia Chacon Garcia</v>
          </cell>
        </row>
        <row r="967">
          <cell r="F967">
            <v>314054</v>
          </cell>
          <cell r="G967" t="str">
            <v>Marlon Eduardo Arreaga Escobar</v>
          </cell>
        </row>
        <row r="968">
          <cell r="F968">
            <v>315505</v>
          </cell>
          <cell r="G968" t="str">
            <v>Marlon Eduardo Medrano Sandoval</v>
          </cell>
        </row>
        <row r="969">
          <cell r="F969">
            <v>310727</v>
          </cell>
          <cell r="G969" t="str">
            <v>Marlon Ivan Dardon Hernandez</v>
          </cell>
        </row>
        <row r="970">
          <cell r="F970">
            <v>315341</v>
          </cell>
          <cell r="G970" t="str">
            <v>Marlon Miguelangel Morales Jerez</v>
          </cell>
        </row>
        <row r="971">
          <cell r="F971">
            <v>311604</v>
          </cell>
          <cell r="G971" t="str">
            <v>Marolet Patricia Palacios Argueta</v>
          </cell>
        </row>
        <row r="972">
          <cell r="F972">
            <v>310466</v>
          </cell>
          <cell r="G972" t="str">
            <v>Marta Emilia Moran Lopez</v>
          </cell>
        </row>
        <row r="973">
          <cell r="F973">
            <v>314611</v>
          </cell>
          <cell r="G973" t="str">
            <v>Marta Iris Martinez Sete</v>
          </cell>
        </row>
        <row r="974">
          <cell r="F974">
            <v>312109</v>
          </cell>
          <cell r="G974" t="str">
            <v>Martha Julia Shar Velasquez</v>
          </cell>
        </row>
        <row r="975">
          <cell r="F975">
            <v>315103</v>
          </cell>
          <cell r="G975" t="str">
            <v>Martin Aroldo Lorenzana Flores</v>
          </cell>
        </row>
        <row r="976">
          <cell r="F976">
            <v>315481</v>
          </cell>
          <cell r="G976" t="str">
            <v>Marvin Alejandro Puac Mulul</v>
          </cell>
        </row>
        <row r="977">
          <cell r="F977">
            <v>306655</v>
          </cell>
          <cell r="G977" t="str">
            <v>Marvin Alexander Choguix Chex</v>
          </cell>
        </row>
        <row r="978">
          <cell r="F978">
            <v>311176</v>
          </cell>
          <cell r="G978" t="str">
            <v>Marvin Andolfo Garcia De Leon</v>
          </cell>
        </row>
        <row r="979">
          <cell r="F979">
            <v>315475</v>
          </cell>
          <cell r="G979" t="str">
            <v>Marvin Eduardo Coxaj Sanic</v>
          </cell>
        </row>
        <row r="980">
          <cell r="F980">
            <v>312374</v>
          </cell>
          <cell r="G980" t="str">
            <v>Marvin Eleazar Sunun Acuta</v>
          </cell>
        </row>
        <row r="981">
          <cell r="F981">
            <v>310680</v>
          </cell>
          <cell r="G981" t="str">
            <v>Marvin Estuardo Xiloj De Leon</v>
          </cell>
        </row>
        <row r="982">
          <cell r="F982">
            <v>315460</v>
          </cell>
          <cell r="G982" t="str">
            <v>Marvin Leonel Hernandez Alvarez</v>
          </cell>
        </row>
        <row r="983">
          <cell r="F983">
            <v>307409</v>
          </cell>
          <cell r="G983" t="str">
            <v>Marvin Rodolfo Santizo Rosales</v>
          </cell>
        </row>
        <row r="984">
          <cell r="F984">
            <v>313194</v>
          </cell>
          <cell r="G984" t="str">
            <v>Mary Isabel Xiloj Tajiboy</v>
          </cell>
        </row>
        <row r="985">
          <cell r="F985">
            <v>314092</v>
          </cell>
          <cell r="G985" t="str">
            <v>Maryory Marilu Ramos Reyes</v>
          </cell>
        </row>
        <row r="986">
          <cell r="F986">
            <v>314207</v>
          </cell>
          <cell r="G986" t="str">
            <v>Maryury Yasmin Suret Mejia</v>
          </cell>
        </row>
        <row r="987">
          <cell r="F987">
            <v>314618</v>
          </cell>
          <cell r="G987" t="str">
            <v>Mauro Gilberto Rax Suc</v>
          </cell>
        </row>
        <row r="988">
          <cell r="F988">
            <v>304166</v>
          </cell>
          <cell r="G988" t="str">
            <v>Maviela Bibianeth Castillo Avila</v>
          </cell>
        </row>
        <row r="989">
          <cell r="F989">
            <v>309285</v>
          </cell>
          <cell r="G989" t="str">
            <v>Mavilin Griselda Jacome Molina</v>
          </cell>
        </row>
        <row r="990">
          <cell r="F990">
            <v>315042</v>
          </cell>
          <cell r="G990" t="str">
            <v>Mayki Waleska Alvarez Guzman</v>
          </cell>
        </row>
        <row r="991">
          <cell r="F991">
            <v>314691</v>
          </cell>
          <cell r="G991" t="str">
            <v>Maylin Fernanda Cifuentes Guevara</v>
          </cell>
        </row>
        <row r="992">
          <cell r="F992">
            <v>314857</v>
          </cell>
          <cell r="G992" t="str">
            <v>Maynor Alexander Chen Franco</v>
          </cell>
        </row>
        <row r="993">
          <cell r="F993">
            <v>315320</v>
          </cell>
          <cell r="G993" t="str">
            <v>Maynor David Montufar De La Cruz</v>
          </cell>
        </row>
        <row r="994">
          <cell r="F994">
            <v>314784</v>
          </cell>
          <cell r="G994" t="str">
            <v>Mayra Alejandra Perez Cordero</v>
          </cell>
        </row>
        <row r="995">
          <cell r="F995">
            <v>307616</v>
          </cell>
          <cell r="G995" t="str">
            <v>Mayra Ester Lopez Gonzalez</v>
          </cell>
        </row>
        <row r="996">
          <cell r="F996">
            <v>304234</v>
          </cell>
          <cell r="G996" t="str">
            <v>Mayra Julieta Sincal Coy</v>
          </cell>
        </row>
        <row r="997">
          <cell r="F997">
            <v>314324</v>
          </cell>
          <cell r="G997" t="str">
            <v>Mayra Karina Soc Ovalle</v>
          </cell>
        </row>
        <row r="998">
          <cell r="F998">
            <v>313096</v>
          </cell>
          <cell r="G998" t="str">
            <v>Mayra Noemi Godoy Carrera</v>
          </cell>
        </row>
        <row r="999">
          <cell r="F999">
            <v>315528</v>
          </cell>
          <cell r="G999" t="str">
            <v>Melanie Azucena Choc Garcia</v>
          </cell>
        </row>
        <row r="1000">
          <cell r="F1000">
            <v>309903</v>
          </cell>
          <cell r="G1000" t="str">
            <v>Melanie Vanessa Chacon Godoy</v>
          </cell>
        </row>
        <row r="1001">
          <cell r="F1001">
            <v>301165</v>
          </cell>
          <cell r="G1001" t="str">
            <v>Melissa Lissette Recinos Massella</v>
          </cell>
        </row>
        <row r="1002">
          <cell r="F1002">
            <v>314782</v>
          </cell>
          <cell r="G1002" t="str">
            <v>Melissandra Ruiz Ramirez</v>
          </cell>
        </row>
        <row r="1003">
          <cell r="F1003">
            <v>314053</v>
          </cell>
          <cell r="G1003" t="str">
            <v>Melody Arelis Elvira Monterroso</v>
          </cell>
        </row>
        <row r="1004">
          <cell r="F1004">
            <v>314777</v>
          </cell>
          <cell r="G1004" t="str">
            <v>Melvin Antonio Hernandez Gutierrez</v>
          </cell>
        </row>
        <row r="1005">
          <cell r="F1005">
            <v>315452</v>
          </cell>
          <cell r="G1005" t="str">
            <v>Melvin Everardo Morales Navas</v>
          </cell>
        </row>
        <row r="1006">
          <cell r="F1006">
            <v>315416</v>
          </cell>
          <cell r="G1006" t="str">
            <v>Melvin Hermenegildo Yagut Monterroso</v>
          </cell>
        </row>
        <row r="1007">
          <cell r="F1007">
            <v>315107</v>
          </cell>
          <cell r="G1007" t="str">
            <v>Merari Abigail Orantes Gonzalez</v>
          </cell>
        </row>
        <row r="1008">
          <cell r="F1008">
            <v>304528</v>
          </cell>
          <cell r="G1008" t="str">
            <v>Merari Abigail Veliz Samayoa</v>
          </cell>
        </row>
        <row r="1009">
          <cell r="F1009">
            <v>311310</v>
          </cell>
          <cell r="G1009" t="str">
            <v>Merari Madai Arana Erazo</v>
          </cell>
        </row>
        <row r="1010">
          <cell r="F1010">
            <v>314447</v>
          </cell>
          <cell r="G1010" t="str">
            <v>Mercy Roxana Galvez Canales</v>
          </cell>
        </row>
        <row r="1011">
          <cell r="F1011">
            <v>314610</v>
          </cell>
          <cell r="G1011" t="str">
            <v>Merly Carolina Lopez Laynez</v>
          </cell>
        </row>
        <row r="1012">
          <cell r="F1012">
            <v>315402</v>
          </cell>
          <cell r="G1012" t="str">
            <v>Merly Sorayda Ramirez Mendez</v>
          </cell>
        </row>
        <row r="1013">
          <cell r="F1013">
            <v>315499</v>
          </cell>
          <cell r="G1013" t="str">
            <v>Miguel Angel Arias Maquin</v>
          </cell>
        </row>
        <row r="1014">
          <cell r="F1014">
            <v>302368</v>
          </cell>
          <cell r="G1014" t="str">
            <v>Miguel Angel Moya Cabnal</v>
          </cell>
        </row>
        <row r="1015">
          <cell r="F1015">
            <v>307315</v>
          </cell>
          <cell r="G1015" t="str">
            <v>Miguel Angel Vicente Morales</v>
          </cell>
        </row>
        <row r="1016">
          <cell r="F1016">
            <v>307063</v>
          </cell>
          <cell r="G1016" t="str">
            <v>Miguel Omar Zuleta Solorzano</v>
          </cell>
        </row>
        <row r="1017">
          <cell r="F1017">
            <v>311165</v>
          </cell>
          <cell r="G1017" t="str">
            <v>Miguel Orlando Sebastian Juchan</v>
          </cell>
        </row>
        <row r="1018">
          <cell r="F1018">
            <v>310954</v>
          </cell>
          <cell r="G1018" t="str">
            <v>Mildre Fabiola Gomez Barillas</v>
          </cell>
        </row>
        <row r="1019">
          <cell r="F1019">
            <v>315346</v>
          </cell>
          <cell r="G1019" t="str">
            <v>Mildred Elizabeth Solis Quevedo</v>
          </cell>
        </row>
        <row r="1020">
          <cell r="F1020">
            <v>314330</v>
          </cell>
          <cell r="G1020" t="str">
            <v>Mildred Magaly Ortega Pac</v>
          </cell>
        </row>
        <row r="1021">
          <cell r="F1021">
            <v>314985</v>
          </cell>
          <cell r="G1021" t="str">
            <v>Mildred Magaly Sul Lopez</v>
          </cell>
        </row>
        <row r="1022">
          <cell r="F1022">
            <v>309503</v>
          </cell>
          <cell r="G1022" t="str">
            <v>Mildred Yaneth Figueroa Garcia</v>
          </cell>
        </row>
        <row r="1023">
          <cell r="F1023">
            <v>301826</v>
          </cell>
          <cell r="G1023" t="str">
            <v>Mildred Yanett Cruz Alvarez</v>
          </cell>
        </row>
        <row r="1024">
          <cell r="F1024">
            <v>313864</v>
          </cell>
          <cell r="G1024" t="str">
            <v>Milena Maria Mendez Cheguen</v>
          </cell>
        </row>
        <row r="1025">
          <cell r="F1025">
            <v>314919</v>
          </cell>
          <cell r="G1025" t="str">
            <v>Milton Enrique Yax Sosa</v>
          </cell>
        </row>
        <row r="1026">
          <cell r="F1026">
            <v>312699</v>
          </cell>
          <cell r="G1026" t="str">
            <v>Milton Rene Estrada Coc</v>
          </cell>
        </row>
        <row r="1027">
          <cell r="F1027">
            <v>310468</v>
          </cell>
          <cell r="G1027" t="str">
            <v>Milton Roberto Juarez Lemus</v>
          </cell>
        </row>
        <row r="1028">
          <cell r="F1028">
            <v>313534</v>
          </cell>
          <cell r="G1028" t="str">
            <v>Milver Moises Maldonado Pelico</v>
          </cell>
        </row>
        <row r="1029">
          <cell r="F1029">
            <v>314555</v>
          </cell>
          <cell r="G1029" t="str">
            <v>Milvia Fernanda Talento Urbina</v>
          </cell>
        </row>
        <row r="1030">
          <cell r="F1030">
            <v>301347</v>
          </cell>
          <cell r="G1030" t="str">
            <v>Miriam Betsabe Rodas Perez</v>
          </cell>
        </row>
        <row r="1031">
          <cell r="F1031">
            <v>313439</v>
          </cell>
          <cell r="G1031" t="str">
            <v>Miriam Elizabeth Pérez Guerra</v>
          </cell>
        </row>
        <row r="1032">
          <cell r="F1032">
            <v>307748</v>
          </cell>
          <cell r="G1032" t="str">
            <v>Miriam Judith Cermeño Cetino</v>
          </cell>
        </row>
        <row r="1033">
          <cell r="F1033">
            <v>313772</v>
          </cell>
          <cell r="G1033" t="str">
            <v>Miriam Mineidy Moscoso Mayen</v>
          </cell>
        </row>
        <row r="1034">
          <cell r="F1034">
            <v>306649</v>
          </cell>
          <cell r="G1034" t="str">
            <v>Miriam Stefanie Hernandez Subuyuj</v>
          </cell>
        </row>
        <row r="1035">
          <cell r="F1035">
            <v>201909</v>
          </cell>
          <cell r="G1035" t="str">
            <v>Mirian Del Carmen Guzman Maldonado</v>
          </cell>
        </row>
        <row r="1036">
          <cell r="F1036">
            <v>314023</v>
          </cell>
          <cell r="G1036" t="str">
            <v>Mirna Consuelo Muñoz Ordoñez</v>
          </cell>
        </row>
        <row r="1037">
          <cell r="F1037">
            <v>315506</v>
          </cell>
          <cell r="G1037" t="str">
            <v>Mirna Elizabeth Zolote Patzan</v>
          </cell>
        </row>
        <row r="1038">
          <cell r="F1038">
            <v>101866</v>
          </cell>
          <cell r="G1038" t="str">
            <v>Mirna Violeta Carrillo Gonzalez</v>
          </cell>
        </row>
        <row r="1039">
          <cell r="F1039">
            <v>310687</v>
          </cell>
          <cell r="G1039" t="str">
            <v>Mirna Yesenia Umaña Ramos</v>
          </cell>
        </row>
        <row r="1040">
          <cell r="F1040">
            <v>313842</v>
          </cell>
          <cell r="G1040" t="str">
            <v>Mirza Johana Cosigua Rabinal</v>
          </cell>
        </row>
        <row r="1041">
          <cell r="F1041">
            <v>313441</v>
          </cell>
          <cell r="G1041" t="str">
            <v>Moises Dario Flores Amaya</v>
          </cell>
        </row>
        <row r="1042">
          <cell r="F1042">
            <v>313480</v>
          </cell>
          <cell r="G1042" t="str">
            <v>Monica Cecilia Perez Lopez</v>
          </cell>
        </row>
        <row r="1043">
          <cell r="F1043">
            <v>313674</v>
          </cell>
          <cell r="G1043" t="str">
            <v>Monica Gabriela Canizales Santos</v>
          </cell>
        </row>
        <row r="1044">
          <cell r="F1044">
            <v>307706</v>
          </cell>
          <cell r="G1044" t="str">
            <v>Monica Guadalupe Garcia Rivera</v>
          </cell>
        </row>
        <row r="1045">
          <cell r="F1045">
            <v>314918</v>
          </cell>
          <cell r="G1045" t="str">
            <v>Monica Isabel Castillo Avila</v>
          </cell>
        </row>
        <row r="1046">
          <cell r="F1046">
            <v>313553</v>
          </cell>
          <cell r="G1046" t="str">
            <v>Monica Laj De La Cruz</v>
          </cell>
        </row>
        <row r="1047">
          <cell r="F1047">
            <v>308910</v>
          </cell>
          <cell r="G1047" t="str">
            <v>Monica Lisseth Marroquin Salazar</v>
          </cell>
        </row>
        <row r="1048">
          <cell r="F1048">
            <v>302232</v>
          </cell>
          <cell r="G1048" t="str">
            <v>Monica Lizbeth Franco Chacon</v>
          </cell>
        </row>
        <row r="1049">
          <cell r="F1049">
            <v>311945</v>
          </cell>
          <cell r="G1049" t="str">
            <v>Monica Michelle Diaz De Leon De Baltazar</v>
          </cell>
        </row>
        <row r="1050">
          <cell r="F1050">
            <v>315559</v>
          </cell>
          <cell r="G1050" t="str">
            <v>Monica Mishell Perez Ballesteros</v>
          </cell>
        </row>
        <row r="1051">
          <cell r="F1051">
            <v>313346</v>
          </cell>
          <cell r="G1051" t="str">
            <v>Monica Mishell Rendon Gamboa</v>
          </cell>
        </row>
        <row r="1052">
          <cell r="F1052">
            <v>314616</v>
          </cell>
          <cell r="G1052" t="str">
            <v>Monica Raquel Palacios Piedrasanta</v>
          </cell>
        </row>
        <row r="1053">
          <cell r="F1053">
            <v>314653</v>
          </cell>
          <cell r="G1053" t="str">
            <v>Monica Yulissa Sun Pacay</v>
          </cell>
        </row>
        <row r="1054">
          <cell r="F1054">
            <v>311311</v>
          </cell>
          <cell r="G1054" t="str">
            <v>Monica Yulissa Vicente Velasquez</v>
          </cell>
        </row>
        <row r="1055">
          <cell r="F1055">
            <v>313427</v>
          </cell>
          <cell r="G1055" t="str">
            <v>Mynor Genaro Salazar Merida</v>
          </cell>
        </row>
        <row r="1056">
          <cell r="F1056">
            <v>201518</v>
          </cell>
          <cell r="G1056" t="str">
            <v>Myriam Aracely Rivera Gonzalez</v>
          </cell>
        </row>
        <row r="1057">
          <cell r="F1057">
            <v>315266</v>
          </cell>
          <cell r="G1057" t="str">
            <v>Myrka Jessel Rivera Camo</v>
          </cell>
        </row>
        <row r="1058">
          <cell r="F1058">
            <v>314223</v>
          </cell>
          <cell r="G1058" t="str">
            <v>Nadia Estefania Gramajo Archila</v>
          </cell>
        </row>
        <row r="1059">
          <cell r="F1059">
            <v>314959</v>
          </cell>
          <cell r="G1059" t="str">
            <v>Nanci Magali Noj Santos</v>
          </cell>
        </row>
        <row r="1060">
          <cell r="F1060">
            <v>302592</v>
          </cell>
          <cell r="G1060" t="str">
            <v>Nanci Paola Con Morales</v>
          </cell>
        </row>
        <row r="1061">
          <cell r="F1061">
            <v>301700</v>
          </cell>
          <cell r="G1061" t="str">
            <v>Nanci Yanira Navas Garcia</v>
          </cell>
        </row>
        <row r="1062">
          <cell r="F1062">
            <v>312111</v>
          </cell>
          <cell r="G1062" t="str">
            <v>Nancy Corina Quiñonez Rodriguez</v>
          </cell>
        </row>
        <row r="1063">
          <cell r="F1063">
            <v>303538</v>
          </cell>
          <cell r="G1063" t="str">
            <v>Nancy Magaly Izaguirre Galicia</v>
          </cell>
        </row>
        <row r="1064">
          <cell r="F1064">
            <v>305223</v>
          </cell>
          <cell r="G1064" t="str">
            <v>Nancy Pahola De Leon Patzan</v>
          </cell>
        </row>
        <row r="1065">
          <cell r="F1065">
            <v>311423</v>
          </cell>
          <cell r="G1065" t="str">
            <v>Nancy Paola Jimenez Pamal</v>
          </cell>
        </row>
        <row r="1066">
          <cell r="F1066">
            <v>310510</v>
          </cell>
          <cell r="G1066" t="str">
            <v>Nancy Paola Morales Rodriguez</v>
          </cell>
        </row>
        <row r="1067">
          <cell r="F1067">
            <v>312587</v>
          </cell>
          <cell r="G1067" t="str">
            <v>Nancy Roxana Chuy Ponce</v>
          </cell>
        </row>
        <row r="1068">
          <cell r="F1068">
            <v>314745</v>
          </cell>
          <cell r="G1068" t="str">
            <v>Nancy Yaneth Vasquez Chiguichon</v>
          </cell>
        </row>
        <row r="1069">
          <cell r="F1069">
            <v>309809</v>
          </cell>
          <cell r="G1069" t="str">
            <v>Nancy Yessenia Set Iquite</v>
          </cell>
        </row>
        <row r="1070">
          <cell r="F1070">
            <v>311261</v>
          </cell>
          <cell r="G1070" t="str">
            <v>Nasly Abigail Cazian Lopez</v>
          </cell>
        </row>
        <row r="1071">
          <cell r="F1071">
            <v>312545</v>
          </cell>
          <cell r="G1071" t="str">
            <v>Nataly Pamela Fransheska Aguilar Escobar</v>
          </cell>
        </row>
        <row r="1072">
          <cell r="F1072">
            <v>314192</v>
          </cell>
          <cell r="G1072" t="str">
            <v>Neftaly Eliseo Aguilar Hernandez</v>
          </cell>
        </row>
        <row r="1073">
          <cell r="F1073">
            <v>314024</v>
          </cell>
          <cell r="G1073" t="str">
            <v>Nelson Aurelio Portillo Martinez</v>
          </cell>
        </row>
        <row r="1074">
          <cell r="F1074">
            <v>314913</v>
          </cell>
          <cell r="G1074" t="str">
            <v>Nelson Humberto Caal Güe</v>
          </cell>
        </row>
        <row r="1075">
          <cell r="F1075">
            <v>314631</v>
          </cell>
          <cell r="G1075" t="str">
            <v>Nelsy Adali Nova Vivar</v>
          </cell>
        </row>
        <row r="1076">
          <cell r="F1076">
            <v>309216</v>
          </cell>
          <cell r="G1076" t="str">
            <v>Nery Daniel Chipin Lindo</v>
          </cell>
        </row>
        <row r="1077">
          <cell r="F1077">
            <v>313499</v>
          </cell>
          <cell r="G1077" t="str">
            <v>Nestor Donaldo Xiloj Quiej</v>
          </cell>
        </row>
        <row r="1078">
          <cell r="F1078">
            <v>312176</v>
          </cell>
          <cell r="G1078" t="str">
            <v>Nestor Edgardo Gutierrez Lazaro</v>
          </cell>
        </row>
        <row r="1079">
          <cell r="F1079">
            <v>309178</v>
          </cell>
          <cell r="G1079" t="str">
            <v>Nestor Enmanuel Retana Castellanos</v>
          </cell>
        </row>
        <row r="1080">
          <cell r="F1080">
            <v>313878</v>
          </cell>
          <cell r="G1080" t="str">
            <v>Nestor Orlando Aguilar Santos</v>
          </cell>
        </row>
        <row r="1081">
          <cell r="F1081">
            <v>305532</v>
          </cell>
          <cell r="G1081" t="str">
            <v>Nicolas Ajiquichi Ibate</v>
          </cell>
        </row>
        <row r="1082">
          <cell r="F1082">
            <v>312763</v>
          </cell>
          <cell r="G1082" t="str">
            <v>Nicolas Walter Toma Zacarias</v>
          </cell>
        </row>
        <row r="1083">
          <cell r="F1083">
            <v>315413</v>
          </cell>
          <cell r="G1083" t="str">
            <v>Nicomedes Israel Echeverria Pacheco</v>
          </cell>
        </row>
        <row r="1084">
          <cell r="F1084">
            <v>310907</v>
          </cell>
          <cell r="G1084" t="str">
            <v>Nidia Dalila Bantes Segura De Manchame</v>
          </cell>
        </row>
        <row r="1085">
          <cell r="F1085">
            <v>314818</v>
          </cell>
          <cell r="G1085" t="str">
            <v>Nidia Lucy Herrera Lopez</v>
          </cell>
        </row>
        <row r="1086">
          <cell r="F1086">
            <v>301486</v>
          </cell>
          <cell r="G1086" t="str">
            <v>Nidia Maribel Carpio Roca</v>
          </cell>
        </row>
        <row r="1087">
          <cell r="F1087">
            <v>306850</v>
          </cell>
          <cell r="G1087" t="str">
            <v>Nilda Julieta Boror Xuya</v>
          </cell>
        </row>
        <row r="1088">
          <cell r="F1088">
            <v>311624</v>
          </cell>
          <cell r="G1088" t="str">
            <v>Noe Amos Marroquin Sicajol</v>
          </cell>
        </row>
        <row r="1089">
          <cell r="F1089">
            <v>309912</v>
          </cell>
          <cell r="G1089" t="str">
            <v>Noelia Azucena Garcia Mazariegos</v>
          </cell>
        </row>
        <row r="1090">
          <cell r="F1090">
            <v>102045</v>
          </cell>
          <cell r="G1090" t="str">
            <v>Noemi Ruth Hernandez Urrutia</v>
          </cell>
        </row>
        <row r="1091">
          <cell r="F1091">
            <v>310375</v>
          </cell>
          <cell r="G1091" t="str">
            <v>Nora Lisseth Lam Sanchez</v>
          </cell>
        </row>
        <row r="1092">
          <cell r="F1092">
            <v>313429</v>
          </cell>
          <cell r="G1092" t="str">
            <v>Norman Alessandro Madrid Garcia</v>
          </cell>
        </row>
        <row r="1093">
          <cell r="F1093">
            <v>309744</v>
          </cell>
          <cell r="G1093" t="str">
            <v>Odalis Ruby Garcia Siquina</v>
          </cell>
        </row>
        <row r="1094">
          <cell r="F1094">
            <v>315554</v>
          </cell>
          <cell r="G1094" t="str">
            <v>Odalys Faviola Reyes Rivera</v>
          </cell>
        </row>
        <row r="1095">
          <cell r="F1095">
            <v>315037</v>
          </cell>
          <cell r="G1095" t="str">
            <v>Odiel Armando Guerra Aguirre</v>
          </cell>
        </row>
        <row r="1096">
          <cell r="F1096">
            <v>307511</v>
          </cell>
          <cell r="G1096" t="str">
            <v>Odra Arcadia Barduel Sarat</v>
          </cell>
        </row>
        <row r="1097">
          <cell r="F1097">
            <v>310763</v>
          </cell>
          <cell r="G1097" t="str">
            <v>Olga Gabriela Lopez Tzic</v>
          </cell>
        </row>
        <row r="1098">
          <cell r="F1098">
            <v>309989</v>
          </cell>
          <cell r="G1098" t="str">
            <v>Olga Maricela Guarcas Tol</v>
          </cell>
        </row>
        <row r="1099">
          <cell r="F1099">
            <v>315281</v>
          </cell>
          <cell r="G1099" t="str">
            <v>Olinda Juarez Figueno</v>
          </cell>
        </row>
        <row r="1100">
          <cell r="F1100">
            <v>312972</v>
          </cell>
          <cell r="G1100" t="str">
            <v>Omar Anibal Barreda Valenzuela</v>
          </cell>
        </row>
        <row r="1101">
          <cell r="F1101">
            <v>302263</v>
          </cell>
          <cell r="G1101" t="str">
            <v>Oneida Del Carmen Corzo Morales</v>
          </cell>
        </row>
        <row r="1102">
          <cell r="F1102">
            <v>308263</v>
          </cell>
          <cell r="G1102" t="str">
            <v>Oscar Eduardo Xoyon Gomez</v>
          </cell>
        </row>
        <row r="1103">
          <cell r="F1103">
            <v>314104</v>
          </cell>
          <cell r="G1103" t="str">
            <v>Oscar Emilio Gomez Orozco</v>
          </cell>
        </row>
        <row r="1104">
          <cell r="F1104">
            <v>314270</v>
          </cell>
          <cell r="G1104" t="str">
            <v>Oscar Enrique Garcia Gualip</v>
          </cell>
        </row>
        <row r="1105">
          <cell r="F1105">
            <v>315507</v>
          </cell>
          <cell r="G1105" t="str">
            <v>Oscar Estuardo Mancilla Najarro</v>
          </cell>
        </row>
        <row r="1106">
          <cell r="F1106">
            <v>314914</v>
          </cell>
          <cell r="G1106" t="str">
            <v>Oscar Geovany Patzan Patzan</v>
          </cell>
        </row>
        <row r="1107">
          <cell r="F1107">
            <v>308805</v>
          </cell>
          <cell r="G1107" t="str">
            <v>Oscar Israel Thiel Hidalgo</v>
          </cell>
        </row>
        <row r="1108">
          <cell r="F1108">
            <v>315115</v>
          </cell>
          <cell r="G1108" t="str">
            <v>Osman Amilcar Zarate Ixcoy</v>
          </cell>
        </row>
        <row r="1109">
          <cell r="F1109">
            <v>315497</v>
          </cell>
          <cell r="G1109" t="str">
            <v>Osman Ivan Boanerges Coc Coronado</v>
          </cell>
        </row>
        <row r="1110">
          <cell r="F1110">
            <v>310031</v>
          </cell>
          <cell r="G1110" t="str">
            <v>Osvin Daniel Gomez Gonzalez</v>
          </cell>
        </row>
        <row r="1111">
          <cell r="F1111">
            <v>307209</v>
          </cell>
          <cell r="G1111" t="str">
            <v>Oswaldo Marcelino Huix Gomez</v>
          </cell>
        </row>
        <row r="1112">
          <cell r="F1112">
            <v>309656</v>
          </cell>
          <cell r="G1112" t="str">
            <v>Otto Alejandro Barahona Lopez</v>
          </cell>
        </row>
        <row r="1113">
          <cell r="F1113">
            <v>312335</v>
          </cell>
          <cell r="G1113" t="str">
            <v>Otto Leonel Zavala Rodas</v>
          </cell>
        </row>
        <row r="1114">
          <cell r="F1114">
            <v>314894</v>
          </cell>
          <cell r="G1114" t="str">
            <v>Ottoniel Amilcar Gomez Rodriguez</v>
          </cell>
        </row>
        <row r="1115">
          <cell r="F1115">
            <v>315122</v>
          </cell>
          <cell r="G1115" t="str">
            <v>Ottoniel De Jesus Castellanos Ordoñez</v>
          </cell>
        </row>
        <row r="1116">
          <cell r="F1116">
            <v>315454</v>
          </cell>
          <cell r="G1116" t="str">
            <v>Pablo Jose Barillas Sobalvarro</v>
          </cell>
        </row>
        <row r="1117">
          <cell r="F1117">
            <v>314010</v>
          </cell>
          <cell r="G1117" t="str">
            <v>Pablo Raul Calimayor</v>
          </cell>
        </row>
        <row r="1118">
          <cell r="F1118">
            <v>313530</v>
          </cell>
          <cell r="G1118" t="str">
            <v>Paola Veronica Cardenas Toscano</v>
          </cell>
        </row>
        <row r="1119">
          <cell r="F1119">
            <v>314884</v>
          </cell>
          <cell r="G1119" t="str">
            <v>Paula Eliza Santos Corado</v>
          </cell>
        </row>
        <row r="1120">
          <cell r="F1120">
            <v>309035</v>
          </cell>
          <cell r="G1120" t="str">
            <v>Pedro Alexander Sazo Machac</v>
          </cell>
        </row>
        <row r="1121">
          <cell r="F1121">
            <v>308158</v>
          </cell>
          <cell r="G1121" t="str">
            <v>Pedro David Ixcoy Chiquin</v>
          </cell>
        </row>
        <row r="1122">
          <cell r="F1122">
            <v>314694</v>
          </cell>
          <cell r="G1122" t="str">
            <v>Pedro Karol Gomez Lopez</v>
          </cell>
        </row>
        <row r="1123">
          <cell r="F1123">
            <v>311221</v>
          </cell>
          <cell r="G1123" t="str">
            <v>Pedro Natanahel Caxaj Rodriguez</v>
          </cell>
        </row>
        <row r="1124">
          <cell r="F1124">
            <v>314951</v>
          </cell>
          <cell r="G1124" t="str">
            <v>Pedro Rene Ramirez Guzman</v>
          </cell>
        </row>
        <row r="1125">
          <cell r="F1125">
            <v>306911</v>
          </cell>
          <cell r="G1125" t="str">
            <v>Perla Michelle Giron Galdamez</v>
          </cell>
        </row>
        <row r="1126">
          <cell r="F1126">
            <v>303664</v>
          </cell>
          <cell r="G1126" t="str">
            <v>Priscila Merari Sosa Sanabria</v>
          </cell>
        </row>
        <row r="1127">
          <cell r="F1127">
            <v>314450</v>
          </cell>
          <cell r="G1127" t="str">
            <v>Rafael Anibal Sut Tucubal</v>
          </cell>
        </row>
        <row r="1128">
          <cell r="F1128">
            <v>315367</v>
          </cell>
          <cell r="G1128" t="str">
            <v>Raul Adrian Priego Castellanos</v>
          </cell>
        </row>
        <row r="1129">
          <cell r="F1129">
            <v>311720</v>
          </cell>
          <cell r="G1129" t="str">
            <v>Raul Estuardo Roquel Suyuc</v>
          </cell>
        </row>
        <row r="1130">
          <cell r="F1130">
            <v>313341</v>
          </cell>
          <cell r="G1130" t="str">
            <v>Raul Geovanny Garcia Fuentes</v>
          </cell>
        </row>
        <row r="1131">
          <cell r="F1131">
            <v>309191</v>
          </cell>
          <cell r="G1131" t="str">
            <v>Raul Matias Matias</v>
          </cell>
        </row>
        <row r="1132">
          <cell r="F1132">
            <v>315321</v>
          </cell>
          <cell r="G1132" t="str">
            <v>Reina Lorena Canán</v>
          </cell>
        </row>
        <row r="1133">
          <cell r="F1133">
            <v>312312</v>
          </cell>
          <cell r="G1133" t="str">
            <v>Remigio Alexander Gonzalez Suchite</v>
          </cell>
        </row>
        <row r="1134">
          <cell r="F1134">
            <v>306619</v>
          </cell>
          <cell r="G1134" t="str">
            <v>Reyna Angelica Ba Vega</v>
          </cell>
        </row>
        <row r="1135">
          <cell r="F1135">
            <v>315347</v>
          </cell>
          <cell r="G1135" t="str">
            <v>Reyna Floridalma Donis Marroquin</v>
          </cell>
        </row>
        <row r="1136">
          <cell r="F1136">
            <v>314960</v>
          </cell>
          <cell r="G1136" t="str">
            <v>Reyna Sebastiana Reyes Zurdo</v>
          </cell>
        </row>
        <row r="1137">
          <cell r="F1137">
            <v>315170</v>
          </cell>
          <cell r="G1137" t="str">
            <v>Ricardo Alexander Morales Moran</v>
          </cell>
        </row>
        <row r="1138">
          <cell r="F1138">
            <v>315179</v>
          </cell>
          <cell r="G1138" t="str">
            <v>Ricardo Alfonso Chan Lopez</v>
          </cell>
        </row>
        <row r="1139">
          <cell r="F1139">
            <v>311846</v>
          </cell>
          <cell r="G1139" t="str">
            <v>Ricardo Antonio Vasquez Meza</v>
          </cell>
        </row>
        <row r="1140">
          <cell r="F1140">
            <v>314666</v>
          </cell>
          <cell r="G1140" t="str">
            <v>Ricardo Esau Hernandez Baten</v>
          </cell>
        </row>
        <row r="1141">
          <cell r="F1141">
            <v>310610</v>
          </cell>
          <cell r="G1141" t="str">
            <v>Ricky Edson Lux Cassia</v>
          </cell>
        </row>
        <row r="1142">
          <cell r="F1142">
            <v>314813</v>
          </cell>
          <cell r="G1142" t="str">
            <v>Roberto Ardon Ramos</v>
          </cell>
        </row>
        <row r="1143">
          <cell r="F1143">
            <v>312901</v>
          </cell>
          <cell r="G1143" t="str">
            <v>Roberto Augusto Silva Hernandez</v>
          </cell>
        </row>
        <row r="1144">
          <cell r="F1144">
            <v>308852</v>
          </cell>
          <cell r="G1144" t="str">
            <v>Roberto Caal Sente</v>
          </cell>
        </row>
        <row r="1145">
          <cell r="F1145">
            <v>306098</v>
          </cell>
          <cell r="G1145" t="str">
            <v>Roderico Simeon Lopez Lopez</v>
          </cell>
        </row>
        <row r="1146">
          <cell r="F1146">
            <v>313517</v>
          </cell>
          <cell r="G1146" t="str">
            <v>Rogelio Waldemar Aldana Turcios</v>
          </cell>
        </row>
        <row r="1147">
          <cell r="F1147">
            <v>314945</v>
          </cell>
          <cell r="G1147" t="str">
            <v>Rolando Esau Solis Santos</v>
          </cell>
        </row>
        <row r="1148">
          <cell r="F1148">
            <v>313403</v>
          </cell>
          <cell r="G1148" t="str">
            <v>Rolman Eliseo Bautista Mazariegos</v>
          </cell>
        </row>
        <row r="1149">
          <cell r="F1149">
            <v>314776</v>
          </cell>
          <cell r="G1149" t="str">
            <v>Romario Humberto Perez Us</v>
          </cell>
        </row>
        <row r="1150">
          <cell r="F1150">
            <v>315539</v>
          </cell>
          <cell r="G1150" t="str">
            <v>Ronald Arturo Sanchez Mijangos</v>
          </cell>
        </row>
        <row r="1151">
          <cell r="F1151">
            <v>314096</v>
          </cell>
          <cell r="G1151" t="str">
            <v>Ronald Erickson Hernandez Bamac</v>
          </cell>
        </row>
        <row r="1152">
          <cell r="F1152">
            <v>307943</v>
          </cell>
          <cell r="G1152" t="str">
            <v>Ronald Guillermo Garcia</v>
          </cell>
        </row>
        <row r="1153">
          <cell r="F1153">
            <v>315118</v>
          </cell>
          <cell r="G1153" t="str">
            <v>Ronald Ottoniel Ramos Argueta</v>
          </cell>
        </row>
        <row r="1154">
          <cell r="F1154">
            <v>315165</v>
          </cell>
          <cell r="G1154" t="str">
            <v>Ronie Ernesto Gonzalez Alvarado</v>
          </cell>
        </row>
        <row r="1155">
          <cell r="F1155">
            <v>312877</v>
          </cell>
          <cell r="G1155" t="str">
            <v>Rony David Ruano Vasquez</v>
          </cell>
        </row>
        <row r="1156">
          <cell r="F1156">
            <v>310267</v>
          </cell>
          <cell r="G1156" t="str">
            <v>Rony Josue Giron Roca</v>
          </cell>
        </row>
        <row r="1157">
          <cell r="F1157">
            <v>314930</v>
          </cell>
          <cell r="G1157" t="str">
            <v>Rony Oswaldo Gonzalez Lemus</v>
          </cell>
        </row>
        <row r="1158">
          <cell r="F1158">
            <v>315305</v>
          </cell>
          <cell r="G1158" t="str">
            <v>Rosa Isabel Garcia Menchu De Itzep</v>
          </cell>
        </row>
        <row r="1159">
          <cell r="F1159">
            <v>305255</v>
          </cell>
          <cell r="G1159" t="str">
            <v>Rosa Maria Raxtun Estrada</v>
          </cell>
        </row>
        <row r="1160">
          <cell r="F1160">
            <v>313771</v>
          </cell>
          <cell r="G1160" t="str">
            <v>Rosa Maribel Par Gutierrez De Parada</v>
          </cell>
        </row>
        <row r="1161">
          <cell r="F1161">
            <v>315353</v>
          </cell>
          <cell r="G1161" t="str">
            <v>Rosa Mariela Muñoz Samayoa</v>
          </cell>
        </row>
        <row r="1162">
          <cell r="F1162">
            <v>301835</v>
          </cell>
          <cell r="G1162" t="str">
            <v>Rosa Melia Isales Reyes</v>
          </cell>
        </row>
        <row r="1163">
          <cell r="F1163">
            <v>315389</v>
          </cell>
          <cell r="G1163" t="str">
            <v>Rosa Yadira Salguero Ceballos</v>
          </cell>
        </row>
        <row r="1164">
          <cell r="F1164">
            <v>312729</v>
          </cell>
          <cell r="G1164" t="str">
            <v>Rosalbina Magdali Alvarado Ramirez</v>
          </cell>
        </row>
        <row r="1165">
          <cell r="F1165">
            <v>300594</v>
          </cell>
          <cell r="G1165" t="str">
            <v>Rosaura Grisleny Perez Rios</v>
          </cell>
        </row>
        <row r="1166">
          <cell r="F1166">
            <v>303901</v>
          </cell>
          <cell r="G1166" t="str">
            <v>Rosmery Ana Lee Cojom Rodriguez</v>
          </cell>
        </row>
        <row r="1167">
          <cell r="F1167">
            <v>312040</v>
          </cell>
          <cell r="G1167" t="str">
            <v>Rosmery Figueroa Ramirez</v>
          </cell>
        </row>
        <row r="1168">
          <cell r="F1168">
            <v>313606</v>
          </cell>
          <cell r="G1168" t="str">
            <v>Rossana Alejandra Rodas Salguero</v>
          </cell>
        </row>
        <row r="1169">
          <cell r="F1169">
            <v>310534</v>
          </cell>
          <cell r="G1169" t="str">
            <v>Rossel Jose Hernandez Oliva</v>
          </cell>
        </row>
        <row r="1170">
          <cell r="F1170">
            <v>315045</v>
          </cell>
          <cell r="G1170" t="str">
            <v>Roxana Leticia Avila Villatoro</v>
          </cell>
        </row>
        <row r="1171">
          <cell r="F1171">
            <v>314308</v>
          </cell>
          <cell r="G1171" t="str">
            <v>Ruben Dario Peñate Aquino</v>
          </cell>
        </row>
        <row r="1172">
          <cell r="F1172">
            <v>311511</v>
          </cell>
          <cell r="G1172" t="str">
            <v>Ruby Alejandra Merida Rivas</v>
          </cell>
        </row>
        <row r="1173">
          <cell r="F1173">
            <v>312888</v>
          </cell>
          <cell r="G1173" t="str">
            <v>Rudy Alexander Gramajo Reyes</v>
          </cell>
        </row>
        <row r="1174">
          <cell r="F1174">
            <v>314814</v>
          </cell>
          <cell r="G1174" t="str">
            <v>Rudy Fernando Lopez Ajcabal</v>
          </cell>
        </row>
        <row r="1175">
          <cell r="F1175">
            <v>311551</v>
          </cell>
          <cell r="G1175" t="str">
            <v>Ruth Betsabe Campos Vargas</v>
          </cell>
        </row>
        <row r="1176">
          <cell r="F1176">
            <v>312546</v>
          </cell>
          <cell r="G1176" t="str">
            <v>Ruth Hermelinda Cardona Blanco</v>
          </cell>
        </row>
        <row r="1177">
          <cell r="F1177">
            <v>313599</v>
          </cell>
          <cell r="G1177" t="str">
            <v>Ruth Noemi Solis Contreras</v>
          </cell>
        </row>
        <row r="1178">
          <cell r="F1178">
            <v>301658</v>
          </cell>
          <cell r="G1178" t="str">
            <v>Ruth Nohemi Contreras Hernandez</v>
          </cell>
        </row>
        <row r="1179">
          <cell r="F1179">
            <v>301786</v>
          </cell>
          <cell r="G1179" t="str">
            <v>Ruth Nohemi Perez Esteban</v>
          </cell>
        </row>
        <row r="1180">
          <cell r="F1180">
            <v>314606</v>
          </cell>
          <cell r="G1180" t="str">
            <v>Saida Yasmin Garcia Xot</v>
          </cell>
        </row>
        <row r="1181">
          <cell r="F1181">
            <v>312383</v>
          </cell>
          <cell r="G1181" t="str">
            <v>Samuel Everardo Garcia Lemus</v>
          </cell>
        </row>
        <row r="1182">
          <cell r="F1182">
            <v>313592</v>
          </cell>
          <cell r="G1182" t="str">
            <v>Samuel Nehemias Nuñez Michicoj</v>
          </cell>
        </row>
        <row r="1183">
          <cell r="F1183">
            <v>305099</v>
          </cell>
          <cell r="G1183" t="str">
            <v>Sandi Anavela Mejia Alvarado</v>
          </cell>
        </row>
        <row r="1184">
          <cell r="F1184">
            <v>312923</v>
          </cell>
          <cell r="G1184" t="str">
            <v>Sandra Esmeralda Martinez Baeza</v>
          </cell>
        </row>
        <row r="1185">
          <cell r="F1185">
            <v>314420</v>
          </cell>
          <cell r="G1185" t="str">
            <v>Sandra Jeaneth Ajcuc Garcia</v>
          </cell>
        </row>
        <row r="1186">
          <cell r="F1186">
            <v>301460</v>
          </cell>
          <cell r="G1186" t="str">
            <v>Sandra Judith Vasquez Fernandez</v>
          </cell>
        </row>
        <row r="1187">
          <cell r="F1187">
            <v>312012</v>
          </cell>
          <cell r="G1187" t="str">
            <v>Sandra Lucrecia Hernandez Aceituno</v>
          </cell>
        </row>
        <row r="1188">
          <cell r="F1188">
            <v>200872</v>
          </cell>
          <cell r="G1188" t="str">
            <v>Sandra Maritza Mus Chaman</v>
          </cell>
        </row>
        <row r="1189">
          <cell r="F1189">
            <v>314820</v>
          </cell>
          <cell r="G1189" t="str">
            <v>Sandra Mishell Amarilis Gutierrez Palma</v>
          </cell>
        </row>
        <row r="1190">
          <cell r="F1190">
            <v>313875</v>
          </cell>
          <cell r="G1190" t="str">
            <v>Sandra Patricia Mejia Raguex</v>
          </cell>
        </row>
        <row r="1191">
          <cell r="F1191">
            <v>311092</v>
          </cell>
          <cell r="G1191" t="str">
            <v>Sandra Patricia Ochoa Sanchez</v>
          </cell>
        </row>
        <row r="1192">
          <cell r="F1192">
            <v>306416</v>
          </cell>
          <cell r="G1192" t="str">
            <v>Sandy Claribel Barrientos Caal</v>
          </cell>
        </row>
        <row r="1193">
          <cell r="F1193">
            <v>315024</v>
          </cell>
          <cell r="G1193" t="str">
            <v>Sandy Jasmyn Gonzalez Catun</v>
          </cell>
        </row>
        <row r="1194">
          <cell r="F1194">
            <v>312908</v>
          </cell>
          <cell r="G1194" t="str">
            <v>Sandy Maria Flores</v>
          </cell>
        </row>
        <row r="1195">
          <cell r="F1195">
            <v>313078</v>
          </cell>
          <cell r="G1195" t="str">
            <v>Sandy Maribel Herrera Mazariegos</v>
          </cell>
        </row>
        <row r="1196">
          <cell r="F1196">
            <v>301438</v>
          </cell>
          <cell r="G1196" t="str">
            <v>Sandy Mariela Batres Orozco</v>
          </cell>
        </row>
        <row r="1197">
          <cell r="F1197">
            <v>313622</v>
          </cell>
          <cell r="G1197" t="str">
            <v>Sandy Nohemy Sontay Agueda</v>
          </cell>
        </row>
        <row r="1198">
          <cell r="F1198">
            <v>315408</v>
          </cell>
          <cell r="G1198" t="str">
            <v>Sandy Suset Morales Barrientos</v>
          </cell>
        </row>
        <row r="1199">
          <cell r="F1199">
            <v>307105</v>
          </cell>
          <cell r="G1199" t="str">
            <v>Santiago Isaias Barreno Rosales</v>
          </cell>
        </row>
        <row r="1200">
          <cell r="F1200">
            <v>315254</v>
          </cell>
          <cell r="G1200" t="str">
            <v>Santos Ismael Najera Culajay</v>
          </cell>
        </row>
        <row r="1201">
          <cell r="F1201">
            <v>313402</v>
          </cell>
          <cell r="G1201" t="str">
            <v>Santos Valentin Coroy Ruyan</v>
          </cell>
        </row>
        <row r="1202">
          <cell r="F1202">
            <v>312501</v>
          </cell>
          <cell r="G1202" t="str">
            <v>Sara Elizabeth Guzman Linares</v>
          </cell>
        </row>
        <row r="1203">
          <cell r="F1203">
            <v>313492</v>
          </cell>
          <cell r="G1203" t="str">
            <v>Sarvia Bitia Orellana Ortiz</v>
          </cell>
        </row>
        <row r="1204">
          <cell r="F1204">
            <v>309816</v>
          </cell>
          <cell r="G1204" t="str">
            <v>Sayra Elizabeth Reyes Zuñiga</v>
          </cell>
        </row>
        <row r="1205">
          <cell r="F1205">
            <v>314956</v>
          </cell>
          <cell r="G1205" t="str">
            <v>Sebastian Geovanny Calel Ixtuc</v>
          </cell>
        </row>
        <row r="1206">
          <cell r="F1206">
            <v>314855</v>
          </cell>
          <cell r="G1206" t="str">
            <v>Selvin Adan Garcia Portillo</v>
          </cell>
        </row>
        <row r="1207">
          <cell r="F1207">
            <v>312294</v>
          </cell>
          <cell r="G1207" t="str">
            <v>Selvin Geronimo Aguilar</v>
          </cell>
        </row>
        <row r="1208">
          <cell r="F1208">
            <v>302278</v>
          </cell>
          <cell r="G1208" t="str">
            <v>Selvin Manolo Montepeque Merida</v>
          </cell>
        </row>
        <row r="1209">
          <cell r="F1209">
            <v>314266</v>
          </cell>
          <cell r="G1209" t="str">
            <v>Selvin Rodolfo De La Cruz Contreras</v>
          </cell>
        </row>
        <row r="1210">
          <cell r="F1210">
            <v>301308</v>
          </cell>
          <cell r="G1210" t="str">
            <v>Selvyn Ivan Sierra Ramirez</v>
          </cell>
        </row>
        <row r="1211">
          <cell r="F1211">
            <v>312346</v>
          </cell>
          <cell r="G1211" t="str">
            <v>Sendy Vanessa Villagran Garcia</v>
          </cell>
        </row>
        <row r="1212">
          <cell r="F1212">
            <v>314559</v>
          </cell>
          <cell r="G1212" t="str">
            <v>Sergio Alejandro Aguilar Perez</v>
          </cell>
        </row>
        <row r="1213">
          <cell r="F1213">
            <v>101896</v>
          </cell>
          <cell r="G1213" t="str">
            <v>Sergio Estuardo Mejia Lopez</v>
          </cell>
        </row>
        <row r="1214">
          <cell r="F1214">
            <v>315294</v>
          </cell>
          <cell r="G1214" t="str">
            <v>Sergio Obdulio Chali Chocojay</v>
          </cell>
        </row>
        <row r="1215">
          <cell r="F1215">
            <v>314079</v>
          </cell>
          <cell r="G1215" t="str">
            <v>Sharon Klarivel Santis Najarro</v>
          </cell>
        </row>
        <row r="1216">
          <cell r="F1216">
            <v>311147</v>
          </cell>
          <cell r="G1216" t="str">
            <v>Shaury Jazmeny Garcia Arias</v>
          </cell>
        </row>
        <row r="1217">
          <cell r="F1217">
            <v>310599</v>
          </cell>
          <cell r="G1217" t="str">
            <v>Sheila Nineth Mendez Lopez</v>
          </cell>
        </row>
        <row r="1218">
          <cell r="F1218">
            <v>315541</v>
          </cell>
          <cell r="G1218" t="str">
            <v>Sheily Nahomy Oliva Morales</v>
          </cell>
        </row>
        <row r="1219">
          <cell r="F1219">
            <v>304805</v>
          </cell>
          <cell r="G1219" t="str">
            <v>Sheily Raquel Angel Arreaga</v>
          </cell>
        </row>
        <row r="1220">
          <cell r="F1220">
            <v>312357</v>
          </cell>
          <cell r="G1220" t="str">
            <v>Shirley Andrea Lopez Lopez</v>
          </cell>
        </row>
        <row r="1221">
          <cell r="F1221">
            <v>311646</v>
          </cell>
          <cell r="G1221" t="str">
            <v>Shirley Leticia Lissette Lopez Guzman</v>
          </cell>
        </row>
        <row r="1222">
          <cell r="F1222">
            <v>312096</v>
          </cell>
          <cell r="G1222" t="str">
            <v>Silvia Edelmira Garcia Donis</v>
          </cell>
        </row>
        <row r="1223">
          <cell r="F1223">
            <v>301371</v>
          </cell>
          <cell r="G1223" t="str">
            <v>Silvia Gabriela Gonzalez Siliezar</v>
          </cell>
        </row>
        <row r="1224">
          <cell r="F1224">
            <v>313328</v>
          </cell>
          <cell r="G1224" t="str">
            <v>Silvia Leticia Morales Perez</v>
          </cell>
        </row>
        <row r="1225">
          <cell r="F1225">
            <v>309948</v>
          </cell>
          <cell r="G1225" t="str">
            <v>Silvia Lucrecia Gonzalez Char</v>
          </cell>
        </row>
        <row r="1226">
          <cell r="F1226">
            <v>305230</v>
          </cell>
          <cell r="G1226" t="str">
            <v>Silvia Marleni Rac Yoc</v>
          </cell>
        </row>
        <row r="1227">
          <cell r="F1227">
            <v>305427</v>
          </cell>
          <cell r="G1227" t="str">
            <v>Silvia Noemi Calderon</v>
          </cell>
        </row>
        <row r="1228">
          <cell r="F1228">
            <v>306034</v>
          </cell>
          <cell r="G1228" t="str">
            <v>Silvia Patricia Gonzalez Hernandez</v>
          </cell>
        </row>
        <row r="1229">
          <cell r="F1229">
            <v>310105</v>
          </cell>
          <cell r="G1229" t="str">
            <v>Simeon Valentin Gomez Flores</v>
          </cell>
        </row>
        <row r="1230">
          <cell r="F1230">
            <v>313981</v>
          </cell>
          <cell r="G1230" t="str">
            <v>Sindy Beatriz Perez Sanchez</v>
          </cell>
        </row>
        <row r="1231">
          <cell r="F1231">
            <v>314976</v>
          </cell>
          <cell r="G1231" t="str">
            <v>Sindy Carolina Ramirez Pur</v>
          </cell>
        </row>
        <row r="1232">
          <cell r="F1232">
            <v>312881</v>
          </cell>
          <cell r="G1232" t="str">
            <v>Sindy Karina Ramirez Lopez</v>
          </cell>
        </row>
        <row r="1233">
          <cell r="F1233">
            <v>310066</v>
          </cell>
          <cell r="G1233" t="str">
            <v>Sindy Paola Vargas Calderon</v>
          </cell>
        </row>
        <row r="1234">
          <cell r="F1234">
            <v>315466</v>
          </cell>
          <cell r="G1234" t="str">
            <v>Siomara Victoria Valle Sac</v>
          </cell>
        </row>
        <row r="1235">
          <cell r="F1235">
            <v>313593</v>
          </cell>
          <cell r="G1235" t="str">
            <v>Slayker Andony Santiago Natareno</v>
          </cell>
        </row>
        <row r="1236">
          <cell r="F1236">
            <v>315439</v>
          </cell>
          <cell r="G1236" t="str">
            <v>Smaylin Sarita Villatoro Angel</v>
          </cell>
        </row>
        <row r="1237">
          <cell r="F1237">
            <v>310731</v>
          </cell>
          <cell r="G1237" t="str">
            <v>Sofia Etelvina Lopez Perez</v>
          </cell>
        </row>
        <row r="1238">
          <cell r="F1238">
            <v>314735</v>
          </cell>
          <cell r="G1238" t="str">
            <v>Sofia Ines Bermudez Avila</v>
          </cell>
        </row>
        <row r="1239">
          <cell r="F1239">
            <v>315340</v>
          </cell>
          <cell r="G1239" t="str">
            <v>Stefanny Manuela Azaneth Garcia Garcia</v>
          </cell>
        </row>
        <row r="1240">
          <cell r="F1240">
            <v>308054</v>
          </cell>
          <cell r="G1240" t="str">
            <v>Stephanie Abigail De Los Angeles Villalta</v>
          </cell>
        </row>
        <row r="1241">
          <cell r="F1241">
            <v>303382</v>
          </cell>
          <cell r="G1241" t="str">
            <v>Sucely Abigail Nerios Rodriguez</v>
          </cell>
        </row>
        <row r="1242">
          <cell r="F1242">
            <v>314787</v>
          </cell>
          <cell r="G1242" t="str">
            <v>Sucely Analy Arias Paredes</v>
          </cell>
        </row>
        <row r="1243">
          <cell r="F1243">
            <v>310671</v>
          </cell>
          <cell r="G1243" t="str">
            <v>Sucely Paola Godinez Gomez De Perez</v>
          </cell>
        </row>
        <row r="1244">
          <cell r="F1244">
            <v>315386</v>
          </cell>
          <cell r="G1244" t="str">
            <v>Sulibeth Estela Ortega Mendez</v>
          </cell>
        </row>
        <row r="1245">
          <cell r="F1245">
            <v>314347</v>
          </cell>
          <cell r="G1245" t="str">
            <v>Suri Mireidy Perez Estrada</v>
          </cell>
        </row>
        <row r="1246">
          <cell r="F1246">
            <v>313630</v>
          </cell>
          <cell r="G1246" t="str">
            <v>Susan Andrea Perez Lima</v>
          </cell>
        </row>
        <row r="1247">
          <cell r="F1247">
            <v>313395</v>
          </cell>
          <cell r="G1247" t="str">
            <v>Susan Maria Jose Rodas Carranza</v>
          </cell>
        </row>
        <row r="1248">
          <cell r="F1248">
            <v>309883</v>
          </cell>
          <cell r="G1248" t="str">
            <v>Susana Alvarado Gonzalez</v>
          </cell>
        </row>
        <row r="1249">
          <cell r="F1249">
            <v>307664</v>
          </cell>
          <cell r="G1249" t="str">
            <v>Susana Jeanneth Lemus Pineda</v>
          </cell>
        </row>
        <row r="1250">
          <cell r="F1250">
            <v>315313</v>
          </cell>
          <cell r="G1250" t="str">
            <v>Tayme Gabriela Uzu Ramirez</v>
          </cell>
        </row>
        <row r="1251">
          <cell r="F1251">
            <v>314575</v>
          </cell>
          <cell r="G1251" t="str">
            <v>Telma Esperanza Santos Orantes</v>
          </cell>
        </row>
        <row r="1252">
          <cell r="F1252">
            <v>302658</v>
          </cell>
          <cell r="G1252" t="str">
            <v>Telma Sucely Solis Merida</v>
          </cell>
        </row>
        <row r="1253">
          <cell r="F1253">
            <v>315048</v>
          </cell>
          <cell r="G1253" t="str">
            <v>Thania Lucia Romero Garcia</v>
          </cell>
        </row>
        <row r="1254">
          <cell r="F1254">
            <v>302332</v>
          </cell>
          <cell r="G1254" t="str">
            <v>Thelma Patricia Mena Melchor</v>
          </cell>
        </row>
        <row r="1255">
          <cell r="F1255">
            <v>314108</v>
          </cell>
          <cell r="G1255" t="str">
            <v>Thelma Yolanda De Candelaria Garcia Sanchez</v>
          </cell>
        </row>
        <row r="1256">
          <cell r="F1256">
            <v>315049</v>
          </cell>
          <cell r="G1256" t="str">
            <v>Tomas Amador Manuel Martin</v>
          </cell>
        </row>
        <row r="1257">
          <cell r="F1257">
            <v>315373</v>
          </cell>
          <cell r="G1257" t="str">
            <v>Tomas Xiloj Mejia</v>
          </cell>
        </row>
        <row r="1258">
          <cell r="F1258">
            <v>311866</v>
          </cell>
          <cell r="G1258" t="str">
            <v>Treisy Lisbeth Orozco Orozco</v>
          </cell>
        </row>
        <row r="1259">
          <cell r="F1259">
            <v>310220</v>
          </cell>
          <cell r="G1259" t="str">
            <v>Urias Samuel Velasquez Ardeano</v>
          </cell>
        </row>
        <row r="1260">
          <cell r="F1260">
            <v>305903</v>
          </cell>
          <cell r="G1260" t="str">
            <v>Valeska Paola Rivas Gomez</v>
          </cell>
        </row>
        <row r="1261">
          <cell r="F1261">
            <v>314544</v>
          </cell>
          <cell r="G1261" t="str">
            <v>Velvet Sofia Estrada Ruiz</v>
          </cell>
        </row>
        <row r="1262">
          <cell r="F1262">
            <v>314405</v>
          </cell>
          <cell r="G1262" t="str">
            <v>Veronica Alejandra Barahona Santa Cruz</v>
          </cell>
        </row>
        <row r="1263">
          <cell r="F1263">
            <v>311048</v>
          </cell>
          <cell r="G1263" t="str">
            <v>Veronica Dalila Barrios Hernandez</v>
          </cell>
        </row>
        <row r="1264">
          <cell r="F1264">
            <v>311005</v>
          </cell>
          <cell r="G1264" t="str">
            <v>Veronica Sierra Xo</v>
          </cell>
        </row>
        <row r="1265">
          <cell r="F1265">
            <v>304024</v>
          </cell>
          <cell r="G1265" t="str">
            <v>Vicky Roxana Lopez Hernandez</v>
          </cell>
        </row>
        <row r="1266">
          <cell r="F1266">
            <v>300999</v>
          </cell>
          <cell r="G1266" t="str">
            <v>Victor Adolfo Barrios Monzon</v>
          </cell>
        </row>
        <row r="1267">
          <cell r="F1267">
            <v>309689</v>
          </cell>
          <cell r="G1267" t="str">
            <v>Victor Demecio Leon Villeda</v>
          </cell>
        </row>
        <row r="1268">
          <cell r="F1268">
            <v>311258</v>
          </cell>
          <cell r="G1268" t="str">
            <v>Victor Otoniel Sebastian Cardona</v>
          </cell>
        </row>
        <row r="1269">
          <cell r="F1269">
            <v>314367</v>
          </cell>
          <cell r="G1269" t="str">
            <v>Victoria Maria Llamas Perez</v>
          </cell>
        </row>
        <row r="1270">
          <cell r="F1270">
            <v>315399</v>
          </cell>
          <cell r="G1270" t="str">
            <v>Vilma Rossibel Mendez Vasquez</v>
          </cell>
        </row>
        <row r="1271">
          <cell r="F1271">
            <v>312875</v>
          </cell>
          <cell r="G1271" t="str">
            <v>Virginia Nohemi Perez Ajtum</v>
          </cell>
        </row>
        <row r="1272">
          <cell r="F1272">
            <v>313671</v>
          </cell>
          <cell r="G1272" t="str">
            <v>Virginia Yesenia Merida Lopez De Lopez</v>
          </cell>
        </row>
        <row r="1273">
          <cell r="F1273">
            <v>315529</v>
          </cell>
          <cell r="G1273" t="str">
            <v>Vivian Alejandra Ramirez Samayoa</v>
          </cell>
        </row>
        <row r="1274">
          <cell r="F1274">
            <v>310009</v>
          </cell>
          <cell r="G1274" t="str">
            <v>Vivian Celeste De Leon Rian</v>
          </cell>
        </row>
        <row r="1275">
          <cell r="F1275">
            <v>308693</v>
          </cell>
          <cell r="G1275" t="str">
            <v>Vivian Dinora Fuentes Carrillo</v>
          </cell>
        </row>
        <row r="1276">
          <cell r="F1276">
            <v>300347</v>
          </cell>
          <cell r="G1276" t="str">
            <v>Vivian Roxana Piedrasanta Rodriguez</v>
          </cell>
        </row>
        <row r="1277">
          <cell r="F1277">
            <v>306597</v>
          </cell>
          <cell r="G1277" t="str">
            <v>Vivian Samara Sanchez Lopez</v>
          </cell>
        </row>
        <row r="1278">
          <cell r="F1278">
            <v>312772</v>
          </cell>
          <cell r="G1278" t="str">
            <v>Viviana Isabet Machic Tiño</v>
          </cell>
        </row>
        <row r="1279">
          <cell r="F1279">
            <v>314636</v>
          </cell>
          <cell r="G1279" t="str">
            <v>Walkiria Anais Herrera Castillo</v>
          </cell>
        </row>
        <row r="1280">
          <cell r="F1280">
            <v>301033</v>
          </cell>
          <cell r="G1280" t="str">
            <v>Walter Daniel Perea Flores</v>
          </cell>
        </row>
        <row r="1281">
          <cell r="F1281">
            <v>305935</v>
          </cell>
          <cell r="G1281" t="str">
            <v>Walter David De Leon Gomez</v>
          </cell>
        </row>
        <row r="1282">
          <cell r="F1282">
            <v>315324</v>
          </cell>
          <cell r="G1282" t="str">
            <v>Walter Estuardo Guerra López</v>
          </cell>
        </row>
        <row r="1283">
          <cell r="F1283">
            <v>310994</v>
          </cell>
          <cell r="G1283" t="str">
            <v>Walter Geovany Hernandez Hernandez</v>
          </cell>
        </row>
        <row r="1284">
          <cell r="F1284">
            <v>315577</v>
          </cell>
          <cell r="G1284" t="str">
            <v>Walter Yovany Sequec Lopic</v>
          </cell>
        </row>
        <row r="1285">
          <cell r="F1285">
            <v>312305</v>
          </cell>
          <cell r="G1285" t="str">
            <v>Wanda Marisol Cabrera Lemus</v>
          </cell>
        </row>
        <row r="1286">
          <cell r="F1286">
            <v>313388</v>
          </cell>
          <cell r="G1286" t="str">
            <v>Wander Andres Grijlava Porras</v>
          </cell>
        </row>
        <row r="1287">
          <cell r="F1287">
            <v>312738</v>
          </cell>
          <cell r="G1287" t="str">
            <v>Wendoly Beatriz Morales Cornel</v>
          </cell>
        </row>
        <row r="1288">
          <cell r="F1288">
            <v>304802</v>
          </cell>
          <cell r="G1288" t="str">
            <v>Wendy Alejandra Cuyan Alvarez</v>
          </cell>
        </row>
        <row r="1289">
          <cell r="F1289">
            <v>315438</v>
          </cell>
          <cell r="G1289" t="str">
            <v>Wendy Alejandra Monzon Lopez</v>
          </cell>
        </row>
        <row r="1290">
          <cell r="F1290">
            <v>309177</v>
          </cell>
          <cell r="G1290" t="str">
            <v>Wendy Carolina Lopez Alvizuriz</v>
          </cell>
        </row>
        <row r="1291">
          <cell r="F1291">
            <v>315364</v>
          </cell>
          <cell r="G1291" t="str">
            <v>Wendy Corina Najera Vasquez</v>
          </cell>
        </row>
        <row r="1292">
          <cell r="F1292">
            <v>308431</v>
          </cell>
          <cell r="G1292" t="str">
            <v>Wendy Jessenia Arredondo Lopez</v>
          </cell>
        </row>
        <row r="1293">
          <cell r="F1293">
            <v>315096</v>
          </cell>
          <cell r="G1293" t="str">
            <v>Wendy Mariela Diaz Hernandez</v>
          </cell>
        </row>
        <row r="1294">
          <cell r="F1294">
            <v>314551</v>
          </cell>
          <cell r="G1294" t="str">
            <v>Wendy Nineth Perez Roque</v>
          </cell>
        </row>
        <row r="1295">
          <cell r="F1295">
            <v>312886</v>
          </cell>
          <cell r="G1295" t="str">
            <v>Wendy Paola Baquiax Cu</v>
          </cell>
        </row>
        <row r="1296">
          <cell r="F1296">
            <v>306851</v>
          </cell>
          <cell r="G1296" t="str">
            <v>Wendy Paola De Paz Prado</v>
          </cell>
        </row>
        <row r="1297">
          <cell r="F1297">
            <v>313707</v>
          </cell>
          <cell r="G1297" t="str">
            <v>Wendy Paola Rodriguez Gonzalez</v>
          </cell>
        </row>
        <row r="1298">
          <cell r="F1298">
            <v>314055</v>
          </cell>
          <cell r="G1298" t="str">
            <v>Wendy Patricia Lopez Gonzalez</v>
          </cell>
        </row>
        <row r="1299">
          <cell r="F1299">
            <v>310388</v>
          </cell>
          <cell r="G1299" t="str">
            <v>Wendy Susana Chinchilla Cotill</v>
          </cell>
        </row>
        <row r="1300">
          <cell r="F1300">
            <v>315106</v>
          </cell>
          <cell r="G1300" t="str">
            <v>Wendy Victoria Rodriguez Chacon</v>
          </cell>
        </row>
        <row r="1301">
          <cell r="F1301">
            <v>314063</v>
          </cell>
          <cell r="G1301" t="str">
            <v>Wensler David Obando Polanco</v>
          </cell>
        </row>
        <row r="1302">
          <cell r="F1302">
            <v>308069</v>
          </cell>
          <cell r="G1302" t="str">
            <v>Wilda Yohandra Atz Cruz</v>
          </cell>
        </row>
        <row r="1303">
          <cell r="F1303">
            <v>313300</v>
          </cell>
          <cell r="G1303" t="str">
            <v>Wilfido Abraham Cardona Garcia</v>
          </cell>
        </row>
        <row r="1304">
          <cell r="F1304">
            <v>309284</v>
          </cell>
          <cell r="G1304" t="str">
            <v>Wilian Aroldo Lucero Cardona</v>
          </cell>
        </row>
        <row r="1305">
          <cell r="F1305">
            <v>314821</v>
          </cell>
          <cell r="G1305" t="str">
            <v>William Alexander Tobias Gomez</v>
          </cell>
        </row>
        <row r="1306">
          <cell r="F1306">
            <v>314881</v>
          </cell>
          <cell r="G1306" t="str">
            <v>William Eduardo Velasquez Castillo</v>
          </cell>
        </row>
        <row r="1307">
          <cell r="F1307">
            <v>313027</v>
          </cell>
          <cell r="G1307" t="str">
            <v>William Rodolfo Yool Tucux</v>
          </cell>
        </row>
        <row r="1308">
          <cell r="F1308">
            <v>314221</v>
          </cell>
          <cell r="G1308" t="str">
            <v>Willian Baldemar Castillo Ramirez</v>
          </cell>
        </row>
        <row r="1309">
          <cell r="F1309">
            <v>314947</v>
          </cell>
          <cell r="G1309" t="str">
            <v>Wilmer Arnoldo Diaz Martinez</v>
          </cell>
        </row>
        <row r="1310">
          <cell r="F1310">
            <v>306656</v>
          </cell>
          <cell r="G1310" t="str">
            <v>Wilmer Benjamin Vasquez Puac</v>
          </cell>
        </row>
        <row r="1311">
          <cell r="F1311">
            <v>314391</v>
          </cell>
          <cell r="G1311" t="str">
            <v>Wilmer Esteban Lopez Hernandez</v>
          </cell>
        </row>
        <row r="1312">
          <cell r="F1312">
            <v>308506</v>
          </cell>
          <cell r="G1312" t="str">
            <v>Wilmer Estuardo Salama Golon</v>
          </cell>
        </row>
        <row r="1313">
          <cell r="F1313">
            <v>308686</v>
          </cell>
          <cell r="G1313" t="str">
            <v>Wilson Arnoldo Lopez Revolorio</v>
          </cell>
        </row>
        <row r="1314">
          <cell r="F1314">
            <v>312770</v>
          </cell>
          <cell r="G1314" t="str">
            <v>Wilson Manuel Zuñiga Perez</v>
          </cell>
        </row>
        <row r="1315">
          <cell r="F1315">
            <v>300978</v>
          </cell>
          <cell r="G1315" t="str">
            <v>Wuangler Geovane Cal Sucup</v>
          </cell>
        </row>
        <row r="1316">
          <cell r="F1316">
            <v>305989</v>
          </cell>
          <cell r="G1316" t="str">
            <v>Wuilson Ottoniel Hernandez Alonzo</v>
          </cell>
        </row>
        <row r="1317">
          <cell r="F1317">
            <v>314819</v>
          </cell>
          <cell r="G1317" t="str">
            <v>Xiomara Karina Rendon Peinado</v>
          </cell>
        </row>
        <row r="1318">
          <cell r="F1318">
            <v>306493</v>
          </cell>
          <cell r="G1318" t="str">
            <v>Yackelin Maribel Zamora Medina</v>
          </cell>
        </row>
        <row r="1319">
          <cell r="F1319">
            <v>309963</v>
          </cell>
          <cell r="G1319" t="str">
            <v>Yajaira Emiliana Reyes Zapet</v>
          </cell>
        </row>
        <row r="1320">
          <cell r="F1320">
            <v>312248</v>
          </cell>
          <cell r="G1320" t="str">
            <v>Yakelin Consuelo Zapeta Perez</v>
          </cell>
        </row>
        <row r="1321">
          <cell r="F1321">
            <v>310159</v>
          </cell>
          <cell r="G1321" t="str">
            <v>Yaquelin Dinora Xicara Mejia</v>
          </cell>
        </row>
        <row r="1322">
          <cell r="F1322">
            <v>309920</v>
          </cell>
          <cell r="G1322" t="str">
            <v>Yaquelin Karina Virula Patzan</v>
          </cell>
        </row>
        <row r="1323">
          <cell r="F1323">
            <v>312505</v>
          </cell>
          <cell r="G1323" t="str">
            <v>Yaquelin Yessenia Sapon Gonzalez</v>
          </cell>
        </row>
        <row r="1324">
          <cell r="F1324">
            <v>309463</v>
          </cell>
          <cell r="G1324" t="str">
            <v>Yasmin Paola Sicay Marroquin</v>
          </cell>
        </row>
        <row r="1325">
          <cell r="F1325">
            <v>313857</v>
          </cell>
          <cell r="G1325" t="str">
            <v>Yefersson Zabala Aviles</v>
          </cell>
        </row>
        <row r="1326">
          <cell r="F1326">
            <v>313628</v>
          </cell>
          <cell r="G1326" t="str">
            <v>Yefry Jesus Soto</v>
          </cell>
        </row>
        <row r="1327">
          <cell r="F1327">
            <v>310318</v>
          </cell>
          <cell r="G1327" t="str">
            <v>Yeimi Yareli Moscoso Guzman</v>
          </cell>
        </row>
        <row r="1328">
          <cell r="F1328">
            <v>313558</v>
          </cell>
          <cell r="G1328" t="str">
            <v>Yener Catarino Chilel Velasquez</v>
          </cell>
        </row>
        <row r="1329">
          <cell r="F1329">
            <v>303083</v>
          </cell>
          <cell r="G1329" t="str">
            <v>Yeni Elizabeth Carrillo Barrios</v>
          </cell>
        </row>
        <row r="1330">
          <cell r="F1330">
            <v>313221</v>
          </cell>
          <cell r="G1330" t="str">
            <v>Yeni Jannet Morales Sintud</v>
          </cell>
        </row>
        <row r="1331">
          <cell r="F1331">
            <v>315374</v>
          </cell>
          <cell r="G1331" t="str">
            <v>Yeni Sabrina Ordonez Gonzalez De Chicas</v>
          </cell>
        </row>
        <row r="1332">
          <cell r="F1332">
            <v>314613</v>
          </cell>
          <cell r="G1332" t="str">
            <v>Yenifer Alicia Yessenia Tzib Lemus</v>
          </cell>
        </row>
        <row r="1333">
          <cell r="F1333">
            <v>308434</v>
          </cell>
          <cell r="G1333" t="str">
            <v>Yenifer Antonieta Borja Aragon</v>
          </cell>
        </row>
        <row r="1334">
          <cell r="F1334">
            <v>313725</v>
          </cell>
          <cell r="G1334" t="str">
            <v>Yenner Antonio Perez Castro</v>
          </cell>
        </row>
        <row r="1335">
          <cell r="F1335">
            <v>314562</v>
          </cell>
          <cell r="G1335" t="str">
            <v>Yesenia Noemi Gutierrez Argueta</v>
          </cell>
        </row>
        <row r="1336">
          <cell r="F1336">
            <v>311581</v>
          </cell>
          <cell r="G1336" t="str">
            <v>Yesi Lisbet Fuentes Velarde</v>
          </cell>
        </row>
        <row r="1337">
          <cell r="F1337">
            <v>312579</v>
          </cell>
          <cell r="G1337" t="str">
            <v>Yesica Elizabet Marroquin Vielman</v>
          </cell>
        </row>
        <row r="1338">
          <cell r="F1338">
            <v>315433</v>
          </cell>
          <cell r="G1338" t="str">
            <v>Yessica Paola Perez Poma</v>
          </cell>
        </row>
        <row r="1339">
          <cell r="F1339">
            <v>311486</v>
          </cell>
          <cell r="G1339" t="str">
            <v>Yolisma Yaneth Vasquez Najera</v>
          </cell>
        </row>
        <row r="1340">
          <cell r="F1340">
            <v>315060</v>
          </cell>
          <cell r="G1340" t="str">
            <v>Yonatan Alexander Perez Scott</v>
          </cell>
        </row>
        <row r="1341">
          <cell r="F1341">
            <v>312632</v>
          </cell>
          <cell r="G1341" t="str">
            <v>Yonatan Nazareth Zapeta Gomez</v>
          </cell>
        </row>
        <row r="1342">
          <cell r="F1342">
            <v>312988</v>
          </cell>
          <cell r="G1342" t="str">
            <v>Yonathan Neftali Moran Velasquez</v>
          </cell>
        </row>
        <row r="1343">
          <cell r="F1343">
            <v>305872</v>
          </cell>
          <cell r="G1343" t="str">
            <v>Yoni Adan Gutierrez Veliz</v>
          </cell>
        </row>
        <row r="1344">
          <cell r="F1344">
            <v>312087</v>
          </cell>
          <cell r="G1344" t="str">
            <v>Yoni Yosuen Rodriguez Sosa</v>
          </cell>
        </row>
        <row r="1345">
          <cell r="F1345">
            <v>312317</v>
          </cell>
          <cell r="G1345" t="str">
            <v>Yoselin Alejandra Barrios Reyes</v>
          </cell>
        </row>
        <row r="1346">
          <cell r="F1346">
            <v>313057</v>
          </cell>
          <cell r="G1346" t="str">
            <v>Yoselin Alejandra Moran Burgos</v>
          </cell>
        </row>
        <row r="1347">
          <cell r="F1347">
            <v>314700</v>
          </cell>
          <cell r="G1347" t="str">
            <v>Yoselin Andrea Cipriano Garcia</v>
          </cell>
        </row>
        <row r="1348">
          <cell r="F1348">
            <v>314280</v>
          </cell>
          <cell r="G1348" t="str">
            <v>Yoselin Ninet Lopez Quibaja</v>
          </cell>
        </row>
        <row r="1349">
          <cell r="F1349">
            <v>314388</v>
          </cell>
          <cell r="G1349" t="str">
            <v>Yubithza Azucena Gamez Agustin De Cordova</v>
          </cell>
        </row>
        <row r="1350">
          <cell r="F1350">
            <v>310717</v>
          </cell>
          <cell r="G1350" t="str">
            <v>Yuliana Elizabeth Hernandez Lopez</v>
          </cell>
        </row>
        <row r="1351">
          <cell r="F1351">
            <v>314472</v>
          </cell>
          <cell r="G1351" t="str">
            <v>Yuri Madali Cabrera Garcia</v>
          </cell>
        </row>
        <row r="1352">
          <cell r="F1352">
            <v>310871</v>
          </cell>
          <cell r="G1352" t="str">
            <v>Yuri Vanessa Bac Caal</v>
          </cell>
        </row>
        <row r="1353">
          <cell r="F1353">
            <v>302802</v>
          </cell>
          <cell r="G1353" t="str">
            <v>Yuri Yesenia Beza Ramirez</v>
          </cell>
        </row>
        <row r="1354">
          <cell r="F1354">
            <v>310778</v>
          </cell>
          <cell r="G1354" t="str">
            <v>Zacarias Rigoberto Cuc Tiul</v>
          </cell>
        </row>
        <row r="1355">
          <cell r="F1355">
            <v>309651</v>
          </cell>
          <cell r="G1355" t="str">
            <v>Zaira Eloiza Orantes Ramirez</v>
          </cell>
        </row>
        <row r="1356">
          <cell r="F1356">
            <v>315308</v>
          </cell>
          <cell r="G1356" t="str">
            <v>Zalma Esmeralda Flores Tojin</v>
          </cell>
        </row>
        <row r="1357">
          <cell r="F1357">
            <v>306856</v>
          </cell>
          <cell r="G1357" t="str">
            <v>Zoraida Marisol Martinez Perez</v>
          </cell>
        </row>
        <row r="1358">
          <cell r="F1358">
            <v>313411</v>
          </cell>
          <cell r="G1358" t="str">
            <v>Zulema Noemy Aristondo Lopez</v>
          </cell>
        </row>
        <row r="1359">
          <cell r="F1359">
            <v>312665</v>
          </cell>
          <cell r="G1359" t="str">
            <v>Zulma Damaris Menchu Mendez</v>
          </cell>
        </row>
        <row r="1360">
          <cell r="F1360">
            <v>314042</v>
          </cell>
          <cell r="G1360" t="str">
            <v>Zulmy Paola Mateo Salazar</v>
          </cell>
        </row>
        <row r="1361">
          <cell r="F1361">
            <v>313161</v>
          </cell>
          <cell r="G1361" t="str">
            <v>Zuly Beatriz De Jesus Lopez Martinez</v>
          </cell>
        </row>
        <row r="1362">
          <cell r="F1362">
            <v>314783</v>
          </cell>
          <cell r="G1362" t="str">
            <v>Jency Noeli Estrada Paredes</v>
          </cell>
        </row>
        <row r="1363">
          <cell r="F1363">
            <v>311880</v>
          </cell>
          <cell r="G1363" t="str">
            <v>Patricia Alejandra Ramos Velasquez</v>
          </cell>
        </row>
        <row r="1364">
          <cell r="F1364">
            <v>313031</v>
          </cell>
          <cell r="G1364" t="str">
            <v>Lesly Sucely Ramirez Maxin</v>
          </cell>
        </row>
        <row r="1365">
          <cell r="F1365">
            <v>313155</v>
          </cell>
          <cell r="G1365" t="str">
            <v>Aylin Jiceli Romero Cruz</v>
          </cell>
        </row>
        <row r="1366">
          <cell r="F1366">
            <v>314858</v>
          </cell>
          <cell r="G1366" t="str">
            <v>Henry De Jesus Mujo Garcia</v>
          </cell>
        </row>
        <row r="1367">
          <cell r="F1367">
            <v>315188</v>
          </cell>
          <cell r="G1367" t="str">
            <v>Zoila Edmunda Pirir Tezen</v>
          </cell>
        </row>
        <row r="1368">
          <cell r="F1368">
            <v>314690</v>
          </cell>
          <cell r="G1368" t="str">
            <v>Scarlet Iveth Rosales Rivera</v>
          </cell>
        </row>
        <row r="1369">
          <cell r="F1369">
            <v>309417</v>
          </cell>
          <cell r="G1369" t="str">
            <v>Lisbeth Sarai Gutierrez Oscal</v>
          </cell>
        </row>
        <row r="1370">
          <cell r="F1370">
            <v>314284</v>
          </cell>
          <cell r="G1370" t="str">
            <v>William Alexander Gonzalez Mendoza</v>
          </cell>
        </row>
        <row r="1371">
          <cell r="F1371">
            <v>312424</v>
          </cell>
          <cell r="G1371" t="str">
            <v>Andrea Fernanda Martin Flores</v>
          </cell>
        </row>
        <row r="1372">
          <cell r="F1372">
            <v>313081</v>
          </cell>
          <cell r="G1372" t="str">
            <v>Alba Mariana Higueros Micheo</v>
          </cell>
        </row>
        <row r="1373">
          <cell r="F1373">
            <v>315184</v>
          </cell>
          <cell r="G1373" t="str">
            <v>Leysly Rubi Panchoy Rivera</v>
          </cell>
        </row>
        <row r="1374">
          <cell r="F1374">
            <v>315248</v>
          </cell>
          <cell r="G1374" t="str">
            <v>Claudia Marissa Chuquiej Granados</v>
          </cell>
        </row>
        <row r="1375">
          <cell r="F1375">
            <v>314982</v>
          </cell>
          <cell r="G1375" t="str">
            <v>Alvin David Cush Roman</v>
          </cell>
        </row>
        <row r="1376">
          <cell r="F1376">
            <v>312859</v>
          </cell>
          <cell r="G1376" t="str">
            <v>Wilson Eli Pineda Argueta</v>
          </cell>
        </row>
        <row r="1377">
          <cell r="F1377">
            <v>315040</v>
          </cell>
          <cell r="G1377" t="str">
            <v>Renny Camilo Ixcopal Ramirez</v>
          </cell>
        </row>
        <row r="1378">
          <cell r="F1378">
            <v>315061</v>
          </cell>
          <cell r="G1378" t="str">
            <v>Durvin Dayanara Mejicanos Ramos</v>
          </cell>
        </row>
        <row r="1379">
          <cell r="F1379">
            <v>314923</v>
          </cell>
          <cell r="G1379" t="str">
            <v>Sergio Alexander Urizar Godínez</v>
          </cell>
        </row>
        <row r="1380">
          <cell r="F1380">
            <v>314511</v>
          </cell>
          <cell r="G1380" t="str">
            <v>Dulce Maria Fajardo Ramos</v>
          </cell>
        </row>
        <row r="1381">
          <cell r="F1381">
            <v>315316</v>
          </cell>
          <cell r="G1381" t="str">
            <v>Axel Alexander Lemus Ovando</v>
          </cell>
        </row>
        <row r="1382">
          <cell r="F1382">
            <v>314538</v>
          </cell>
          <cell r="G1382" t="str">
            <v>Cristofer Melgar Ortega</v>
          </cell>
        </row>
        <row r="1383">
          <cell r="F1383">
            <v>315046</v>
          </cell>
          <cell r="G1383" t="str">
            <v>Maria Damaris Noemi Asig Cu</v>
          </cell>
        </row>
        <row r="1384">
          <cell r="F1384">
            <v>314652</v>
          </cell>
          <cell r="G1384" t="str">
            <v>Leyvi Diana Morales Garrido</v>
          </cell>
        </row>
        <row r="1385">
          <cell r="F1385">
            <v>314440</v>
          </cell>
          <cell r="G1385" t="str">
            <v>Luis Alexsander Barco Ramirez</v>
          </cell>
        </row>
        <row r="1386">
          <cell r="F1386">
            <v>315249</v>
          </cell>
          <cell r="G1386" t="str">
            <v>Estuardo Rocael Chivalan Caal</v>
          </cell>
        </row>
        <row r="1387">
          <cell r="F1387">
            <v>315301</v>
          </cell>
          <cell r="G1387" t="str">
            <v>Carlos Edmundo Hernandez Miranda</v>
          </cell>
        </row>
        <row r="1388">
          <cell r="F1388">
            <v>313008</v>
          </cell>
          <cell r="G1388" t="str">
            <v>Jose Guillermo Ixen Queche</v>
          </cell>
        </row>
        <row r="1389">
          <cell r="F1389">
            <v>309110</v>
          </cell>
          <cell r="G1389" t="str">
            <v>Josselyn Fabiola Xunic Taquiej</v>
          </cell>
        </row>
        <row r="1390">
          <cell r="F1390">
            <v>312944</v>
          </cell>
          <cell r="G1390" t="str">
            <v>Lesly Araceli Mendez Gonzalez</v>
          </cell>
        </row>
        <row r="1391">
          <cell r="F1391">
            <v>314043</v>
          </cell>
          <cell r="G1391" t="str">
            <v>Luis Miguel Camaja Recinos</v>
          </cell>
        </row>
        <row r="1392">
          <cell r="F1392">
            <v>308753</v>
          </cell>
          <cell r="G1392" t="str">
            <v>Wilson Estuardo Vicente Tzun</v>
          </cell>
        </row>
        <row r="1393">
          <cell r="F1393">
            <v>312219</v>
          </cell>
          <cell r="G1393" t="str">
            <v>Yenifer Magali Arana Tezen</v>
          </cell>
        </row>
        <row r="1394">
          <cell r="F1394">
            <v>314664</v>
          </cell>
          <cell r="G1394" t="str">
            <v>Favio Juan Manuel Citalan Gomez</v>
          </cell>
        </row>
        <row r="1395">
          <cell r="F1395">
            <v>315314</v>
          </cell>
          <cell r="G1395" t="str">
            <v>Katherine Maria Pereira Estacuy</v>
          </cell>
        </row>
        <row r="1396">
          <cell r="F1396">
            <v>309750</v>
          </cell>
          <cell r="G1396" t="str">
            <v>Maria Teresa Hom Guit</v>
          </cell>
        </row>
        <row r="1397">
          <cell r="F1397">
            <v>307867</v>
          </cell>
          <cell r="G1397" t="str">
            <v>Alex Jose Bamaca Baltazar</v>
          </cell>
        </row>
        <row r="1398">
          <cell r="F1398">
            <v>313410</v>
          </cell>
          <cell r="G1398" t="str">
            <v>Esmeralda Claribel Velasquez Hernandez</v>
          </cell>
        </row>
        <row r="1399">
          <cell r="F1399">
            <v>315157</v>
          </cell>
          <cell r="G1399" t="str">
            <v>Nancy Rocio Maldonado Lopez</v>
          </cell>
        </row>
        <row r="1400">
          <cell r="F1400">
            <v>303878</v>
          </cell>
          <cell r="G1400" t="str">
            <v>Milka Patricia Merida Muñoz</v>
          </cell>
        </row>
        <row r="1401">
          <cell r="F1401">
            <v>315187</v>
          </cell>
          <cell r="G1401" t="str">
            <v>Luis Fernando Ramos Reynoso</v>
          </cell>
        </row>
        <row r="1402">
          <cell r="F1402">
            <v>310537</v>
          </cell>
          <cell r="G1402" t="str">
            <v>Astrid Anybeth Ochoa Sac</v>
          </cell>
        </row>
        <row r="1403">
          <cell r="F1403">
            <v>314578</v>
          </cell>
          <cell r="G1403" t="str">
            <v>Ana Gabriela Garcia Ajanel</v>
          </cell>
        </row>
        <row r="1404">
          <cell r="F1404">
            <v>315331</v>
          </cell>
          <cell r="G1404" t="str">
            <v>Dallynn Eunice Perez Herrera</v>
          </cell>
        </row>
        <row r="1405">
          <cell r="F1405">
            <v>314950</v>
          </cell>
          <cell r="G1405" t="str">
            <v>Saul Rodrigo Monterroso Belteton</v>
          </cell>
        </row>
        <row r="1406">
          <cell r="F1406">
            <v>312575</v>
          </cell>
          <cell r="G1406" t="str">
            <v>Sugey Alejandrina Ramirez Zepeda</v>
          </cell>
        </row>
        <row r="1407">
          <cell r="F1407">
            <v>309102</v>
          </cell>
          <cell r="G1407" t="str">
            <v>Josselyn Jasmin Asencio Revolorio De Lopez</v>
          </cell>
        </row>
        <row r="1408">
          <cell r="F1408">
            <v>313516</v>
          </cell>
          <cell r="G1408" t="str">
            <v>Mayra Leticia Diaz Armas</v>
          </cell>
        </row>
        <row r="1409">
          <cell r="F1409">
            <v>314786</v>
          </cell>
          <cell r="G1409" t="str">
            <v>Andrea Stephany Villeda Bran</v>
          </cell>
        </row>
        <row r="1410">
          <cell r="F1410">
            <v>313482</v>
          </cell>
          <cell r="G1410" t="str">
            <v>Alexandra Stefania Estrada Flores</v>
          </cell>
        </row>
        <row r="1411">
          <cell r="F1411">
            <v>313642</v>
          </cell>
          <cell r="G1411" t="str">
            <v>Jose Luis Landaverry Arana</v>
          </cell>
        </row>
        <row r="1412">
          <cell r="F1412">
            <v>314734</v>
          </cell>
          <cell r="G1412" t="str">
            <v>Maria Teresa Barrientos Perdomo</v>
          </cell>
        </row>
        <row r="1413">
          <cell r="F1413">
            <v>312551</v>
          </cell>
          <cell r="G1413" t="str">
            <v>Zenia Estefania Alvarado Alvarado</v>
          </cell>
        </row>
        <row r="1414">
          <cell r="F1414">
            <v>311524</v>
          </cell>
          <cell r="G1414" t="str">
            <v>Iris Marleny Alvarado Barrios</v>
          </cell>
        </row>
        <row r="1415">
          <cell r="F1415">
            <v>309360</v>
          </cell>
          <cell r="G1415" t="str">
            <v>Diana Violeta Yaguas Carin</v>
          </cell>
        </row>
        <row r="1416">
          <cell r="F1416">
            <v>309560</v>
          </cell>
          <cell r="G1416" t="str">
            <v>Astrid Gabriela Carin Castillo</v>
          </cell>
        </row>
        <row r="1417">
          <cell r="F1417">
            <v>313834</v>
          </cell>
          <cell r="G1417" t="str">
            <v>Luis Fernando Cuque Marquez</v>
          </cell>
        </row>
        <row r="1418">
          <cell r="F1418">
            <v>312983</v>
          </cell>
          <cell r="G1418" t="str">
            <v>Jennifer Jeaneth Patzan Urizar</v>
          </cell>
        </row>
        <row r="1419">
          <cell r="F1419">
            <v>313043</v>
          </cell>
          <cell r="G1419" t="str">
            <v>Saul Alexander Sicay Ramirez</v>
          </cell>
        </row>
        <row r="1420">
          <cell r="F1420">
            <v>315052</v>
          </cell>
          <cell r="G1420" t="str">
            <v>Ana Ruth Garcia Garcia</v>
          </cell>
        </row>
        <row r="1421">
          <cell r="F1421">
            <v>311322</v>
          </cell>
          <cell r="G1421" t="str">
            <v>Valerie Andrea Rivas Del Valle</v>
          </cell>
        </row>
        <row r="1422">
          <cell r="F1422">
            <v>313852</v>
          </cell>
          <cell r="G1422" t="str">
            <v>Brandon Steven Quiñonez Garcia</v>
          </cell>
        </row>
        <row r="1423">
          <cell r="F1423">
            <v>310326</v>
          </cell>
          <cell r="G1423" t="str">
            <v>Bryan Daniel Donado Ortiz</v>
          </cell>
        </row>
        <row r="1424">
          <cell r="F1424">
            <v>312039</v>
          </cell>
          <cell r="G1424" t="str">
            <v>Lourdes Yamileth Escobar Recinos</v>
          </cell>
        </row>
        <row r="1425">
          <cell r="F1425">
            <v>315030</v>
          </cell>
          <cell r="G1425" t="str">
            <v>Daniel Antonio Gonzalez Del Cid</v>
          </cell>
        </row>
        <row r="1426">
          <cell r="F1426">
            <v>314898</v>
          </cell>
          <cell r="G1426" t="str">
            <v>Jose Danilo Chacar Saguach</v>
          </cell>
        </row>
        <row r="1427">
          <cell r="F1427">
            <v>315306</v>
          </cell>
          <cell r="G1427" t="str">
            <v>Karen Melissa Munoz Guevara</v>
          </cell>
        </row>
        <row r="1428">
          <cell r="F1428">
            <v>315370</v>
          </cell>
          <cell r="G1428" t="str">
            <v>Mario Eduardo Reyes Argueta</v>
          </cell>
        </row>
        <row r="1429">
          <cell r="F1429">
            <v>315354</v>
          </cell>
          <cell r="G1429" t="str">
            <v>Diego Rodrigo Morales Camacho</v>
          </cell>
        </row>
        <row r="1430">
          <cell r="F1430">
            <v>314676</v>
          </cell>
          <cell r="G1430" t="str">
            <v>Irvin Lizardo Miranda Guzman</v>
          </cell>
        </row>
        <row r="1431">
          <cell r="F1431">
            <v>314069</v>
          </cell>
          <cell r="G1431" t="str">
            <v>Yesenia Nataly Alvarado Sarpec</v>
          </cell>
        </row>
        <row r="1432">
          <cell r="F1432">
            <v>315328</v>
          </cell>
          <cell r="G1432" t="str">
            <v xml:space="preserve">Ludwin Oscar David Chavez </v>
          </cell>
        </row>
        <row r="1433">
          <cell r="F1433">
            <v>314629</v>
          </cell>
          <cell r="G1433" t="str">
            <v>Heidy Azucena Martinez Garcia</v>
          </cell>
        </row>
        <row r="1434">
          <cell r="F1434">
            <v>314358</v>
          </cell>
          <cell r="G1434" t="str">
            <v>Manuel Eduardo Garcia Diaz</v>
          </cell>
        </row>
        <row r="1435">
          <cell r="F1435">
            <v>314090</v>
          </cell>
          <cell r="G1435" t="str">
            <v>Dayana Mishell Mazariegos Gomez</v>
          </cell>
        </row>
        <row r="1436">
          <cell r="F1436">
            <v>311202</v>
          </cell>
          <cell r="G1436" t="str">
            <v>Vilma Lizeth Caal Yantuche</v>
          </cell>
        </row>
        <row r="1437">
          <cell r="F1437">
            <v>314693</v>
          </cell>
          <cell r="G1437" t="str">
            <v>Oscar Javier Veliz Galvez</v>
          </cell>
        </row>
        <row r="1438">
          <cell r="F1438">
            <v>307008</v>
          </cell>
          <cell r="G1438" t="str">
            <v>Evelyn Rebeca Lopez Socoy</v>
          </cell>
        </row>
        <row r="1439">
          <cell r="F1439">
            <v>313003</v>
          </cell>
          <cell r="G1439" t="str">
            <v>Jonathan Renato Chete Urias</v>
          </cell>
        </row>
        <row r="1440">
          <cell r="F1440">
            <v>315224</v>
          </cell>
          <cell r="G1440" t="str">
            <v>Dina Nohemi Solano Juarez</v>
          </cell>
        </row>
        <row r="1441">
          <cell r="F1441">
            <v>315178</v>
          </cell>
          <cell r="G1441" t="str">
            <v>Melany Nohemi Velasquez Solorzano</v>
          </cell>
        </row>
        <row r="1442">
          <cell r="F1442">
            <v>314040</v>
          </cell>
          <cell r="G1442" t="str">
            <v>Cindy Abigail Patzan Perez</v>
          </cell>
        </row>
        <row r="1443">
          <cell r="F1443">
            <v>315172</v>
          </cell>
          <cell r="G1443" t="str">
            <v>Merlyn Esther Pérez Girón</v>
          </cell>
        </row>
        <row r="1444">
          <cell r="F1444">
            <v>314726</v>
          </cell>
          <cell r="G1444" t="str">
            <v>Bryan Roberto Sanchez Echeverria</v>
          </cell>
        </row>
        <row r="1445">
          <cell r="F1445">
            <v>306350</v>
          </cell>
          <cell r="G1445" t="str">
            <v>Andrea Eunice Velasquez Mazariegos</v>
          </cell>
        </row>
        <row r="1446">
          <cell r="F1446">
            <v>314282</v>
          </cell>
          <cell r="G1446" t="str">
            <v>Yolanda Genoveva Lopez Bamaca</v>
          </cell>
        </row>
        <row r="1447">
          <cell r="F1447">
            <v>314675</v>
          </cell>
          <cell r="G1447" t="str">
            <v>Edson Romeo Maldonado Reyes</v>
          </cell>
        </row>
        <row r="1448">
          <cell r="F1448">
            <v>313056</v>
          </cell>
          <cell r="G1448" t="str">
            <v>Suceli Isamar Orozco Fuentes</v>
          </cell>
        </row>
        <row r="1449">
          <cell r="F1449">
            <v>311573</v>
          </cell>
          <cell r="G1449" t="str">
            <v>Karen Gabriela Uz Shalix</v>
          </cell>
        </row>
        <row r="1450">
          <cell r="F1450">
            <v>313661</v>
          </cell>
          <cell r="G1450" t="str">
            <v>Mario Jose Herrera De Leon</v>
          </cell>
        </row>
        <row r="1451">
          <cell r="F1451">
            <v>314134</v>
          </cell>
          <cell r="G1451" t="str">
            <v>Rogelia Emperatriz Ortiz Alcantara</v>
          </cell>
        </row>
        <row r="1452">
          <cell r="F1452">
            <v>315207</v>
          </cell>
          <cell r="G1452" t="str">
            <v>Yeison Lemuel Lopez Vasquez</v>
          </cell>
        </row>
        <row r="1453">
          <cell r="F1453">
            <v>312659</v>
          </cell>
          <cell r="G1453" t="str">
            <v>Danny Johana Perez Reyes</v>
          </cell>
        </row>
        <row r="1454">
          <cell r="F1454">
            <v>315587</v>
          </cell>
          <cell r="G1454" t="str">
            <v>Pedro Jose Castañeda Velasquez</v>
          </cell>
        </row>
        <row r="1455">
          <cell r="F1455">
            <v>315590</v>
          </cell>
          <cell r="G1455" t="str">
            <v>Jamileth Andreina Arreaga Quin</v>
          </cell>
        </row>
        <row r="1456">
          <cell r="F1456">
            <v>315602</v>
          </cell>
          <cell r="G1456" t="str">
            <v>Ventura Rivera, Rhode Esperanza</v>
          </cell>
        </row>
        <row r="1457">
          <cell r="F1457">
            <v>315607</v>
          </cell>
          <cell r="G1457" t="str">
            <v>Ruiz Castillo, Maria Antonia</v>
          </cell>
        </row>
        <row r="1458">
          <cell r="F1458">
            <v>315611</v>
          </cell>
          <cell r="G1458" t="str">
            <v>Cordova Newbery, Allison Alejandra</v>
          </cell>
        </row>
        <row r="1459">
          <cell r="F1459">
            <v>315612</v>
          </cell>
          <cell r="G1459" t="str">
            <v>Castanon Lopez, Brandon Eliberto</v>
          </cell>
        </row>
        <row r="1460">
          <cell r="F1460">
            <v>315616</v>
          </cell>
          <cell r="G1460" t="str">
            <v>Diaz Calderon, Josue Noe</v>
          </cell>
        </row>
        <row r="1461">
          <cell r="F1461">
            <v>315629</v>
          </cell>
          <cell r="G1461" t="str">
            <v>Rucuch Choguaj, Miguel</v>
          </cell>
        </row>
        <row r="1462">
          <cell r="F1462">
            <v>315630</v>
          </cell>
          <cell r="G1462" t="str">
            <v>Zavala Soto, Alisson Yisel</v>
          </cell>
        </row>
        <row r="1463">
          <cell r="F1463">
            <v>309658</v>
          </cell>
          <cell r="G1463" t="str">
            <v xml:space="preserve">Otto Alejandro Barahona López </v>
          </cell>
        </row>
        <row r="1464">
          <cell r="F1464">
            <v>301291</v>
          </cell>
          <cell r="G1464" t="str">
            <v>Alexandra Carolina Valdez Vasquez</v>
          </cell>
        </row>
        <row r="1465">
          <cell r="F1465">
            <v>307550</v>
          </cell>
          <cell r="G1465" t="str">
            <v>Aura Marleny Perez Ventura</v>
          </cell>
        </row>
        <row r="1466">
          <cell r="F1466">
            <v>312210</v>
          </cell>
          <cell r="G1466" t="str">
            <v>Carlos Enrique Saenz Cardona</v>
          </cell>
        </row>
        <row r="1467">
          <cell r="F1467">
            <v>304801</v>
          </cell>
          <cell r="G1467" t="str">
            <v>Celeste Azucena Estrada Salvador De Estrada</v>
          </cell>
        </row>
        <row r="1468">
          <cell r="F1468">
            <v>314684</v>
          </cell>
          <cell r="G1468" t="str">
            <v>Escarlet Liliana Molina Herrera De Bolaños</v>
          </cell>
        </row>
        <row r="1469">
          <cell r="F1469">
            <v>309956</v>
          </cell>
          <cell r="G1469" t="str">
            <v>Heidy Celeste San Jose Diaz</v>
          </cell>
        </row>
        <row r="1470">
          <cell r="F1470">
            <v>314978</v>
          </cell>
          <cell r="G1470" t="str">
            <v>Jhoseline Esmeralda Medina Rivas</v>
          </cell>
        </row>
        <row r="1471">
          <cell r="F1471">
            <v>302674</v>
          </cell>
          <cell r="G1471" t="str">
            <v>Karen Elizabeth Roman Castellanos</v>
          </cell>
        </row>
        <row r="1472">
          <cell r="F1472">
            <v>315147</v>
          </cell>
          <cell r="G1472" t="str">
            <v>Karin Zulema Molina Fonseca</v>
          </cell>
        </row>
        <row r="1473">
          <cell r="F1473">
            <v>312838</v>
          </cell>
          <cell r="G1473" t="str">
            <v>Katherine Lucia Carranza Ortega</v>
          </cell>
        </row>
        <row r="1474">
          <cell r="F1474">
            <v>305064</v>
          </cell>
          <cell r="G1474" t="str">
            <v>Lilian Jose Lopez Quevedo</v>
          </cell>
        </row>
        <row r="1475">
          <cell r="F1475">
            <v>308754</v>
          </cell>
          <cell r="G1475" t="str">
            <v>Luis Alberto Perez Barrios</v>
          </cell>
        </row>
        <row r="1476">
          <cell r="F1476">
            <v>313396</v>
          </cell>
          <cell r="G1476" t="str">
            <v>Luz Mariela Donis Gonzalez</v>
          </cell>
        </row>
        <row r="1477">
          <cell r="F1477">
            <v>306330</v>
          </cell>
          <cell r="G1477" t="str">
            <v>Maria Andree Gonzalez</v>
          </cell>
        </row>
        <row r="1478">
          <cell r="F1478">
            <v>307198</v>
          </cell>
          <cell r="G1478" t="str">
            <v>Maria Gabriela Coloma Morales</v>
          </cell>
        </row>
        <row r="1479">
          <cell r="F1479">
            <v>307786</v>
          </cell>
          <cell r="G1479" t="str">
            <v>Marvin Alfredo Asturias Mendez</v>
          </cell>
        </row>
        <row r="1480">
          <cell r="F1480">
            <v>300268</v>
          </cell>
          <cell r="G1480" t="str">
            <v>Monica Carolina Pappa Dominguez</v>
          </cell>
        </row>
        <row r="1481">
          <cell r="F1481">
            <v>313636</v>
          </cell>
          <cell r="G1481" t="str">
            <v>Pablo Cesar Oliva Lopez</v>
          </cell>
        </row>
        <row r="1482">
          <cell r="F1482">
            <v>307702</v>
          </cell>
          <cell r="G1482" t="str">
            <v>Rosmeri Elizabeth Alvarez Lopez De Corado</v>
          </cell>
        </row>
        <row r="1483">
          <cell r="F1483">
            <v>314648</v>
          </cell>
          <cell r="G1483" t="str">
            <v>Sergio Vinicio Natareno Paredes</v>
          </cell>
        </row>
        <row r="1484">
          <cell r="F1484">
            <v>309567</v>
          </cell>
          <cell r="G1484" t="str">
            <v>Sindy Elizabeth Chavez Guzman</v>
          </cell>
        </row>
        <row r="1485">
          <cell r="F1485">
            <v>313649</v>
          </cell>
          <cell r="G1485" t="str">
            <v>Victor Hugo Turriz Flores</v>
          </cell>
        </row>
        <row r="1486">
          <cell r="F1486">
            <v>302684</v>
          </cell>
          <cell r="G1486" t="str">
            <v>Ana Melisa Giron Gonzalez</v>
          </cell>
        </row>
        <row r="1487">
          <cell r="F1487">
            <v>302866</v>
          </cell>
          <cell r="G1487" t="str">
            <v>Maria Magdalena Solis Carrera</v>
          </cell>
        </row>
        <row r="1488">
          <cell r="F1488">
            <v>313111</v>
          </cell>
          <cell r="G1488" t="str">
            <v>Mynor Arturo Barrios Reyes</v>
          </cell>
        </row>
        <row r="1489">
          <cell r="F1489">
            <v>313203</v>
          </cell>
          <cell r="G1489" t="str">
            <v>Marvin Alejandro Lopez Solis</v>
          </cell>
        </row>
        <row r="1490">
          <cell r="F1490">
            <v>302596</v>
          </cell>
          <cell r="G1490" t="str">
            <v>Victor Alfonso Ortega Torres</v>
          </cell>
        </row>
        <row r="1491">
          <cell r="F1491">
            <v>310241</v>
          </cell>
          <cell r="G1491" t="str">
            <v>Heidi Marleny Fajardo Ortiz De Cojon</v>
          </cell>
        </row>
        <row r="1492">
          <cell r="F1492">
            <v>313342</v>
          </cell>
          <cell r="G1492" t="str">
            <v>Magda Karina Mendoza Hernandez</v>
          </cell>
        </row>
        <row r="1493">
          <cell r="F1493">
            <v>301234</v>
          </cell>
          <cell r="G1493" t="str">
            <v>Ana Bertha Guzman Yaggi</v>
          </cell>
        </row>
        <row r="1494">
          <cell r="F1494">
            <v>307154</v>
          </cell>
          <cell r="G1494" t="str">
            <v>Evelin Gicela Burgos Franco</v>
          </cell>
        </row>
        <row r="1495">
          <cell r="F1495">
            <v>305181</v>
          </cell>
          <cell r="G1495" t="str">
            <v>Jose Luis Chay Machic</v>
          </cell>
        </row>
        <row r="1496">
          <cell r="F1496">
            <v>303552</v>
          </cell>
          <cell r="G1496" t="str">
            <v>Liliam Lisseth Santizo Mejia De Cordova</v>
          </cell>
        </row>
        <row r="1497">
          <cell r="F1497">
            <v>303704</v>
          </cell>
          <cell r="G1497" t="str">
            <v>Lisbeth Noemi Hernandez Giron</v>
          </cell>
        </row>
        <row r="1498">
          <cell r="F1498">
            <v>102171</v>
          </cell>
          <cell r="G1498" t="str">
            <v>Maritza Isabel Hernandez Cruz</v>
          </cell>
        </row>
        <row r="1499">
          <cell r="F1499">
            <v>310126</v>
          </cell>
          <cell r="G1499" t="str">
            <v>Jony Estuardo Gamarro Chinchilla</v>
          </cell>
        </row>
        <row r="1500">
          <cell r="F1500">
            <v>307812</v>
          </cell>
          <cell r="G1500" t="str">
            <v>Kevin Josue Moscoso Espino</v>
          </cell>
        </row>
        <row r="1501">
          <cell r="F1501">
            <v>308137</v>
          </cell>
          <cell r="G1501" t="str">
            <v>Oscar Rene Zacarias Jordan</v>
          </cell>
        </row>
        <row r="1502">
          <cell r="F1502">
            <v>311466</v>
          </cell>
          <cell r="G1502" t="str">
            <v>Edgar Estuardo Guerra Romero</v>
          </cell>
        </row>
        <row r="1503">
          <cell r="F1503">
            <v>301374</v>
          </cell>
          <cell r="G1503" t="str">
            <v>Karla Paola Martinez Salazar</v>
          </cell>
        </row>
        <row r="1504">
          <cell r="F1504">
            <v>313446</v>
          </cell>
          <cell r="G1504" t="str">
            <v>Ursula Deyanira Molina Mendoza</v>
          </cell>
        </row>
        <row r="1505">
          <cell r="F1505">
            <v>313780</v>
          </cell>
          <cell r="G1505" t="str">
            <v>Habraham Cesar Torres Alfaro</v>
          </cell>
        </row>
        <row r="1506">
          <cell r="F1506">
            <v>313576</v>
          </cell>
          <cell r="G1506" t="str">
            <v>Hilda Janina Diaz</v>
          </cell>
        </row>
        <row r="1507">
          <cell r="F1507">
            <v>314171</v>
          </cell>
          <cell r="G1507" t="str">
            <v>Jose Alejandro Carrera Tecun</v>
          </cell>
        </row>
        <row r="1508">
          <cell r="F1508">
            <v>313022</v>
          </cell>
          <cell r="G1508" t="str">
            <v>Karim Yaneth Mendez Hidalgo</v>
          </cell>
        </row>
        <row r="1509">
          <cell r="F1509">
            <v>313141</v>
          </cell>
          <cell r="G1509" t="str">
            <v>Edith Carolina Rojas Moreno</v>
          </cell>
        </row>
        <row r="1510">
          <cell r="F1510">
            <v>312615</v>
          </cell>
          <cell r="G1510" t="str">
            <v>Juan Jose Sarceño Siquiej</v>
          </cell>
        </row>
        <row r="1511">
          <cell r="F1511">
            <v>312858</v>
          </cell>
          <cell r="G1511" t="str">
            <v>Juan Pablo Marroquin Franco</v>
          </cell>
        </row>
        <row r="1512">
          <cell r="F1512">
            <v>314739</v>
          </cell>
          <cell r="G1512" t="str">
            <v>Elmer Josue Chinchilla Mendoza</v>
          </cell>
        </row>
        <row r="1513">
          <cell r="F1513">
            <v>315299</v>
          </cell>
          <cell r="G1513" t="str">
            <v>Luis Rodrigo Polanco Marroquin</v>
          </cell>
        </row>
        <row r="1514">
          <cell r="F1514">
            <v>315357</v>
          </cell>
          <cell r="G1514" t="str">
            <v>Linda Garcia          </v>
          </cell>
        </row>
        <row r="1515">
          <cell r="F1515">
            <v>315315</v>
          </cell>
          <cell r="G1515" t="str">
            <v xml:space="preserve">Shirley Guadalupe Munguia Gil </v>
          </cell>
        </row>
        <row r="1516">
          <cell r="F1516">
            <v>315477</v>
          </cell>
          <cell r="G1516" t="str">
            <v xml:space="preserve">Yesenia Guadalupe Ajcu Castillo </v>
          </cell>
        </row>
        <row r="1517">
          <cell r="F1517">
            <v>314170</v>
          </cell>
          <cell r="G1517" t="str">
            <v>Herman Gabriel Mendez Castellanos</v>
          </cell>
        </row>
        <row r="1518">
          <cell r="F1518">
            <v>312053</v>
          </cell>
          <cell r="G1518" t="str">
            <v xml:space="preserve"> Erick Estuardo Gonzalez Culajay</v>
          </cell>
        </row>
        <row r="1519">
          <cell r="F1519">
            <v>309795</v>
          </cell>
          <cell r="G1519" t="str">
            <v xml:space="preserve"> Evelin Johana Perez Fajardo De Estayul</v>
          </cell>
        </row>
        <row r="1520">
          <cell r="F1520">
            <v>308490</v>
          </cell>
          <cell r="G1520" t="str">
            <v xml:space="preserve"> Gabriela Poitan Ordoñez De Garcia</v>
          </cell>
        </row>
        <row r="1521">
          <cell r="F1521">
            <v>311663</v>
          </cell>
          <cell r="G1521" t="str">
            <v xml:space="preserve"> Jenny Betzabel Solis De Hernandez</v>
          </cell>
        </row>
        <row r="1522">
          <cell r="F1522">
            <v>300878</v>
          </cell>
          <cell r="G1522" t="str">
            <v xml:space="preserve"> Juan Francisco Lara Villavicencio</v>
          </cell>
        </row>
        <row r="1523">
          <cell r="F1523">
            <v>311195</v>
          </cell>
          <cell r="G1523" t="str">
            <v xml:space="preserve"> Julia Mariela Lourdette Gonzalez Rosales</v>
          </cell>
        </row>
        <row r="1524">
          <cell r="F1524">
            <v>311073</v>
          </cell>
          <cell r="G1524" t="str">
            <v xml:space="preserve"> Julio Roberto Castellanos Ordoñez</v>
          </cell>
        </row>
        <row r="1525">
          <cell r="F1525">
            <v>309602</v>
          </cell>
          <cell r="G1525" t="str">
            <v xml:space="preserve"> Linda Aracely Garcia Beteta De Cuxulic</v>
          </cell>
        </row>
        <row r="1526">
          <cell r="F1526">
            <v>311706</v>
          </cell>
          <cell r="G1526" t="str">
            <v xml:space="preserve"> Mailyn Anely Chavez Gonzalez</v>
          </cell>
        </row>
        <row r="1527">
          <cell r="F1527">
            <v>311347</v>
          </cell>
          <cell r="G1527" t="str">
            <v xml:space="preserve"> Mario Adolfo Telon Pedroza</v>
          </cell>
        </row>
        <row r="1528">
          <cell r="F1528">
            <v>311236</v>
          </cell>
          <cell r="G1528" t="str">
            <v xml:space="preserve"> Marlon Aroldo De Leon Juarez</v>
          </cell>
        </row>
        <row r="1529">
          <cell r="F1529">
            <v>304620</v>
          </cell>
          <cell r="G1529" t="str">
            <v xml:space="preserve"> Mayra Judith Marroquin Guevara De Melendez</v>
          </cell>
        </row>
        <row r="1530">
          <cell r="F1530">
            <v>311196</v>
          </cell>
          <cell r="G1530" t="str">
            <v xml:space="preserve"> Nancy Mariela Estrada Calel De Samayoa</v>
          </cell>
        </row>
        <row r="1531">
          <cell r="F1531">
            <v>309398</v>
          </cell>
          <cell r="G1531" t="str">
            <v xml:space="preserve"> Sindy Yesenia Fuentes Alvarez De Flores</v>
          </cell>
        </row>
        <row r="1532">
          <cell r="F1532">
            <v>311588</v>
          </cell>
          <cell r="G1532" t="str">
            <v xml:space="preserve"> Wendy Carolina Flores Garcia</v>
          </cell>
        </row>
        <row r="1533">
          <cell r="F1533">
            <v>313885</v>
          </cell>
          <cell r="G1533" t="str">
            <v>Adrian Emanuel Turcios Azurdia</v>
          </cell>
        </row>
        <row r="1534">
          <cell r="F1534">
            <v>314224</v>
          </cell>
          <cell r="G1534" t="str">
            <v>Ana Ruth Wong Mejia</v>
          </cell>
        </row>
        <row r="1535">
          <cell r="F1535">
            <v>314304</v>
          </cell>
          <cell r="G1535" t="str">
            <v>Brenda Yaneth Perez Lucas</v>
          </cell>
        </row>
        <row r="1536">
          <cell r="F1536">
            <v>313839</v>
          </cell>
          <cell r="G1536" t="str">
            <v>Carlos Enrique Dighero Lopez</v>
          </cell>
        </row>
        <row r="1537">
          <cell r="F1537">
            <v>311901</v>
          </cell>
          <cell r="G1537" t="str">
            <v>Edith Veranice Palacios</v>
          </cell>
        </row>
        <row r="1538">
          <cell r="F1538">
            <v>314439</v>
          </cell>
          <cell r="G1538" t="str">
            <v>Hersson Eduardo Leal Garcia</v>
          </cell>
        </row>
        <row r="1539">
          <cell r="F1539">
            <v>313884</v>
          </cell>
          <cell r="G1539" t="str">
            <v>Jasminia Sarai Cotzajay Peñate</v>
          </cell>
        </row>
        <row r="1540">
          <cell r="F1540">
            <v>309852</v>
          </cell>
          <cell r="G1540" t="str">
            <v>Jonathan Rene Villavicencio Soto</v>
          </cell>
        </row>
        <row r="1541">
          <cell r="F1541">
            <v>312709</v>
          </cell>
          <cell r="G1541" t="str">
            <v>Jorge Alfonso Hernandez Chinchilla</v>
          </cell>
        </row>
        <row r="1542">
          <cell r="F1542">
            <v>314436</v>
          </cell>
          <cell r="G1542" t="str">
            <v xml:space="preserve">Jorge Francisco Saban Lopez </v>
          </cell>
        </row>
        <row r="1543">
          <cell r="F1543">
            <v>313114</v>
          </cell>
          <cell r="G1543" t="str">
            <v xml:space="preserve">Jose Albino Albeño Galicia </v>
          </cell>
        </row>
        <row r="1544">
          <cell r="F1544">
            <v>308558</v>
          </cell>
          <cell r="G1544" t="str">
            <v>Jose Emilio Yuman Roche</v>
          </cell>
        </row>
        <row r="1545">
          <cell r="F1545">
            <v>313233</v>
          </cell>
          <cell r="G1545" t="str">
            <v>Jose Miguel Silva Contreras</v>
          </cell>
        </row>
        <row r="1546">
          <cell r="F1546">
            <v>313739</v>
          </cell>
          <cell r="G1546" t="str">
            <v>Lester Onelio Lopez Rosales</v>
          </cell>
        </row>
        <row r="1547">
          <cell r="F1547">
            <v>315361</v>
          </cell>
          <cell r="G1547" t="str">
            <v>Luis Fernando Roche Valenzuela</v>
          </cell>
        </row>
        <row r="1548">
          <cell r="F1548">
            <v>314103</v>
          </cell>
          <cell r="G1548" t="str">
            <v>Luisa Fernanda Marroquin Tiguila</v>
          </cell>
        </row>
        <row r="1549">
          <cell r="F1549">
            <v>313680</v>
          </cell>
          <cell r="G1549" t="str">
            <v>Marco Antonio Salazar Alinzo</v>
          </cell>
        </row>
        <row r="1550">
          <cell r="F1550">
            <v>314359</v>
          </cell>
          <cell r="G1550" t="str">
            <v>Maynor Alexander Perez Surque</v>
          </cell>
        </row>
        <row r="1551">
          <cell r="F1551">
            <v>309332</v>
          </cell>
          <cell r="G1551" t="str">
            <v>Melani Mishell Vasquez Castillo</v>
          </cell>
        </row>
        <row r="1552">
          <cell r="F1552">
            <v>314547</v>
          </cell>
          <cell r="G1552" t="str">
            <v>Nancy Elizabeth Lopez Perez</v>
          </cell>
        </row>
        <row r="1553">
          <cell r="F1553">
            <v>314370</v>
          </cell>
          <cell r="G1553" t="str">
            <v>Olga Roxana Gomez</v>
          </cell>
        </row>
        <row r="1554">
          <cell r="F1554">
            <v>315419</v>
          </cell>
          <cell r="G1554" t="str">
            <v>Rubeldi Ajaniel Roblero Gonzales</v>
          </cell>
        </row>
        <row r="1555">
          <cell r="F1555">
            <v>314769</v>
          </cell>
          <cell r="G1555" t="str">
            <v>Abel Eduardo Lopez Lopez</v>
          </cell>
        </row>
        <row r="1556">
          <cell r="F1556">
            <v>314839</v>
          </cell>
          <cell r="G1556" t="str">
            <v>Ana Gabriela Samayoa Lopez</v>
          </cell>
        </row>
        <row r="1557">
          <cell r="F1557">
            <v>315422</v>
          </cell>
          <cell r="G1557" t="str">
            <v xml:space="preserve">Carlos Alberto Roque </v>
          </cell>
        </row>
        <row r="1558">
          <cell r="F1558">
            <v>314836</v>
          </cell>
          <cell r="G1558" t="str">
            <v xml:space="preserve">Carlos David Ajmac </v>
          </cell>
        </row>
        <row r="1559">
          <cell r="F1559">
            <v>314759</v>
          </cell>
          <cell r="G1559" t="str">
            <v>Carlos Roberto Hernandez Gonzalez</v>
          </cell>
        </row>
        <row r="1560">
          <cell r="F1560">
            <v>314757</v>
          </cell>
          <cell r="G1560" t="str">
            <v>Cristal Estephania Juarroz Muñoz</v>
          </cell>
        </row>
        <row r="1561">
          <cell r="F1561">
            <v>314817</v>
          </cell>
          <cell r="G1561" t="str">
            <v>Cristian Orlando Monzon De Leon</v>
          </cell>
        </row>
        <row r="1562">
          <cell r="F1562">
            <v>314815</v>
          </cell>
          <cell r="G1562" t="str">
            <v>Gabriela Elizabeth Alvarez Mix</v>
          </cell>
        </row>
        <row r="1563">
          <cell r="F1563">
            <v>315421</v>
          </cell>
          <cell r="G1563" t="str">
            <v xml:space="preserve">Gladis Morales Cutzal </v>
          </cell>
        </row>
        <row r="1564">
          <cell r="F1564">
            <v>314794</v>
          </cell>
          <cell r="G1564" t="str">
            <v>Herbert Wellington Rodriguez Ramirez</v>
          </cell>
        </row>
        <row r="1565">
          <cell r="F1565">
            <v>314760</v>
          </cell>
          <cell r="G1565" t="str">
            <v>Jadurani Devi Dasi Archila Lool</v>
          </cell>
        </row>
        <row r="1566">
          <cell r="F1566">
            <v>314838</v>
          </cell>
          <cell r="G1566" t="str">
            <v>Jenifer Lucerito Sique Mayorga</v>
          </cell>
        </row>
        <row r="1567">
          <cell r="F1567">
            <v>314790</v>
          </cell>
          <cell r="G1567" t="str">
            <v>Johana Vidalia Chach Ixcoy</v>
          </cell>
        </row>
        <row r="1568">
          <cell r="F1568">
            <v>314846</v>
          </cell>
          <cell r="G1568" t="str">
            <v>Jonnathan Josue Rodas Florian</v>
          </cell>
        </row>
        <row r="1569">
          <cell r="F1569">
            <v>314761</v>
          </cell>
          <cell r="G1569" t="str">
            <v>Jorge Eduardo Fonseca Palacios</v>
          </cell>
        </row>
        <row r="1570">
          <cell r="F1570">
            <v>314842</v>
          </cell>
          <cell r="G1570" t="str">
            <v>Jose Geovanni Castañeda Galindo</v>
          </cell>
        </row>
        <row r="1571">
          <cell r="F1571">
            <v>314756</v>
          </cell>
          <cell r="G1571" t="str">
            <v>Juan Manuel Gomez Sampuel</v>
          </cell>
        </row>
        <row r="1572">
          <cell r="F1572">
            <v>315366</v>
          </cell>
          <cell r="G1572" t="str">
            <v xml:space="preserve">Mario Enrique Morales Escobar </v>
          </cell>
        </row>
        <row r="1573">
          <cell r="F1573">
            <v>315392</v>
          </cell>
          <cell r="G1573" t="str">
            <v xml:space="preserve">Mijail Erick Joaquín Morales Ortiz </v>
          </cell>
        </row>
        <row r="1574">
          <cell r="F1574">
            <v>314843</v>
          </cell>
          <cell r="G1574" t="str">
            <v>Nancy Pahola Arevalo Yuman</v>
          </cell>
        </row>
        <row r="1575">
          <cell r="F1575">
            <v>314791</v>
          </cell>
          <cell r="G1575" t="str">
            <v>Norman Scott Castillo Rivera</v>
          </cell>
        </row>
        <row r="1576">
          <cell r="F1576">
            <v>314799</v>
          </cell>
          <cell r="G1576" t="str">
            <v>Rusbelindo  Miguel Lopez</v>
          </cell>
        </row>
        <row r="1577">
          <cell r="F1577">
            <v>314751</v>
          </cell>
          <cell r="G1577" t="str">
            <v>Ana Lucia Veliz Solares</v>
          </cell>
        </row>
        <row r="1578">
          <cell r="F1578">
            <v>315169</v>
          </cell>
          <cell r="G1578" t="str">
            <v>Andy Oswaldo Pineda Arriola</v>
          </cell>
        </row>
        <row r="1579">
          <cell r="F1579">
            <v>314903</v>
          </cell>
          <cell r="G1579" t="str">
            <v>Cindy Julissa Herrera</v>
          </cell>
        </row>
        <row r="1580">
          <cell r="F1580">
            <v>314800</v>
          </cell>
          <cell r="G1580" t="str">
            <v>Elmer Eduardo Castillo</v>
          </cell>
        </row>
        <row r="1581">
          <cell r="F1581">
            <v>314748</v>
          </cell>
          <cell r="G1581" t="str">
            <v>Freddy Reynaldo Velarde Valenzuela</v>
          </cell>
        </row>
        <row r="1582">
          <cell r="F1582">
            <v>314795</v>
          </cell>
          <cell r="G1582" t="str">
            <v>Gustavo Ernesto Altan Gonzalez</v>
          </cell>
        </row>
        <row r="1583">
          <cell r="F1583">
            <v>315148</v>
          </cell>
          <cell r="G1583" t="str">
            <v>Irene Beatriz Pena Orellana</v>
          </cell>
        </row>
        <row r="1584">
          <cell r="F1584">
            <v>314906</v>
          </cell>
          <cell r="G1584" t="str">
            <v>Juan Pedro Tiney Cax</v>
          </cell>
        </row>
        <row r="1585">
          <cell r="F1585">
            <v>315322</v>
          </cell>
          <cell r="G1585" t="str">
            <v>Lester Juan Jose Arevalo Reynoso</v>
          </cell>
        </row>
        <row r="1586">
          <cell r="F1586">
            <v>315368</v>
          </cell>
          <cell r="G1586" t="str">
            <v>Marlon Enrique Del Cid Roque</v>
          </cell>
        </row>
        <row r="1587">
          <cell r="F1587">
            <v>315093</v>
          </cell>
          <cell r="G1587" t="str">
            <v>Miriam Eugenia Santizo Montenegro</v>
          </cell>
        </row>
        <row r="1588">
          <cell r="F1588">
            <v>314902</v>
          </cell>
          <cell r="G1588" t="str">
            <v>Roberto Alejandro Alvarez Abularach</v>
          </cell>
        </row>
        <row r="1589">
          <cell r="F1589">
            <v>314755</v>
          </cell>
          <cell r="G1589" t="str">
            <v>Sergio David Gonzalez Perez</v>
          </cell>
        </row>
        <row r="1590">
          <cell r="F1590">
            <v>314967</v>
          </cell>
          <cell r="G1590" t="str">
            <v>Sergio Javier Cortez Tunchez</v>
          </cell>
        </row>
        <row r="1591">
          <cell r="F1591">
            <v>314968</v>
          </cell>
          <cell r="G1591" t="str">
            <v>Sharon Dayana Ninoshka López Márquez</v>
          </cell>
        </row>
        <row r="1592">
          <cell r="F1592">
            <v>311961</v>
          </cell>
          <cell r="G1592" t="str">
            <v xml:space="preserve"> Abner Eli Gonzalez Gonzalez</v>
          </cell>
        </row>
        <row r="1593">
          <cell r="F1593">
            <v>311188</v>
          </cell>
          <cell r="G1593" t="str">
            <v xml:space="preserve"> Ana Ester Cuyan Aguilar De Dominguez</v>
          </cell>
        </row>
        <row r="1594">
          <cell r="F1594">
            <v>311894</v>
          </cell>
          <cell r="G1594" t="str">
            <v xml:space="preserve"> Christyan Stuardo Ronquillo Saravia</v>
          </cell>
        </row>
        <row r="1595">
          <cell r="F1595">
            <v>308901</v>
          </cell>
          <cell r="G1595" t="str">
            <v xml:space="preserve"> David Estuardo Rosales Corado</v>
          </cell>
        </row>
        <row r="1596">
          <cell r="F1596">
            <v>312069</v>
          </cell>
          <cell r="G1596" t="str">
            <v xml:space="preserve"> De Leon Cach Roberto Carlos</v>
          </cell>
        </row>
        <row r="1597">
          <cell r="F1597">
            <v>310331</v>
          </cell>
          <cell r="G1597" t="str">
            <v xml:space="preserve"> Elda Luzbina Valdez Guerra De Fuentes</v>
          </cell>
        </row>
        <row r="1598">
          <cell r="F1598">
            <v>310822</v>
          </cell>
          <cell r="G1598" t="str">
            <v xml:space="preserve"> Jennifer Leticia Gonzalez Pineda</v>
          </cell>
        </row>
        <row r="1599">
          <cell r="F1599">
            <v>308012</v>
          </cell>
          <cell r="G1599" t="str">
            <v xml:space="preserve"> Jocelyn Sucel Yantuche Chin</v>
          </cell>
        </row>
        <row r="1600">
          <cell r="F1600">
            <v>312160</v>
          </cell>
          <cell r="G1600" t="str">
            <v xml:space="preserve"> Jose Rigoberto Osorio Abarca</v>
          </cell>
        </row>
        <row r="1601">
          <cell r="F1601">
            <v>311465</v>
          </cell>
          <cell r="G1601" t="str">
            <v xml:space="preserve"> Kevin Alejandro Corado Estrada</v>
          </cell>
        </row>
        <row r="1602">
          <cell r="F1602">
            <v>311294</v>
          </cell>
          <cell r="G1602" t="str">
            <v xml:space="preserve"> Lotar Robson Araujo Perez</v>
          </cell>
        </row>
        <row r="1603">
          <cell r="F1603">
            <v>310910</v>
          </cell>
          <cell r="G1603" t="str">
            <v xml:space="preserve"> Luis Fernando Lopez Vasquez</v>
          </cell>
        </row>
        <row r="1604">
          <cell r="F1604">
            <v>304279</v>
          </cell>
          <cell r="G1604" t="str">
            <v xml:space="preserve"> Marlon Estuardo Hernandez</v>
          </cell>
        </row>
        <row r="1605">
          <cell r="F1605">
            <v>308911</v>
          </cell>
          <cell r="G1605" t="str">
            <v xml:space="preserve"> Rudy Fernando Orozco Tejeda</v>
          </cell>
        </row>
        <row r="1606">
          <cell r="F1606">
            <v>310214</v>
          </cell>
          <cell r="G1606" t="str">
            <v xml:space="preserve"> Vivian Pamela Rodas Lopez</v>
          </cell>
        </row>
        <row r="1607">
          <cell r="F1607">
            <v>314928</v>
          </cell>
          <cell r="G1607" t="str">
            <v xml:space="preserve">Brandon Steve Juarez Arrazola </v>
          </cell>
        </row>
        <row r="1608">
          <cell r="F1608">
            <v>313239</v>
          </cell>
          <cell r="G1608" t="str">
            <v>Addy Aida Cifuentes Coronado</v>
          </cell>
        </row>
        <row r="1609">
          <cell r="F1609">
            <v>313694</v>
          </cell>
          <cell r="G1609" t="str">
            <v>Alex Humberto Montezuma</v>
          </cell>
        </row>
        <row r="1610">
          <cell r="F1610">
            <v>313241</v>
          </cell>
          <cell r="G1610" t="str">
            <v>Angel Arturo Mauricio Ayapan</v>
          </cell>
        </row>
        <row r="1611">
          <cell r="F1611">
            <v>314323</v>
          </cell>
          <cell r="G1611" t="str">
            <v>Angel Arturo Mauricio Ayapan</v>
          </cell>
        </row>
        <row r="1612">
          <cell r="F1612">
            <v>312327</v>
          </cell>
          <cell r="G1612" t="str">
            <v>Armando Andree Quiñonez Flores</v>
          </cell>
        </row>
        <row r="1613">
          <cell r="F1613">
            <v>313749</v>
          </cell>
          <cell r="G1613" t="str">
            <v>Cesar Haroldo Ixcayau Castro</v>
          </cell>
        </row>
        <row r="1614">
          <cell r="F1614">
            <v>313840</v>
          </cell>
          <cell r="G1614" t="str">
            <v>Claudia Maria Orozco Garcia</v>
          </cell>
        </row>
        <row r="1615">
          <cell r="F1615">
            <v>314119</v>
          </cell>
          <cell r="G1615" t="str">
            <v>Cristian David Urizar Canteo</v>
          </cell>
        </row>
        <row r="1616">
          <cell r="F1616">
            <v>313242</v>
          </cell>
          <cell r="G1616" t="str">
            <v>Guillermo Alejandro Pirir</v>
          </cell>
        </row>
        <row r="1617">
          <cell r="F1617">
            <v>313539</v>
          </cell>
          <cell r="G1617" t="str">
            <v>Joaquin Alonso Murillo Perez</v>
          </cell>
        </row>
        <row r="1618">
          <cell r="F1618">
            <v>314082</v>
          </cell>
          <cell r="G1618" t="str">
            <v>Johanna Amarilis Hernandez Perez</v>
          </cell>
        </row>
        <row r="1619">
          <cell r="F1619">
            <v>313983</v>
          </cell>
          <cell r="G1619" t="str">
            <v>Jose Anibal Reyes Sandoval</v>
          </cell>
        </row>
        <row r="1620">
          <cell r="F1620">
            <v>308875</v>
          </cell>
          <cell r="G1620" t="str">
            <v>Joselyn Manuela Sandoval De Leon</v>
          </cell>
        </row>
        <row r="1621">
          <cell r="F1621">
            <v>313240</v>
          </cell>
          <cell r="G1621" t="str">
            <v>Karen Jamara Luna Menendez</v>
          </cell>
        </row>
        <row r="1622">
          <cell r="F1622">
            <v>314083</v>
          </cell>
          <cell r="G1622" t="str">
            <v>Luis Alfredo Ruben Castillo Mejia</v>
          </cell>
        </row>
        <row r="1623">
          <cell r="F1623">
            <v>312489</v>
          </cell>
          <cell r="G1623" t="str">
            <v>Marliz Irene Bonifaz Lopez</v>
          </cell>
        </row>
        <row r="1624">
          <cell r="F1624">
            <v>313823</v>
          </cell>
          <cell r="G1624" t="str">
            <v>Mildred Mazciel Almazan Lemus Codigo</v>
          </cell>
        </row>
        <row r="1625">
          <cell r="F1625">
            <v>313289</v>
          </cell>
          <cell r="G1625" t="str">
            <v>Orellana Alvarez, Nestor Giovanni</v>
          </cell>
        </row>
        <row r="1626">
          <cell r="F1626">
            <v>312476</v>
          </cell>
          <cell r="G1626" t="str">
            <v>Oscar Oswaldo Ramirez Tahuite</v>
          </cell>
        </row>
        <row r="1627">
          <cell r="F1627">
            <v>313392</v>
          </cell>
          <cell r="G1627" t="str">
            <v>Sandra Marisol Ramirez Solis</v>
          </cell>
        </row>
        <row r="1628">
          <cell r="F1628">
            <v>315101</v>
          </cell>
          <cell r="G1628" t="str">
            <v>Alvaro Oswaldo De La Rosa Hernandez</v>
          </cell>
        </row>
        <row r="1629">
          <cell r="F1629">
            <v>314905</v>
          </cell>
          <cell r="G1629" t="str">
            <v>Antonio Carlos Alvarenga Diaz</v>
          </cell>
        </row>
        <row r="1630">
          <cell r="F1630">
            <v>314885</v>
          </cell>
          <cell r="G1630" t="str">
            <v>Edi Ibander Osoy Lopez</v>
          </cell>
        </row>
        <row r="1631">
          <cell r="F1631">
            <v>314750</v>
          </cell>
          <cell r="G1631" t="str">
            <v>Eswin Leonel Fernandez Diaz</v>
          </cell>
        </row>
        <row r="1632">
          <cell r="F1632">
            <v>314753</v>
          </cell>
          <cell r="G1632" t="str">
            <v>Gabriel Antonio Mucur Arriaga</v>
          </cell>
        </row>
        <row r="1633">
          <cell r="F1633">
            <v>315318</v>
          </cell>
          <cell r="G1633" t="str">
            <v>Gabriela Melissa Arias Ovando</v>
          </cell>
        </row>
        <row r="1634">
          <cell r="F1634">
            <v>315164</v>
          </cell>
          <cell r="G1634" t="str">
            <v>Hernan Antonio Castro Guzman</v>
          </cell>
        </row>
        <row r="1635">
          <cell r="F1635">
            <v>315149</v>
          </cell>
          <cell r="G1635" t="str">
            <v>Jennifer Karla Maria De Leon Yoc</v>
          </cell>
        </row>
        <row r="1636">
          <cell r="F1636">
            <v>315065</v>
          </cell>
          <cell r="G1636" t="str">
            <v>Jennifer Veronica Flores Pineda</v>
          </cell>
        </row>
        <row r="1637">
          <cell r="F1637">
            <v>314797</v>
          </cell>
          <cell r="G1637" t="str">
            <v>Jimmy Alfredo Coronado Cabrera</v>
          </cell>
        </row>
        <row r="1638">
          <cell r="F1638">
            <v>314746</v>
          </cell>
          <cell r="G1638" t="str">
            <v>Jose Luis Quisquinay Inay</v>
          </cell>
        </row>
        <row r="1639">
          <cell r="F1639">
            <v>315231</v>
          </cell>
          <cell r="G1639" t="str">
            <v>Juan Fernando Alvarez Argueta</v>
          </cell>
        </row>
        <row r="1640">
          <cell r="F1640">
            <v>314752</v>
          </cell>
          <cell r="G1640" t="str">
            <v>Luis Arturo Fuentes Jerez</v>
          </cell>
        </row>
        <row r="1641">
          <cell r="F1641">
            <v>314990</v>
          </cell>
          <cell r="G1641" t="str">
            <v>Maria Fernanda Ambrocio Reyes</v>
          </cell>
        </row>
        <row r="1642">
          <cell r="F1642">
            <v>314966</v>
          </cell>
          <cell r="G1642" t="str">
            <v>Marlin Argelia Herrera Claveria</v>
          </cell>
        </row>
        <row r="1643">
          <cell r="F1643">
            <v>314904</v>
          </cell>
          <cell r="G1643" t="str">
            <v>Miguel Estuardo Marín</v>
          </cell>
        </row>
        <row r="1644">
          <cell r="F1644">
            <v>314796</v>
          </cell>
          <cell r="G1644" t="str">
            <v>Ricardo Antonio Ruiz Orozco</v>
          </cell>
        </row>
        <row r="1645">
          <cell r="F1645">
            <v>315365</v>
          </cell>
          <cell r="G1645" t="str">
            <v>Ruth Liliana Reyes Rivas</v>
          </cell>
        </row>
        <row r="1646">
          <cell r="F1646">
            <v>314758</v>
          </cell>
          <cell r="G1646" t="str">
            <v>Sergio Alejandro Estrada Velasco</v>
          </cell>
        </row>
        <row r="1647">
          <cell r="F1647">
            <v>312045</v>
          </cell>
          <cell r="G1647" t="str">
            <v xml:space="preserve"> Edgar Marco Tulio Sanchez Ochoa</v>
          </cell>
        </row>
        <row r="1648">
          <cell r="F1648">
            <v>309496</v>
          </cell>
          <cell r="G1648" t="str">
            <v xml:space="preserve"> Elcira Livduvina Perez Lopez De Merlos</v>
          </cell>
        </row>
        <row r="1649">
          <cell r="F1649">
            <v>311750</v>
          </cell>
          <cell r="G1649" t="str">
            <v xml:space="preserve"> Juan Toma Torrez</v>
          </cell>
        </row>
        <row r="1650">
          <cell r="F1650">
            <v>311539</v>
          </cell>
          <cell r="G1650" t="str">
            <v xml:space="preserve"> Luis Eduardo Garcia Gomez</v>
          </cell>
        </row>
        <row r="1651">
          <cell r="F1651">
            <v>311898</v>
          </cell>
          <cell r="G1651" t="str">
            <v xml:space="preserve"> Nori Liseth Bautista</v>
          </cell>
        </row>
        <row r="1652">
          <cell r="F1652">
            <v>312283</v>
          </cell>
          <cell r="G1652" t="str">
            <v xml:space="preserve"> Oscar Javier Galvez</v>
          </cell>
        </row>
        <row r="1653">
          <cell r="F1653">
            <v>311190</v>
          </cell>
          <cell r="G1653" t="str">
            <v xml:space="preserve"> Pedro Chas Morales</v>
          </cell>
        </row>
        <row r="1654">
          <cell r="F1654">
            <v>311632</v>
          </cell>
          <cell r="G1654" t="str">
            <v>Virginia Del Rosario Matilde Garcia Ico</v>
          </cell>
        </row>
        <row r="1655">
          <cell r="F1655">
            <v>311906</v>
          </cell>
          <cell r="G1655" t="str">
            <v xml:space="preserve"> Yenifer Alejandra Ordoñez</v>
          </cell>
        </row>
        <row r="1656">
          <cell r="F1656">
            <v>314705</v>
          </cell>
          <cell r="G1656" t="str">
            <v>Alex Eduardo Gil Paniagua</v>
          </cell>
        </row>
        <row r="1657">
          <cell r="F1657">
            <v>313182</v>
          </cell>
          <cell r="G1657" t="str">
            <v>Allan Kenneth Chiguichon Solis</v>
          </cell>
        </row>
        <row r="1658">
          <cell r="F1658">
            <v>314363</v>
          </cell>
          <cell r="G1658" t="str">
            <v xml:space="preserve">Anderson Noe Chunix Morales </v>
          </cell>
        </row>
        <row r="1659">
          <cell r="F1659">
            <v>314241</v>
          </cell>
          <cell r="G1659" t="str">
            <v>Andres Simon Sunun</v>
          </cell>
        </row>
        <row r="1660">
          <cell r="F1660">
            <v>309341</v>
          </cell>
          <cell r="G1660" t="str">
            <v>Angel Estuardo Perez Veliz</v>
          </cell>
        </row>
        <row r="1661">
          <cell r="F1661">
            <v>312093</v>
          </cell>
          <cell r="G1661" t="str">
            <v xml:space="preserve">Bobadilla Romero Alan Gonzalo </v>
          </cell>
        </row>
        <row r="1662">
          <cell r="F1662">
            <v>314080</v>
          </cell>
          <cell r="G1662" t="str">
            <v>Bryan Leonardo Lopez</v>
          </cell>
        </row>
        <row r="1663">
          <cell r="F1663">
            <v>314704</v>
          </cell>
          <cell r="G1663" t="str">
            <v xml:space="preserve">Cindy Damaris Villagran Castellano </v>
          </cell>
        </row>
        <row r="1664">
          <cell r="F1664">
            <v>314085</v>
          </cell>
          <cell r="G1664" t="str">
            <v>Cristian Ottoniel Lopez Alvarado</v>
          </cell>
        </row>
        <row r="1665">
          <cell r="F1665">
            <v>314364</v>
          </cell>
          <cell r="G1665" t="str">
            <v xml:space="preserve">Donel Omar Landaverry Solis </v>
          </cell>
        </row>
        <row r="1666">
          <cell r="F1666">
            <v>313373</v>
          </cell>
          <cell r="G1666" t="str">
            <v>Edgar Francisco Yanes Carrera</v>
          </cell>
        </row>
        <row r="1667">
          <cell r="F1667">
            <v>315056</v>
          </cell>
          <cell r="G1667" t="str">
            <v>Esvin David De Jesus Calanche</v>
          </cell>
        </row>
        <row r="1668">
          <cell r="F1668">
            <v>314118</v>
          </cell>
          <cell r="G1668" t="str">
            <v>Ginni Andrea Gramajo Lucas</v>
          </cell>
        </row>
        <row r="1669">
          <cell r="F1669">
            <v>313049</v>
          </cell>
          <cell r="G1669" t="str">
            <v>Herberth Ivan Garcia Davila</v>
          </cell>
        </row>
        <row r="1670">
          <cell r="F1670">
            <v>312162</v>
          </cell>
          <cell r="G1670" t="str">
            <v xml:space="preserve">Hernandez Andrea Yoselin Cristina </v>
          </cell>
        </row>
        <row r="1671">
          <cell r="F1671">
            <v>313692</v>
          </cell>
          <cell r="G1671" t="str">
            <v xml:space="preserve">Ingrid Leticia Paredes Pulido    </v>
          </cell>
        </row>
        <row r="1672">
          <cell r="F1672">
            <v>314500</v>
          </cell>
          <cell r="G1672" t="str">
            <v xml:space="preserve">Jairo Noel Linarez Gomez </v>
          </cell>
        </row>
        <row r="1673">
          <cell r="F1673">
            <v>312369</v>
          </cell>
          <cell r="G1673" t="str">
            <v>Jorge Luis Hernandez Juarez</v>
          </cell>
        </row>
        <row r="1674">
          <cell r="F1674">
            <v>314039</v>
          </cell>
          <cell r="G1674" t="str">
            <v>Juan Humberto Barrios Escobar</v>
          </cell>
        </row>
        <row r="1675">
          <cell r="F1675">
            <v>313540</v>
          </cell>
          <cell r="G1675" t="str">
            <v xml:space="preserve">Juan Manuel Macario Reyna </v>
          </cell>
        </row>
        <row r="1676">
          <cell r="F1676">
            <v>314355</v>
          </cell>
          <cell r="G1676" t="str">
            <v>Kevin Samuel Guamuch Guardado</v>
          </cell>
        </row>
        <row r="1677">
          <cell r="F1677">
            <v>314299</v>
          </cell>
          <cell r="G1677" t="str">
            <v>Lopez Morales, Andrea Lucia</v>
          </cell>
        </row>
        <row r="1678">
          <cell r="F1678">
            <v>314747</v>
          </cell>
          <cell r="G1678" t="str">
            <v>Mayra Azucena Perez Guzman</v>
          </cell>
        </row>
        <row r="1679">
          <cell r="F1679">
            <v>313572</v>
          </cell>
          <cell r="G1679" t="str">
            <v xml:space="preserve">Milton Hardany Dominguez Martinez </v>
          </cell>
        </row>
        <row r="1680">
          <cell r="F1680">
            <v>313541</v>
          </cell>
          <cell r="G1680" t="str">
            <v xml:space="preserve">Mirna Lorena Argueta Ayala </v>
          </cell>
        </row>
        <row r="1681">
          <cell r="F1681">
            <v>315319</v>
          </cell>
          <cell r="G1681" t="str">
            <v xml:space="preserve">Noe Rubell Garcia Cerna </v>
          </cell>
        </row>
        <row r="1682">
          <cell r="F1682">
            <v>314502</v>
          </cell>
          <cell r="G1682" t="str">
            <v>Reyna Elizabeth Panadero</v>
          </cell>
        </row>
        <row r="1683">
          <cell r="F1683">
            <v>313284</v>
          </cell>
          <cell r="G1683" t="str">
            <v>Sebastian Quino Morales</v>
          </cell>
        </row>
        <row r="1684">
          <cell r="F1684">
            <v>311460</v>
          </cell>
          <cell r="G1684" t="str">
            <v xml:space="preserve"> Ana Vilma Bamaca Cardona</v>
          </cell>
        </row>
        <row r="1685">
          <cell r="F1685">
            <v>306579</v>
          </cell>
          <cell r="G1685" t="str">
            <v xml:space="preserve"> Angel Emilio De Jesus Morales Ramirez</v>
          </cell>
        </row>
        <row r="1686">
          <cell r="F1686">
            <v>311234</v>
          </cell>
          <cell r="G1686" t="str">
            <v xml:space="preserve"> Astrid Marlene Diaz</v>
          </cell>
        </row>
        <row r="1687">
          <cell r="F1687">
            <v>308361</v>
          </cell>
          <cell r="G1687" t="str">
            <v xml:space="preserve"> Brenda Maribel Orozco Mendoza</v>
          </cell>
        </row>
        <row r="1688">
          <cell r="F1688">
            <v>311060</v>
          </cell>
          <cell r="G1688" t="str">
            <v xml:space="preserve"> Dora Lissette Higueros Trejo</v>
          </cell>
        </row>
        <row r="1689">
          <cell r="F1689">
            <v>305555</v>
          </cell>
          <cell r="G1689" t="str">
            <v xml:space="preserve"> Heber Antonio Olivares Alvarado</v>
          </cell>
        </row>
        <row r="1690">
          <cell r="F1690">
            <v>308210</v>
          </cell>
          <cell r="G1690" t="str">
            <v xml:space="preserve"> Isaias Ramirez Jimenez</v>
          </cell>
        </row>
        <row r="1691">
          <cell r="F1691">
            <v>310790</v>
          </cell>
          <cell r="G1691" t="str">
            <v xml:space="preserve"> Karina Del Rosario Castro Lopez De Guzman</v>
          </cell>
        </row>
        <row r="1692">
          <cell r="F1692">
            <v>309544</v>
          </cell>
          <cell r="G1692" t="str">
            <v xml:space="preserve"> Lorena Alexandra Lopez Yax</v>
          </cell>
        </row>
        <row r="1693">
          <cell r="F1693">
            <v>308493</v>
          </cell>
          <cell r="G1693" t="str">
            <v xml:space="preserve"> Sandra Beatriz Ardiano De Leon</v>
          </cell>
        </row>
        <row r="1694">
          <cell r="F1694">
            <v>312483</v>
          </cell>
          <cell r="G1694" t="str">
            <v>Berta Elizabeth Rodas Rosales</v>
          </cell>
        </row>
        <row r="1695">
          <cell r="F1695">
            <v>314431</v>
          </cell>
          <cell r="G1695" t="str">
            <v>Cristian Rene Contreras Sales</v>
          </cell>
        </row>
        <row r="1696">
          <cell r="F1696">
            <v>307394</v>
          </cell>
          <cell r="G1696" t="str">
            <v>Damaris Judith Rivas Benitez</v>
          </cell>
        </row>
        <row r="1697">
          <cell r="F1697">
            <v>311082</v>
          </cell>
          <cell r="G1697" t="str">
            <v>Janz Vincent Tunche</v>
          </cell>
        </row>
        <row r="1698">
          <cell r="F1698">
            <v>314301</v>
          </cell>
          <cell r="G1698" t="str">
            <v>Jose Carlos Puluc</v>
          </cell>
        </row>
        <row r="1699">
          <cell r="F1699">
            <v>308405</v>
          </cell>
          <cell r="G1699" t="str">
            <v>Juan Aquino Rac</v>
          </cell>
        </row>
        <row r="1700">
          <cell r="F1700">
            <v>312485</v>
          </cell>
          <cell r="G1700" t="str">
            <v>Juan Ramon Guerra Martinez</v>
          </cell>
        </row>
        <row r="1701">
          <cell r="F1701">
            <v>314527</v>
          </cell>
          <cell r="G1701" t="str">
            <v>Luis Fernando Rodas Pineda</v>
          </cell>
        </row>
        <row r="1702">
          <cell r="F1702">
            <v>312481</v>
          </cell>
          <cell r="G1702" t="str">
            <v>Magdalena Noemi Leonardo Ventura</v>
          </cell>
        </row>
        <row r="1703">
          <cell r="F1703">
            <v>312482</v>
          </cell>
          <cell r="G1703" t="str">
            <v>Mildred Elizabeth Rivera Tenas</v>
          </cell>
        </row>
        <row r="1704">
          <cell r="F1704">
            <v>307005</v>
          </cell>
          <cell r="G1704" t="str">
            <v>Miriam Leticia Romero Torres</v>
          </cell>
        </row>
        <row r="1705">
          <cell r="F1705">
            <v>314227</v>
          </cell>
          <cell r="G1705" t="str">
            <v xml:space="preserve">Mirna Janeth Ordoñez </v>
          </cell>
        </row>
        <row r="1706">
          <cell r="F1706">
            <v>308474</v>
          </cell>
          <cell r="G1706" t="str">
            <v>Victor Abraham Alvarado De La Cruz</v>
          </cell>
        </row>
        <row r="1707">
          <cell r="F1707">
            <v>312480</v>
          </cell>
          <cell r="G1707" t="str">
            <v>Wilson Moises Carias Santos</v>
          </cell>
        </row>
        <row r="1708">
          <cell r="F1708">
            <v>305051</v>
          </cell>
          <cell r="G1708" t="str">
            <v xml:space="preserve"> Amalia Cifuentes Gramajo</v>
          </cell>
        </row>
        <row r="1709">
          <cell r="F1709">
            <v>308201</v>
          </cell>
          <cell r="G1709" t="str">
            <v xml:space="preserve"> Amparo Janet Cardona Linares</v>
          </cell>
        </row>
        <row r="1710">
          <cell r="F1710">
            <v>311232</v>
          </cell>
          <cell r="G1710" t="str">
            <v xml:space="preserve"> Carlos Alberto Roque Galicia</v>
          </cell>
        </row>
        <row r="1711">
          <cell r="F1711">
            <v>310382</v>
          </cell>
          <cell r="G1711" t="str">
            <v xml:space="preserve"> David Gilberto Perez Mayorga</v>
          </cell>
        </row>
        <row r="1712">
          <cell r="F1712">
            <v>305796</v>
          </cell>
          <cell r="G1712" t="str">
            <v xml:space="preserve"> Elias Perez Sequen</v>
          </cell>
        </row>
        <row r="1713">
          <cell r="F1713">
            <v>310823</v>
          </cell>
          <cell r="G1713" t="str">
            <v xml:space="preserve"> Francisca Yesenia Aceytuno Quevedo</v>
          </cell>
        </row>
        <row r="1714">
          <cell r="F1714">
            <v>311152</v>
          </cell>
          <cell r="G1714" t="str">
            <v xml:space="preserve"> Heidi Natali Chacon De La Rosa De Diaz</v>
          </cell>
        </row>
        <row r="1715">
          <cell r="F1715">
            <v>309785</v>
          </cell>
          <cell r="G1715" t="str">
            <v xml:space="preserve"> Jose Esteban Diaz Montufar</v>
          </cell>
        </row>
        <row r="1716">
          <cell r="F1716">
            <v>310787</v>
          </cell>
          <cell r="G1716" t="str">
            <v xml:space="preserve"> Marilin Janeth Sanchez De Rodriguez</v>
          </cell>
        </row>
        <row r="1717">
          <cell r="F1717">
            <v>305520</v>
          </cell>
          <cell r="G1717" t="str">
            <v xml:space="preserve"> Milton Orlando Lopez</v>
          </cell>
        </row>
        <row r="1718">
          <cell r="F1718">
            <v>308978</v>
          </cell>
          <cell r="G1718" t="str">
            <v xml:space="preserve"> Oscar Amilcar Najera Segura</v>
          </cell>
        </row>
        <row r="1719">
          <cell r="F1719">
            <v>311776</v>
          </cell>
          <cell r="G1719" t="str">
            <v xml:space="preserve"> Susan Jackelinne Cristal Sanchez</v>
          </cell>
        </row>
        <row r="1720">
          <cell r="F1720">
            <v>309732</v>
          </cell>
          <cell r="G1720" t="str">
            <v xml:space="preserve"> Wilfredo Noe Tobar Valenzuela</v>
          </cell>
        </row>
        <row r="1721">
          <cell r="F1721">
            <v>314741</v>
          </cell>
          <cell r="G1721" t="str">
            <v>Angelica Lorena Garcia Gonzalez</v>
          </cell>
        </row>
        <row r="1722">
          <cell r="F1722">
            <v>314546</v>
          </cell>
          <cell r="G1722" t="str">
            <v xml:space="preserve">Cinthia Irene Paz Caal   </v>
          </cell>
        </row>
        <row r="1723">
          <cell r="F1723">
            <v>313746</v>
          </cell>
          <cell r="G1723" t="str">
            <v>Cristian Omar Cruz Mata</v>
          </cell>
        </row>
        <row r="1724">
          <cell r="F1724">
            <v>315327</v>
          </cell>
          <cell r="G1724" t="str">
            <v>Daninyer Alfonso Orellana Madrid</v>
          </cell>
        </row>
        <row r="1725">
          <cell r="F1725">
            <v>314084</v>
          </cell>
          <cell r="G1725" t="str">
            <v>Edgar Emilio Gomez Bobadilla</v>
          </cell>
        </row>
        <row r="1726">
          <cell r="F1726">
            <v>313195</v>
          </cell>
          <cell r="G1726" t="str">
            <v>Edna Helenin Benitez Guzman De Altan</v>
          </cell>
        </row>
        <row r="1727">
          <cell r="F1727">
            <v>313259</v>
          </cell>
          <cell r="G1727" t="str">
            <v>Edvin Orlando Tuis Guerra</v>
          </cell>
        </row>
        <row r="1728">
          <cell r="F1728">
            <v>314524</v>
          </cell>
          <cell r="G1728" t="str">
            <v>Francisco Antonio Davila Morales</v>
          </cell>
        </row>
        <row r="1729">
          <cell r="F1729">
            <v>314329</v>
          </cell>
          <cell r="G1729" t="str">
            <v>Fredy Joel Lopez Santiago</v>
          </cell>
        </row>
        <row r="1730">
          <cell r="F1730">
            <v>314305</v>
          </cell>
          <cell r="G1730" t="str">
            <v>Henry Gustavo Vasquez Robledo</v>
          </cell>
        </row>
        <row r="1731">
          <cell r="F1731">
            <v>311962</v>
          </cell>
          <cell r="G1731" t="str">
            <v>Hugo David Monroy Pichola</v>
          </cell>
        </row>
        <row r="1732">
          <cell r="F1732">
            <v>311075</v>
          </cell>
          <cell r="G1732" t="str">
            <v>Jorge Alberto Buch Patzan</v>
          </cell>
        </row>
        <row r="1733">
          <cell r="F1733">
            <v>311233</v>
          </cell>
          <cell r="G1733" t="str">
            <v>Maria Fernanda Del Rosario Orellana Lima De Orellana</v>
          </cell>
        </row>
        <row r="1734">
          <cell r="F1734">
            <v>314811</v>
          </cell>
          <cell r="G1734" t="str">
            <v>Marlon Estuardo Hernandez Moreira</v>
          </cell>
        </row>
        <row r="1735">
          <cell r="F1735">
            <v>313745</v>
          </cell>
          <cell r="G1735" t="str">
            <v>Milvia Alejandra Lopez Marroquin</v>
          </cell>
        </row>
        <row r="1736">
          <cell r="F1736">
            <v>312288</v>
          </cell>
          <cell r="G1736" t="str">
            <v>Miriam Marilisa Herrera Perez</v>
          </cell>
        </row>
        <row r="1737">
          <cell r="F1737">
            <v>312474</v>
          </cell>
          <cell r="G1737" t="str">
            <v>Nancy Paola Ramirez Garcia</v>
          </cell>
        </row>
        <row r="1738">
          <cell r="F1738">
            <v>313756</v>
          </cell>
          <cell r="G1738" t="str">
            <v>Walter Josue Corona Barrera</v>
          </cell>
        </row>
        <row r="1739">
          <cell r="F1739">
            <v>312284</v>
          </cell>
          <cell r="G1739" t="str">
            <v xml:space="preserve"> Arnoldo Coque Hernandez</v>
          </cell>
        </row>
        <row r="1740">
          <cell r="F1740">
            <v>312015</v>
          </cell>
          <cell r="G1740" t="str">
            <v xml:space="preserve"> Carlos Alfredo Cuc Cuxe</v>
          </cell>
        </row>
        <row r="1741">
          <cell r="F1741">
            <v>310710</v>
          </cell>
          <cell r="G1741" t="str">
            <v xml:space="preserve"> Edgar Enrique Garcia Cortave</v>
          </cell>
        </row>
        <row r="1742">
          <cell r="F1742">
            <v>311459</v>
          </cell>
          <cell r="G1742" t="str">
            <v xml:space="preserve"> Gandy Baygesus Sanchez Estrada</v>
          </cell>
        </row>
        <row r="1743">
          <cell r="F1743">
            <v>303585</v>
          </cell>
          <cell r="G1743" t="str">
            <v xml:space="preserve"> Gerber Estuardo Albizures Archila</v>
          </cell>
        </row>
        <row r="1744">
          <cell r="F1744">
            <v>310704</v>
          </cell>
          <cell r="G1744" t="str">
            <v xml:space="preserve"> Henry Samuel De Leon Menchu</v>
          </cell>
        </row>
        <row r="1745">
          <cell r="F1745">
            <v>311359</v>
          </cell>
          <cell r="G1745" t="str">
            <v xml:space="preserve"> Jania Nataly De Leon Ramirez De Suret</v>
          </cell>
        </row>
        <row r="1746">
          <cell r="F1746">
            <v>306643</v>
          </cell>
          <cell r="G1746" t="str">
            <v xml:space="preserve"> Marvin Saul Sical Ventura</v>
          </cell>
        </row>
        <row r="1747">
          <cell r="F1747">
            <v>307846</v>
          </cell>
          <cell r="G1747" t="str">
            <v xml:space="preserve"> Sandra Patricia Baran Avila</v>
          </cell>
        </row>
        <row r="1748">
          <cell r="F1748">
            <v>307962</v>
          </cell>
          <cell r="G1748" t="str">
            <v xml:space="preserve"> Selvyn David Payola Ayala</v>
          </cell>
        </row>
        <row r="1749">
          <cell r="F1749">
            <v>307891</v>
          </cell>
          <cell r="G1749" t="str">
            <v xml:space="preserve"> Susana Rodriguez Cordova</v>
          </cell>
        </row>
        <row r="1750">
          <cell r="F1750">
            <v>314936</v>
          </cell>
          <cell r="G1750" t="str">
            <v>Alex Fernando Garcia De Leon</v>
          </cell>
        </row>
        <row r="1751">
          <cell r="F1751">
            <v>313295</v>
          </cell>
          <cell r="G1751" t="str">
            <v>Amed Carlos Eduardo Matheu Cabrera</v>
          </cell>
        </row>
        <row r="1752">
          <cell r="F1752">
            <v>314413</v>
          </cell>
          <cell r="G1752" t="str">
            <v>Carmen Arely Perez Escobar</v>
          </cell>
        </row>
        <row r="1753">
          <cell r="F1753">
            <v>315237</v>
          </cell>
          <cell r="G1753" t="str">
            <v>Celia Mariela Castillo Beteta</v>
          </cell>
        </row>
        <row r="1754">
          <cell r="F1754">
            <v>311345</v>
          </cell>
          <cell r="G1754" t="str">
            <v>Darwin Ruben Martinez Ramirez</v>
          </cell>
        </row>
        <row r="1755">
          <cell r="F1755">
            <v>314250</v>
          </cell>
          <cell r="G1755" t="str">
            <v>Diego Armando Contreras Flores</v>
          </cell>
        </row>
        <row r="1756">
          <cell r="F1756">
            <v>314281</v>
          </cell>
          <cell r="G1756" t="str">
            <v>Edward Josue Cortez Belloso</v>
          </cell>
        </row>
        <row r="1757">
          <cell r="F1757">
            <v>313451</v>
          </cell>
          <cell r="G1757" t="str">
            <v>Erick Dionicio Alvarez Flores</v>
          </cell>
        </row>
        <row r="1758">
          <cell r="F1758">
            <v>313497</v>
          </cell>
          <cell r="G1758" t="str">
            <v>Francisco Roman Aceytuno Ramos</v>
          </cell>
        </row>
        <row r="1759">
          <cell r="F1759">
            <v>314013</v>
          </cell>
          <cell r="G1759" t="str">
            <v>Jose Orlando Lopez Matzar</v>
          </cell>
        </row>
        <row r="1760">
          <cell r="F1760">
            <v>313262</v>
          </cell>
          <cell r="G1760" t="str">
            <v>Juan Luis Soyos Tzoy</v>
          </cell>
        </row>
        <row r="1761">
          <cell r="F1761">
            <v>313583</v>
          </cell>
          <cell r="G1761" t="str">
            <v>Laiza Marleny Gomez Garcia De Gomez</v>
          </cell>
        </row>
        <row r="1762">
          <cell r="F1762">
            <v>314762</v>
          </cell>
          <cell r="G1762" t="str">
            <v>Mario Ernesto Alvarado Molina</v>
          </cell>
        </row>
        <row r="1763">
          <cell r="F1763">
            <v>311902</v>
          </cell>
          <cell r="G1763" t="str">
            <v>Mario Raul Monroy Monroy</v>
          </cell>
        </row>
        <row r="1764">
          <cell r="F1764">
            <v>313251</v>
          </cell>
          <cell r="G1764" t="str">
            <v>Mario Ricardo Gabriel Monterroso</v>
          </cell>
        </row>
        <row r="1765">
          <cell r="F1765">
            <v>312564</v>
          </cell>
          <cell r="G1765" t="str">
            <v xml:space="preserve">Marlyn Carolina Hernandez Escobar De Dubon </v>
          </cell>
        </row>
        <row r="1766">
          <cell r="F1766">
            <v>313011</v>
          </cell>
          <cell r="G1766" t="str">
            <v>Miguel David Boch Cifuentes</v>
          </cell>
        </row>
        <row r="1767">
          <cell r="F1767">
            <v>313750</v>
          </cell>
          <cell r="G1767" t="str">
            <v xml:space="preserve">Mildred Alejandra Sapon Ruano   </v>
          </cell>
        </row>
        <row r="1768">
          <cell r="F1768">
            <v>313212</v>
          </cell>
          <cell r="G1768" t="str">
            <v>Shirley Mariana Lopez Natarengo</v>
          </cell>
        </row>
        <row r="1769">
          <cell r="F1769">
            <v>313261</v>
          </cell>
          <cell r="G1769" t="str">
            <v>Viviana Maribel Ortiz Barrios</v>
          </cell>
        </row>
        <row r="1770">
          <cell r="F1770">
            <v>309678</v>
          </cell>
          <cell r="G1770" t="str">
            <v xml:space="preserve"> Carla Noemi Irias Alvarez</v>
          </cell>
        </row>
        <row r="1771">
          <cell r="F1771">
            <v>311704</v>
          </cell>
          <cell r="G1771" t="str">
            <v xml:space="preserve"> Celedonia Isabel Chan Batz De Iscaya</v>
          </cell>
        </row>
        <row r="1772">
          <cell r="F1772">
            <v>308464</v>
          </cell>
          <cell r="G1772" t="str">
            <v xml:space="preserve"> Enmanuel Antonio Ochoa Hernandez</v>
          </cell>
        </row>
        <row r="1773">
          <cell r="F1773">
            <v>311964</v>
          </cell>
          <cell r="G1773" t="str">
            <v xml:space="preserve"> Estephanie Michelle Mendez Cano De Rivera</v>
          </cell>
        </row>
        <row r="1774">
          <cell r="F1774">
            <v>311963</v>
          </cell>
          <cell r="G1774" t="str">
            <v xml:space="preserve"> Giovanni Noel Valdez Rodriguez</v>
          </cell>
        </row>
        <row r="1775">
          <cell r="F1775">
            <v>308771</v>
          </cell>
          <cell r="G1775" t="str">
            <v xml:space="preserve"> Gloria Estefanilla Espinoza Garcia</v>
          </cell>
        </row>
        <row r="1776">
          <cell r="F1776">
            <v>311530</v>
          </cell>
          <cell r="G1776" t="str">
            <v xml:space="preserve"> Laura Ninoshka Mogollon Galvez De Ortiz</v>
          </cell>
        </row>
        <row r="1777">
          <cell r="F1777">
            <v>309348</v>
          </cell>
          <cell r="G1777" t="str">
            <v xml:space="preserve"> Ludbind Alexander Noriega Chavez</v>
          </cell>
        </row>
        <row r="1778">
          <cell r="F1778">
            <v>303093</v>
          </cell>
          <cell r="G1778" t="str">
            <v xml:space="preserve"> Rony Armando Choche Perez</v>
          </cell>
        </row>
        <row r="1779">
          <cell r="F1779">
            <v>311838</v>
          </cell>
          <cell r="G1779" t="str">
            <v xml:space="preserve"> Sarah Noemy Sandoval Poggio</v>
          </cell>
        </row>
        <row r="1780">
          <cell r="F1780">
            <v>310071</v>
          </cell>
          <cell r="G1780" t="str">
            <v xml:space="preserve"> Victoria Aracely Gomez Ochoa</v>
          </cell>
        </row>
        <row r="1781">
          <cell r="F1781">
            <v>315129</v>
          </cell>
          <cell r="G1781" t="str">
            <v xml:space="preserve">Angel Israel Perez Perez </v>
          </cell>
        </row>
        <row r="1782">
          <cell r="F1782">
            <v>314522</v>
          </cell>
          <cell r="G1782" t="str">
            <v>Argentina Frisdy Juarez Lopez</v>
          </cell>
        </row>
        <row r="1783">
          <cell r="F1783">
            <v>311595</v>
          </cell>
          <cell r="G1783" t="str">
            <v>Billy Giovanny Avalos Castillo</v>
          </cell>
        </row>
        <row r="1784">
          <cell r="F1784">
            <v>312457</v>
          </cell>
          <cell r="G1784" t="str">
            <v>Edgar Estuardo Moran Lopez</v>
          </cell>
        </row>
        <row r="1785">
          <cell r="F1785">
            <v>313314</v>
          </cell>
          <cell r="G1785" t="str">
            <v>Elida Bertilia Donis Aguilar</v>
          </cell>
        </row>
        <row r="1786">
          <cell r="F1786">
            <v>313108</v>
          </cell>
          <cell r="G1786" t="str">
            <v>Evelyn Karina Lorenzana Gomez</v>
          </cell>
        </row>
        <row r="1787">
          <cell r="F1787">
            <v>313313</v>
          </cell>
          <cell r="G1787" t="str">
            <v>Francisco Roberto Contreras Bernardino</v>
          </cell>
        </row>
        <row r="1788">
          <cell r="F1788">
            <v>313757</v>
          </cell>
          <cell r="G1788" t="str">
            <v>Geydi Yanira Roque Esquivel</v>
          </cell>
        </row>
        <row r="1789">
          <cell r="F1789">
            <v>309122</v>
          </cell>
          <cell r="G1789" t="str">
            <v>Greyci Yulissa Aliñado Rodriguez</v>
          </cell>
        </row>
        <row r="1790">
          <cell r="F1790">
            <v>314362</v>
          </cell>
          <cell r="G1790" t="str">
            <v>Heber Adiel Dardon Batres</v>
          </cell>
        </row>
        <row r="1791">
          <cell r="F1791">
            <v>315073</v>
          </cell>
          <cell r="G1791" t="str">
            <v xml:space="preserve">Jose Manuel Molina Gaitan </v>
          </cell>
        </row>
        <row r="1792">
          <cell r="F1792">
            <v>314490</v>
          </cell>
          <cell r="G1792" t="str">
            <v xml:space="preserve">Josue Omar Rosas Vasquez </v>
          </cell>
        </row>
        <row r="1793">
          <cell r="F1793">
            <v>311662</v>
          </cell>
          <cell r="G1793" t="str">
            <v>Juan Antonio Juarez Recinos</v>
          </cell>
        </row>
        <row r="1794">
          <cell r="F1794">
            <v>312848</v>
          </cell>
          <cell r="G1794" t="str">
            <v>Juan Humberto Castillo Garcia</v>
          </cell>
        </row>
        <row r="1795">
          <cell r="F1795">
            <v>313196</v>
          </cell>
          <cell r="G1795" t="str">
            <v>Maria Fernanda Palencia Campo</v>
          </cell>
        </row>
        <row r="1796">
          <cell r="F1796">
            <v>315406</v>
          </cell>
          <cell r="G1796" t="str">
            <v>Maria Fernandez Perez Rangel</v>
          </cell>
        </row>
        <row r="1797">
          <cell r="F1797">
            <v>314302</v>
          </cell>
          <cell r="G1797" t="str">
            <v>Mario Rene Garcia Paredes</v>
          </cell>
        </row>
        <row r="1798">
          <cell r="F1798">
            <v>313758</v>
          </cell>
          <cell r="G1798" t="str">
            <v>Melani Andrea Salcedo Acevedo</v>
          </cell>
        </row>
        <row r="1799">
          <cell r="F1799">
            <v>314656</v>
          </cell>
          <cell r="G1799" t="str">
            <v>Nancy Johana Flores Barrera</v>
          </cell>
        </row>
        <row r="1800">
          <cell r="F1800">
            <v>313835</v>
          </cell>
          <cell r="G1800" t="str">
            <v>Rainer Daniel Melgar Chajon</v>
          </cell>
        </row>
        <row r="1801">
          <cell r="F1801">
            <v>312478</v>
          </cell>
          <cell r="G1801" t="str">
            <v>Walter Josue Ampudia Martinez</v>
          </cell>
        </row>
        <row r="1802">
          <cell r="F1802">
            <v>315200</v>
          </cell>
          <cell r="G1802" t="str">
            <v xml:space="preserve">Yeni Amarilis Ruano </v>
          </cell>
        </row>
        <row r="1803">
          <cell r="F1803">
            <v>315029</v>
          </cell>
          <cell r="G1803" t="str">
            <v>Camelia Bocel Tun</v>
          </cell>
        </row>
        <row r="1804">
          <cell r="F1804">
            <v>314847</v>
          </cell>
          <cell r="G1804" t="str">
            <v>Donald Jacshon Abac Velasquez</v>
          </cell>
        </row>
        <row r="1805">
          <cell r="F1805">
            <v>314911</v>
          </cell>
          <cell r="G1805" t="str">
            <v>Jose Armando Valdez Juarez</v>
          </cell>
        </row>
        <row r="1806">
          <cell r="F1806">
            <v>314907</v>
          </cell>
          <cell r="G1806" t="str">
            <v>Jose Gabriel Armas Sandoval</v>
          </cell>
        </row>
        <row r="1807">
          <cell r="F1807">
            <v>315190</v>
          </cell>
          <cell r="G1807" t="str">
            <v xml:space="preserve">Edy Alexander Gonzalez Ramos </v>
          </cell>
        </row>
        <row r="1808">
          <cell r="F1808">
            <v>315176</v>
          </cell>
          <cell r="G1808" t="str">
            <v xml:space="preserve">Etson Samuel Villatoro Saballos </v>
          </cell>
        </row>
        <row r="1809">
          <cell r="F1809">
            <v>315080</v>
          </cell>
          <cell r="G1809" t="str">
            <v>Horacio Rafael Molina Avila</v>
          </cell>
        </row>
        <row r="1810">
          <cell r="F1810">
            <v>315177</v>
          </cell>
          <cell r="G1810" t="str">
            <v xml:space="preserve">Keitlin Anahi Martinez Castillo </v>
          </cell>
        </row>
        <row r="1811">
          <cell r="F1811">
            <v>315189</v>
          </cell>
          <cell r="G1811" t="str">
            <v xml:space="preserve">Milthon Yobany Castillo Martinez </v>
          </cell>
        </row>
        <row r="1812">
          <cell r="F1812">
            <v>315469</v>
          </cell>
          <cell r="G1812" t="str">
            <v xml:space="preserve">Milvia Fabiola Velasquez </v>
          </cell>
        </row>
        <row r="1813">
          <cell r="F1813">
            <v>315360</v>
          </cell>
          <cell r="G1813" t="str">
            <v>Eneas Valdez Colop</v>
          </cell>
        </row>
        <row r="1814">
          <cell r="F1814">
            <v>315461</v>
          </cell>
          <cell r="G1814" t="str">
            <v>Teylor Cuyuch</v>
          </cell>
        </row>
        <row r="1815">
          <cell r="F1815">
            <v>315390</v>
          </cell>
          <cell r="G1815" t="str">
            <v>Jose Carlos Morales</v>
          </cell>
        </row>
        <row r="1816">
          <cell r="F1816">
            <v>315464</v>
          </cell>
          <cell r="G1816" t="str">
            <v>Maria Alejandra Mazariegos</v>
          </cell>
        </row>
        <row r="1817">
          <cell r="F1817">
            <v>315574</v>
          </cell>
          <cell r="G1817" t="str">
            <v>Maryury De Los Angeles Garcia Romero</v>
          </cell>
        </row>
        <row r="1818">
          <cell r="F1818">
            <v>315596</v>
          </cell>
          <cell r="G1818" t="str">
            <v>Etson Eduardo Hernandez Campos</v>
          </cell>
        </row>
        <row r="1819">
          <cell r="F1819">
            <v>315593</v>
          </cell>
          <cell r="G1819" t="str">
            <v>Flora Anabella Yaxcal Fernandez</v>
          </cell>
        </row>
        <row r="1820">
          <cell r="F1820">
            <v>315595</v>
          </cell>
          <cell r="G1820" t="str">
            <v xml:space="preserve">Jaqueline Paola Santizo Roman </v>
          </cell>
        </row>
        <row r="1821">
          <cell r="F1821">
            <v>315292</v>
          </cell>
          <cell r="G1821" t="str">
            <v>Mijail Erick Joaquin Morales Ortiz</v>
          </cell>
        </row>
        <row r="1822">
          <cell r="F1822">
            <v>860486</v>
          </cell>
          <cell r="G1822" t="str">
            <v>Brenda Lucrecia Velasquez Cifuentes</v>
          </cell>
        </row>
        <row r="1823">
          <cell r="F1823">
            <v>860236</v>
          </cell>
          <cell r="G1823" t="str">
            <v>Emmanuel Gonzalez</v>
          </cell>
        </row>
        <row r="1824">
          <cell r="F1824" t="str">
            <v>UN</v>
          </cell>
          <cell r="G1824" t="str">
            <v>UN</v>
          </cell>
        </row>
        <row r="1825">
          <cell r="F1825">
            <v>315625</v>
          </cell>
          <cell r="G1825" t="str">
            <v>CLAUDIA ELIZABETH CARRERA MARROQUIN</v>
          </cell>
        </row>
        <row r="1826">
          <cell r="F1826">
            <v>315666</v>
          </cell>
          <cell r="G1826" t="str">
            <v>SINDY AMARILIS SANCHEZ MONTERROSO</v>
          </cell>
        </row>
        <row r="1827">
          <cell r="F1827">
            <v>315691</v>
          </cell>
          <cell r="G1827" t="str">
            <v>JAIME RENE JUAREZ SANCHEZ</v>
          </cell>
        </row>
        <row r="1828">
          <cell r="F1828">
            <v>315750</v>
          </cell>
          <cell r="G1828" t="str">
            <v>KEILA PAOLA CALDERON LOPEZ</v>
          </cell>
        </row>
        <row r="1829">
          <cell r="F1829">
            <v>315721</v>
          </cell>
          <cell r="G1829" t="str">
            <v>HECTOR LEONEL MEJICANOS CRUZ</v>
          </cell>
        </row>
        <row r="1830">
          <cell r="F1830">
            <v>315847</v>
          </cell>
          <cell r="G1830" t="str">
            <v>YEFRI ESTUARDO LOPEZ VELASQUEZ</v>
          </cell>
        </row>
        <row r="1831">
          <cell r="F1831">
            <v>315833</v>
          </cell>
          <cell r="G1831" t="str">
            <v>MARIA DE LOS ANGELES MURALLES MURALLES</v>
          </cell>
        </row>
        <row r="1832">
          <cell r="F1832">
            <v>315621</v>
          </cell>
          <cell r="G1832" t="str">
            <v>SAYDA ROCIO JUAREZ SANJAY</v>
          </cell>
        </row>
        <row r="1833">
          <cell r="F1833">
            <v>315816</v>
          </cell>
          <cell r="G1833" t="str">
            <v>RANDALL  AREVALO RUIZ</v>
          </cell>
        </row>
        <row r="1834">
          <cell r="F1834">
            <v>315692</v>
          </cell>
          <cell r="G1834" t="str">
            <v>Jose David Jimenez Valle</v>
          </cell>
        </row>
        <row r="1835">
          <cell r="F1835">
            <v>315801</v>
          </cell>
          <cell r="G1835" t="str">
            <v>YENIFFER GUADALUPE CHIQUIN CARBONELL</v>
          </cell>
        </row>
        <row r="1836">
          <cell r="F1836">
            <v>315649</v>
          </cell>
          <cell r="G1836" t="str">
            <v>JOSE LEON CHOGUAJ TOJIN</v>
          </cell>
        </row>
        <row r="1837">
          <cell r="F1837">
            <v>315986</v>
          </cell>
          <cell r="G1837" t="str">
            <v>KELVYN AMERICO SOSA OCHOA</v>
          </cell>
        </row>
        <row r="1838">
          <cell r="F1838">
            <v>315693</v>
          </cell>
          <cell r="G1838" t="str">
            <v>barbara asibinac</v>
          </cell>
        </row>
        <row r="1839">
          <cell r="F1839">
            <v>315974</v>
          </cell>
          <cell r="G1839" t="str">
            <v>Ana Victoria Noj Galindo</v>
          </cell>
        </row>
        <row r="1840">
          <cell r="F1840">
            <v>316040</v>
          </cell>
          <cell r="G1840" t="str">
            <v>Douglas Armando Flores Mendoza</v>
          </cell>
        </row>
        <row r="1841">
          <cell r="F1841">
            <v>315825</v>
          </cell>
          <cell r="G1841" t="str">
            <v>Reina Elizabeth Chacon Vasquez</v>
          </cell>
        </row>
        <row r="1842">
          <cell r="F1842">
            <v>315597</v>
          </cell>
          <cell r="G1842" t="str">
            <v>Edgar Jhonatan Contreras Garcia</v>
          </cell>
        </row>
        <row r="1843">
          <cell r="F1843">
            <v>316083</v>
          </cell>
          <cell r="G1843" t="str">
            <v>Marlen Erendida Rivas Gonzalez</v>
          </cell>
        </row>
        <row r="1844">
          <cell r="F1844">
            <v>315665</v>
          </cell>
          <cell r="G1844" t="str">
            <v>jefferson jose antonio interano solis</v>
          </cell>
        </row>
        <row r="1845">
          <cell r="F1845">
            <v>315913</v>
          </cell>
          <cell r="G1845" t="str">
            <v>HERLY SARAI GONZALEZ VELASQUEZ</v>
          </cell>
        </row>
        <row r="1846">
          <cell r="F1846">
            <v>315765</v>
          </cell>
          <cell r="G1846" t="str">
            <v>JACQUELINE ESTER PATZAN TZUNUN</v>
          </cell>
        </row>
        <row r="1847">
          <cell r="F1847">
            <v>316051</v>
          </cell>
          <cell r="G1847" t="str">
            <v>CHRISTIN ANDREA CASTILLO CALDERON</v>
          </cell>
        </row>
        <row r="1848">
          <cell r="F1848">
            <v>315939</v>
          </cell>
          <cell r="G1848" t="str">
            <v>JOSE DAVID BAMACA</v>
          </cell>
        </row>
        <row r="1849">
          <cell r="F1849">
            <v>315744</v>
          </cell>
          <cell r="G1849" t="str">
            <v>JACKELINE SUSANA HERRARTE BOCHE</v>
          </cell>
        </row>
        <row r="1850">
          <cell r="F1850">
            <v>316187</v>
          </cell>
          <cell r="G1850" t="str">
            <v xml:space="preserve">ADY MICHELLE LOPEZ QUEL </v>
          </cell>
        </row>
        <row r="1851">
          <cell r="F1851">
            <v>315786</v>
          </cell>
          <cell r="G1851" t="str">
            <v>EDUARDO ISAIAS HERNANDEZ AMBROCIO</v>
          </cell>
        </row>
        <row r="1852">
          <cell r="F1852">
            <v>315803</v>
          </cell>
          <cell r="G1852" t="str">
            <v>DEYVID SAUL OSORIO COLIN</v>
          </cell>
        </row>
        <row r="1853">
          <cell r="F1853">
            <v>315893</v>
          </cell>
          <cell r="G1853" t="str">
            <v xml:space="preserve">BRYAN ALEXANDER LAINES MARROQUIN </v>
          </cell>
        </row>
        <row r="1854">
          <cell r="F1854">
            <v>315890</v>
          </cell>
          <cell r="G1854" t="str">
            <v>ERICK JOSUE PINEDA CACEROS</v>
          </cell>
        </row>
        <row r="1855">
          <cell r="F1855">
            <v>316190</v>
          </cell>
          <cell r="G1855" t="str">
            <v>JOSE MANUEL MELLADO ESQUIBEL</v>
          </cell>
        </row>
        <row r="1856">
          <cell r="F1856">
            <v>315843</v>
          </cell>
          <cell r="G1856" t="str">
            <v xml:space="preserve">JENNIFER YESSENIA PEREZ MORALES </v>
          </cell>
        </row>
        <row r="1857">
          <cell r="F1857">
            <v>315840</v>
          </cell>
          <cell r="G1857" t="str">
            <v>Cesar David Perez Garrido</v>
          </cell>
        </row>
        <row r="1858">
          <cell r="F1858">
            <v>315697</v>
          </cell>
          <cell r="G1858" t="str">
            <v xml:space="preserve">Karen Dayana Xiquin Sanchez </v>
          </cell>
        </row>
        <row r="1859">
          <cell r="F1859">
            <v>315946</v>
          </cell>
          <cell r="G1859" t="str">
            <v xml:space="preserve"> MANUEL ADAN SURUY JIMENEZ</v>
          </cell>
        </row>
        <row r="1860">
          <cell r="F1860">
            <v>315784</v>
          </cell>
          <cell r="G1860" t="str">
            <v xml:space="preserve">JORGE MARIO SIC </v>
          </cell>
        </row>
        <row r="1861">
          <cell r="F1861">
            <v>316001</v>
          </cell>
          <cell r="G1861" t="str">
            <v>WENDY DANIELA CAMEY MATEO</v>
          </cell>
        </row>
        <row r="1862">
          <cell r="F1862">
            <v>315777</v>
          </cell>
          <cell r="G1862" t="str">
            <v>Jonatan Mauricio Padilla Marroquin</v>
          </cell>
        </row>
        <row r="1863">
          <cell r="F1863">
            <v>315699</v>
          </cell>
          <cell r="G1863" t="str">
            <v>Gualfer Orlando Dieguez Ibanez</v>
          </cell>
        </row>
        <row r="1864">
          <cell r="F1864">
            <v>315994</v>
          </cell>
          <cell r="G1864" t="str">
            <v>Edwin Wilfredo Pineda Giron</v>
          </cell>
        </row>
        <row r="1865">
          <cell r="F1865">
            <v>315766</v>
          </cell>
          <cell r="G1865" t="str">
            <v>Edgar Omar de Jesus Andrade Monterroso</v>
          </cell>
        </row>
        <row r="1866">
          <cell r="F1866">
            <v>315987</v>
          </cell>
          <cell r="G1866" t="str">
            <v>FRANCISCO DANIEL ARGUETA RAMIREZ</v>
          </cell>
        </row>
        <row r="1867">
          <cell r="F1867">
            <v>316208</v>
          </cell>
          <cell r="G1867" t="str">
            <v>LEYCER ULICES CANA ANDRADE</v>
          </cell>
        </row>
        <row r="1868">
          <cell r="F1868">
            <v>316193</v>
          </cell>
          <cell r="G1868" t="str">
            <v>Maria de Lourdes Leb Nij</v>
          </cell>
        </row>
        <row r="1869">
          <cell r="F1869">
            <v>316176</v>
          </cell>
          <cell r="G1869" t="str">
            <v>ROSA ANGELICA ZURDO GONZALEZ</v>
          </cell>
        </row>
        <row r="1870">
          <cell r="F1870">
            <v>316293</v>
          </cell>
          <cell r="G1870" t="str">
            <v>LUCIO MOISES CHAVEZ CHAVEZ</v>
          </cell>
        </row>
        <row r="1871">
          <cell r="F1871">
            <v>316090</v>
          </cell>
          <cell r="G1871" t="str">
            <v>ASTRID SUCELY VELIZ CAAL</v>
          </cell>
        </row>
        <row r="1872">
          <cell r="F1872">
            <v>316057</v>
          </cell>
          <cell r="G1872" t="str">
            <v>ROGELIO ARMANDO ACEITUNO HERRERA</v>
          </cell>
        </row>
        <row r="1873">
          <cell r="F1873">
            <v>315962</v>
          </cell>
          <cell r="G1873" t="str">
            <v>Jennifer Celeste Delgado Garcia</v>
          </cell>
        </row>
        <row r="1874">
          <cell r="F1874">
            <v>316237</v>
          </cell>
          <cell r="G1874" t="str">
            <v>MARIA DEL ROSARIO ESPINOZA CRUZ</v>
          </cell>
        </row>
        <row r="1875">
          <cell r="F1875">
            <v>316054</v>
          </cell>
          <cell r="G1875" t="str">
            <v>Kevin Steve Barrera Galicia</v>
          </cell>
        </row>
        <row r="1876">
          <cell r="F1876">
            <v>315734</v>
          </cell>
          <cell r="G1876" t="str">
            <v>DULCE MARINA LOPEZ SOLIS</v>
          </cell>
        </row>
        <row r="1877">
          <cell r="F1877">
            <v>316098</v>
          </cell>
          <cell r="G1877" t="str">
            <v>KARLA ALEJANDRA CHAVEZ PEÑA</v>
          </cell>
        </row>
        <row r="1878">
          <cell r="F1878">
            <v>315679</v>
          </cell>
          <cell r="G1878" t="str">
            <v>ANGELA XIOMARA PONCIANO GONZALEZ</v>
          </cell>
        </row>
        <row r="1879">
          <cell r="F1879">
            <v>315769</v>
          </cell>
          <cell r="G1879" t="str">
            <v>URIAS VENANCIO LOPEZ COTON</v>
          </cell>
        </row>
        <row r="1880">
          <cell r="F1880">
            <v>316174</v>
          </cell>
          <cell r="G1880" t="str">
            <v>ENRIQUE ALFONSO LOPEZ RAMREZ</v>
          </cell>
        </row>
        <row r="1881">
          <cell r="F1881">
            <v>316152</v>
          </cell>
          <cell r="G1881" t="str">
            <v>Yenica Limni López Sebastian</v>
          </cell>
        </row>
        <row r="1882">
          <cell r="F1882">
            <v>315882</v>
          </cell>
          <cell r="G1882" t="str">
            <v>RUTH ANAI GOMEZ RAMIREZ</v>
          </cell>
        </row>
        <row r="1883">
          <cell r="F1883">
            <v>316241</v>
          </cell>
          <cell r="G1883" t="str">
            <v>ALLAN ESMAYLIN CABRERA PEREZ</v>
          </cell>
        </row>
        <row r="1884">
          <cell r="F1884">
            <v>315651</v>
          </cell>
          <cell r="G1884" t="str">
            <v>WALTER EDUARDO RODAS RIOS</v>
          </cell>
        </row>
        <row r="1885">
          <cell r="F1885">
            <v>316011</v>
          </cell>
          <cell r="G1885" t="str">
            <v>KEVIN MAUEL PEREZ OROZCO</v>
          </cell>
        </row>
        <row r="1886">
          <cell r="F1886">
            <v>316263</v>
          </cell>
          <cell r="G1886" t="str">
            <v>LUIS FERNANDO LOPEZ VASQUEZ</v>
          </cell>
        </row>
        <row r="1887">
          <cell r="F1887">
            <v>315661</v>
          </cell>
          <cell r="G1887" t="str">
            <v>MIGUEL ANGEL MENDEZ JUAREZ</v>
          </cell>
        </row>
        <row r="1888">
          <cell r="F1888">
            <v>316060</v>
          </cell>
          <cell r="G1888" t="str">
            <v>CARLOS ENRIQUE SOSA HERNANDEZ</v>
          </cell>
        </row>
        <row r="1889">
          <cell r="F1889">
            <v>315992</v>
          </cell>
          <cell r="G1889" t="str">
            <v>LISBETH VICTORIA GARCIA</v>
          </cell>
        </row>
        <row r="1890">
          <cell r="F1890">
            <v>316191</v>
          </cell>
          <cell r="G1890" t="str">
            <v>Katerin Mishel Acosta Lobos</v>
          </cell>
        </row>
        <row r="1891">
          <cell r="F1891">
            <v>316294</v>
          </cell>
          <cell r="G1891" t="str">
            <v>Carmen Fernanda Ramos Jimenez</v>
          </cell>
        </row>
        <row r="1892">
          <cell r="F1892">
            <v>90012428</v>
          </cell>
          <cell r="G1892" t="str">
            <v>Lesly Alejandra Urbina Chojolan</v>
          </cell>
        </row>
        <row r="1893">
          <cell r="F1893">
            <v>90013944</v>
          </cell>
          <cell r="G1893" t="str">
            <v>KARLA ROSARIO MARTINEZ SOTO</v>
          </cell>
        </row>
        <row r="1894">
          <cell r="F1894">
            <v>316240</v>
          </cell>
          <cell r="G1894" t="str">
            <v>WILMER GUILLERMO PEREZ CHAY</v>
          </cell>
        </row>
        <row r="1895">
          <cell r="F1895">
            <v>90014151</v>
          </cell>
          <cell r="G1895" t="str">
            <v>ANDERSON NOE MORALES MARROQUIN</v>
          </cell>
        </row>
        <row r="1896">
          <cell r="F1896">
            <v>90013720</v>
          </cell>
          <cell r="G1896" t="str">
            <v>OBED DANIEL RAMIREZ FUENTES</v>
          </cell>
        </row>
        <row r="1897">
          <cell r="F1897">
            <v>90012315</v>
          </cell>
          <cell r="G1897" t="str">
            <v>Lorenzo Antonio Herrera Tobar</v>
          </cell>
        </row>
        <row r="1898">
          <cell r="F1898">
            <v>90013833</v>
          </cell>
          <cell r="G1898" t="str">
            <v>Melane Alejandra Contreras Sicajan</v>
          </cell>
        </row>
        <row r="1899">
          <cell r="F1899">
            <v>90018997</v>
          </cell>
          <cell r="G1899" t="str">
            <v>Daniel Uvaldo Barreno Meneses</v>
          </cell>
        </row>
        <row r="1900">
          <cell r="F1900">
            <v>90014269</v>
          </cell>
          <cell r="G1900" t="str">
            <v>Lusvin Ariel Villacinda Flores</v>
          </cell>
        </row>
        <row r="1901">
          <cell r="F1901" t="str">
            <v>N/A</v>
          </cell>
          <cell r="G1901" t="str">
            <v>N/A</v>
          </cell>
        </row>
        <row r="1902">
          <cell r="F1902">
            <v>90014281</v>
          </cell>
          <cell r="G1902" t="str">
            <v>MARIO EMANUEL DE JESUS MENDOZA</v>
          </cell>
        </row>
        <row r="1903">
          <cell r="F1903">
            <v>90019660</v>
          </cell>
          <cell r="G1903" t="str">
            <v>MONICA ILDUARA LIMA</v>
          </cell>
        </row>
        <row r="1904">
          <cell r="F1904">
            <v>90018838</v>
          </cell>
          <cell r="G1904" t="str">
            <v>PERLA ESPERANZA ORDONEZ ZULETA</v>
          </cell>
        </row>
        <row r="1905">
          <cell r="F1905">
            <v>90013719</v>
          </cell>
          <cell r="G1905" t="str">
            <v>MONICA CAROLINA LIMA CIFUENTES</v>
          </cell>
        </row>
        <row r="1906">
          <cell r="F1906">
            <v>90019011</v>
          </cell>
          <cell r="G1906" t="str">
            <v>ANGEL JOEL CASTRO COSAJAY</v>
          </cell>
        </row>
        <row r="1907">
          <cell r="F1907">
            <v>90019588</v>
          </cell>
          <cell r="G1907" t="str">
            <v>SANDRA MARIELA LÓPEZ MARROQUÍN</v>
          </cell>
        </row>
        <row r="1908">
          <cell r="F1908">
            <v>90019689</v>
          </cell>
          <cell r="G1908" t="str">
            <v xml:space="preserve">HELEN YADIRA DE LEON QUIÑONEZ </v>
          </cell>
        </row>
        <row r="1909">
          <cell r="F1909">
            <v>90024021</v>
          </cell>
          <cell r="G1909" t="str">
            <v>MANUEL MEJIA AYERDI</v>
          </cell>
        </row>
        <row r="1910">
          <cell r="F1910">
            <v>90013782</v>
          </cell>
          <cell r="G1910" t="str">
            <v>Williams Jose Galvez Jordan</v>
          </cell>
        </row>
        <row r="1911">
          <cell r="F1911">
            <v>90024411</v>
          </cell>
          <cell r="G1911" t="str">
            <v>DINA ELIZABETH GARRIDO ALVAREZ</v>
          </cell>
        </row>
        <row r="1912">
          <cell r="F1912">
            <v>90024370</v>
          </cell>
          <cell r="G1912" t="str">
            <v>Marilin Yasmin Godoy Morataya</v>
          </cell>
        </row>
        <row r="1913">
          <cell r="F1913">
            <v>90024235</v>
          </cell>
          <cell r="G1913" t="str">
            <v>JASON ALBERTO BOLAÑOS GUTIERREZ</v>
          </cell>
        </row>
        <row r="1914">
          <cell r="F1914">
            <v>90028187</v>
          </cell>
          <cell r="G1914" t="str">
            <v>MIRELLI RAMIREZ GARCIA</v>
          </cell>
        </row>
        <row r="1915">
          <cell r="F1915">
            <v>90025289</v>
          </cell>
          <cell r="G1915" t="str">
            <v>DIEGO ALEJANDRO DONIS JUAREZ</v>
          </cell>
        </row>
        <row r="1916">
          <cell r="F1916">
            <v>90028608</v>
          </cell>
          <cell r="G1916" t="str">
            <v>ERLIN ROBERTO XEC ANGULO</v>
          </cell>
        </row>
        <row r="1917">
          <cell r="F1917">
            <v>90028491</v>
          </cell>
          <cell r="G1917" t="str">
            <v xml:space="preserve">ADOLFO RAFAEL SEGOVIA QUEZADA </v>
          </cell>
        </row>
        <row r="1918">
          <cell r="F1918">
            <v>90024419</v>
          </cell>
          <cell r="G1918" t="str">
            <v>HELEN JASSMIN REYES PALACIOS</v>
          </cell>
        </row>
        <row r="1919">
          <cell r="F1919">
            <v>90028606</v>
          </cell>
          <cell r="G1919" t="str">
            <v>Laura Angelica Lux Tzunun</v>
          </cell>
        </row>
        <row r="1920">
          <cell r="F1920">
            <v>90028496</v>
          </cell>
          <cell r="G1920" t="str">
            <v>SORAYDA BETZAI CHAVEZ</v>
          </cell>
        </row>
        <row r="1921">
          <cell r="F1921">
            <v>90024632</v>
          </cell>
          <cell r="G1921" t="str">
            <v xml:space="preserve">ERICKA SANDOVAL </v>
          </cell>
        </row>
        <row r="1922">
          <cell r="F1922">
            <v>90025666</v>
          </cell>
          <cell r="G1922" t="str">
            <v>PAULY MARTINA TOJ</v>
          </cell>
        </row>
        <row r="1923">
          <cell r="F1923">
            <v>90027918</v>
          </cell>
          <cell r="G1923" t="str">
            <v>GERBER ALEXANDER SAGUACHE BENITO</v>
          </cell>
        </row>
        <row r="1924">
          <cell r="F1924">
            <v>90027845</v>
          </cell>
          <cell r="G1924" t="str">
            <v>SHIRLEY DAYANA RAMIREZ GALLARDO</v>
          </cell>
        </row>
        <row r="1925">
          <cell r="F1925">
            <v>90027868</v>
          </cell>
          <cell r="G1925" t="str">
            <v>ASHLY ANABELLA RAYMUNDO GONZALEZ</v>
          </cell>
        </row>
        <row r="1926">
          <cell r="F1926">
            <v>90028292</v>
          </cell>
          <cell r="G1926" t="str">
            <v>JULISSA CRISTIANY ESCOBAR ACEITUNO</v>
          </cell>
        </row>
        <row r="1927">
          <cell r="F1927">
            <v>90025620</v>
          </cell>
          <cell r="G1927" t="str">
            <v>ANA LUISA JIMENEZ CORADO</v>
          </cell>
        </row>
        <row r="1928">
          <cell r="F1928">
            <v>315856</v>
          </cell>
          <cell r="G1928" t="str">
            <v>TERESA CAROLINA PRIMERO JALAL</v>
          </cell>
        </row>
        <row r="1929">
          <cell r="F1929">
            <v>316023</v>
          </cell>
          <cell r="G1929" t="str">
            <v>MARIA ANGELICA TRUJILLO CORONADO DE ANDRADE</v>
          </cell>
        </row>
        <row r="1930">
          <cell r="F1930">
            <v>315925</v>
          </cell>
          <cell r="G1930" t="str">
            <v>JOSTHYN RAUL PARDO OBREGON</v>
          </cell>
        </row>
        <row r="1931">
          <cell r="F1931">
            <v>315841</v>
          </cell>
          <cell r="G1931" t="str">
            <v>LESBIA ROXANA ROJAS CASTRO</v>
          </cell>
        </row>
        <row r="1932">
          <cell r="F1932">
            <v>90067339</v>
          </cell>
          <cell r="G1932" t="str">
            <v>Basty Yolanda Perez Ambrocio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O 2026"/>
      <sheetName val="Datos"/>
    </sheetNames>
    <sheetDataSet>
      <sheetData sheetId="0" refreshError="1"/>
      <sheetData sheetId="1">
        <row r="1">
          <cell r="F1" t="str">
            <v>Codigo Empleado</v>
          </cell>
          <cell r="G1" t="str">
            <v>Nombre Empleado</v>
          </cell>
        </row>
        <row r="2">
          <cell r="F2">
            <v>314692</v>
          </cell>
          <cell r="G2" t="str">
            <v>Abi Susana Santos Alvarado</v>
          </cell>
        </row>
        <row r="3">
          <cell r="F3">
            <v>313537</v>
          </cell>
          <cell r="G3" t="str">
            <v>Abigail Nohemi Letona Lopez</v>
          </cell>
        </row>
        <row r="4">
          <cell r="F4">
            <v>314163</v>
          </cell>
          <cell r="G4" t="str">
            <v>Abner Amilcar Miguel Pedro</v>
          </cell>
        </row>
        <row r="5">
          <cell r="F5">
            <v>300544</v>
          </cell>
          <cell r="G5" t="str">
            <v>Abner Enmanuel Perez Rodriguez</v>
          </cell>
        </row>
        <row r="6">
          <cell r="F6">
            <v>315208</v>
          </cell>
          <cell r="G6" t="str">
            <v>Abner Juan Alexander Menchu Tiu</v>
          </cell>
        </row>
        <row r="7">
          <cell r="F7">
            <v>315069</v>
          </cell>
          <cell r="G7" t="str">
            <v>Abner Rocael Sosa Escobar</v>
          </cell>
        </row>
        <row r="8">
          <cell r="F8">
            <v>310864</v>
          </cell>
          <cell r="G8" t="str">
            <v>Adelaida Garcia Hernandez</v>
          </cell>
        </row>
        <row r="9">
          <cell r="F9">
            <v>314604</v>
          </cell>
          <cell r="G9" t="str">
            <v>Adieny Moren Ramirez Gamboa</v>
          </cell>
        </row>
        <row r="10">
          <cell r="F10">
            <v>311687</v>
          </cell>
          <cell r="G10" t="str">
            <v>Aida Gabriela De Leon Carrascoza</v>
          </cell>
        </row>
        <row r="11">
          <cell r="F11">
            <v>315221</v>
          </cell>
          <cell r="G11" t="str">
            <v>Alan David Perez Muyus</v>
          </cell>
        </row>
        <row r="12">
          <cell r="F12">
            <v>311950</v>
          </cell>
          <cell r="G12" t="str">
            <v>Alan Javier Castillo Ordoñez</v>
          </cell>
        </row>
        <row r="13">
          <cell r="F13">
            <v>313765</v>
          </cell>
          <cell r="G13" t="str">
            <v>Alan Ricardo Flores Diaz</v>
          </cell>
        </row>
        <row r="14">
          <cell r="F14">
            <v>312686</v>
          </cell>
          <cell r="G14" t="str">
            <v>Alba Azucena Santeliz Marin</v>
          </cell>
        </row>
        <row r="15">
          <cell r="F15">
            <v>313531</v>
          </cell>
          <cell r="G15" t="str">
            <v>Alejandra Gramajo Marroquin</v>
          </cell>
        </row>
        <row r="16">
          <cell r="F16">
            <v>313714</v>
          </cell>
          <cell r="G16" t="str">
            <v>Alejandra Julissa Solis Aguilar</v>
          </cell>
        </row>
        <row r="17">
          <cell r="F17">
            <v>313994</v>
          </cell>
          <cell r="G17" t="str">
            <v>Alejandra Naime Muñoz Letona</v>
          </cell>
        </row>
        <row r="18">
          <cell r="F18">
            <v>314849</v>
          </cell>
          <cell r="G18" t="str">
            <v>Alejandro Enrique Mejicanos Ramos</v>
          </cell>
        </row>
        <row r="19">
          <cell r="F19">
            <v>315220</v>
          </cell>
          <cell r="G19" t="str">
            <v>Alejandro Jose Mont Diaz</v>
          </cell>
        </row>
        <row r="20">
          <cell r="F20">
            <v>311810</v>
          </cell>
          <cell r="G20" t="str">
            <v>Alexander Macario Gonzalez Monterroso</v>
          </cell>
        </row>
        <row r="21">
          <cell r="F21">
            <v>300907</v>
          </cell>
          <cell r="G21" t="str">
            <v>Alexangel Quan Urrutia</v>
          </cell>
        </row>
        <row r="22">
          <cell r="F22">
            <v>312962</v>
          </cell>
          <cell r="G22" t="str">
            <v>Alexia Paola Marroquin Lopez</v>
          </cell>
        </row>
        <row r="23">
          <cell r="F23">
            <v>314671</v>
          </cell>
          <cell r="G23" t="str">
            <v>Alexsandra Daniela Cano Garcia</v>
          </cell>
        </row>
        <row r="24">
          <cell r="F24">
            <v>311103</v>
          </cell>
          <cell r="G24" t="str">
            <v>Alfredo Chiyal Bocel</v>
          </cell>
        </row>
        <row r="25">
          <cell r="F25">
            <v>311576</v>
          </cell>
          <cell r="G25" t="str">
            <v>Alfredo Gomez Lancerio</v>
          </cell>
        </row>
        <row r="26">
          <cell r="F26">
            <v>313014</v>
          </cell>
          <cell r="G26" t="str">
            <v>Alfredo Monsanto Santos</v>
          </cell>
        </row>
        <row r="27">
          <cell r="F27">
            <v>315223</v>
          </cell>
          <cell r="G27" t="str">
            <v>Alicia Magaly Juarez Quiacain</v>
          </cell>
        </row>
        <row r="28">
          <cell r="F28">
            <v>314035</v>
          </cell>
          <cell r="G28" t="str">
            <v>Alisson Andrea Jacobo Castro</v>
          </cell>
        </row>
        <row r="29">
          <cell r="F29">
            <v>315214</v>
          </cell>
          <cell r="G29" t="str">
            <v>Allan David Galdamez De Leon</v>
          </cell>
        </row>
        <row r="30">
          <cell r="F30">
            <v>306902</v>
          </cell>
          <cell r="G30" t="str">
            <v>Allan Kalleb Garcia Cahuex</v>
          </cell>
        </row>
        <row r="31">
          <cell r="F31">
            <v>315434</v>
          </cell>
          <cell r="G31" t="str">
            <v>Alma Carolina Herrera Pirir</v>
          </cell>
        </row>
        <row r="32">
          <cell r="F32">
            <v>315280</v>
          </cell>
          <cell r="G32" t="str">
            <v>Alma Rosa Valle Blandon</v>
          </cell>
        </row>
        <row r="33">
          <cell r="F33">
            <v>302247</v>
          </cell>
          <cell r="G33" t="str">
            <v>Alma Yecenia Ramon Oroxon</v>
          </cell>
        </row>
        <row r="34">
          <cell r="F34">
            <v>310433</v>
          </cell>
          <cell r="G34" t="str">
            <v>Alma Zucely Sarceño Peralta</v>
          </cell>
        </row>
        <row r="35">
          <cell r="F35">
            <v>313286</v>
          </cell>
          <cell r="G35" t="str">
            <v>Alvaro Fernando Acte Mérida</v>
          </cell>
        </row>
        <row r="36">
          <cell r="F36">
            <v>313119</v>
          </cell>
          <cell r="G36" t="str">
            <v>Alvaro Luis Carias Gonzalez</v>
          </cell>
        </row>
        <row r="37">
          <cell r="F37">
            <v>313528</v>
          </cell>
          <cell r="G37" t="str">
            <v>Amairani Lilibeth Escobar Maquin</v>
          </cell>
        </row>
        <row r="38">
          <cell r="F38">
            <v>309338</v>
          </cell>
          <cell r="G38" t="str">
            <v>Amalia Rebeca Son Juarez</v>
          </cell>
        </row>
        <row r="39">
          <cell r="F39">
            <v>309664</v>
          </cell>
          <cell r="G39" t="str">
            <v>Amarilis Sarita Ajtun Lopez</v>
          </cell>
        </row>
        <row r="40">
          <cell r="F40">
            <v>309337</v>
          </cell>
          <cell r="G40" t="str">
            <v>Amauri Santillano Catalan</v>
          </cell>
        </row>
        <row r="41">
          <cell r="F41">
            <v>315553</v>
          </cell>
          <cell r="G41" t="str">
            <v>Amed Isram Rodas Garcia</v>
          </cell>
        </row>
        <row r="42">
          <cell r="F42">
            <v>301503</v>
          </cell>
          <cell r="G42" t="str">
            <v>America Romilia Martinez Ramirez</v>
          </cell>
        </row>
        <row r="43">
          <cell r="F43">
            <v>311055</v>
          </cell>
          <cell r="G43" t="str">
            <v>Amram Dodanim Lopez Cahuec</v>
          </cell>
        </row>
        <row r="44">
          <cell r="F44">
            <v>307790</v>
          </cell>
          <cell r="G44" t="str">
            <v>Ana Cecilia Navichoc Chiquival</v>
          </cell>
        </row>
        <row r="45">
          <cell r="F45">
            <v>315044</v>
          </cell>
          <cell r="G45" t="str">
            <v>Ana Celeste Garcia Garcia</v>
          </cell>
        </row>
        <row r="46">
          <cell r="F46">
            <v>309527</v>
          </cell>
          <cell r="G46" t="str">
            <v>Ana Gabriela Caal Cruz</v>
          </cell>
        </row>
        <row r="47">
          <cell r="F47">
            <v>313217</v>
          </cell>
          <cell r="G47" t="str">
            <v>Ana Gabriela Damian Ixbalan</v>
          </cell>
        </row>
        <row r="48">
          <cell r="F48">
            <v>305932</v>
          </cell>
          <cell r="G48" t="str">
            <v>Ana Gabriela De La Cruz Aguilar</v>
          </cell>
        </row>
        <row r="49">
          <cell r="F49">
            <v>314984</v>
          </cell>
          <cell r="G49" t="str">
            <v>Ana Gabriela Equite Diaz</v>
          </cell>
        </row>
        <row r="50">
          <cell r="F50">
            <v>307751</v>
          </cell>
          <cell r="G50" t="str">
            <v>Ana Gabriela Gonzalez Herrera</v>
          </cell>
        </row>
        <row r="51">
          <cell r="F51">
            <v>310329</v>
          </cell>
          <cell r="G51" t="str">
            <v>Ana Leticia Lux Say</v>
          </cell>
        </row>
        <row r="52">
          <cell r="F52">
            <v>311761</v>
          </cell>
          <cell r="G52" t="str">
            <v>Ana Lourdes Muñoz Pensamiento</v>
          </cell>
        </row>
        <row r="53">
          <cell r="F53">
            <v>311111</v>
          </cell>
          <cell r="G53" t="str">
            <v>Ana Lucia Donis Franco</v>
          </cell>
        </row>
        <row r="54">
          <cell r="F54">
            <v>313991</v>
          </cell>
          <cell r="G54" t="str">
            <v>Ana Lucia Gudiel Vasquez</v>
          </cell>
        </row>
        <row r="55">
          <cell r="F55">
            <v>307442</v>
          </cell>
          <cell r="G55" t="str">
            <v>Ana Lucia Ramirez Aquino</v>
          </cell>
        </row>
        <row r="56">
          <cell r="F56">
            <v>306767</v>
          </cell>
          <cell r="G56" t="str">
            <v>Ana Marcela Castillo Rodriguez</v>
          </cell>
        </row>
        <row r="57">
          <cell r="F57">
            <v>312249</v>
          </cell>
          <cell r="G57" t="str">
            <v>Ana Margarita Barrera Estrada</v>
          </cell>
        </row>
        <row r="58">
          <cell r="F58">
            <v>202795</v>
          </cell>
          <cell r="G58" t="str">
            <v>Ana Maria Barrios Alejos</v>
          </cell>
        </row>
        <row r="59">
          <cell r="F59">
            <v>315474</v>
          </cell>
          <cell r="G59" t="str">
            <v>Ana Merced Arriola Gomez</v>
          </cell>
        </row>
        <row r="60">
          <cell r="F60">
            <v>308129</v>
          </cell>
          <cell r="G60" t="str">
            <v>Ana Mercedes Tiul Caal</v>
          </cell>
        </row>
        <row r="61">
          <cell r="F61">
            <v>314191</v>
          </cell>
          <cell r="G61" t="str">
            <v>Ana Patricia Escobar Cardona</v>
          </cell>
        </row>
        <row r="62">
          <cell r="F62">
            <v>310191</v>
          </cell>
          <cell r="G62" t="str">
            <v>Ana Paulina Macario Del Cid</v>
          </cell>
        </row>
        <row r="63">
          <cell r="F63">
            <v>310728</v>
          </cell>
          <cell r="G63" t="str">
            <v>Ana Rita Morales Mata</v>
          </cell>
        </row>
        <row r="64">
          <cell r="F64">
            <v>314469</v>
          </cell>
          <cell r="G64" t="str">
            <v>Ana Sofia Castillo Armas</v>
          </cell>
        </row>
        <row r="65">
          <cell r="F65">
            <v>312945</v>
          </cell>
          <cell r="G65" t="str">
            <v>Ana Victoria Gonzalez Garcia</v>
          </cell>
        </row>
        <row r="66">
          <cell r="F66">
            <v>314019</v>
          </cell>
          <cell r="G66" t="str">
            <v>Anali Guadalupe Salazar Rodriguez</v>
          </cell>
        </row>
        <row r="67">
          <cell r="F67">
            <v>315372</v>
          </cell>
          <cell r="G67" t="str">
            <v>Andrea Ayalett Ochoa Lopez</v>
          </cell>
        </row>
        <row r="68">
          <cell r="F68">
            <v>311505</v>
          </cell>
          <cell r="G68" t="str">
            <v>Andrea Dayana Ordoñez Mendez</v>
          </cell>
        </row>
        <row r="69">
          <cell r="F69">
            <v>315215</v>
          </cell>
          <cell r="G69" t="str">
            <v>Andrea Fernanda Villela Hernandez</v>
          </cell>
        </row>
        <row r="70">
          <cell r="F70">
            <v>311380</v>
          </cell>
          <cell r="G70" t="str">
            <v>Andrea Lisbeth Ruiz Rodas</v>
          </cell>
        </row>
        <row r="71">
          <cell r="F71">
            <v>311137</v>
          </cell>
          <cell r="G71" t="str">
            <v>Andrea Lucia Lopez Ajin</v>
          </cell>
        </row>
        <row r="72">
          <cell r="F72">
            <v>303012</v>
          </cell>
          <cell r="G72" t="str">
            <v>Andrea Marbely Letran Juarez</v>
          </cell>
        </row>
        <row r="73">
          <cell r="F73">
            <v>315264</v>
          </cell>
          <cell r="G73" t="str">
            <v>Andrea Margarita Gomez Morales</v>
          </cell>
        </row>
        <row r="74">
          <cell r="F74">
            <v>302630</v>
          </cell>
          <cell r="G74" t="str">
            <v>Andrea Maria Alvarez Calderon</v>
          </cell>
        </row>
        <row r="75">
          <cell r="F75">
            <v>314057</v>
          </cell>
          <cell r="G75" t="str">
            <v>Andrea Michelle Urbina Solorzano</v>
          </cell>
        </row>
        <row r="76">
          <cell r="F76">
            <v>312310</v>
          </cell>
          <cell r="G76" t="str">
            <v>Andrea Paola Santisteban Per</v>
          </cell>
        </row>
        <row r="77">
          <cell r="F77">
            <v>311079</v>
          </cell>
          <cell r="G77" t="str">
            <v>Andrea Sucely Ortiz Villavicencio</v>
          </cell>
        </row>
        <row r="78">
          <cell r="F78">
            <v>311759</v>
          </cell>
          <cell r="G78" t="str">
            <v>Andrea Yesenia Carpio Ramirez</v>
          </cell>
        </row>
        <row r="79">
          <cell r="F79">
            <v>313301</v>
          </cell>
          <cell r="G79" t="str">
            <v>Andreina Antonieta Velasquez Fuentes</v>
          </cell>
        </row>
        <row r="80">
          <cell r="F80">
            <v>315450</v>
          </cell>
          <cell r="G80" t="str">
            <v>Andreina Nataly Canahui Ochoa</v>
          </cell>
        </row>
        <row r="81">
          <cell r="F81">
            <v>314933</v>
          </cell>
          <cell r="G81" t="str">
            <v>Angel Eliu Humberto Caal Lopez</v>
          </cell>
        </row>
        <row r="82">
          <cell r="F82">
            <v>306471</v>
          </cell>
          <cell r="G82" t="str">
            <v>Angel Enmanuel Quim Macz</v>
          </cell>
        </row>
        <row r="83">
          <cell r="F83">
            <v>309415</v>
          </cell>
          <cell r="G83" t="str">
            <v>Angel Jose Figueroa Garcia</v>
          </cell>
        </row>
        <row r="84">
          <cell r="F84">
            <v>315312</v>
          </cell>
          <cell r="G84" t="str">
            <v>Angel Josue Ortiz De Leon</v>
          </cell>
        </row>
        <row r="85">
          <cell r="F85">
            <v>305814</v>
          </cell>
          <cell r="G85" t="str">
            <v>Angel Josue Perez Rivera</v>
          </cell>
        </row>
        <row r="86">
          <cell r="F86">
            <v>314564</v>
          </cell>
          <cell r="G86" t="str">
            <v>Angel Raderyk Vasquez Ovando</v>
          </cell>
        </row>
        <row r="87">
          <cell r="F87">
            <v>312055</v>
          </cell>
          <cell r="G87" t="str">
            <v>Angela Daniela Mazariegos Herrera</v>
          </cell>
        </row>
        <row r="88">
          <cell r="F88">
            <v>311086</v>
          </cell>
          <cell r="G88" t="str">
            <v>Angela Esmeralda Reyes Arriaza</v>
          </cell>
        </row>
        <row r="89">
          <cell r="F89">
            <v>309859</v>
          </cell>
          <cell r="G89" t="str">
            <v>Angela Ester Gramajo Galicia</v>
          </cell>
        </row>
        <row r="90">
          <cell r="F90">
            <v>315026</v>
          </cell>
          <cell r="G90" t="str">
            <v>Angela Marizol Ramon Escobar</v>
          </cell>
        </row>
        <row r="91">
          <cell r="F91">
            <v>314696</v>
          </cell>
          <cell r="G91" t="str">
            <v>Angelica Sol Ortiz</v>
          </cell>
        </row>
        <row r="92">
          <cell r="F92">
            <v>311699</v>
          </cell>
          <cell r="G92" t="str">
            <v>Anika Beira Domingo Escobar</v>
          </cell>
        </row>
        <row r="93">
          <cell r="F93">
            <v>315556</v>
          </cell>
          <cell r="G93" t="str">
            <v>Anthony Enrique Castellanos Perez</v>
          </cell>
        </row>
        <row r="94">
          <cell r="F94">
            <v>315121</v>
          </cell>
          <cell r="G94" t="str">
            <v>Antoni Alexis Del Cid Sian</v>
          </cell>
        </row>
        <row r="95">
          <cell r="F95">
            <v>311557</v>
          </cell>
          <cell r="G95" t="str">
            <v>Aracely Nohemy Fuentes Alonzo</v>
          </cell>
        </row>
        <row r="96">
          <cell r="F96">
            <v>102256</v>
          </cell>
          <cell r="G96" t="str">
            <v>Arelis Noemi Gonzalez Vivar</v>
          </cell>
        </row>
        <row r="97">
          <cell r="F97">
            <v>315150</v>
          </cell>
          <cell r="G97" t="str">
            <v>Arely Maoly Aguilar Y Aguilar</v>
          </cell>
        </row>
        <row r="98">
          <cell r="F98">
            <v>309908</v>
          </cell>
          <cell r="G98" t="str">
            <v>Arleth Julissa Paredez Ramirez</v>
          </cell>
        </row>
        <row r="99">
          <cell r="F99">
            <v>315532</v>
          </cell>
          <cell r="G99" t="str">
            <v>Ashley Dayana Franco Sandoval</v>
          </cell>
        </row>
        <row r="100">
          <cell r="F100">
            <v>315493</v>
          </cell>
          <cell r="G100" t="str">
            <v>Astrid Carolina Lopez Lopez</v>
          </cell>
        </row>
        <row r="101">
          <cell r="F101">
            <v>310020</v>
          </cell>
          <cell r="G101" t="str">
            <v>Astrid Elena Alvarado Lopez</v>
          </cell>
        </row>
        <row r="102">
          <cell r="F102">
            <v>315277</v>
          </cell>
          <cell r="G102" t="str">
            <v>Astrid Guadalupe Fernandez Perez</v>
          </cell>
        </row>
        <row r="103">
          <cell r="F103">
            <v>310483</v>
          </cell>
          <cell r="G103" t="str">
            <v>Astrid Ivone Hernandez</v>
          </cell>
        </row>
        <row r="104">
          <cell r="F104">
            <v>309804</v>
          </cell>
          <cell r="G104" t="str">
            <v>Astrid Leonela Barrios Velasquez</v>
          </cell>
        </row>
        <row r="105">
          <cell r="F105">
            <v>312146</v>
          </cell>
          <cell r="G105" t="str">
            <v>Astrid Lisbeth Morales Morales</v>
          </cell>
        </row>
        <row r="106">
          <cell r="F106">
            <v>310967</v>
          </cell>
          <cell r="G106" t="str">
            <v>Astrid Marielena Mendez Garcia</v>
          </cell>
        </row>
        <row r="107">
          <cell r="F107">
            <v>311328</v>
          </cell>
          <cell r="G107" t="str">
            <v>Astrid Yohana Escobar Oliva</v>
          </cell>
        </row>
        <row r="108">
          <cell r="F108">
            <v>314277</v>
          </cell>
          <cell r="G108" t="str">
            <v>Aura Josefina Coy Tiul</v>
          </cell>
        </row>
        <row r="109">
          <cell r="F109">
            <v>202265</v>
          </cell>
          <cell r="G109" t="str">
            <v>Aura Leticia Aparicio Marin</v>
          </cell>
        </row>
        <row r="110">
          <cell r="F110">
            <v>314986</v>
          </cell>
          <cell r="G110" t="str">
            <v>Aura Lourdes Garcia Gomez</v>
          </cell>
        </row>
        <row r="111">
          <cell r="F111">
            <v>314350</v>
          </cell>
          <cell r="G111" t="str">
            <v>Aura Mirthala Castillo Castillo</v>
          </cell>
        </row>
        <row r="112">
          <cell r="F112">
            <v>313666</v>
          </cell>
          <cell r="G112" t="str">
            <v>Avner Josue Merida Molina</v>
          </cell>
        </row>
        <row r="113">
          <cell r="F113">
            <v>315388</v>
          </cell>
          <cell r="G113" t="str">
            <v>Axel Anderson Montufar Roca</v>
          </cell>
        </row>
        <row r="114">
          <cell r="F114">
            <v>314730</v>
          </cell>
          <cell r="G114" t="str">
            <v>Axel Denilson Hernandez Tocay</v>
          </cell>
        </row>
        <row r="115">
          <cell r="F115">
            <v>315271</v>
          </cell>
          <cell r="G115" t="str">
            <v>Axel Roberto Guzman Coro</v>
          </cell>
        </row>
        <row r="116">
          <cell r="F116">
            <v>308798</v>
          </cell>
          <cell r="G116" t="str">
            <v>Axel Wilfredo Caal Coy</v>
          </cell>
        </row>
        <row r="117">
          <cell r="F117">
            <v>307068</v>
          </cell>
          <cell r="G117" t="str">
            <v>Azucena Raquel Luis Perez</v>
          </cell>
        </row>
        <row r="118">
          <cell r="F118">
            <v>313706</v>
          </cell>
          <cell r="G118" t="str">
            <v>Barbara Alejandra Toj Romero</v>
          </cell>
        </row>
        <row r="119">
          <cell r="F119">
            <v>311943</v>
          </cell>
          <cell r="G119" t="str">
            <v>Beberli Yuceli Gomez Davila</v>
          </cell>
        </row>
        <row r="120">
          <cell r="F120">
            <v>311141</v>
          </cell>
          <cell r="G120" t="str">
            <v>Beberlin Dayana Veron Garcia</v>
          </cell>
        </row>
        <row r="121">
          <cell r="F121">
            <v>312544</v>
          </cell>
          <cell r="G121" t="str">
            <v>Beberly Angeaneth Gonzalez Ruiz</v>
          </cell>
        </row>
        <row r="122">
          <cell r="F122">
            <v>309965</v>
          </cell>
          <cell r="G122" t="str">
            <v>Beberly Karina Ramirez Ismatul</v>
          </cell>
        </row>
        <row r="123">
          <cell r="F123">
            <v>313675</v>
          </cell>
          <cell r="G123" t="str">
            <v>Beberly Salvador Zuñiga</v>
          </cell>
        </row>
        <row r="124">
          <cell r="F124">
            <v>311623</v>
          </cell>
          <cell r="G124" t="str">
            <v>Belgica Lizeth Can Guitz</v>
          </cell>
        </row>
        <row r="125">
          <cell r="F125">
            <v>314219</v>
          </cell>
          <cell r="G125" t="str">
            <v>Berta Leticia Yapan Pelen</v>
          </cell>
        </row>
        <row r="126">
          <cell r="F126">
            <v>314495</v>
          </cell>
          <cell r="G126" t="str">
            <v>Bertha Lidia Morataya Diaz</v>
          </cell>
        </row>
        <row r="127">
          <cell r="F127">
            <v>310116</v>
          </cell>
          <cell r="G127" t="str">
            <v>Bertha Rosalba Gabriel Vasquez</v>
          </cell>
        </row>
        <row r="128">
          <cell r="F128">
            <v>312164</v>
          </cell>
          <cell r="G128" t="str">
            <v>Betzy Dayana Gutierrez Chon</v>
          </cell>
        </row>
        <row r="129">
          <cell r="F129">
            <v>314695</v>
          </cell>
          <cell r="G129" t="str">
            <v>Beverly Jeanette Panjoj Tiriquiz</v>
          </cell>
        </row>
        <row r="130">
          <cell r="F130">
            <v>305070</v>
          </cell>
          <cell r="G130" t="str">
            <v>Beverly Walesca Morales Ibarra</v>
          </cell>
        </row>
        <row r="131">
          <cell r="F131">
            <v>314496</v>
          </cell>
          <cell r="G131" t="str">
            <v>Blanca Cristina Saquic Ac</v>
          </cell>
        </row>
        <row r="132">
          <cell r="F132">
            <v>310463</v>
          </cell>
          <cell r="G132" t="str">
            <v>Blanca Olinda Quintanilla Godoy</v>
          </cell>
        </row>
        <row r="133">
          <cell r="F133">
            <v>315542</v>
          </cell>
          <cell r="G133" t="str">
            <v>Brandon Alberto Jerez Cajas</v>
          </cell>
        </row>
        <row r="134">
          <cell r="F134">
            <v>313655</v>
          </cell>
          <cell r="G134" t="str">
            <v>Brandon Antonio Alvarez Lopez</v>
          </cell>
        </row>
        <row r="135">
          <cell r="F135">
            <v>311035</v>
          </cell>
          <cell r="G135" t="str">
            <v>Brandon Ivan De Mata Monzon</v>
          </cell>
        </row>
        <row r="136">
          <cell r="F136">
            <v>315227</v>
          </cell>
          <cell r="G136" t="str">
            <v>Brayan Alexander Lopez Garcia</v>
          </cell>
        </row>
        <row r="137">
          <cell r="F137">
            <v>311689</v>
          </cell>
          <cell r="G137" t="str">
            <v>Brayan Alexander Recancoy Ramos</v>
          </cell>
        </row>
        <row r="138">
          <cell r="F138">
            <v>314853</v>
          </cell>
          <cell r="G138" t="str">
            <v>Brayan Dennis Lopez Puac</v>
          </cell>
        </row>
        <row r="139">
          <cell r="F139">
            <v>310812</v>
          </cell>
          <cell r="G139" t="str">
            <v>Brayan Franklin Lopez Alvarez</v>
          </cell>
        </row>
        <row r="140">
          <cell r="F140">
            <v>308857</v>
          </cell>
          <cell r="G140" t="str">
            <v>Brenda Elizabeth Sanchez Barrientos</v>
          </cell>
        </row>
        <row r="141">
          <cell r="F141">
            <v>305633</v>
          </cell>
          <cell r="G141" t="str">
            <v>Brenda Esmeralda Alvarado Pascual</v>
          </cell>
        </row>
        <row r="142">
          <cell r="F142">
            <v>311220</v>
          </cell>
          <cell r="G142" t="str">
            <v>Brenda Karina Coxaj Peinado</v>
          </cell>
        </row>
        <row r="143">
          <cell r="F143">
            <v>314642</v>
          </cell>
          <cell r="G143" t="str">
            <v>Brenda Liseth Ixcoy Tulujan</v>
          </cell>
        </row>
        <row r="144">
          <cell r="F144">
            <v>304427</v>
          </cell>
          <cell r="G144" t="str">
            <v>Brenda Lucrecia Lopez Gonzalez</v>
          </cell>
        </row>
        <row r="145">
          <cell r="F145">
            <v>315536</v>
          </cell>
          <cell r="G145" t="str">
            <v>Brenda Lucrecia Ruiz Sanchez</v>
          </cell>
        </row>
        <row r="146">
          <cell r="F146">
            <v>310019</v>
          </cell>
          <cell r="G146" t="str">
            <v>Brenda Maribel Montenegro Reyes</v>
          </cell>
        </row>
        <row r="147">
          <cell r="F147">
            <v>301074</v>
          </cell>
          <cell r="G147" t="str">
            <v>Brenda Marisol Aguilar Patzan</v>
          </cell>
        </row>
        <row r="148">
          <cell r="F148">
            <v>313843</v>
          </cell>
          <cell r="G148" t="str">
            <v>Brenda Marisol Sanchez Chivalan</v>
          </cell>
        </row>
        <row r="149">
          <cell r="F149">
            <v>309042</v>
          </cell>
          <cell r="G149" t="str">
            <v>Brenda Perez Morales</v>
          </cell>
        </row>
        <row r="150">
          <cell r="F150">
            <v>306259</v>
          </cell>
          <cell r="G150" t="str">
            <v>Brenda Raquel Ramirez Sanchez</v>
          </cell>
        </row>
        <row r="151">
          <cell r="F151">
            <v>315398</v>
          </cell>
          <cell r="G151" t="str">
            <v>Bretany Celeste Ramirez Monroy</v>
          </cell>
        </row>
        <row r="152">
          <cell r="F152">
            <v>313436</v>
          </cell>
          <cell r="G152" t="str">
            <v>Brian Baudilio Orozco Perez</v>
          </cell>
        </row>
        <row r="153">
          <cell r="F153">
            <v>310691</v>
          </cell>
          <cell r="G153" t="str">
            <v>Brisley Cristina Ortiz Zelada</v>
          </cell>
        </row>
        <row r="154">
          <cell r="F154">
            <v>314290</v>
          </cell>
          <cell r="G154" t="str">
            <v>Bryan Alexander Emanuel Orozco Lancerio</v>
          </cell>
        </row>
        <row r="155">
          <cell r="F155">
            <v>315133</v>
          </cell>
          <cell r="G155" t="str">
            <v>Bryan Daniel Milián De Leon</v>
          </cell>
        </row>
        <row r="156">
          <cell r="F156">
            <v>307335</v>
          </cell>
          <cell r="G156" t="str">
            <v>Bryllan Armando Sierra Sierra</v>
          </cell>
        </row>
        <row r="157">
          <cell r="F157">
            <v>314864</v>
          </cell>
          <cell r="G157" t="str">
            <v>Byron Estuardo Paredes Villela</v>
          </cell>
        </row>
        <row r="158">
          <cell r="F158">
            <v>313648</v>
          </cell>
          <cell r="G158" t="str">
            <v>Byron Giovanni Veliz Vasquez</v>
          </cell>
        </row>
        <row r="159">
          <cell r="F159">
            <v>303766</v>
          </cell>
          <cell r="G159" t="str">
            <v>Byron Josue Moscoso Vega</v>
          </cell>
        </row>
        <row r="160">
          <cell r="F160">
            <v>313985</v>
          </cell>
          <cell r="G160" t="str">
            <v>Byron Mauricio Amezquita Rivas</v>
          </cell>
        </row>
        <row r="161">
          <cell r="F161">
            <v>315267</v>
          </cell>
          <cell r="G161" t="str">
            <v>Carla Esmeralda Candido Gonzalez</v>
          </cell>
        </row>
        <row r="162">
          <cell r="F162">
            <v>314451</v>
          </cell>
          <cell r="G162" t="str">
            <v>Carla Fernanda Fernandez Lopez</v>
          </cell>
        </row>
        <row r="163">
          <cell r="F163">
            <v>312153</v>
          </cell>
          <cell r="G163" t="str">
            <v>Carlos Adalberto Diaz Escobar</v>
          </cell>
        </row>
        <row r="164">
          <cell r="F164">
            <v>315125</v>
          </cell>
          <cell r="G164" t="str">
            <v>Carlos Alberto Galvez Hernandez</v>
          </cell>
        </row>
        <row r="165">
          <cell r="F165">
            <v>314135</v>
          </cell>
          <cell r="G165" t="str">
            <v>Carlos Alberto Guzman Hernandez</v>
          </cell>
        </row>
        <row r="166">
          <cell r="F166">
            <v>315051</v>
          </cell>
          <cell r="G166" t="str">
            <v>Carlos Alfredo Catun Rax</v>
          </cell>
        </row>
        <row r="167">
          <cell r="F167">
            <v>309822</v>
          </cell>
          <cell r="G167" t="str">
            <v>Carlos Anibal Caal Tux</v>
          </cell>
        </row>
        <row r="168">
          <cell r="F168">
            <v>302371</v>
          </cell>
          <cell r="G168" t="str">
            <v>Carlos Arturo Straube Lopez</v>
          </cell>
        </row>
        <row r="169">
          <cell r="F169">
            <v>314738</v>
          </cell>
          <cell r="G169" t="str">
            <v>Carlos David Castillo Gamboa</v>
          </cell>
        </row>
        <row r="170">
          <cell r="F170">
            <v>315158</v>
          </cell>
          <cell r="G170" t="str">
            <v>Carlos Emilio Cumez Chenol</v>
          </cell>
        </row>
        <row r="171">
          <cell r="F171">
            <v>312533</v>
          </cell>
          <cell r="G171" t="str">
            <v>Carlos Enrique Coz Toc</v>
          </cell>
        </row>
        <row r="172">
          <cell r="F172">
            <v>314773</v>
          </cell>
          <cell r="G172" t="str">
            <v>Carlos Enrique Ramirez Lopez</v>
          </cell>
        </row>
        <row r="173">
          <cell r="F173">
            <v>313303</v>
          </cell>
          <cell r="G173" t="str">
            <v>Carlos Enrique Vasquez Esteban</v>
          </cell>
        </row>
        <row r="174">
          <cell r="F174">
            <v>314841</v>
          </cell>
          <cell r="G174" t="str">
            <v>Carlos Estuardo Campos Asig</v>
          </cell>
        </row>
        <row r="175">
          <cell r="F175">
            <v>308075</v>
          </cell>
          <cell r="G175" t="str">
            <v>Carlos Humberto De Paz Paiz</v>
          </cell>
        </row>
        <row r="176">
          <cell r="F176">
            <v>314441</v>
          </cell>
          <cell r="G176" t="str">
            <v>Carlos Josue Perez Garcia</v>
          </cell>
        </row>
        <row r="177">
          <cell r="F177">
            <v>202153</v>
          </cell>
          <cell r="G177" t="str">
            <v>Carlos Leonel Corado Sosa</v>
          </cell>
        </row>
        <row r="178">
          <cell r="F178">
            <v>313324</v>
          </cell>
          <cell r="G178" t="str">
            <v>Carlos Miguel Carrillo Perez</v>
          </cell>
        </row>
        <row r="179">
          <cell r="F179">
            <v>310535</v>
          </cell>
          <cell r="G179" t="str">
            <v>Carlos Oliverio Ortiz Villalobos</v>
          </cell>
        </row>
        <row r="180">
          <cell r="F180">
            <v>315501</v>
          </cell>
          <cell r="G180" t="str">
            <v>Carlos Onofre Sierra Vasquez</v>
          </cell>
        </row>
        <row r="181">
          <cell r="F181">
            <v>313844</v>
          </cell>
          <cell r="G181" t="str">
            <v>Carlos Raul Pedroza Lopez</v>
          </cell>
        </row>
        <row r="182">
          <cell r="F182">
            <v>315111</v>
          </cell>
          <cell r="G182" t="str">
            <v>Carlos Roberto Arana Garcia</v>
          </cell>
        </row>
        <row r="183">
          <cell r="F183">
            <v>304522</v>
          </cell>
          <cell r="G183" t="str">
            <v>Carlos Saul Santizo Lopez</v>
          </cell>
        </row>
        <row r="184">
          <cell r="F184">
            <v>315182</v>
          </cell>
          <cell r="G184" t="str">
            <v>Carmen Amalia Macario Rixtun</v>
          </cell>
        </row>
        <row r="185">
          <cell r="F185">
            <v>311800</v>
          </cell>
          <cell r="G185" t="str">
            <v>Carmen Elizabeth Vargas Tun</v>
          </cell>
        </row>
        <row r="186">
          <cell r="F186">
            <v>312849</v>
          </cell>
          <cell r="G186" t="str">
            <v>Carmen Liliana Subuyuj Ordoñez</v>
          </cell>
        </row>
        <row r="187">
          <cell r="F187">
            <v>315498</v>
          </cell>
          <cell r="G187" t="str">
            <v>Carolina Azucena Lima Contreras</v>
          </cell>
        </row>
        <row r="188">
          <cell r="F188">
            <v>312692</v>
          </cell>
          <cell r="G188" t="str">
            <v>Catarina Del Rosario Lopez Taquiej</v>
          </cell>
        </row>
        <row r="189">
          <cell r="F189">
            <v>314287</v>
          </cell>
          <cell r="G189" t="str">
            <v>Caterin Berenise Cayax Atz</v>
          </cell>
        </row>
        <row r="190">
          <cell r="F190">
            <v>313662</v>
          </cell>
          <cell r="G190" t="str">
            <v>Catirin Marbella Juarez Garcia</v>
          </cell>
        </row>
        <row r="191">
          <cell r="F191">
            <v>307766</v>
          </cell>
          <cell r="G191" t="str">
            <v>Cecia Amabil Lopez Valencia</v>
          </cell>
        </row>
        <row r="192">
          <cell r="F192">
            <v>311730</v>
          </cell>
          <cell r="G192" t="str">
            <v>Cecilia Margoth Lopez Raymundo</v>
          </cell>
        </row>
        <row r="193">
          <cell r="F193">
            <v>314955</v>
          </cell>
          <cell r="G193" t="str">
            <v>Celia Esperanza Arroyo Chiche</v>
          </cell>
        </row>
        <row r="194">
          <cell r="F194">
            <v>310950</v>
          </cell>
          <cell r="G194" t="str">
            <v>Cendy Regina Axulen Gonzalez</v>
          </cell>
        </row>
        <row r="195">
          <cell r="F195">
            <v>314640</v>
          </cell>
          <cell r="G195" t="str">
            <v>Cesar Estuardo Perez Monterroso</v>
          </cell>
        </row>
        <row r="196">
          <cell r="F196">
            <v>300192</v>
          </cell>
          <cell r="G196" t="str">
            <v>Cesar Fernando Reyna Almengor</v>
          </cell>
        </row>
        <row r="197">
          <cell r="F197">
            <v>313484</v>
          </cell>
          <cell r="G197" t="str">
            <v>Cesar Geovanni Tuc Sum</v>
          </cell>
        </row>
        <row r="198">
          <cell r="F198">
            <v>303330</v>
          </cell>
          <cell r="G198" t="str">
            <v>Cesar Geovanny De Leon Palacios</v>
          </cell>
        </row>
        <row r="199">
          <cell r="F199">
            <v>314446</v>
          </cell>
          <cell r="G199" t="str">
            <v>Cesar Humberto Cazun Hernandez</v>
          </cell>
        </row>
        <row r="200">
          <cell r="F200">
            <v>314900</v>
          </cell>
          <cell r="G200" t="str">
            <v>Cesar Oliverio Orozco Flores</v>
          </cell>
        </row>
        <row r="201">
          <cell r="F201">
            <v>311692</v>
          </cell>
          <cell r="G201" t="str">
            <v>Cesia Paola Marroquin Sanchez</v>
          </cell>
        </row>
        <row r="202">
          <cell r="F202">
            <v>315401</v>
          </cell>
          <cell r="G202" t="str">
            <v>Christa Maria Belen Barrera Mazariegos</v>
          </cell>
        </row>
        <row r="203">
          <cell r="F203">
            <v>315509</v>
          </cell>
          <cell r="G203" t="str">
            <v>Christiam Daniel Arroyo Cisneros</v>
          </cell>
        </row>
        <row r="204">
          <cell r="F204">
            <v>310362</v>
          </cell>
          <cell r="G204" t="str">
            <v>Christian Alejandro Tistoj Lopez</v>
          </cell>
        </row>
        <row r="205">
          <cell r="F205">
            <v>315525</v>
          </cell>
          <cell r="G205" t="str">
            <v>Christian Bladimir Panjoj Mejia</v>
          </cell>
        </row>
        <row r="206">
          <cell r="F206">
            <v>314565</v>
          </cell>
          <cell r="G206" t="str">
            <v>Christian Eduardo Celada Orellana</v>
          </cell>
        </row>
        <row r="207">
          <cell r="F207">
            <v>309907</v>
          </cell>
          <cell r="G207" t="str">
            <v>Christofer Antonio Chali Bacajol</v>
          </cell>
        </row>
        <row r="208">
          <cell r="F208">
            <v>312703</v>
          </cell>
          <cell r="G208" t="str">
            <v>Cindy Aracely Ruano Can</v>
          </cell>
        </row>
        <row r="209">
          <cell r="F209">
            <v>307760</v>
          </cell>
          <cell r="G209" t="str">
            <v>Cindy Beatriz Reyes De Leon</v>
          </cell>
        </row>
        <row r="210">
          <cell r="F210">
            <v>312950</v>
          </cell>
          <cell r="G210" t="str">
            <v>Cindy Carolina Sandoval Ruiz</v>
          </cell>
        </row>
        <row r="211">
          <cell r="F211">
            <v>312302</v>
          </cell>
          <cell r="G211" t="str">
            <v>Cindy Gabriela Chanchavac Mejia</v>
          </cell>
        </row>
        <row r="212">
          <cell r="F212">
            <v>315484</v>
          </cell>
          <cell r="G212" t="str">
            <v>Cindy Gabriela Perez</v>
          </cell>
        </row>
        <row r="213">
          <cell r="F213">
            <v>312872</v>
          </cell>
          <cell r="G213" t="str">
            <v>Cindy Judith Urizar Davila</v>
          </cell>
        </row>
        <row r="214">
          <cell r="F214">
            <v>312532</v>
          </cell>
          <cell r="G214" t="str">
            <v>Cindy Melissa Cordon Alfaro</v>
          </cell>
        </row>
        <row r="215">
          <cell r="F215">
            <v>314028</v>
          </cell>
          <cell r="G215" t="str">
            <v>Cindy Paola Garcia Monroy</v>
          </cell>
        </row>
        <row r="216">
          <cell r="F216">
            <v>314689</v>
          </cell>
          <cell r="G216" t="str">
            <v>Cindy Veronica Bran Polanco</v>
          </cell>
        </row>
        <row r="217">
          <cell r="F217">
            <v>314409</v>
          </cell>
          <cell r="G217" t="str">
            <v>Cindy Yenibeth Cano Claudio</v>
          </cell>
        </row>
        <row r="218">
          <cell r="F218">
            <v>310946</v>
          </cell>
          <cell r="G218" t="str">
            <v>Cindy Yesenia Morales Quevedo De Abril</v>
          </cell>
        </row>
        <row r="219">
          <cell r="F219">
            <v>312831</v>
          </cell>
          <cell r="G219" t="str">
            <v>Cindy Yojana Mendoza Cajas</v>
          </cell>
        </row>
        <row r="220">
          <cell r="F220">
            <v>312181</v>
          </cell>
          <cell r="G220" t="str">
            <v>Clara Elizabeth Joge Torres</v>
          </cell>
        </row>
        <row r="221">
          <cell r="F221">
            <v>310768</v>
          </cell>
          <cell r="G221" t="str">
            <v>Clara Lorena Perez Hernandez</v>
          </cell>
        </row>
        <row r="222">
          <cell r="F222">
            <v>315453</v>
          </cell>
          <cell r="G222" t="str">
            <v>Claudia Analy Argueta Matias</v>
          </cell>
        </row>
        <row r="223">
          <cell r="F223">
            <v>306444</v>
          </cell>
          <cell r="G223" t="str">
            <v>Claudia Dolores Barcenas Guillen</v>
          </cell>
        </row>
        <row r="224">
          <cell r="F224">
            <v>301809</v>
          </cell>
          <cell r="G224" t="str">
            <v>Claudia Eugenia Chavarria Ramos</v>
          </cell>
        </row>
        <row r="225">
          <cell r="F225">
            <v>311808</v>
          </cell>
          <cell r="G225" t="str">
            <v>Claudia Lorena Quino Isaguirre</v>
          </cell>
        </row>
        <row r="226">
          <cell r="F226">
            <v>314574</v>
          </cell>
          <cell r="G226" t="str">
            <v>Claudia Marisol Esquivel Ramirez</v>
          </cell>
        </row>
        <row r="227">
          <cell r="F227">
            <v>313613</v>
          </cell>
          <cell r="G227" t="str">
            <v>Claudia Noemi Marroquin Perez</v>
          </cell>
        </row>
        <row r="228">
          <cell r="F228">
            <v>306569</v>
          </cell>
          <cell r="G228" t="str">
            <v>Claudia Susana Garcia</v>
          </cell>
        </row>
        <row r="229">
          <cell r="F229">
            <v>311441</v>
          </cell>
          <cell r="G229" t="str">
            <v>Claudia Yaneth Hidalgo Gonzalez</v>
          </cell>
        </row>
        <row r="230">
          <cell r="F230">
            <v>303265</v>
          </cell>
          <cell r="G230" t="str">
            <v>Claudia Yesenia Pinto Picen</v>
          </cell>
        </row>
        <row r="231">
          <cell r="F231">
            <v>313318</v>
          </cell>
          <cell r="G231" t="str">
            <v>Claudia Yesenia Ramos Perez</v>
          </cell>
        </row>
        <row r="232">
          <cell r="F232">
            <v>309535</v>
          </cell>
          <cell r="G232" t="str">
            <v>Coralia Brenda Judith Ruano Hernandez</v>
          </cell>
        </row>
        <row r="233">
          <cell r="F233">
            <v>310711</v>
          </cell>
          <cell r="G233" t="str">
            <v>Cristian Alfredo Jimenez Quino</v>
          </cell>
        </row>
        <row r="234">
          <cell r="F234">
            <v>312995</v>
          </cell>
          <cell r="G234" t="str">
            <v>Cristian Esleiter Zuleta Batres</v>
          </cell>
        </row>
        <row r="235">
          <cell r="F235">
            <v>314701</v>
          </cell>
          <cell r="G235" t="str">
            <v>Cristian Orlando Leonardo Cortez</v>
          </cell>
        </row>
        <row r="236">
          <cell r="F236">
            <v>314612</v>
          </cell>
          <cell r="G236" t="str">
            <v>Cristian Romulo Rolando Cojulun Barrera</v>
          </cell>
        </row>
        <row r="237">
          <cell r="F237">
            <v>314468</v>
          </cell>
          <cell r="G237" t="str">
            <v>Cristian Salvador Perez Quiroa</v>
          </cell>
        </row>
        <row r="238">
          <cell r="F238">
            <v>314670</v>
          </cell>
          <cell r="G238" t="str">
            <v>Cristian Tomas Chuc Perez</v>
          </cell>
        </row>
        <row r="239">
          <cell r="F239">
            <v>315578</v>
          </cell>
          <cell r="G239" t="str">
            <v>Cristian Ubaldo De Leon Ramirez</v>
          </cell>
        </row>
        <row r="240">
          <cell r="F240">
            <v>307449</v>
          </cell>
          <cell r="G240" t="str">
            <v>Cristina De Jesus Hernandez Macajola</v>
          </cell>
        </row>
        <row r="241">
          <cell r="F241">
            <v>306823</v>
          </cell>
          <cell r="G241" t="str">
            <v>Cristina Mariela Sapon Morales</v>
          </cell>
        </row>
        <row r="242">
          <cell r="F242">
            <v>313589</v>
          </cell>
          <cell r="G242" t="str">
            <v>Cristobal Vinicio Chacon Rosana</v>
          </cell>
        </row>
        <row r="243">
          <cell r="F243">
            <v>310386</v>
          </cell>
          <cell r="G243" t="str">
            <v>Cristy Charito Bran Guerra</v>
          </cell>
        </row>
        <row r="244">
          <cell r="F244">
            <v>314883</v>
          </cell>
          <cell r="G244" t="str">
            <v>Cynthia Guisela Samayoa Aldana</v>
          </cell>
        </row>
        <row r="245">
          <cell r="F245">
            <v>313709</v>
          </cell>
          <cell r="G245" t="str">
            <v>Cynthia Marisol Gonzalez Vargas</v>
          </cell>
        </row>
        <row r="246">
          <cell r="F246">
            <v>314097</v>
          </cell>
          <cell r="G246" t="str">
            <v>Cynthia Rosaura Cruz Cosajay</v>
          </cell>
        </row>
        <row r="247">
          <cell r="F247">
            <v>314981</v>
          </cell>
          <cell r="G247" t="str">
            <v>Dalila Marisol Ramos Galan</v>
          </cell>
        </row>
        <row r="248">
          <cell r="F248">
            <v>308765</v>
          </cell>
          <cell r="G248" t="str">
            <v>Damaris Abigail Garcia Perez</v>
          </cell>
        </row>
        <row r="249">
          <cell r="F249">
            <v>315256</v>
          </cell>
          <cell r="G249" t="str">
            <v>Damaris Abigail Urizar Martinez</v>
          </cell>
        </row>
        <row r="250">
          <cell r="F250">
            <v>312949</v>
          </cell>
          <cell r="G250" t="str">
            <v>Damaris Liseth Sagastume Pinto</v>
          </cell>
        </row>
        <row r="251">
          <cell r="F251">
            <v>314411</v>
          </cell>
          <cell r="G251" t="str">
            <v>Damaris Paola Gonzalez Gallardo</v>
          </cell>
        </row>
        <row r="252">
          <cell r="F252">
            <v>314179</v>
          </cell>
          <cell r="G252" t="str">
            <v>Damaris Sucely Mendez Roche</v>
          </cell>
        </row>
        <row r="253">
          <cell r="F253">
            <v>314276</v>
          </cell>
          <cell r="G253" t="str">
            <v>Damaris Violeta Gonzalez Miguel</v>
          </cell>
        </row>
        <row r="254">
          <cell r="F254">
            <v>313514</v>
          </cell>
          <cell r="G254" t="str">
            <v>Danae Melissa Xitumul Ruiz</v>
          </cell>
        </row>
        <row r="255">
          <cell r="F255">
            <v>313868</v>
          </cell>
          <cell r="G255" t="str">
            <v>Danely Arleth Rubin Escobar</v>
          </cell>
        </row>
        <row r="256">
          <cell r="F256">
            <v>315480</v>
          </cell>
          <cell r="G256" t="str">
            <v>Daneylie Abigalie Dardon Gomez</v>
          </cell>
        </row>
        <row r="257">
          <cell r="F257">
            <v>314406</v>
          </cell>
          <cell r="G257" t="str">
            <v>Daniel Abrahan Castillo Hernandez</v>
          </cell>
        </row>
        <row r="258">
          <cell r="F258">
            <v>314646</v>
          </cell>
          <cell r="G258" t="str">
            <v>Daniel Alfredo Aguirre Marroquin</v>
          </cell>
        </row>
        <row r="259">
          <cell r="F259">
            <v>305521</v>
          </cell>
          <cell r="G259" t="str">
            <v>Daniel Antonio Aceituno Paredes</v>
          </cell>
        </row>
        <row r="260">
          <cell r="F260">
            <v>315568</v>
          </cell>
          <cell r="G260" t="str">
            <v>Daniel Isai Moran Lima</v>
          </cell>
        </row>
        <row r="261">
          <cell r="F261">
            <v>310374</v>
          </cell>
          <cell r="G261" t="str">
            <v>Daniela Amarilis Davila Juarez</v>
          </cell>
        </row>
        <row r="262">
          <cell r="F262">
            <v>315104</v>
          </cell>
          <cell r="G262" t="str">
            <v>Dany Adalberto Choc Bac</v>
          </cell>
        </row>
        <row r="263">
          <cell r="F263">
            <v>314807</v>
          </cell>
          <cell r="G263" t="str">
            <v>Daomi Mishel Larios Morales</v>
          </cell>
        </row>
        <row r="264">
          <cell r="F264">
            <v>312391</v>
          </cell>
          <cell r="G264" t="str">
            <v>Daphne Pamela Lopez Rodriguez</v>
          </cell>
        </row>
        <row r="265">
          <cell r="F265">
            <v>312172</v>
          </cell>
          <cell r="G265" t="str">
            <v>Darbin Alejandro Soto Rodriguez</v>
          </cell>
        </row>
        <row r="266">
          <cell r="F266">
            <v>314845</v>
          </cell>
          <cell r="G266" t="str">
            <v>Darissa Anahi Galindo Monzon</v>
          </cell>
        </row>
        <row r="267">
          <cell r="F267">
            <v>312419</v>
          </cell>
          <cell r="G267" t="str">
            <v>Darli Asuceli Florian Garcia</v>
          </cell>
        </row>
        <row r="268">
          <cell r="F268">
            <v>312836</v>
          </cell>
          <cell r="G268" t="str">
            <v>Darlin Estefany Coyoy Rivas</v>
          </cell>
        </row>
        <row r="269">
          <cell r="F269">
            <v>312077</v>
          </cell>
          <cell r="G269" t="str">
            <v>Darlin Pamela Aguilar De La Cruz</v>
          </cell>
        </row>
        <row r="270">
          <cell r="F270">
            <v>314775</v>
          </cell>
          <cell r="G270" t="str">
            <v>Darlyn Dayanara Cortez Ramirez</v>
          </cell>
        </row>
        <row r="271">
          <cell r="F271">
            <v>312223</v>
          </cell>
          <cell r="G271" t="str">
            <v>Darlyn Guadalupe Barrios Yax</v>
          </cell>
        </row>
        <row r="272">
          <cell r="F272">
            <v>309926</v>
          </cell>
          <cell r="G272" t="str">
            <v>Darwin Alexis Ponciano Cruz</v>
          </cell>
        </row>
        <row r="273">
          <cell r="F273">
            <v>315167</v>
          </cell>
          <cell r="G273" t="str">
            <v>Darwin Omar Cabrera Cheguen</v>
          </cell>
        </row>
        <row r="274">
          <cell r="F274">
            <v>310390</v>
          </cell>
          <cell r="G274" t="str">
            <v>Dauris Yomira Tellechea Lopez</v>
          </cell>
        </row>
        <row r="275">
          <cell r="F275">
            <v>202076</v>
          </cell>
          <cell r="G275" t="str">
            <v>David De Jesus Quel Orozco</v>
          </cell>
        </row>
        <row r="276">
          <cell r="F276">
            <v>314891</v>
          </cell>
          <cell r="G276" t="str">
            <v>David Emanuel Cachin Morales</v>
          </cell>
        </row>
        <row r="277">
          <cell r="F277">
            <v>309831</v>
          </cell>
          <cell r="G277" t="str">
            <v>David Mejia Vicente</v>
          </cell>
        </row>
        <row r="278">
          <cell r="F278">
            <v>315533</v>
          </cell>
          <cell r="G278" t="str">
            <v>Dayana Paola Lopez Bolanos</v>
          </cell>
        </row>
        <row r="279">
          <cell r="F279">
            <v>314017</v>
          </cell>
          <cell r="G279" t="str">
            <v>Dayanna Beatriz Cachupe Chavac</v>
          </cell>
        </row>
        <row r="280">
          <cell r="F280">
            <v>314852</v>
          </cell>
          <cell r="G280" t="str">
            <v>Daylin Ambrocia Cruz Lopez</v>
          </cell>
        </row>
        <row r="281">
          <cell r="F281">
            <v>313408</v>
          </cell>
          <cell r="G281" t="str">
            <v>Dayne Dalu Sanchez Hernandez</v>
          </cell>
        </row>
        <row r="282">
          <cell r="F282">
            <v>315552</v>
          </cell>
          <cell r="G282" t="str">
            <v>Debora Eunice Tzay Chuluc</v>
          </cell>
        </row>
        <row r="283">
          <cell r="F283">
            <v>313629</v>
          </cell>
          <cell r="G283" t="str">
            <v>Debora Madahi Escobar Gomez</v>
          </cell>
        </row>
        <row r="284">
          <cell r="F284">
            <v>315270</v>
          </cell>
          <cell r="G284" t="str">
            <v>Debora Paola Sepez Cuc</v>
          </cell>
        </row>
        <row r="285">
          <cell r="F285">
            <v>314353</v>
          </cell>
          <cell r="G285" t="str">
            <v>Deisy Gabriela Pineda Paiz</v>
          </cell>
        </row>
        <row r="286">
          <cell r="F286">
            <v>302751</v>
          </cell>
          <cell r="G286" t="str">
            <v>Delia Virginia Piedrasanta Parra</v>
          </cell>
        </row>
        <row r="287">
          <cell r="F287">
            <v>201031</v>
          </cell>
          <cell r="G287" t="str">
            <v>Delio Maynor Lopez Barrios</v>
          </cell>
        </row>
        <row r="288">
          <cell r="F288">
            <v>311758</v>
          </cell>
          <cell r="G288" t="str">
            <v>Delmy Fabiola Orellana Barrientos</v>
          </cell>
        </row>
        <row r="289">
          <cell r="F289">
            <v>307870</v>
          </cell>
          <cell r="G289" t="str">
            <v>Delmy Francisca Lopez Perez</v>
          </cell>
        </row>
        <row r="290">
          <cell r="F290">
            <v>314901</v>
          </cell>
          <cell r="G290" t="str">
            <v>Delmy Vanesa Morales Ramirez</v>
          </cell>
        </row>
        <row r="291">
          <cell r="F291">
            <v>306256</v>
          </cell>
          <cell r="G291" t="str">
            <v>Delwin Leonel Vasquez Barrera</v>
          </cell>
        </row>
        <row r="292">
          <cell r="F292">
            <v>314540</v>
          </cell>
          <cell r="G292" t="str">
            <v>Denilson Laureano De Paz Galdamez</v>
          </cell>
        </row>
        <row r="293">
          <cell r="F293">
            <v>312158</v>
          </cell>
          <cell r="G293" t="str">
            <v>Derick Juan David Coti Camas</v>
          </cell>
        </row>
        <row r="294">
          <cell r="F294">
            <v>315437</v>
          </cell>
          <cell r="G294" t="str">
            <v>Deysi Liliana Caal Oxom</v>
          </cell>
        </row>
        <row r="295">
          <cell r="F295">
            <v>309692</v>
          </cell>
          <cell r="G295" t="str">
            <v>Deysi Margoth Lopez Monroy</v>
          </cell>
        </row>
        <row r="296">
          <cell r="F296">
            <v>309418</v>
          </cell>
          <cell r="G296" t="str">
            <v>Deysi Noemi Aranoli Carias Pimentel</v>
          </cell>
        </row>
        <row r="297">
          <cell r="F297">
            <v>313797</v>
          </cell>
          <cell r="G297" t="str">
            <v>Deysi Paola Lopez Yanes De Conde</v>
          </cell>
        </row>
        <row r="298">
          <cell r="F298">
            <v>312166</v>
          </cell>
          <cell r="G298" t="str">
            <v>Deysi Roxana Pablo Ramirez</v>
          </cell>
        </row>
        <row r="299">
          <cell r="F299">
            <v>313856</v>
          </cell>
          <cell r="G299" t="str">
            <v>Diana Andrea Castillo Mejia</v>
          </cell>
        </row>
        <row r="300">
          <cell r="F300">
            <v>310411</v>
          </cell>
          <cell r="G300" t="str">
            <v>Diana Elizabeth Ayfan Del Cid</v>
          </cell>
        </row>
        <row r="301">
          <cell r="F301">
            <v>315070</v>
          </cell>
          <cell r="G301" t="str">
            <v>Diana Guisela Satey De Leon</v>
          </cell>
        </row>
        <row r="302">
          <cell r="F302">
            <v>315089</v>
          </cell>
          <cell r="G302" t="str">
            <v>Diana Lizeth Acabal Pansay</v>
          </cell>
        </row>
        <row r="303">
          <cell r="F303">
            <v>315209</v>
          </cell>
          <cell r="G303" t="str">
            <v>Diana Mishel Perez Flores</v>
          </cell>
        </row>
        <row r="304">
          <cell r="F304">
            <v>314964</v>
          </cell>
          <cell r="G304" t="str">
            <v>Diana Priscila Reyes Bran</v>
          </cell>
        </row>
        <row r="305">
          <cell r="F305">
            <v>315545</v>
          </cell>
          <cell r="G305" t="str">
            <v>Diego Alejandro Monroy Barillas</v>
          </cell>
        </row>
        <row r="306">
          <cell r="F306">
            <v>314603</v>
          </cell>
          <cell r="G306" t="str">
            <v>Diego Antonio Dubon Suyen</v>
          </cell>
        </row>
        <row r="307">
          <cell r="F307">
            <v>314912</v>
          </cell>
          <cell r="G307" t="str">
            <v>Diego Ezequiel Samayoa Toledo</v>
          </cell>
        </row>
        <row r="308">
          <cell r="F308">
            <v>314021</v>
          </cell>
          <cell r="G308" t="str">
            <v>Diego Josue David Dieguez Vivar</v>
          </cell>
        </row>
        <row r="309">
          <cell r="F309">
            <v>314609</v>
          </cell>
          <cell r="G309" t="str">
            <v>Dilma Carolina Zetino Zepeda</v>
          </cell>
        </row>
        <row r="310">
          <cell r="F310">
            <v>315393</v>
          </cell>
          <cell r="G310" t="str">
            <v>Dina Azucena Ortiz Crispin</v>
          </cell>
        </row>
        <row r="311">
          <cell r="F311">
            <v>301534</v>
          </cell>
          <cell r="G311" t="str">
            <v>Donald Alejandro Mendez Mayen</v>
          </cell>
        </row>
        <row r="312">
          <cell r="F312">
            <v>314070</v>
          </cell>
          <cell r="G312" t="str">
            <v>Donetta Diaz Oroman</v>
          </cell>
        </row>
        <row r="313">
          <cell r="F313">
            <v>313316</v>
          </cell>
          <cell r="G313" t="str">
            <v>Dora Estefany Garcia Zetino</v>
          </cell>
        </row>
        <row r="314">
          <cell r="F314">
            <v>308707</v>
          </cell>
          <cell r="G314" t="str">
            <v>Dorcas Raquel Palacios Reyes</v>
          </cell>
        </row>
        <row r="315">
          <cell r="F315">
            <v>308921</v>
          </cell>
          <cell r="G315" t="str">
            <v>Doris Elizabeth Sandoval Gonzalez</v>
          </cell>
        </row>
        <row r="316">
          <cell r="F316">
            <v>315057</v>
          </cell>
          <cell r="G316" t="str">
            <v>Dorman Fernando Gomez Perez</v>
          </cell>
        </row>
        <row r="317">
          <cell r="F317">
            <v>312651</v>
          </cell>
          <cell r="G317" t="str">
            <v>Douglas Alberto Luna</v>
          </cell>
        </row>
        <row r="318">
          <cell r="F318">
            <v>314635</v>
          </cell>
          <cell r="G318" t="str">
            <v>Douglas Armando Garcia Machic</v>
          </cell>
        </row>
        <row r="319">
          <cell r="F319">
            <v>313351</v>
          </cell>
          <cell r="G319" t="str">
            <v>Douglas Nehemias Paz Agustin</v>
          </cell>
        </row>
        <row r="320">
          <cell r="F320">
            <v>309154</v>
          </cell>
          <cell r="G320" t="str">
            <v>Duglas Alexander Ramirez</v>
          </cell>
        </row>
        <row r="321">
          <cell r="F321">
            <v>310593</v>
          </cell>
          <cell r="G321" t="str">
            <v>Dulce Estrellita Boche Pineda</v>
          </cell>
        </row>
        <row r="322">
          <cell r="F322">
            <v>312578</v>
          </cell>
          <cell r="G322" t="str">
            <v>Dulce Fabiola Cabrera Alvarado</v>
          </cell>
        </row>
        <row r="323">
          <cell r="F323">
            <v>314977</v>
          </cell>
          <cell r="G323" t="str">
            <v>Dulce Gollin Garcia</v>
          </cell>
        </row>
        <row r="324">
          <cell r="F324">
            <v>315028</v>
          </cell>
          <cell r="G324" t="str">
            <v>Dulce Maria Barillas Pineda</v>
          </cell>
        </row>
        <row r="325">
          <cell r="F325">
            <v>314016</v>
          </cell>
          <cell r="G325" t="str">
            <v>Dulce Maria De Los Angeles Carranza Poitan</v>
          </cell>
        </row>
        <row r="326">
          <cell r="F326">
            <v>314338</v>
          </cell>
          <cell r="G326" t="str">
            <v>Dulce Maria Sican Galicia</v>
          </cell>
        </row>
        <row r="327">
          <cell r="F327">
            <v>301052</v>
          </cell>
          <cell r="G327" t="str">
            <v>Dulsse Gabriela Muñoz Giordano</v>
          </cell>
        </row>
        <row r="328">
          <cell r="F328">
            <v>313406</v>
          </cell>
          <cell r="G328" t="str">
            <v>Duncan Vladimir Fuentes Marroquin</v>
          </cell>
        </row>
        <row r="329">
          <cell r="F329">
            <v>315551</v>
          </cell>
          <cell r="G329" t="str">
            <v>Dylan Anderson Rodriguez Paredes</v>
          </cell>
        </row>
        <row r="330">
          <cell r="F330">
            <v>301579</v>
          </cell>
          <cell r="G330" t="str">
            <v>Eber Manuel Valdes Samayoa</v>
          </cell>
        </row>
        <row r="331">
          <cell r="F331">
            <v>314077</v>
          </cell>
          <cell r="G331" t="str">
            <v>Eddy Estuardo Lool Calderon</v>
          </cell>
        </row>
        <row r="332">
          <cell r="F332">
            <v>304630</v>
          </cell>
          <cell r="G332" t="str">
            <v>Eddy Jose Cabrera Rivas</v>
          </cell>
        </row>
        <row r="333">
          <cell r="F333">
            <v>315163</v>
          </cell>
          <cell r="G333" t="str">
            <v>Edgar Alejandro Alvarado Juarez</v>
          </cell>
        </row>
        <row r="334">
          <cell r="F334">
            <v>314231</v>
          </cell>
          <cell r="G334" t="str">
            <v>Edgar Alfonso Escoto Asig</v>
          </cell>
        </row>
        <row r="335">
          <cell r="F335">
            <v>312910</v>
          </cell>
          <cell r="G335" t="str">
            <v>Edgar Augusto Lara Joachin</v>
          </cell>
        </row>
        <row r="336">
          <cell r="F336">
            <v>314531</v>
          </cell>
          <cell r="G336" t="str">
            <v>Edgar Josue Lopez Cahuec</v>
          </cell>
        </row>
        <row r="337">
          <cell r="F337">
            <v>309428</v>
          </cell>
          <cell r="G337" t="str">
            <v>Edgar Manrique Flores Sanchez</v>
          </cell>
        </row>
        <row r="338">
          <cell r="F338">
            <v>313559</v>
          </cell>
          <cell r="G338" t="str">
            <v>Edgar Ricardo Lopez Valenzuela</v>
          </cell>
        </row>
        <row r="339">
          <cell r="F339">
            <v>314916</v>
          </cell>
          <cell r="G339" t="str">
            <v>Edgar Samuel Chavez Garcia</v>
          </cell>
        </row>
        <row r="340">
          <cell r="F340">
            <v>313861</v>
          </cell>
          <cell r="G340" t="str">
            <v>Edith Guadalupe Del Cid Orellana</v>
          </cell>
        </row>
        <row r="341">
          <cell r="F341">
            <v>304240</v>
          </cell>
          <cell r="G341" t="str">
            <v>Edna Fabiola Miranda Nufio</v>
          </cell>
        </row>
        <row r="342">
          <cell r="F342">
            <v>313770</v>
          </cell>
          <cell r="G342" t="str">
            <v>Edna Rubi Hernandez Retana</v>
          </cell>
        </row>
        <row r="343">
          <cell r="F343">
            <v>308533</v>
          </cell>
          <cell r="G343" t="str">
            <v>Eduardo Antonio Sotoj Zepeda</v>
          </cell>
        </row>
        <row r="344">
          <cell r="F344">
            <v>315502</v>
          </cell>
          <cell r="G344" t="str">
            <v>Eduardo Eliu Camey Coyoy</v>
          </cell>
        </row>
        <row r="345">
          <cell r="F345">
            <v>315483</v>
          </cell>
          <cell r="G345" t="str">
            <v>Eduardo Jose Perez Pichilla</v>
          </cell>
        </row>
        <row r="346">
          <cell r="F346">
            <v>306695</v>
          </cell>
          <cell r="G346" t="str">
            <v>Eduvina Lisbeth Chilel Garcia</v>
          </cell>
        </row>
        <row r="347">
          <cell r="F347">
            <v>313804</v>
          </cell>
          <cell r="G347" t="str">
            <v>Edvin Daniel Compa Oroxom</v>
          </cell>
        </row>
        <row r="348">
          <cell r="F348">
            <v>305736</v>
          </cell>
          <cell r="G348" t="str">
            <v>Edvin Estuardo Ordoñez Gonzalez</v>
          </cell>
        </row>
        <row r="349">
          <cell r="F349">
            <v>313327</v>
          </cell>
          <cell r="G349" t="str">
            <v>Edvin Raul Chavez Monroy</v>
          </cell>
        </row>
        <row r="350">
          <cell r="F350">
            <v>309209</v>
          </cell>
          <cell r="G350" t="str">
            <v>Edward Andoni Alvarez Agueda</v>
          </cell>
        </row>
        <row r="351">
          <cell r="F351">
            <v>311219</v>
          </cell>
          <cell r="G351" t="str">
            <v>Edward Oswaldo Mo Macz</v>
          </cell>
        </row>
        <row r="352">
          <cell r="F352">
            <v>315174</v>
          </cell>
          <cell r="G352" t="str">
            <v>Edwin Adolfo Soberanis Mazariegos</v>
          </cell>
        </row>
        <row r="353">
          <cell r="F353">
            <v>312540</v>
          </cell>
          <cell r="G353" t="str">
            <v>Edwin Alexander Davila Xitumul</v>
          </cell>
        </row>
        <row r="354">
          <cell r="F354">
            <v>313701</v>
          </cell>
          <cell r="G354" t="str">
            <v>Edwin Ernesto Sut Chinol</v>
          </cell>
        </row>
        <row r="355">
          <cell r="F355">
            <v>312557</v>
          </cell>
          <cell r="G355" t="str">
            <v>Edwin Romeo Eleazar Ochoa Lopez</v>
          </cell>
        </row>
        <row r="356">
          <cell r="F356">
            <v>311167</v>
          </cell>
          <cell r="G356" t="str">
            <v>Edy Giancarlo Moreno Pineda</v>
          </cell>
        </row>
        <row r="357">
          <cell r="F357">
            <v>312542</v>
          </cell>
          <cell r="G357" t="str">
            <v>Elba Eulalia Esquite Lemus</v>
          </cell>
        </row>
        <row r="358">
          <cell r="F358">
            <v>303412</v>
          </cell>
          <cell r="G358" t="str">
            <v>Elder Antonio Mendez Tobar</v>
          </cell>
        </row>
        <row r="359">
          <cell r="F359">
            <v>315436</v>
          </cell>
          <cell r="G359" t="str">
            <v>Elder Frankiln Cax Dionicio</v>
          </cell>
        </row>
        <row r="360">
          <cell r="F360">
            <v>311891</v>
          </cell>
          <cell r="G360" t="str">
            <v>Elder Uzias Jordan Perez</v>
          </cell>
        </row>
        <row r="361">
          <cell r="F361">
            <v>309812</v>
          </cell>
          <cell r="G361" t="str">
            <v>Elena Yazmin Valdez Gallegos</v>
          </cell>
        </row>
        <row r="362">
          <cell r="F362">
            <v>314275</v>
          </cell>
          <cell r="G362" t="str">
            <v>Elias Jose Daniel Estrada Nufio</v>
          </cell>
        </row>
        <row r="363">
          <cell r="F363">
            <v>307588</v>
          </cell>
          <cell r="G363" t="str">
            <v>Elida Noemi Monroy Ortega</v>
          </cell>
        </row>
        <row r="364">
          <cell r="F364">
            <v>315463</v>
          </cell>
          <cell r="G364" t="str">
            <v>Elin Magali Gallardo Velasquez</v>
          </cell>
        </row>
        <row r="365">
          <cell r="F365">
            <v>310755</v>
          </cell>
          <cell r="G365" t="str">
            <v>Elisa Clementina Mazariegos Andrade</v>
          </cell>
        </row>
        <row r="366">
          <cell r="F366">
            <v>314466</v>
          </cell>
          <cell r="G366" t="str">
            <v>Eliseo Gonzalez De Leon</v>
          </cell>
        </row>
        <row r="367">
          <cell r="F367">
            <v>310043</v>
          </cell>
          <cell r="G367" t="str">
            <v>Elizangela Jazmin Barillas Ramirez</v>
          </cell>
        </row>
        <row r="368">
          <cell r="F368">
            <v>314443</v>
          </cell>
          <cell r="G368" t="str">
            <v>Elmer Antonio Muñoz Alvarez</v>
          </cell>
        </row>
        <row r="369">
          <cell r="F369">
            <v>314763</v>
          </cell>
          <cell r="G369" t="str">
            <v>Elsa Edith Alixjandra Morales Cordon</v>
          </cell>
        </row>
        <row r="370">
          <cell r="F370">
            <v>311227</v>
          </cell>
          <cell r="G370" t="str">
            <v>Elsa Karina Siquibache Perez</v>
          </cell>
        </row>
        <row r="371">
          <cell r="F371">
            <v>308968</v>
          </cell>
          <cell r="G371" t="str">
            <v>Eluizer Amadeus De Leon De Leon</v>
          </cell>
        </row>
        <row r="372">
          <cell r="F372">
            <v>314871</v>
          </cell>
          <cell r="G372" t="str">
            <v>Elvis Ariel Juarez Solis</v>
          </cell>
        </row>
        <row r="373">
          <cell r="F373">
            <v>313368</v>
          </cell>
          <cell r="G373" t="str">
            <v>Elvis Orlando Lopez Marroquin</v>
          </cell>
        </row>
        <row r="374">
          <cell r="F374">
            <v>314342</v>
          </cell>
          <cell r="G374" t="str">
            <v>Emanuel Perez Garnillo</v>
          </cell>
        </row>
        <row r="375">
          <cell r="F375">
            <v>312736</v>
          </cell>
          <cell r="G375" t="str">
            <v>Emely Johanna Urbina Beltran</v>
          </cell>
        </row>
        <row r="376">
          <cell r="F376">
            <v>312762</v>
          </cell>
          <cell r="G376" t="str">
            <v>Emerson Ezequiel Giron Lopez</v>
          </cell>
        </row>
        <row r="377">
          <cell r="F377">
            <v>303591</v>
          </cell>
          <cell r="G377" t="str">
            <v>Emerson Josue Lopez Hernandez</v>
          </cell>
        </row>
        <row r="378">
          <cell r="F378">
            <v>312165</v>
          </cell>
          <cell r="G378" t="str">
            <v>Emily Jisselle Rosales Paz</v>
          </cell>
        </row>
        <row r="379">
          <cell r="F379">
            <v>313560</v>
          </cell>
          <cell r="G379" t="str">
            <v>Emy Noemi Vicente Herrera</v>
          </cell>
        </row>
        <row r="380">
          <cell r="F380">
            <v>315047</v>
          </cell>
          <cell r="G380" t="str">
            <v>Erick Adolfo Orellana Lopez</v>
          </cell>
        </row>
        <row r="381">
          <cell r="F381">
            <v>311598</v>
          </cell>
          <cell r="G381" t="str">
            <v>Erick Antonio Perez Perez</v>
          </cell>
        </row>
        <row r="382">
          <cell r="F382">
            <v>311742</v>
          </cell>
          <cell r="G382" t="str">
            <v>Erick Estuardo Morales Samayoa</v>
          </cell>
        </row>
        <row r="383">
          <cell r="F383">
            <v>308758</v>
          </cell>
          <cell r="G383" t="str">
            <v>Erick Gamaliel Pineda Mendez</v>
          </cell>
        </row>
        <row r="384">
          <cell r="F384">
            <v>314371</v>
          </cell>
          <cell r="G384" t="str">
            <v>Erick Guillermo Sierra Escobar</v>
          </cell>
        </row>
        <row r="385">
          <cell r="F385">
            <v>314095</v>
          </cell>
          <cell r="G385" t="str">
            <v>Erick Joel Diaz Barrera</v>
          </cell>
        </row>
        <row r="386">
          <cell r="F386">
            <v>314408</v>
          </cell>
          <cell r="G386" t="str">
            <v>Erick Josue Martinez Pineda</v>
          </cell>
        </row>
        <row r="387">
          <cell r="F387">
            <v>312434</v>
          </cell>
          <cell r="G387" t="str">
            <v>Erick Manuel Umul Quiej</v>
          </cell>
        </row>
        <row r="388">
          <cell r="F388">
            <v>202410</v>
          </cell>
          <cell r="G388" t="str">
            <v>Erick Oswaldo Aguilar Santiago</v>
          </cell>
        </row>
        <row r="389">
          <cell r="F389">
            <v>310750</v>
          </cell>
          <cell r="G389" t="str">
            <v>Erick Uriel Sandoval Herrera</v>
          </cell>
        </row>
        <row r="390">
          <cell r="F390">
            <v>304557</v>
          </cell>
          <cell r="G390" t="str">
            <v>Ericka Arceli Gonzalez Astorga</v>
          </cell>
        </row>
        <row r="391">
          <cell r="F391">
            <v>308593</v>
          </cell>
          <cell r="G391" t="str">
            <v>Ericka Beatriz Tiu Arriola</v>
          </cell>
        </row>
        <row r="392">
          <cell r="F392">
            <v>310893</v>
          </cell>
          <cell r="G392" t="str">
            <v>Ericka Florentina Hernandez Bermudes</v>
          </cell>
        </row>
        <row r="393">
          <cell r="F393">
            <v>310845</v>
          </cell>
          <cell r="G393" t="str">
            <v>Ericka Gricelda Beatriz Calderon Lopez</v>
          </cell>
        </row>
        <row r="394">
          <cell r="F394">
            <v>313654</v>
          </cell>
          <cell r="G394" t="str">
            <v>Ericka Mabel Choc Vasquez</v>
          </cell>
        </row>
        <row r="395">
          <cell r="F395">
            <v>308152</v>
          </cell>
          <cell r="G395" t="str">
            <v>Ericka Nathali Huitz Ortega</v>
          </cell>
        </row>
        <row r="396">
          <cell r="F396">
            <v>313812</v>
          </cell>
          <cell r="G396" t="str">
            <v>Erickson Amilcar Vasquez Garrido</v>
          </cell>
        </row>
        <row r="397">
          <cell r="F397">
            <v>303616</v>
          </cell>
          <cell r="G397" t="str">
            <v>Erik Leonel Alva</v>
          </cell>
        </row>
        <row r="398">
          <cell r="F398">
            <v>310011</v>
          </cell>
          <cell r="G398" t="str">
            <v>Erika Alejandra Hernandez Vega</v>
          </cell>
        </row>
        <row r="399">
          <cell r="F399">
            <v>314808</v>
          </cell>
          <cell r="G399" t="str">
            <v>Erika Carolina Lopez Chiroy</v>
          </cell>
        </row>
        <row r="400">
          <cell r="F400">
            <v>306497</v>
          </cell>
          <cell r="G400" t="str">
            <v>Erika Ixtan Canil</v>
          </cell>
        </row>
        <row r="401">
          <cell r="F401">
            <v>314703</v>
          </cell>
          <cell r="G401" t="str">
            <v>Erlinda Elizabeth Cabrera</v>
          </cell>
        </row>
        <row r="402">
          <cell r="F402">
            <v>315535</v>
          </cell>
          <cell r="G402" t="str">
            <v>Ernesto Perez Tecun</v>
          </cell>
        </row>
        <row r="403">
          <cell r="F403">
            <v>313727</v>
          </cell>
          <cell r="G403" t="str">
            <v>Erwin Antonio Lorenzo Zamora</v>
          </cell>
        </row>
        <row r="404">
          <cell r="F404">
            <v>315123</v>
          </cell>
          <cell r="G404" t="str">
            <v>Esdras Daniel Pablo Solis</v>
          </cell>
        </row>
        <row r="405">
          <cell r="F405">
            <v>315491</v>
          </cell>
          <cell r="G405" t="str">
            <v>Esdras Eduardo Hernadez Morales</v>
          </cell>
        </row>
        <row r="406">
          <cell r="F406">
            <v>314068</v>
          </cell>
          <cell r="G406" t="str">
            <v>Esdras Manases Vasquez Vasquez</v>
          </cell>
        </row>
        <row r="407">
          <cell r="F407">
            <v>313871</v>
          </cell>
          <cell r="G407" t="str">
            <v>Eskarleth Julieta Coloma Camey</v>
          </cell>
        </row>
        <row r="408">
          <cell r="F408">
            <v>312554</v>
          </cell>
          <cell r="G408" t="str">
            <v>Esmaylin Alexis Melchor Lopez</v>
          </cell>
        </row>
        <row r="409">
          <cell r="F409">
            <v>315510</v>
          </cell>
          <cell r="G409" t="str">
            <v>Esteban Alfonso Gonzalez Osuna</v>
          </cell>
        </row>
        <row r="410">
          <cell r="F410">
            <v>313644</v>
          </cell>
          <cell r="G410" t="str">
            <v>Estefani Elizabeth Tzul Macario</v>
          </cell>
        </row>
        <row r="411">
          <cell r="F411">
            <v>312323</v>
          </cell>
          <cell r="G411" t="str">
            <v>Estefani Mishel Carpio Alvarado</v>
          </cell>
        </row>
        <row r="412">
          <cell r="F412">
            <v>313428</v>
          </cell>
          <cell r="G412" t="str">
            <v>Estefany Catalina Suazo Garcia</v>
          </cell>
        </row>
        <row r="413">
          <cell r="F413">
            <v>311094</v>
          </cell>
          <cell r="G413" t="str">
            <v>Estefany Virginia Perez Leiva</v>
          </cell>
        </row>
        <row r="414">
          <cell r="F414">
            <v>313151</v>
          </cell>
          <cell r="G414" t="str">
            <v>Ester Yulissa Salazar Sanches</v>
          </cell>
        </row>
        <row r="415">
          <cell r="F415">
            <v>308702</v>
          </cell>
          <cell r="G415" t="str">
            <v>Estuardo Alejandro Us Chanchavac</v>
          </cell>
        </row>
        <row r="416">
          <cell r="F416">
            <v>315564</v>
          </cell>
          <cell r="G416" t="str">
            <v>Esvin Rolando Orozco Mulul</v>
          </cell>
        </row>
        <row r="417">
          <cell r="F417">
            <v>314285</v>
          </cell>
          <cell r="G417" t="str">
            <v>Eswin Antonio Carrillo Barrera</v>
          </cell>
        </row>
        <row r="418">
          <cell r="F418">
            <v>311882</v>
          </cell>
          <cell r="G418" t="str">
            <v>Eswin Aroldo Ordoñez Robles</v>
          </cell>
        </row>
        <row r="419">
          <cell r="F419">
            <v>315041</v>
          </cell>
          <cell r="G419" t="str">
            <v>Eugenia Azucely Lopez De De Aguirre</v>
          </cell>
        </row>
        <row r="420">
          <cell r="F420">
            <v>313219</v>
          </cell>
          <cell r="G420" t="str">
            <v>Eunice Alejandrina Simon Gonzalez</v>
          </cell>
        </row>
        <row r="421">
          <cell r="F421">
            <v>314553</v>
          </cell>
          <cell r="G421" t="str">
            <v>Eva Argentina Ramirez Perez</v>
          </cell>
        </row>
        <row r="422">
          <cell r="F422">
            <v>313803</v>
          </cell>
          <cell r="G422" t="str">
            <v>Eva Yustinia Lopez Zuñiga</v>
          </cell>
        </row>
        <row r="423">
          <cell r="F423">
            <v>314445</v>
          </cell>
          <cell r="G423" t="str">
            <v>Evelin Lorena Noguera García</v>
          </cell>
        </row>
        <row r="424">
          <cell r="F424">
            <v>314320</v>
          </cell>
          <cell r="G424" t="str">
            <v>Evelin Maria Padilla Garcia</v>
          </cell>
        </row>
        <row r="425">
          <cell r="F425">
            <v>313699</v>
          </cell>
          <cell r="G425" t="str">
            <v>Evelin Yulissa Lopez Villar</v>
          </cell>
        </row>
        <row r="426">
          <cell r="F426">
            <v>307498</v>
          </cell>
          <cell r="G426" t="str">
            <v>Evelyn Julieta Lopez Peralta</v>
          </cell>
        </row>
        <row r="427">
          <cell r="F427">
            <v>312811</v>
          </cell>
          <cell r="G427" t="str">
            <v>Evelyn Maritza Chumil Monroy</v>
          </cell>
        </row>
        <row r="428">
          <cell r="F428">
            <v>313353</v>
          </cell>
          <cell r="G428" t="str">
            <v>Evelyn Marleny Rosales Cutz</v>
          </cell>
        </row>
        <row r="429">
          <cell r="F429">
            <v>313264</v>
          </cell>
          <cell r="G429" t="str">
            <v>Evelyn Mishell Catalan Pixtun</v>
          </cell>
        </row>
        <row r="430">
          <cell r="F430">
            <v>314528</v>
          </cell>
          <cell r="G430" t="str">
            <v>Evelyn Nohemi Morales Lopez</v>
          </cell>
        </row>
        <row r="431">
          <cell r="F431">
            <v>311933</v>
          </cell>
          <cell r="G431" t="str">
            <v>Evelyn Rocio Chiquival Piquic</v>
          </cell>
        </row>
        <row r="432">
          <cell r="F432">
            <v>315213</v>
          </cell>
          <cell r="G432" t="str">
            <v>Evelyn Susana Hernandez Ambrosio</v>
          </cell>
        </row>
        <row r="433">
          <cell r="F433">
            <v>311721</v>
          </cell>
          <cell r="G433" t="str">
            <v>Evelyn Yaneth Aceituno Lara</v>
          </cell>
        </row>
        <row r="434">
          <cell r="F434">
            <v>313016</v>
          </cell>
          <cell r="G434" t="str">
            <v>Ever Josue Del Valle Rivera</v>
          </cell>
        </row>
        <row r="435">
          <cell r="F435">
            <v>313552</v>
          </cell>
          <cell r="G435" t="str">
            <v>Everilda Choc Caal</v>
          </cell>
        </row>
        <row r="436">
          <cell r="F436">
            <v>313091</v>
          </cell>
          <cell r="G436" t="str">
            <v>Fabian De Jesus Ramirez Icute</v>
          </cell>
        </row>
        <row r="437">
          <cell r="F437">
            <v>312169</v>
          </cell>
          <cell r="G437" t="str">
            <v>Fabiola Hernandez Bartolon</v>
          </cell>
        </row>
        <row r="438">
          <cell r="F438">
            <v>308284</v>
          </cell>
          <cell r="G438" t="str">
            <v>Fabiola Ninett Beteta Barillas</v>
          </cell>
        </row>
        <row r="439">
          <cell r="F439">
            <v>312293</v>
          </cell>
          <cell r="G439" t="str">
            <v>Fabricio Daniel Cajas Cifuentes</v>
          </cell>
        </row>
        <row r="440">
          <cell r="F440">
            <v>315582</v>
          </cell>
          <cell r="G440" t="str">
            <v>Fatima Mercedes Montes Quezada</v>
          </cell>
        </row>
        <row r="441">
          <cell r="F441">
            <v>314263</v>
          </cell>
          <cell r="G441" t="str">
            <v>Feliciana Isabel Ramirez Raymundo</v>
          </cell>
        </row>
        <row r="442">
          <cell r="F442">
            <v>314012</v>
          </cell>
          <cell r="G442" t="str">
            <v>Felix Rodolfo Alvarado Jimenez</v>
          </cell>
        </row>
        <row r="443">
          <cell r="F443">
            <v>314349</v>
          </cell>
          <cell r="G443" t="str">
            <v>Fernanda Lucia Lopez Estrada</v>
          </cell>
        </row>
        <row r="444">
          <cell r="F444">
            <v>312409</v>
          </cell>
          <cell r="G444" t="str">
            <v>Fernanda Rene Villatoro Guarcas</v>
          </cell>
        </row>
        <row r="445">
          <cell r="F445">
            <v>314934</v>
          </cell>
          <cell r="G445" t="str">
            <v>Fernando Jose Monzon Castañeda</v>
          </cell>
        </row>
        <row r="446">
          <cell r="F446">
            <v>315303</v>
          </cell>
          <cell r="G446" t="str">
            <v>Flavio Ernesto Monzón Rummler</v>
          </cell>
        </row>
        <row r="447">
          <cell r="F447">
            <v>315309</v>
          </cell>
          <cell r="G447" t="str">
            <v>Flor De Maria Lopez Garcia</v>
          </cell>
        </row>
        <row r="448">
          <cell r="F448">
            <v>307917</v>
          </cell>
          <cell r="G448" t="str">
            <v>Flor De Maria Mux Ramos</v>
          </cell>
        </row>
        <row r="449">
          <cell r="F449">
            <v>315038</v>
          </cell>
          <cell r="G449" t="str">
            <v>Flor Sylvestre Orellana Gonzalez</v>
          </cell>
        </row>
        <row r="450">
          <cell r="F450">
            <v>101729</v>
          </cell>
          <cell r="G450" t="str">
            <v>Florencio Monterroso Estrada</v>
          </cell>
        </row>
        <row r="451">
          <cell r="F451">
            <v>314230</v>
          </cell>
          <cell r="G451" t="str">
            <v>Floridalma Leticia Lopez Ramirez</v>
          </cell>
        </row>
        <row r="452">
          <cell r="F452">
            <v>314093</v>
          </cell>
          <cell r="G452" t="str">
            <v>Floridalma Nicolas Yos</v>
          </cell>
        </row>
        <row r="453">
          <cell r="F453">
            <v>312717</v>
          </cell>
          <cell r="G453" t="str">
            <v>Florita Reyes Roblero Morales</v>
          </cell>
        </row>
        <row r="454">
          <cell r="F454">
            <v>314785</v>
          </cell>
          <cell r="G454" t="str">
            <v>Flory Azucena De Leon Ventura</v>
          </cell>
        </row>
        <row r="455">
          <cell r="F455">
            <v>310144</v>
          </cell>
          <cell r="G455" t="str">
            <v>Francisco Javier Diaz Avila</v>
          </cell>
        </row>
        <row r="456">
          <cell r="F456">
            <v>315457</v>
          </cell>
          <cell r="G456" t="str">
            <v>Francisco Joel Gomez Rodriguez</v>
          </cell>
        </row>
        <row r="457">
          <cell r="F457">
            <v>311612</v>
          </cell>
          <cell r="G457" t="str">
            <v>Franklin Alexander Perez Paiz</v>
          </cell>
        </row>
        <row r="458">
          <cell r="F458">
            <v>315204</v>
          </cell>
          <cell r="G458" t="str">
            <v>Gabriel Antonio Rodas Domingo</v>
          </cell>
        </row>
        <row r="459">
          <cell r="F459">
            <v>311548</v>
          </cell>
          <cell r="G459" t="str">
            <v>Gabriela Alejandra Estrada Aroche</v>
          </cell>
        </row>
        <row r="460">
          <cell r="F460">
            <v>306667</v>
          </cell>
          <cell r="G460" t="str">
            <v>Gabriela Elizabeth Flores Santos</v>
          </cell>
        </row>
        <row r="461">
          <cell r="F461">
            <v>314533</v>
          </cell>
          <cell r="G461" t="str">
            <v>Gabriela Liseth Perez Monzon</v>
          </cell>
        </row>
        <row r="462">
          <cell r="F462">
            <v>311817</v>
          </cell>
          <cell r="G462" t="str">
            <v>Gabriela Paola Macario Lopez</v>
          </cell>
        </row>
        <row r="463">
          <cell r="F463">
            <v>301309</v>
          </cell>
          <cell r="G463" t="str">
            <v>Gabriela Pelaez Gonzalez</v>
          </cell>
        </row>
        <row r="464">
          <cell r="F464">
            <v>315530</v>
          </cell>
          <cell r="G464" t="str">
            <v>Gabriela Raquel Pixtun Trujillo</v>
          </cell>
        </row>
        <row r="465">
          <cell r="F465">
            <v>315343</v>
          </cell>
          <cell r="G465" t="str">
            <v>Gabriela Valeska Lemus Cotuc</v>
          </cell>
        </row>
        <row r="466">
          <cell r="F466">
            <v>309911</v>
          </cell>
          <cell r="G466" t="str">
            <v>Gaby Beatriz Lopez Lopez</v>
          </cell>
        </row>
        <row r="467">
          <cell r="F467">
            <v>315485</v>
          </cell>
          <cell r="G467" t="str">
            <v>Geraldy Daleska Cuyan Giron</v>
          </cell>
        </row>
        <row r="468">
          <cell r="F468">
            <v>307104</v>
          </cell>
          <cell r="G468" t="str">
            <v>Gerber Ariel De Leon Elias</v>
          </cell>
        </row>
        <row r="469">
          <cell r="F469">
            <v>312975</v>
          </cell>
          <cell r="G469" t="str">
            <v>Gerberth Aridmendi Arevalo Zepeda</v>
          </cell>
        </row>
        <row r="470">
          <cell r="F470">
            <v>306654</v>
          </cell>
          <cell r="G470" t="str">
            <v>Gerson Arcadio Hernandez Barrios</v>
          </cell>
        </row>
        <row r="471">
          <cell r="F471">
            <v>315035</v>
          </cell>
          <cell r="G471" t="str">
            <v>Gerson David Ortega Soto</v>
          </cell>
        </row>
        <row r="472">
          <cell r="F472">
            <v>315255</v>
          </cell>
          <cell r="G472" t="str">
            <v>Gerson Rene Galicia Alvarez</v>
          </cell>
        </row>
        <row r="473">
          <cell r="F473">
            <v>313730</v>
          </cell>
          <cell r="G473" t="str">
            <v>Gerson Rolando Alcantara Gonzalez</v>
          </cell>
        </row>
        <row r="474">
          <cell r="F474">
            <v>315273</v>
          </cell>
          <cell r="G474" t="str">
            <v>Gladis Guadalupe Tuyuc Ramirez</v>
          </cell>
        </row>
        <row r="475">
          <cell r="F475">
            <v>309429</v>
          </cell>
          <cell r="G475" t="str">
            <v>Gladis Mishel Aguilar Garcia</v>
          </cell>
        </row>
        <row r="476">
          <cell r="F476">
            <v>315265</v>
          </cell>
          <cell r="G476" t="str">
            <v>Gladis Nohemi Noj Hernandez De De Leon</v>
          </cell>
        </row>
        <row r="477">
          <cell r="F477">
            <v>301514</v>
          </cell>
          <cell r="G477" t="str">
            <v>Gladiz Maricela Guamuch Caracun De Lopez</v>
          </cell>
        </row>
        <row r="478">
          <cell r="F478">
            <v>309950</v>
          </cell>
          <cell r="G478" t="str">
            <v>Gladys Maribel Chamale Cotzajay</v>
          </cell>
        </row>
        <row r="479">
          <cell r="F479">
            <v>315349</v>
          </cell>
          <cell r="G479" t="str">
            <v>Gladys Marleny Rodriguez Tzoc</v>
          </cell>
        </row>
        <row r="480">
          <cell r="F480">
            <v>306248</v>
          </cell>
          <cell r="G480" t="str">
            <v>Gladys Susana Marin De Leon</v>
          </cell>
        </row>
        <row r="481">
          <cell r="F481">
            <v>310719</v>
          </cell>
          <cell r="G481" t="str">
            <v>Gladyz Ninett Sanchez Perez</v>
          </cell>
        </row>
        <row r="482">
          <cell r="F482">
            <v>309945</v>
          </cell>
          <cell r="G482" t="str">
            <v>Glenda Flor De Maria Caal</v>
          </cell>
        </row>
        <row r="483">
          <cell r="F483">
            <v>314619</v>
          </cell>
          <cell r="G483" t="str">
            <v>Glenda Isabel Perez Velasquez</v>
          </cell>
        </row>
        <row r="484">
          <cell r="F484">
            <v>315263</v>
          </cell>
          <cell r="G484" t="str">
            <v>Glendy Aracely Arevalo Estrada</v>
          </cell>
        </row>
        <row r="485">
          <cell r="F485">
            <v>312140</v>
          </cell>
          <cell r="G485" t="str">
            <v>Glendy Elizabeth Aspuac Xunux</v>
          </cell>
        </row>
        <row r="486">
          <cell r="F486">
            <v>304949</v>
          </cell>
          <cell r="G486" t="str">
            <v>Glendy Modesta Orellana Sanabria</v>
          </cell>
        </row>
        <row r="487">
          <cell r="F487">
            <v>314189</v>
          </cell>
          <cell r="G487" t="str">
            <v>Gloria Angelica Torres Franco</v>
          </cell>
        </row>
        <row r="488">
          <cell r="F488">
            <v>304943</v>
          </cell>
          <cell r="G488" t="str">
            <v>Gloria Hernandez Reyes</v>
          </cell>
        </row>
        <row r="489">
          <cell r="F489">
            <v>314569</v>
          </cell>
          <cell r="G489" t="str">
            <v>Gonzalo Danilo Castillo Miche</v>
          </cell>
        </row>
        <row r="490">
          <cell r="F490">
            <v>310114</v>
          </cell>
          <cell r="G490" t="str">
            <v>Guadalupe Marroquin Mayen</v>
          </cell>
        </row>
        <row r="491">
          <cell r="F491">
            <v>313710</v>
          </cell>
          <cell r="G491" t="str">
            <v>Gustavo Adolfo Mixtun Sunun</v>
          </cell>
        </row>
        <row r="492">
          <cell r="F492">
            <v>314863</v>
          </cell>
          <cell r="G492" t="str">
            <v>Gustavo Manuel Cifuentes De Mata</v>
          </cell>
        </row>
        <row r="493">
          <cell r="F493">
            <v>315412</v>
          </cell>
          <cell r="G493" t="str">
            <v>Hairo Andre Contreras Paz</v>
          </cell>
        </row>
        <row r="494">
          <cell r="F494">
            <v>311419</v>
          </cell>
          <cell r="G494" t="str">
            <v>Hallari Michel Orozco Chapen</v>
          </cell>
        </row>
        <row r="495">
          <cell r="F495">
            <v>312961</v>
          </cell>
          <cell r="G495" t="str">
            <v>Hans Estuard Milian Alarcon</v>
          </cell>
        </row>
        <row r="496">
          <cell r="F496">
            <v>315569</v>
          </cell>
          <cell r="G496" t="str">
            <v>Heber Benjamin Gomez Ramirez</v>
          </cell>
        </row>
        <row r="497">
          <cell r="F497">
            <v>315175</v>
          </cell>
          <cell r="G497" t="str">
            <v>Heber Nehemias Velasquez Lorenzo</v>
          </cell>
        </row>
        <row r="498">
          <cell r="F498">
            <v>315576</v>
          </cell>
          <cell r="G498" t="str">
            <v>Heber Uziel Ruiz Escobar</v>
          </cell>
        </row>
        <row r="499">
          <cell r="F499">
            <v>315154</v>
          </cell>
          <cell r="G499" t="str">
            <v>Hector Estuardo Velasquez Carvajal</v>
          </cell>
        </row>
        <row r="500">
          <cell r="F500">
            <v>312588</v>
          </cell>
          <cell r="G500" t="str">
            <v>Hector Manuel Pojoy Berduo</v>
          </cell>
        </row>
        <row r="501">
          <cell r="F501">
            <v>309925</v>
          </cell>
          <cell r="G501" t="str">
            <v>Hector Marco Tulio Torres Garcia</v>
          </cell>
        </row>
        <row r="502">
          <cell r="F502">
            <v>312114</v>
          </cell>
          <cell r="G502" t="str">
            <v>Hegner Aquino Mateo Recinos</v>
          </cell>
        </row>
        <row r="503">
          <cell r="F503">
            <v>310694</v>
          </cell>
          <cell r="G503" t="str">
            <v>Heidy Carolina Monterroso Monterroso</v>
          </cell>
        </row>
        <row r="504">
          <cell r="F504">
            <v>315300</v>
          </cell>
          <cell r="G504" t="str">
            <v>Heidy Karina Gil Quinti</v>
          </cell>
        </row>
        <row r="505">
          <cell r="F505">
            <v>314029</v>
          </cell>
          <cell r="G505" t="str">
            <v>Heidy Noely Yupe Hernandez</v>
          </cell>
        </row>
        <row r="506">
          <cell r="F506">
            <v>313510</v>
          </cell>
          <cell r="G506" t="str">
            <v>Heidy Patricia Santizo López</v>
          </cell>
        </row>
        <row r="507">
          <cell r="F507">
            <v>308951</v>
          </cell>
          <cell r="G507" t="str">
            <v>Heidy Sucely Boc Monroy</v>
          </cell>
        </row>
        <row r="508">
          <cell r="F508">
            <v>301847</v>
          </cell>
          <cell r="G508" t="str">
            <v>Heidy Yanet Reyes Presencin</v>
          </cell>
        </row>
        <row r="509">
          <cell r="F509">
            <v>314009</v>
          </cell>
          <cell r="G509" t="str">
            <v>Heily Marie Taracena Diaz</v>
          </cell>
        </row>
        <row r="510">
          <cell r="F510">
            <v>303959</v>
          </cell>
          <cell r="G510" t="str">
            <v>Helen Editt Solorzano Estrada</v>
          </cell>
        </row>
        <row r="511">
          <cell r="F511">
            <v>308028</v>
          </cell>
          <cell r="G511" t="str">
            <v>Helen Eunice Hernandez Recinos</v>
          </cell>
        </row>
        <row r="512">
          <cell r="F512">
            <v>302479</v>
          </cell>
          <cell r="G512" t="str">
            <v>Helen Xiomara Roldan Sagastume</v>
          </cell>
        </row>
        <row r="513">
          <cell r="F513">
            <v>313041</v>
          </cell>
          <cell r="G513" t="str">
            <v>Hellen Marisol Velasquez Ciprian</v>
          </cell>
        </row>
        <row r="514">
          <cell r="F514">
            <v>313729</v>
          </cell>
          <cell r="G514" t="str">
            <v>Henry David Lopez Perez</v>
          </cell>
        </row>
        <row r="515">
          <cell r="F515">
            <v>307713</v>
          </cell>
          <cell r="G515" t="str">
            <v>Henry Donaldo Rodriguez Perez</v>
          </cell>
        </row>
        <row r="516">
          <cell r="F516">
            <v>315304</v>
          </cell>
          <cell r="G516" t="str">
            <v>Henry Gabriel Morales Chinchilla</v>
          </cell>
        </row>
        <row r="517">
          <cell r="F517">
            <v>314630</v>
          </cell>
          <cell r="G517" t="str">
            <v>Henry Misael Serech Ramon</v>
          </cell>
        </row>
        <row r="518">
          <cell r="F518">
            <v>312139</v>
          </cell>
          <cell r="G518" t="str">
            <v>Herber Ardany Lucho Samayoa</v>
          </cell>
        </row>
        <row r="519">
          <cell r="F519">
            <v>310725</v>
          </cell>
          <cell r="G519" t="str">
            <v>Herber Humberto Cax Gonzales</v>
          </cell>
        </row>
        <row r="520">
          <cell r="F520">
            <v>309034</v>
          </cell>
          <cell r="G520" t="str">
            <v>Herbert Josue Mucia Garcia</v>
          </cell>
        </row>
        <row r="521">
          <cell r="F521">
            <v>315218</v>
          </cell>
          <cell r="G521" t="str">
            <v>Herberth Alberto Barrios Perez</v>
          </cell>
        </row>
        <row r="522">
          <cell r="F522">
            <v>315050</v>
          </cell>
          <cell r="G522" t="str">
            <v>Hercy Dayana Hidalgo Romero</v>
          </cell>
        </row>
        <row r="523">
          <cell r="F523">
            <v>312377</v>
          </cell>
          <cell r="G523" t="str">
            <v>Hesler Jonathan Quevedo De La Cruz</v>
          </cell>
        </row>
        <row r="524">
          <cell r="F524">
            <v>315495</v>
          </cell>
          <cell r="G524" t="str">
            <v>Heydee Johana Marisol Cho Del Valle</v>
          </cell>
        </row>
        <row r="525">
          <cell r="F525">
            <v>302285</v>
          </cell>
          <cell r="G525" t="str">
            <v>Heydi Yaneth Sales Mazariegos</v>
          </cell>
        </row>
        <row r="526">
          <cell r="F526">
            <v>309528</v>
          </cell>
          <cell r="G526" t="str">
            <v>Heydi Zuleyma Gue Cac</v>
          </cell>
        </row>
        <row r="527">
          <cell r="F527">
            <v>310612</v>
          </cell>
          <cell r="G527" t="str">
            <v>Heydy Mariela Santiago Armas</v>
          </cell>
        </row>
        <row r="528">
          <cell r="F528">
            <v>301649</v>
          </cell>
          <cell r="G528" t="str">
            <v>Hilda Paola Lopez Cano</v>
          </cell>
        </row>
        <row r="529">
          <cell r="F529">
            <v>306404</v>
          </cell>
          <cell r="G529" t="str">
            <v>Hugo Leonel Tahual Ramos</v>
          </cell>
        </row>
        <row r="530">
          <cell r="F530">
            <v>313743</v>
          </cell>
          <cell r="G530" t="str">
            <v>Hugo Rolando Ruiz Alquijay</v>
          </cell>
        </row>
        <row r="531">
          <cell r="F531">
            <v>310888</v>
          </cell>
          <cell r="G531" t="str">
            <v>Hugo Vinicio Chavez Barrios</v>
          </cell>
        </row>
        <row r="532">
          <cell r="F532">
            <v>302261</v>
          </cell>
          <cell r="G532" t="str">
            <v>Idalia Ester Espino Lopez</v>
          </cell>
        </row>
        <row r="533">
          <cell r="F533">
            <v>304392</v>
          </cell>
          <cell r="G533" t="str">
            <v>Ilda Gricelda Garcia Zacarias</v>
          </cell>
        </row>
        <row r="534">
          <cell r="F534">
            <v>313703</v>
          </cell>
          <cell r="G534" t="str">
            <v>Ilda Magnolia Lopez Ramirez</v>
          </cell>
        </row>
        <row r="535">
          <cell r="F535">
            <v>310432</v>
          </cell>
          <cell r="G535" t="str">
            <v>Ilda Merary Calachij Mendez</v>
          </cell>
        </row>
        <row r="536">
          <cell r="F536">
            <v>309389</v>
          </cell>
          <cell r="G536" t="str">
            <v>Ilsy Meliza Matzir Lebon</v>
          </cell>
        </row>
        <row r="537">
          <cell r="F537">
            <v>303674</v>
          </cell>
          <cell r="G537" t="str">
            <v>Imelda Elizabeth Castro Rodas</v>
          </cell>
        </row>
        <row r="538">
          <cell r="F538">
            <v>301644</v>
          </cell>
          <cell r="G538" t="str">
            <v>Imelda Eugenia Recinos Martinez</v>
          </cell>
        </row>
        <row r="539">
          <cell r="F539">
            <v>307030</v>
          </cell>
          <cell r="G539" t="str">
            <v>Ingrid Alejandra Juarez Yanes</v>
          </cell>
        </row>
        <row r="540">
          <cell r="F540">
            <v>315503</v>
          </cell>
          <cell r="G540" t="str">
            <v>Ingrid Benita Tojin Chuc</v>
          </cell>
        </row>
        <row r="541">
          <cell r="F541">
            <v>312398</v>
          </cell>
          <cell r="G541" t="str">
            <v>Ingrid Esteffany Salazar Sosa</v>
          </cell>
        </row>
        <row r="542">
          <cell r="F542">
            <v>301199</v>
          </cell>
          <cell r="G542" t="str">
            <v>Ingrid Haydee Minchez Monzon</v>
          </cell>
        </row>
        <row r="543">
          <cell r="F543">
            <v>304317</v>
          </cell>
          <cell r="G543" t="str">
            <v>Ingrid Johana Muñoz Choc</v>
          </cell>
        </row>
        <row r="544">
          <cell r="F544">
            <v>311286</v>
          </cell>
          <cell r="G544" t="str">
            <v>Ingrid Lorena Anleu Morales</v>
          </cell>
        </row>
        <row r="545">
          <cell r="F545">
            <v>311133</v>
          </cell>
          <cell r="G545" t="str">
            <v>Ingrid Mariela Maldonado Tubac</v>
          </cell>
        </row>
        <row r="546">
          <cell r="F546">
            <v>313304</v>
          </cell>
          <cell r="G546" t="str">
            <v>Ingrid Yojana Ramos Sacalxot</v>
          </cell>
        </row>
        <row r="547">
          <cell r="F547">
            <v>311997</v>
          </cell>
          <cell r="G547" t="str">
            <v>Irene Lizbeth Rodas Cuc</v>
          </cell>
        </row>
        <row r="548">
          <cell r="F548">
            <v>313128</v>
          </cell>
          <cell r="G548" t="str">
            <v>Iris Elizabeth Cardona Gonzalez</v>
          </cell>
        </row>
        <row r="549">
          <cell r="F549">
            <v>314232</v>
          </cell>
          <cell r="G549" t="str">
            <v>Iris Yulisa Camposeco Funes</v>
          </cell>
        </row>
        <row r="550">
          <cell r="F550">
            <v>312920</v>
          </cell>
          <cell r="G550" t="str">
            <v>Irma Leticia Raquec Yos</v>
          </cell>
        </row>
        <row r="551">
          <cell r="F551">
            <v>314336</v>
          </cell>
          <cell r="G551" t="str">
            <v>Isaac David Ismael Calderon Socop</v>
          </cell>
        </row>
        <row r="552">
          <cell r="F552">
            <v>315186</v>
          </cell>
          <cell r="G552" t="str">
            <v>Isabelita Retana Zepeda</v>
          </cell>
        </row>
        <row r="553">
          <cell r="F553">
            <v>311913</v>
          </cell>
          <cell r="G553" t="str">
            <v>Isai Bernabe Quiroa Alvarez</v>
          </cell>
        </row>
        <row r="554">
          <cell r="F554">
            <v>315302</v>
          </cell>
          <cell r="G554" t="str">
            <v>Isai De Jesus Cabrera Tirado</v>
          </cell>
        </row>
        <row r="555">
          <cell r="F555">
            <v>314983</v>
          </cell>
          <cell r="G555" t="str">
            <v>Ismael Josafat Barrios</v>
          </cell>
        </row>
        <row r="556">
          <cell r="F556">
            <v>313569</v>
          </cell>
          <cell r="G556" t="str">
            <v>Ismar Manfredo Gomez Batres</v>
          </cell>
        </row>
        <row r="557">
          <cell r="F557">
            <v>315034</v>
          </cell>
          <cell r="G557" t="str">
            <v>Jackeline Andrea Yancor Wilhelm</v>
          </cell>
        </row>
        <row r="558">
          <cell r="F558">
            <v>315352</v>
          </cell>
          <cell r="G558" t="str">
            <v>Jackeline Ester Vasquez Pernillo</v>
          </cell>
        </row>
        <row r="559">
          <cell r="F559">
            <v>100717</v>
          </cell>
          <cell r="G559" t="str">
            <v>Jackeline Larisa De Leon Roldan</v>
          </cell>
        </row>
        <row r="560">
          <cell r="F560">
            <v>313656</v>
          </cell>
          <cell r="G560" t="str">
            <v>Jackelinne Judith Paz Morales</v>
          </cell>
        </row>
        <row r="561">
          <cell r="F561">
            <v>312255</v>
          </cell>
          <cell r="G561" t="str">
            <v>Jacqueline Mercedes Portuguez Simaj</v>
          </cell>
        </row>
        <row r="562">
          <cell r="F562">
            <v>314780</v>
          </cell>
          <cell r="G562" t="str">
            <v>Jacqueline Michell Arroyo Mendoza</v>
          </cell>
        </row>
        <row r="563">
          <cell r="F563">
            <v>301265</v>
          </cell>
          <cell r="G563" t="str">
            <v>Jaime Estuardo Gonzalez Lopez</v>
          </cell>
        </row>
        <row r="564">
          <cell r="F564">
            <v>314552</v>
          </cell>
          <cell r="G564" t="str">
            <v>Jaime Ottoniel Del Aguila Pineda</v>
          </cell>
        </row>
        <row r="565">
          <cell r="F565">
            <v>301608</v>
          </cell>
          <cell r="G565" t="str">
            <v>Jaime Rene Guzman Muy</v>
          </cell>
        </row>
        <row r="566">
          <cell r="F566">
            <v>314866</v>
          </cell>
          <cell r="G566" t="str">
            <v>Jaime Wilfredo Chub Coc</v>
          </cell>
        </row>
        <row r="567">
          <cell r="F567">
            <v>314935</v>
          </cell>
          <cell r="G567" t="str">
            <v>Jairo Anibal Veliz Carrera</v>
          </cell>
        </row>
        <row r="568">
          <cell r="F568">
            <v>313086</v>
          </cell>
          <cell r="G568" t="str">
            <v>Jairo Onesimo Aguilar Cabrera</v>
          </cell>
        </row>
        <row r="569">
          <cell r="F569">
            <v>314146</v>
          </cell>
          <cell r="G569" t="str">
            <v>Jairo Saul Lopez Quinteros</v>
          </cell>
        </row>
        <row r="570">
          <cell r="F570">
            <v>315130</v>
          </cell>
          <cell r="G570" t="str">
            <v>Jakelyn Estrella Erazo Asencio</v>
          </cell>
        </row>
        <row r="571">
          <cell r="F571">
            <v>315546</v>
          </cell>
          <cell r="G571" t="str">
            <v>James Alexander Marquez Salazar</v>
          </cell>
        </row>
        <row r="572">
          <cell r="F572">
            <v>314261</v>
          </cell>
          <cell r="G572" t="str">
            <v>Jannely Darlene Telon Giron</v>
          </cell>
        </row>
        <row r="573">
          <cell r="F573">
            <v>313187</v>
          </cell>
          <cell r="G573" t="str">
            <v>Janyer Violeta Aguirre Alvarez</v>
          </cell>
        </row>
        <row r="574">
          <cell r="F574">
            <v>308525</v>
          </cell>
          <cell r="G574" t="str">
            <v>Jaquelin Paola Lopez Bocel</v>
          </cell>
        </row>
        <row r="575">
          <cell r="F575">
            <v>308189</v>
          </cell>
          <cell r="G575" t="str">
            <v>Jaquelin Rocxana Cantey De Leon</v>
          </cell>
        </row>
        <row r="576">
          <cell r="F576">
            <v>312758</v>
          </cell>
          <cell r="G576" t="str">
            <v>Jaqueline Gabriela Vasquez Icute De Padilla</v>
          </cell>
        </row>
        <row r="577">
          <cell r="F577">
            <v>301462</v>
          </cell>
          <cell r="G577" t="str">
            <v>Jaqueline Johana Hernandez Masaya</v>
          </cell>
        </row>
        <row r="578">
          <cell r="F578">
            <v>310027</v>
          </cell>
          <cell r="G578" t="str">
            <v>Jaqueline Mishel Zetino Culan</v>
          </cell>
        </row>
        <row r="579">
          <cell r="F579">
            <v>313663</v>
          </cell>
          <cell r="G579" t="str">
            <v>Jaqueline Mishell Perez Sanic</v>
          </cell>
        </row>
        <row r="580">
          <cell r="F580">
            <v>314697</v>
          </cell>
          <cell r="G580" t="str">
            <v>Jaqueline Noemi Cojon Franco</v>
          </cell>
        </row>
        <row r="581">
          <cell r="F581">
            <v>314526</v>
          </cell>
          <cell r="G581" t="str">
            <v>Jaqueline Sarai Reynoso Perez</v>
          </cell>
        </row>
        <row r="582">
          <cell r="F582">
            <v>314952</v>
          </cell>
          <cell r="G582" t="str">
            <v>Jaqueline Stephanie Espinoza Espinoza</v>
          </cell>
        </row>
        <row r="583">
          <cell r="F583">
            <v>315467</v>
          </cell>
          <cell r="G583" t="str">
            <v>Jaqueline Vanessa Cardona Del Cid</v>
          </cell>
        </row>
        <row r="584">
          <cell r="F584">
            <v>314066</v>
          </cell>
          <cell r="G584" t="str">
            <v>Jaquelyn Marleny Fernandez</v>
          </cell>
        </row>
        <row r="585">
          <cell r="F585">
            <v>314639</v>
          </cell>
          <cell r="G585" t="str">
            <v>Jarod Emanuel Prado Sanchez</v>
          </cell>
        </row>
        <row r="586">
          <cell r="F586">
            <v>311320</v>
          </cell>
          <cell r="G586" t="str">
            <v>Jasly Elisama Escobar Mayen</v>
          </cell>
        </row>
        <row r="587">
          <cell r="F587">
            <v>304531</v>
          </cell>
          <cell r="G587" t="str">
            <v>Jasmin Cristabel Rosales</v>
          </cell>
        </row>
        <row r="588">
          <cell r="F588">
            <v>315500</v>
          </cell>
          <cell r="G588" t="str">
            <v>Jasson Daniel Morales Garcia</v>
          </cell>
        </row>
        <row r="589">
          <cell r="F589">
            <v>315383</v>
          </cell>
          <cell r="G589" t="str">
            <v>Javier Estuardo Calderon Caceres</v>
          </cell>
        </row>
        <row r="590">
          <cell r="F590">
            <v>307598</v>
          </cell>
          <cell r="G590" t="str">
            <v>Javier Ignacio Monzon Leon</v>
          </cell>
        </row>
        <row r="591">
          <cell r="F591">
            <v>312743</v>
          </cell>
          <cell r="G591" t="str">
            <v>Jayro Vinicio Alvarado Rodriguez</v>
          </cell>
        </row>
        <row r="592">
          <cell r="F592">
            <v>313435</v>
          </cell>
          <cell r="G592" t="str">
            <v>Jefferson Marvin Baudilio Aldana Lozano</v>
          </cell>
        </row>
        <row r="593">
          <cell r="F593">
            <v>310987</v>
          </cell>
          <cell r="G593" t="str">
            <v>Jeffrey Donely Alvarez Garcia</v>
          </cell>
        </row>
        <row r="594">
          <cell r="F594">
            <v>315307</v>
          </cell>
          <cell r="G594" t="str">
            <v>Jeicob Manrique Argueta Ovalle</v>
          </cell>
        </row>
        <row r="595">
          <cell r="F595">
            <v>313167</v>
          </cell>
          <cell r="G595" t="str">
            <v>Jency Julissa Chavarria Garcia</v>
          </cell>
        </row>
        <row r="596">
          <cell r="F596">
            <v>309592</v>
          </cell>
          <cell r="G596" t="str">
            <v>Jenifer Estrella Alvarez Cruz</v>
          </cell>
        </row>
        <row r="597">
          <cell r="F597">
            <v>308871</v>
          </cell>
          <cell r="G597" t="str">
            <v>Jenifer Lisset Chicol Solis</v>
          </cell>
        </row>
        <row r="598">
          <cell r="F598">
            <v>310744</v>
          </cell>
          <cell r="G598" t="str">
            <v>Jenifer Lucrecia Herrera Gonzalez</v>
          </cell>
        </row>
        <row r="599">
          <cell r="F599">
            <v>312022</v>
          </cell>
          <cell r="G599" t="str">
            <v>Jenifer Maria Lopez Jimenez</v>
          </cell>
        </row>
        <row r="600">
          <cell r="F600">
            <v>311998</v>
          </cell>
          <cell r="G600" t="str">
            <v>Jenifer Patricia Ruano Camo</v>
          </cell>
        </row>
        <row r="601">
          <cell r="F601">
            <v>314393</v>
          </cell>
          <cell r="G601" t="str">
            <v>Jeniffer Yadaris Villegas Montepeque</v>
          </cell>
        </row>
        <row r="602">
          <cell r="F602">
            <v>312144</v>
          </cell>
          <cell r="G602" t="str">
            <v>Jennie Beatriz Aguilar Gonzalez</v>
          </cell>
        </row>
        <row r="603">
          <cell r="F603">
            <v>310751</v>
          </cell>
          <cell r="G603" t="str">
            <v>Jennifer Alejandra Escobar De Leon</v>
          </cell>
        </row>
        <row r="604">
          <cell r="F604">
            <v>311804</v>
          </cell>
          <cell r="G604" t="str">
            <v>Jennifer Carolina Xitimul Aguilar</v>
          </cell>
        </row>
        <row r="605">
          <cell r="F605">
            <v>315185</v>
          </cell>
          <cell r="G605" t="str">
            <v>Jennifer Estefany Argueta De Leon</v>
          </cell>
        </row>
        <row r="606">
          <cell r="F606">
            <v>313611</v>
          </cell>
          <cell r="G606" t="str">
            <v>Jennifer Mishel Reyes Solis</v>
          </cell>
        </row>
        <row r="607">
          <cell r="F607">
            <v>314306</v>
          </cell>
          <cell r="G607" t="str">
            <v>Jennifer Noemi Soch Castro</v>
          </cell>
        </row>
        <row r="608">
          <cell r="F608">
            <v>312876</v>
          </cell>
          <cell r="G608" t="str">
            <v>Jennifer Pahola Calderon Lopez</v>
          </cell>
        </row>
        <row r="609">
          <cell r="F609">
            <v>311421</v>
          </cell>
          <cell r="G609" t="str">
            <v>Jennifer Scarlett Garcia Perez</v>
          </cell>
        </row>
        <row r="610">
          <cell r="F610">
            <v>312270</v>
          </cell>
          <cell r="G610" t="str">
            <v>Jennifer Vanessa Rodriguez Hernandez</v>
          </cell>
        </row>
        <row r="611">
          <cell r="F611">
            <v>313387</v>
          </cell>
          <cell r="G611" t="str">
            <v>Jennifer Waleska Arévalo Barrios</v>
          </cell>
        </row>
        <row r="612">
          <cell r="F612">
            <v>312117</v>
          </cell>
          <cell r="G612" t="str">
            <v>Jenniffer Jazmin Ramos Madriles</v>
          </cell>
        </row>
        <row r="613">
          <cell r="F613">
            <v>310238</v>
          </cell>
          <cell r="G613" t="str">
            <v>Jennyfer Cristina Zamora Rosales</v>
          </cell>
        </row>
        <row r="614">
          <cell r="F614">
            <v>312732</v>
          </cell>
          <cell r="G614" t="str">
            <v>Jerson Herminio Melchor Vasquez</v>
          </cell>
        </row>
        <row r="615">
          <cell r="F615">
            <v>314962</v>
          </cell>
          <cell r="G615" t="str">
            <v>Jessica Alejandra Castillo Alvarado</v>
          </cell>
        </row>
        <row r="616">
          <cell r="F616">
            <v>314100</v>
          </cell>
          <cell r="G616" t="str">
            <v>Jessica Elizabeth Perez Noriega</v>
          </cell>
        </row>
        <row r="617">
          <cell r="F617">
            <v>311601</v>
          </cell>
          <cell r="G617" t="str">
            <v>Jessica Haydee Garcia Cuyuche</v>
          </cell>
        </row>
        <row r="618">
          <cell r="F618">
            <v>314620</v>
          </cell>
          <cell r="G618" t="str">
            <v>Jessica Jasmin Baltazar Fuentes</v>
          </cell>
        </row>
        <row r="619">
          <cell r="F619">
            <v>302841</v>
          </cell>
          <cell r="G619" t="str">
            <v>Jessica Maria Jose Santizo Guzman</v>
          </cell>
        </row>
        <row r="620">
          <cell r="F620">
            <v>306420</v>
          </cell>
          <cell r="G620" t="str">
            <v>Jessica Paola Espinoza Solares</v>
          </cell>
        </row>
        <row r="621">
          <cell r="F621">
            <v>313826</v>
          </cell>
          <cell r="G621" t="str">
            <v>Jesus Alberto Vasquez</v>
          </cell>
        </row>
        <row r="622">
          <cell r="F622">
            <v>314641</v>
          </cell>
          <cell r="G622" t="str">
            <v>Jesus Emanuel Ramos Perez</v>
          </cell>
        </row>
        <row r="623">
          <cell r="F623">
            <v>314554</v>
          </cell>
          <cell r="G623" t="str">
            <v>Jhonatan Alexis Ramos Tecun</v>
          </cell>
        </row>
        <row r="624">
          <cell r="F624">
            <v>309115</v>
          </cell>
          <cell r="G624" t="str">
            <v>Jhony Ivan Perez Castillo</v>
          </cell>
        </row>
        <row r="625">
          <cell r="F625">
            <v>311171</v>
          </cell>
          <cell r="G625" t="str">
            <v>Jhoselyn Guadalupe Aquino Maldonado</v>
          </cell>
        </row>
        <row r="626">
          <cell r="F626">
            <v>311987</v>
          </cell>
          <cell r="G626" t="str">
            <v>Jhosseline Stefanie Zermeño Ayala</v>
          </cell>
        </row>
        <row r="627">
          <cell r="F627">
            <v>315116</v>
          </cell>
          <cell r="G627" t="str">
            <v>Jocelyn Fabiola Negro Vasquez</v>
          </cell>
        </row>
        <row r="628">
          <cell r="F628">
            <v>314644</v>
          </cell>
          <cell r="G628" t="str">
            <v>Joel Bernardino Pu Vicente</v>
          </cell>
        </row>
        <row r="629">
          <cell r="F629">
            <v>314368</v>
          </cell>
          <cell r="G629" t="str">
            <v>Johanna Cecilia Hernandez Ixtecoc</v>
          </cell>
        </row>
        <row r="630">
          <cell r="F630">
            <v>314339</v>
          </cell>
          <cell r="G630" t="str">
            <v>Jonatan Estuardo Lopez Gonzalez</v>
          </cell>
        </row>
        <row r="631">
          <cell r="F631">
            <v>313157</v>
          </cell>
          <cell r="G631" t="str">
            <v>Jonatan Guillermo Soto Urbina</v>
          </cell>
        </row>
        <row r="632">
          <cell r="F632">
            <v>315492</v>
          </cell>
          <cell r="G632" t="str">
            <v>Jonathan Daniel Perez Marroquin</v>
          </cell>
        </row>
        <row r="633">
          <cell r="F633">
            <v>315156</v>
          </cell>
          <cell r="G633" t="str">
            <v>Jonathan Donely Sandoval Soch</v>
          </cell>
        </row>
        <row r="634">
          <cell r="F634">
            <v>315451</v>
          </cell>
          <cell r="G634" t="str">
            <v>Jonathan Estuardo Boteo Hernandez</v>
          </cell>
        </row>
        <row r="635">
          <cell r="F635">
            <v>314228</v>
          </cell>
          <cell r="G635" t="str">
            <v>Jordi Alexander Yuman Ramos</v>
          </cell>
        </row>
        <row r="636">
          <cell r="F636">
            <v>305955</v>
          </cell>
          <cell r="G636" t="str">
            <v>Jorge Alfredo Gutierrez Rodriguez</v>
          </cell>
        </row>
        <row r="637">
          <cell r="F637">
            <v>309695</v>
          </cell>
          <cell r="G637" t="str">
            <v>Jorge Andres Sunum Sacul</v>
          </cell>
        </row>
        <row r="638">
          <cell r="F638">
            <v>310641</v>
          </cell>
          <cell r="G638" t="str">
            <v>Jorge Antonio Ramirez Sicay</v>
          </cell>
        </row>
        <row r="639">
          <cell r="F639">
            <v>300150</v>
          </cell>
          <cell r="G639" t="str">
            <v>Jorge Ckristian Murga</v>
          </cell>
        </row>
        <row r="640">
          <cell r="F640">
            <v>315114</v>
          </cell>
          <cell r="G640" t="str">
            <v>Jorge Enrique Tzic Cruz</v>
          </cell>
        </row>
        <row r="641">
          <cell r="F641">
            <v>300590</v>
          </cell>
          <cell r="G641" t="str">
            <v>Jorge Luis Hernandez Corado</v>
          </cell>
        </row>
        <row r="642">
          <cell r="F642">
            <v>315173</v>
          </cell>
          <cell r="G642" t="str">
            <v>Jorge Luis Morales Lopez</v>
          </cell>
        </row>
        <row r="643">
          <cell r="F643">
            <v>315067</v>
          </cell>
          <cell r="G643" t="str">
            <v>Jorge Luis Rizo Melgar</v>
          </cell>
        </row>
        <row r="644">
          <cell r="F644">
            <v>309498</v>
          </cell>
          <cell r="G644" t="str">
            <v>Jorge Ramiro Ixpec Tinti</v>
          </cell>
        </row>
        <row r="645">
          <cell r="F645">
            <v>313405</v>
          </cell>
          <cell r="G645" t="str">
            <v>Josabet Anai Paz Lobos</v>
          </cell>
        </row>
        <row r="646">
          <cell r="F646">
            <v>315268</v>
          </cell>
          <cell r="G646" t="str">
            <v>Jose Alberto Alveno Chacon</v>
          </cell>
        </row>
        <row r="647">
          <cell r="F647">
            <v>312319</v>
          </cell>
          <cell r="G647" t="str">
            <v>Jose Alberto Sosa</v>
          </cell>
        </row>
        <row r="648">
          <cell r="F648">
            <v>315039</v>
          </cell>
          <cell r="G648" t="str">
            <v>Jose Alejandro Hernandez Escobar</v>
          </cell>
        </row>
        <row r="649">
          <cell r="F649">
            <v>310674</v>
          </cell>
          <cell r="G649" t="str">
            <v>Jose Armando Bamaca De Leon</v>
          </cell>
        </row>
        <row r="650">
          <cell r="F650">
            <v>313612</v>
          </cell>
          <cell r="G650" t="str">
            <v>Jose Baldemar Galicia Muñoz</v>
          </cell>
        </row>
        <row r="651">
          <cell r="F651">
            <v>314216</v>
          </cell>
          <cell r="G651" t="str">
            <v>Jose Bernardo Yax Pop</v>
          </cell>
        </row>
        <row r="652">
          <cell r="F652">
            <v>314504</v>
          </cell>
          <cell r="G652" t="str">
            <v>Jose Carlos Lopez Santisteban</v>
          </cell>
        </row>
        <row r="653">
          <cell r="F653">
            <v>310673</v>
          </cell>
          <cell r="G653" t="str">
            <v>Jose Carlos Orozco Lopez</v>
          </cell>
        </row>
        <row r="654">
          <cell r="F654">
            <v>308982</v>
          </cell>
          <cell r="G654" t="str">
            <v>Jose Daniel Sosa Torres</v>
          </cell>
        </row>
        <row r="655">
          <cell r="F655">
            <v>314510</v>
          </cell>
          <cell r="G655" t="str">
            <v>Jose David Flores Enriquez</v>
          </cell>
        </row>
        <row r="656">
          <cell r="F656">
            <v>315261</v>
          </cell>
          <cell r="G656" t="str">
            <v>Jose Emmanuel Ixcajo Higueros</v>
          </cell>
        </row>
        <row r="657">
          <cell r="F657">
            <v>313766</v>
          </cell>
          <cell r="G657" t="str">
            <v>Jose Francisco Aquino Monterroso</v>
          </cell>
        </row>
        <row r="658">
          <cell r="F658">
            <v>315415</v>
          </cell>
          <cell r="G658" t="str">
            <v>Jose Guillermo Marroquin Alvarado</v>
          </cell>
        </row>
        <row r="659">
          <cell r="F659">
            <v>306915</v>
          </cell>
          <cell r="G659" t="str">
            <v>Jose Luis Chinchilla</v>
          </cell>
        </row>
        <row r="660">
          <cell r="F660">
            <v>309765</v>
          </cell>
          <cell r="G660" t="str">
            <v>Jose Luis Velasquez Miche</v>
          </cell>
        </row>
        <row r="661">
          <cell r="F661">
            <v>314262</v>
          </cell>
          <cell r="G661" t="str">
            <v>Jose Manuel Carreto Lopez</v>
          </cell>
        </row>
        <row r="662">
          <cell r="F662">
            <v>315487</v>
          </cell>
          <cell r="G662" t="str">
            <v>Jose Manuel Vasquez Osoy</v>
          </cell>
        </row>
        <row r="663">
          <cell r="F663">
            <v>304892</v>
          </cell>
          <cell r="G663" t="str">
            <v>Jose Mario Alberto Ordoñez Quiñonez</v>
          </cell>
        </row>
        <row r="664">
          <cell r="F664">
            <v>313023</v>
          </cell>
          <cell r="G664" t="str">
            <v>Jose Miguel Angel Noj Aguilar</v>
          </cell>
        </row>
        <row r="665">
          <cell r="F665">
            <v>312573</v>
          </cell>
          <cell r="G665" t="str">
            <v>Jose Miguel Santos Roca</v>
          </cell>
        </row>
        <row r="666">
          <cell r="F666">
            <v>311802</v>
          </cell>
          <cell r="G666" t="str">
            <v>Jose Roberto Samayoa Bernal</v>
          </cell>
        </row>
        <row r="667">
          <cell r="F667">
            <v>314614</v>
          </cell>
          <cell r="G667" t="str">
            <v>Jose Rodrigo Choc Turcios</v>
          </cell>
        </row>
        <row r="668">
          <cell r="F668">
            <v>314729</v>
          </cell>
          <cell r="G668" t="str">
            <v>Joselin Rocio Galicia Mendez</v>
          </cell>
        </row>
        <row r="669">
          <cell r="F669">
            <v>315496</v>
          </cell>
          <cell r="G669" t="str">
            <v>Joseline Otilia Lorenzana Obando</v>
          </cell>
        </row>
        <row r="670">
          <cell r="F670">
            <v>310302</v>
          </cell>
          <cell r="G670" t="str">
            <v>Joselyn Amparo Jolon Arenas</v>
          </cell>
        </row>
        <row r="671">
          <cell r="F671">
            <v>315573</v>
          </cell>
          <cell r="G671" t="str">
            <v>Joselyn Marilu Lima Hernandez</v>
          </cell>
        </row>
        <row r="672">
          <cell r="F672">
            <v>313361</v>
          </cell>
          <cell r="G672" t="str">
            <v>Joselyne Elizabeth Sanchez Rodriguez</v>
          </cell>
        </row>
        <row r="673">
          <cell r="F673">
            <v>309870</v>
          </cell>
          <cell r="G673" t="str">
            <v>Joselyne Gabriela Ruiz Serra</v>
          </cell>
        </row>
        <row r="674">
          <cell r="F674">
            <v>311407</v>
          </cell>
          <cell r="G674" t="str">
            <v>Joshelyn Andrea Ozuna Rosales</v>
          </cell>
        </row>
        <row r="675">
          <cell r="F675">
            <v>315066</v>
          </cell>
          <cell r="G675" t="str">
            <v>Joshua Leonel Pardo Carrera</v>
          </cell>
        </row>
        <row r="676">
          <cell r="F676">
            <v>314433</v>
          </cell>
          <cell r="G676" t="str">
            <v>Josselin Azucena Cortez Hernandez</v>
          </cell>
        </row>
        <row r="677">
          <cell r="F677">
            <v>315560</v>
          </cell>
          <cell r="G677" t="str">
            <v>Josseline Maribel Sarceno Guerra</v>
          </cell>
        </row>
        <row r="678">
          <cell r="F678">
            <v>314268</v>
          </cell>
          <cell r="G678" t="str">
            <v>Josseline Mishel Flores Baren</v>
          </cell>
        </row>
        <row r="679">
          <cell r="F679">
            <v>313034</v>
          </cell>
          <cell r="G679" t="str">
            <v>Josselyn Raab Morales Arana</v>
          </cell>
        </row>
        <row r="680">
          <cell r="F680">
            <v>314989</v>
          </cell>
          <cell r="G680" t="str">
            <v>Josue Adrian Gutierrez Garcia</v>
          </cell>
        </row>
        <row r="681">
          <cell r="F681">
            <v>308461</v>
          </cell>
          <cell r="G681" t="str">
            <v>Josue Gamaliel Rivera</v>
          </cell>
        </row>
        <row r="682">
          <cell r="F682">
            <v>315155</v>
          </cell>
          <cell r="G682" t="str">
            <v>Josue Helaman Delgado Rivera</v>
          </cell>
        </row>
        <row r="683">
          <cell r="F683">
            <v>315011</v>
          </cell>
          <cell r="G683" t="str">
            <v>Josue Ivan Escobar De Leon</v>
          </cell>
        </row>
        <row r="684">
          <cell r="F684">
            <v>313389</v>
          </cell>
          <cell r="G684" t="str">
            <v>Josue Leonel Hernandez Diaz</v>
          </cell>
        </row>
        <row r="685">
          <cell r="F685">
            <v>301059</v>
          </cell>
          <cell r="G685" t="str">
            <v>Jovita Vasquez Cuestas</v>
          </cell>
        </row>
        <row r="686">
          <cell r="F686">
            <v>314492</v>
          </cell>
          <cell r="G686" t="str">
            <v>Juan Antonio Alvarez Paniagua</v>
          </cell>
        </row>
        <row r="687">
          <cell r="F687">
            <v>313594</v>
          </cell>
          <cell r="G687" t="str">
            <v>Juan Carlos Enrique Molina Ramirez</v>
          </cell>
        </row>
        <row r="688">
          <cell r="F688">
            <v>314452</v>
          </cell>
          <cell r="G688" t="str">
            <v>Juan Carlos Ivan Garcia Garcia</v>
          </cell>
        </row>
        <row r="689">
          <cell r="F689">
            <v>307279</v>
          </cell>
          <cell r="G689" t="str">
            <v>Juan Carlos Perez Cahueque</v>
          </cell>
        </row>
        <row r="690">
          <cell r="F690">
            <v>315455</v>
          </cell>
          <cell r="G690" t="str">
            <v>Juan Daniel Davila Juarez</v>
          </cell>
        </row>
        <row r="691">
          <cell r="F691">
            <v>312318</v>
          </cell>
          <cell r="G691" t="str">
            <v>Juan Enrique Garcia</v>
          </cell>
        </row>
        <row r="692">
          <cell r="F692">
            <v>314669</v>
          </cell>
          <cell r="G692" t="str">
            <v>Juan Enrique Jul Coc</v>
          </cell>
        </row>
        <row r="693">
          <cell r="F693">
            <v>311223</v>
          </cell>
          <cell r="G693" t="str">
            <v>Juan Francisco Gudiel Castillo</v>
          </cell>
        </row>
        <row r="694">
          <cell r="F694">
            <v>313343</v>
          </cell>
          <cell r="G694" t="str">
            <v>Juan Francisco Lopez Salic</v>
          </cell>
        </row>
        <row r="695">
          <cell r="F695">
            <v>300401</v>
          </cell>
          <cell r="G695" t="str">
            <v>Juan Gabriel Mendoza Alvarez</v>
          </cell>
        </row>
        <row r="696">
          <cell r="F696">
            <v>313617</v>
          </cell>
          <cell r="G696" t="str">
            <v>Juan Isael Amador</v>
          </cell>
        </row>
        <row r="697">
          <cell r="F697">
            <v>314961</v>
          </cell>
          <cell r="G697" t="str">
            <v>Juan Jose Cifuentes Chavez</v>
          </cell>
        </row>
        <row r="698">
          <cell r="F698">
            <v>300919</v>
          </cell>
          <cell r="G698" t="str">
            <v>Juan Jose Rodriguez Catu</v>
          </cell>
        </row>
        <row r="699">
          <cell r="F699">
            <v>313044</v>
          </cell>
          <cell r="G699" t="str">
            <v>Juan Luis Ajcet Xicay</v>
          </cell>
        </row>
        <row r="700">
          <cell r="F700">
            <v>314665</v>
          </cell>
          <cell r="G700" t="str">
            <v>Juan Manuel Lopez Hernandez</v>
          </cell>
        </row>
        <row r="701">
          <cell r="F701">
            <v>315275</v>
          </cell>
          <cell r="G701" t="str">
            <v>Juana Del Carmen Arias Lopez</v>
          </cell>
        </row>
        <row r="702">
          <cell r="F702">
            <v>314557</v>
          </cell>
          <cell r="G702" t="str">
            <v>Juana Ester Alvarez Tuluxan</v>
          </cell>
        </row>
        <row r="703">
          <cell r="F703">
            <v>313604</v>
          </cell>
          <cell r="G703" t="str">
            <v>Julia Damaris Raquel Ramirez Torres</v>
          </cell>
        </row>
        <row r="704">
          <cell r="F704">
            <v>315411</v>
          </cell>
          <cell r="G704" t="str">
            <v>Julio Alberto Guerra Jacinto</v>
          </cell>
        </row>
        <row r="705">
          <cell r="F705">
            <v>306242</v>
          </cell>
          <cell r="G705" t="str">
            <v>Julio Amilcar Oswaldo Ico Rey</v>
          </cell>
        </row>
        <row r="706">
          <cell r="F706">
            <v>310693</v>
          </cell>
          <cell r="G706" t="str">
            <v>Julio Antonio Gonzalez Izaguirre</v>
          </cell>
        </row>
        <row r="707">
          <cell r="F707">
            <v>302559</v>
          </cell>
          <cell r="G707" t="str">
            <v>Julio Belarmino Mendez Camey</v>
          </cell>
        </row>
        <row r="708">
          <cell r="F708">
            <v>314740</v>
          </cell>
          <cell r="G708" t="str">
            <v>Julio Cesar Cuellar Revolorio</v>
          </cell>
        </row>
        <row r="709">
          <cell r="F709">
            <v>308266</v>
          </cell>
          <cell r="G709" t="str">
            <v>Julio Cesar De Leon Huinac</v>
          </cell>
        </row>
        <row r="710">
          <cell r="F710">
            <v>311388</v>
          </cell>
          <cell r="G710" t="str">
            <v>Julio David Ambrosio Hernandez</v>
          </cell>
        </row>
        <row r="711">
          <cell r="F711">
            <v>313493</v>
          </cell>
          <cell r="G711" t="str">
            <v>Julio Rene Medina Mendez</v>
          </cell>
        </row>
        <row r="712">
          <cell r="F712">
            <v>314194</v>
          </cell>
          <cell r="G712" t="str">
            <v>Junior Stiven Gonzalez Fuentes</v>
          </cell>
        </row>
        <row r="713">
          <cell r="F713">
            <v>308411</v>
          </cell>
          <cell r="G713" t="str">
            <v>Karen Alejandra Cotoc Valdes</v>
          </cell>
        </row>
        <row r="714">
          <cell r="F714">
            <v>313225</v>
          </cell>
          <cell r="G714" t="str">
            <v>Karen Deniss Lucas Chavez</v>
          </cell>
        </row>
        <row r="715">
          <cell r="F715">
            <v>311553</v>
          </cell>
          <cell r="G715" t="str">
            <v>Karen Elizabeth Racancoj Tin</v>
          </cell>
        </row>
        <row r="716">
          <cell r="F716">
            <v>312029</v>
          </cell>
          <cell r="G716" t="str">
            <v>Karen Faviola Lutin Sanchez</v>
          </cell>
        </row>
        <row r="717">
          <cell r="F717">
            <v>314954</v>
          </cell>
          <cell r="G717" t="str">
            <v>Karen Jeanet Pacheco Gomez</v>
          </cell>
        </row>
        <row r="718">
          <cell r="F718">
            <v>305618</v>
          </cell>
          <cell r="G718" t="str">
            <v>Karen Julisa Fernandez Vides</v>
          </cell>
        </row>
        <row r="719">
          <cell r="F719">
            <v>308561</v>
          </cell>
          <cell r="G719" t="str">
            <v>Karen Leticia Vasquez Castañeda</v>
          </cell>
        </row>
        <row r="720">
          <cell r="F720">
            <v>313722</v>
          </cell>
          <cell r="G720" t="str">
            <v>Karen Marilu Chavez Suchite</v>
          </cell>
        </row>
        <row r="721">
          <cell r="F721">
            <v>315110</v>
          </cell>
          <cell r="G721" t="str">
            <v>Karen Marleny Perez Fuentes</v>
          </cell>
        </row>
        <row r="722">
          <cell r="F722">
            <v>311616</v>
          </cell>
          <cell r="G722" t="str">
            <v>Karen Meliza Saavedra Morataya</v>
          </cell>
        </row>
        <row r="723">
          <cell r="F723">
            <v>309014</v>
          </cell>
          <cell r="G723" t="str">
            <v>Karen Mishelle Chavez Segura</v>
          </cell>
        </row>
        <row r="724">
          <cell r="F724">
            <v>314217</v>
          </cell>
          <cell r="G724" t="str">
            <v>Karen Nohemi Perez Santos</v>
          </cell>
        </row>
        <row r="725">
          <cell r="F725">
            <v>315274</v>
          </cell>
          <cell r="G725" t="str">
            <v>Karen Rubi Perez Calderon</v>
          </cell>
        </row>
        <row r="726">
          <cell r="F726">
            <v>308426</v>
          </cell>
          <cell r="G726" t="str">
            <v>Karen Susana Marcos Yupe</v>
          </cell>
        </row>
        <row r="727">
          <cell r="F727">
            <v>311722</v>
          </cell>
          <cell r="G727" t="str">
            <v>Karen Verali Sagastume Oliveros</v>
          </cell>
        </row>
        <row r="728">
          <cell r="F728">
            <v>308244</v>
          </cell>
          <cell r="G728" t="str">
            <v>Karen Yamileth Rosales Alarcon</v>
          </cell>
        </row>
        <row r="729">
          <cell r="F729">
            <v>312215</v>
          </cell>
          <cell r="G729" t="str">
            <v>Karin Liseth Son Chonay</v>
          </cell>
        </row>
        <row r="730">
          <cell r="F730">
            <v>301583</v>
          </cell>
          <cell r="G730" t="str">
            <v>Karin Yesenia Nova Posadas</v>
          </cell>
        </row>
        <row r="731">
          <cell r="F731">
            <v>313918</v>
          </cell>
          <cell r="G731" t="str">
            <v>Karina Lizeth Pineda Ortiz</v>
          </cell>
        </row>
        <row r="732">
          <cell r="F732">
            <v>312403</v>
          </cell>
          <cell r="G732" t="str">
            <v>Karla Elizabeth Lopez Tupul</v>
          </cell>
        </row>
        <row r="733">
          <cell r="F733">
            <v>304664</v>
          </cell>
          <cell r="G733" t="str">
            <v>Karla Eunice Godinez Mendoza</v>
          </cell>
        </row>
        <row r="734">
          <cell r="F734">
            <v>315490</v>
          </cell>
          <cell r="G734" t="str">
            <v>Karla Jasmin Pelen Rafael</v>
          </cell>
        </row>
        <row r="735">
          <cell r="F735">
            <v>314673</v>
          </cell>
          <cell r="G735" t="str">
            <v>Karla Maria Montejo Martinez</v>
          </cell>
        </row>
        <row r="736">
          <cell r="F736">
            <v>313079</v>
          </cell>
          <cell r="G736" t="str">
            <v>Karla Mariela Lopez Salguero</v>
          </cell>
        </row>
        <row r="737">
          <cell r="F737">
            <v>314464</v>
          </cell>
          <cell r="G737" t="str">
            <v>Karla Melisa Trejo Lopez</v>
          </cell>
        </row>
        <row r="738">
          <cell r="F738">
            <v>314206</v>
          </cell>
          <cell r="G738" t="str">
            <v>Karla Nineth Guzman Carrera De Velasquez</v>
          </cell>
        </row>
        <row r="739">
          <cell r="F739">
            <v>314831</v>
          </cell>
          <cell r="G739" t="str">
            <v>Karla Paola Solorzano Monroy</v>
          </cell>
        </row>
        <row r="740">
          <cell r="F740">
            <v>309957</v>
          </cell>
          <cell r="G740" t="str">
            <v>Karla Veronica Zepeda Moran</v>
          </cell>
        </row>
        <row r="741">
          <cell r="F741">
            <v>310487</v>
          </cell>
          <cell r="G741" t="str">
            <v>Karla Yaneth Vasquez Gomez</v>
          </cell>
        </row>
        <row r="742">
          <cell r="F742">
            <v>314444</v>
          </cell>
          <cell r="G742" t="str">
            <v>Karla Yanira Francisco Morales</v>
          </cell>
        </row>
        <row r="743">
          <cell r="F743">
            <v>305608</v>
          </cell>
          <cell r="G743" t="str">
            <v>Karla Yanira Franco Perez</v>
          </cell>
        </row>
        <row r="744">
          <cell r="F744">
            <v>312982</v>
          </cell>
          <cell r="G744" t="str">
            <v>Karla Yessenia Garcia Lopez</v>
          </cell>
        </row>
        <row r="745">
          <cell r="F745">
            <v>314044</v>
          </cell>
          <cell r="G745" t="str">
            <v>Karol Liset Reyes Alvarez</v>
          </cell>
        </row>
        <row r="746">
          <cell r="F746">
            <v>311039</v>
          </cell>
          <cell r="G746" t="str">
            <v>Karolyn Gisselle Palma Ramirez</v>
          </cell>
        </row>
        <row r="747">
          <cell r="F747">
            <v>309255</v>
          </cell>
          <cell r="G747" t="str">
            <v>Katerin Mariela Miranda Perez</v>
          </cell>
        </row>
        <row r="748">
          <cell r="F748">
            <v>308909</v>
          </cell>
          <cell r="G748" t="str">
            <v>Katerine Andrea Mansilla Vasquez</v>
          </cell>
        </row>
        <row r="749">
          <cell r="F749">
            <v>314344</v>
          </cell>
          <cell r="G749" t="str">
            <v>Katherin Maria Del Rosario Curiales Catalan</v>
          </cell>
        </row>
        <row r="750">
          <cell r="F750">
            <v>311930</v>
          </cell>
          <cell r="G750" t="str">
            <v>Katherine Andreina Rodriguez Flores</v>
          </cell>
        </row>
        <row r="751">
          <cell r="F751">
            <v>314987</v>
          </cell>
          <cell r="G751" t="str">
            <v>Katherine Dayana Sinay Colindres</v>
          </cell>
        </row>
        <row r="752">
          <cell r="F752">
            <v>313018</v>
          </cell>
          <cell r="G752" t="str">
            <v>Katherine Guissele Camey Gonzalez</v>
          </cell>
        </row>
        <row r="753">
          <cell r="F753">
            <v>305303</v>
          </cell>
          <cell r="G753" t="str">
            <v>Katherine Stephani Cazanga Giron</v>
          </cell>
        </row>
        <row r="754">
          <cell r="F754">
            <v>310764</v>
          </cell>
          <cell r="G754" t="str">
            <v>Katherine Yorleny Montepeque Echeverria</v>
          </cell>
        </row>
        <row r="755">
          <cell r="F755">
            <v>312313</v>
          </cell>
          <cell r="G755" t="str">
            <v>Katherinne Marleny Ruano Vasquez</v>
          </cell>
        </row>
        <row r="756">
          <cell r="F756">
            <v>312966</v>
          </cell>
          <cell r="G756" t="str">
            <v>Katheryn Nohemi Pineda Sun</v>
          </cell>
        </row>
        <row r="757">
          <cell r="F757">
            <v>314949</v>
          </cell>
          <cell r="G757" t="str">
            <v>Kathleen Yadira Martinez Salazar</v>
          </cell>
        </row>
        <row r="758">
          <cell r="F758">
            <v>307014</v>
          </cell>
          <cell r="G758" t="str">
            <v>Keila Abigail Lopez Argueta</v>
          </cell>
        </row>
        <row r="759">
          <cell r="F759">
            <v>315508</v>
          </cell>
          <cell r="G759" t="str">
            <v>Keila Betsaida Mendoza Pineda</v>
          </cell>
        </row>
        <row r="760">
          <cell r="F760">
            <v>315062</v>
          </cell>
          <cell r="G760" t="str">
            <v>Keili Yanira Arceno Solano</v>
          </cell>
        </row>
        <row r="761">
          <cell r="F761">
            <v>314165</v>
          </cell>
          <cell r="G761" t="str">
            <v>Kelly Dayanna Patzan Giron</v>
          </cell>
        </row>
        <row r="762">
          <cell r="F762">
            <v>315570</v>
          </cell>
          <cell r="G762" t="str">
            <v>Kemberly Del Rosario Zecena Ramos</v>
          </cell>
        </row>
        <row r="763">
          <cell r="F763">
            <v>314804</v>
          </cell>
          <cell r="G763" t="str">
            <v>Kendy Daniela Ramirez Lopez</v>
          </cell>
        </row>
        <row r="764">
          <cell r="F764">
            <v>313433</v>
          </cell>
          <cell r="G764" t="str">
            <v>Kenia Estefania Mateo Castro</v>
          </cell>
        </row>
        <row r="765">
          <cell r="F765">
            <v>314991</v>
          </cell>
          <cell r="G765" t="str">
            <v>Kevin Alberto Castillo Matias</v>
          </cell>
        </row>
        <row r="766">
          <cell r="F766">
            <v>314026</v>
          </cell>
          <cell r="G766" t="str">
            <v>Kevin Alberto Lopez Ortiz</v>
          </cell>
        </row>
        <row r="767">
          <cell r="F767">
            <v>315246</v>
          </cell>
          <cell r="G767" t="str">
            <v>Kevin Alexander Escobar Cante</v>
          </cell>
        </row>
        <row r="768">
          <cell r="F768">
            <v>312218</v>
          </cell>
          <cell r="G768" t="str">
            <v>Kevin Amilcar Cor Guzman</v>
          </cell>
        </row>
        <row r="769">
          <cell r="F769">
            <v>311369</v>
          </cell>
          <cell r="G769" t="str">
            <v>Kevin Antonio Perez Gonzalez</v>
          </cell>
        </row>
        <row r="770">
          <cell r="F770">
            <v>314627</v>
          </cell>
          <cell r="G770" t="str">
            <v>Kevin Daniel Chonay Perez</v>
          </cell>
        </row>
        <row r="771">
          <cell r="F771">
            <v>311228</v>
          </cell>
          <cell r="G771" t="str">
            <v>Kevin Doley Alexander Gomez Lopez</v>
          </cell>
        </row>
        <row r="772">
          <cell r="F772">
            <v>309148</v>
          </cell>
          <cell r="G772" t="str">
            <v>Kevin Estuardo Yac Garcia</v>
          </cell>
        </row>
        <row r="773">
          <cell r="F773">
            <v>311643</v>
          </cell>
          <cell r="G773" t="str">
            <v>Kevin Javier Ortiz Gonzalez</v>
          </cell>
        </row>
        <row r="774">
          <cell r="F774">
            <v>311034</v>
          </cell>
          <cell r="G774" t="str">
            <v>Kevin Jordano Barrios Chin</v>
          </cell>
        </row>
        <row r="775">
          <cell r="F775">
            <v>314011</v>
          </cell>
          <cell r="G775" t="str">
            <v>Kevin Jose Mijangos Vasquez</v>
          </cell>
        </row>
        <row r="776">
          <cell r="F776">
            <v>314743</v>
          </cell>
          <cell r="G776" t="str">
            <v>Kevin Josue Sevilla Nieto</v>
          </cell>
        </row>
        <row r="777">
          <cell r="F777">
            <v>311639</v>
          </cell>
          <cell r="G777" t="str">
            <v>Kevin Omar Ortiz Contreras</v>
          </cell>
        </row>
        <row r="778">
          <cell r="F778">
            <v>310538</v>
          </cell>
          <cell r="G778" t="str">
            <v>Kevin Orlando Ventura Lopez</v>
          </cell>
        </row>
        <row r="779">
          <cell r="F779">
            <v>311932</v>
          </cell>
          <cell r="G779" t="str">
            <v>Kevin Rene Medrano Sarceño</v>
          </cell>
        </row>
        <row r="780">
          <cell r="F780">
            <v>308269</v>
          </cell>
          <cell r="G780" t="str">
            <v>Kevin Ruben Perez Lopez</v>
          </cell>
        </row>
        <row r="781">
          <cell r="F781">
            <v>313566</v>
          </cell>
          <cell r="G781" t="str">
            <v>Kevin Saul Rodriguez Vasquez</v>
          </cell>
        </row>
        <row r="782">
          <cell r="F782">
            <v>313520</v>
          </cell>
          <cell r="G782" t="str">
            <v>Kevin Winston Chavez Alvarez</v>
          </cell>
        </row>
        <row r="783">
          <cell r="F783">
            <v>312178</v>
          </cell>
          <cell r="G783" t="str">
            <v>Keyla Cristy Dubon Pernillo</v>
          </cell>
        </row>
        <row r="784">
          <cell r="F784">
            <v>305666</v>
          </cell>
          <cell r="G784" t="str">
            <v>Kezmi Romani Garcia Mendez</v>
          </cell>
        </row>
        <row r="785">
          <cell r="F785">
            <v>314754</v>
          </cell>
          <cell r="G785" t="str">
            <v>Kimberly Anayanci Tello Morales</v>
          </cell>
        </row>
        <row r="786">
          <cell r="F786">
            <v>314051</v>
          </cell>
          <cell r="G786" t="str">
            <v>Kimberly Dayanna Herrera Marroquin</v>
          </cell>
        </row>
        <row r="787">
          <cell r="F787">
            <v>313302</v>
          </cell>
          <cell r="G787" t="str">
            <v>Kimberly Guadalupe Mulul Pelico</v>
          </cell>
        </row>
        <row r="788">
          <cell r="F788">
            <v>314218</v>
          </cell>
          <cell r="G788" t="str">
            <v>Kimberly Guadalupe Soto</v>
          </cell>
        </row>
        <row r="789">
          <cell r="F789">
            <v>305285</v>
          </cell>
          <cell r="G789" t="str">
            <v>Kimberly Judith Lopez Amaya</v>
          </cell>
        </row>
        <row r="790">
          <cell r="F790">
            <v>309753</v>
          </cell>
          <cell r="G790" t="str">
            <v>Kimberly Melissa Juarez Ramirez</v>
          </cell>
        </row>
        <row r="791">
          <cell r="F791">
            <v>312174</v>
          </cell>
          <cell r="G791" t="str">
            <v>Kimberly Mishel Merida Cortez</v>
          </cell>
        </row>
        <row r="792">
          <cell r="F792">
            <v>310926</v>
          </cell>
          <cell r="G792" t="str">
            <v>Kimberly Nohemi Alvarado Toj</v>
          </cell>
        </row>
        <row r="793">
          <cell r="F793">
            <v>315095</v>
          </cell>
          <cell r="G793" t="str">
            <v>Kimberly Suseli Ibarra Barahona</v>
          </cell>
        </row>
        <row r="794">
          <cell r="F794">
            <v>313601</v>
          </cell>
          <cell r="G794" t="str">
            <v>Kimberly Yasmin Alvarado Veliz</v>
          </cell>
        </row>
        <row r="795">
          <cell r="F795">
            <v>310820</v>
          </cell>
          <cell r="G795" t="str">
            <v>Kleidy Smaily Lopez Lopez De Vicente</v>
          </cell>
        </row>
        <row r="796">
          <cell r="F796">
            <v>315345</v>
          </cell>
          <cell r="G796" t="str">
            <v>Klisman Julio Rolando Lopez Garcia</v>
          </cell>
        </row>
        <row r="797">
          <cell r="F797">
            <v>315369</v>
          </cell>
          <cell r="G797" t="str">
            <v>Krisla Mayte Madrigales Palencia</v>
          </cell>
        </row>
        <row r="798">
          <cell r="F798">
            <v>314417</v>
          </cell>
          <cell r="G798" t="str">
            <v>Krisley Mary Dayana Mazariegos Vega</v>
          </cell>
        </row>
        <row r="799">
          <cell r="F799">
            <v>311096</v>
          </cell>
          <cell r="G799" t="str">
            <v>Larry Noel Gomez Cuellar</v>
          </cell>
        </row>
        <row r="800">
          <cell r="F800">
            <v>315400</v>
          </cell>
          <cell r="G800" t="str">
            <v>Laura Cecilia De Leon Zapeta</v>
          </cell>
        </row>
        <row r="801">
          <cell r="F801">
            <v>312722</v>
          </cell>
          <cell r="G801" t="str">
            <v>Laura Dairis Analy Zeceña Minera</v>
          </cell>
        </row>
        <row r="802">
          <cell r="F802">
            <v>314274</v>
          </cell>
          <cell r="G802" t="str">
            <v>Laura Estefania Cardona Mateo</v>
          </cell>
        </row>
        <row r="803">
          <cell r="F803">
            <v>309643</v>
          </cell>
          <cell r="G803" t="str">
            <v>Laura Gabriela Hernandez Merida</v>
          </cell>
        </row>
        <row r="804">
          <cell r="F804">
            <v>312253</v>
          </cell>
          <cell r="G804" t="str">
            <v>Laura Jajairy Ramirez Veron</v>
          </cell>
        </row>
        <row r="805">
          <cell r="F805">
            <v>315183</v>
          </cell>
          <cell r="G805" t="str">
            <v>Laura Lisbeth Gonzalez Ajin</v>
          </cell>
        </row>
        <row r="806">
          <cell r="F806">
            <v>315144</v>
          </cell>
          <cell r="G806" t="str">
            <v>Lazaro Castro Cajanti</v>
          </cell>
        </row>
        <row r="807">
          <cell r="F807">
            <v>314220</v>
          </cell>
          <cell r="G807" t="str">
            <v>Lea Maria Lopez Agustin</v>
          </cell>
        </row>
        <row r="808">
          <cell r="F808">
            <v>303284</v>
          </cell>
          <cell r="G808" t="str">
            <v>Legbi Evangelina Martinez Vicente</v>
          </cell>
        </row>
        <row r="809">
          <cell r="F809">
            <v>304200</v>
          </cell>
          <cell r="G809" t="str">
            <v>Legna Magali Juarez Aroche</v>
          </cell>
        </row>
        <row r="810">
          <cell r="F810">
            <v>310692</v>
          </cell>
          <cell r="G810" t="str">
            <v>Leidy Ana Deisy Macz Valey</v>
          </cell>
        </row>
        <row r="811">
          <cell r="F811">
            <v>303971</v>
          </cell>
          <cell r="G811" t="str">
            <v>Leidy Marisol Perez Arias</v>
          </cell>
        </row>
        <row r="812">
          <cell r="F812">
            <v>312969</v>
          </cell>
          <cell r="G812" t="str">
            <v>Lely Herrera Molina</v>
          </cell>
        </row>
        <row r="813">
          <cell r="F813">
            <v>315278</v>
          </cell>
          <cell r="G813" t="str">
            <v>Leon Vicente Estuardo Ical Chub</v>
          </cell>
        </row>
        <row r="814">
          <cell r="F814">
            <v>306895</v>
          </cell>
          <cell r="G814" t="str">
            <v>Leonardo Bocel Lopez</v>
          </cell>
        </row>
        <row r="815">
          <cell r="F815">
            <v>315257</v>
          </cell>
          <cell r="G815" t="str">
            <v>Lesli Carolina Iquique Chamale</v>
          </cell>
        </row>
        <row r="816">
          <cell r="F816">
            <v>310605</v>
          </cell>
          <cell r="G816" t="str">
            <v>Lesli Paola Mendez Palencia</v>
          </cell>
        </row>
        <row r="817">
          <cell r="F817">
            <v>307367</v>
          </cell>
          <cell r="G817" t="str">
            <v>Lesli Paola Vasquez Villalta</v>
          </cell>
        </row>
        <row r="818">
          <cell r="F818">
            <v>314870</v>
          </cell>
          <cell r="G818" t="str">
            <v>Leslie Karina Peliz Garcia</v>
          </cell>
        </row>
        <row r="819">
          <cell r="F819">
            <v>314382</v>
          </cell>
          <cell r="G819" t="str">
            <v>Leslie Veronica Varela Echeverria</v>
          </cell>
        </row>
        <row r="820">
          <cell r="F820">
            <v>310067</v>
          </cell>
          <cell r="G820" t="str">
            <v>Lesly Alejandra Estrada Chacon</v>
          </cell>
        </row>
        <row r="821">
          <cell r="F821">
            <v>307352</v>
          </cell>
          <cell r="G821" t="str">
            <v>Lesly Anali Monterroso Ramirez</v>
          </cell>
        </row>
        <row r="822">
          <cell r="F822">
            <v>310143</v>
          </cell>
          <cell r="G822" t="str">
            <v>Lesly Aurora Hernandez Godoy</v>
          </cell>
        </row>
        <row r="823">
          <cell r="F823">
            <v>312833</v>
          </cell>
          <cell r="G823" t="str">
            <v>Lesly Fabiola Solorzano Garcia</v>
          </cell>
        </row>
        <row r="824">
          <cell r="F824">
            <v>315132</v>
          </cell>
          <cell r="G824" t="str">
            <v>Lesly Lisseth Ligorria Torres</v>
          </cell>
        </row>
        <row r="825">
          <cell r="F825">
            <v>309366</v>
          </cell>
          <cell r="G825" t="str">
            <v>Lesly Maribel Hidalgo Barrios</v>
          </cell>
        </row>
        <row r="826">
          <cell r="F826">
            <v>314328</v>
          </cell>
          <cell r="G826" t="str">
            <v>Lesly Marileny De Leon De Leon</v>
          </cell>
        </row>
        <row r="827">
          <cell r="F827">
            <v>315317</v>
          </cell>
          <cell r="G827" t="str">
            <v>Lesly Nereyda Ixquiac Vidaurre</v>
          </cell>
        </row>
        <row r="828">
          <cell r="F828">
            <v>313889</v>
          </cell>
          <cell r="G828" t="str">
            <v>Lesly Noemi Morales Molina</v>
          </cell>
        </row>
        <row r="829">
          <cell r="F829">
            <v>310261</v>
          </cell>
          <cell r="G829" t="str">
            <v>Lesly Rosibel Asencio Estrada</v>
          </cell>
        </row>
        <row r="830">
          <cell r="F830">
            <v>311985</v>
          </cell>
          <cell r="G830" t="str">
            <v>Lesly Vanessa Jerez Herrera</v>
          </cell>
        </row>
        <row r="831">
          <cell r="F831">
            <v>307718</v>
          </cell>
          <cell r="G831" t="str">
            <v>Lesly Yohanna Ramirez Sarceño</v>
          </cell>
        </row>
        <row r="832">
          <cell r="F832">
            <v>307269</v>
          </cell>
          <cell r="G832" t="str">
            <v>Lester Alexander Rodriguez Arevalo</v>
          </cell>
        </row>
        <row r="833">
          <cell r="F833">
            <v>102070</v>
          </cell>
          <cell r="G833" t="str">
            <v>Lester Giovanni Barrios Gonzalez</v>
          </cell>
        </row>
        <row r="834">
          <cell r="F834">
            <v>313030</v>
          </cell>
          <cell r="G834" t="str">
            <v>Lester Ottoniel Martinez Gonzalez</v>
          </cell>
        </row>
        <row r="835">
          <cell r="F835">
            <v>314628</v>
          </cell>
          <cell r="G835" t="str">
            <v>Levy Jhafreth Molina Castellanos</v>
          </cell>
        </row>
        <row r="836">
          <cell r="F836">
            <v>315074</v>
          </cell>
          <cell r="G836" t="str">
            <v>Leyvis Anihela Melendez Garcia</v>
          </cell>
        </row>
        <row r="837">
          <cell r="F837">
            <v>310347</v>
          </cell>
          <cell r="G837" t="str">
            <v>Lidia Sarahi Rodriguez Zamora</v>
          </cell>
        </row>
        <row r="838">
          <cell r="F838">
            <v>313802</v>
          </cell>
          <cell r="G838" t="str">
            <v>Ligia Delfina Caal Coy</v>
          </cell>
        </row>
        <row r="839">
          <cell r="F839">
            <v>303594</v>
          </cell>
          <cell r="G839" t="str">
            <v>Ligia Iveth Marroquin Lechuga</v>
          </cell>
        </row>
        <row r="840">
          <cell r="F840">
            <v>311440</v>
          </cell>
          <cell r="G840" t="str">
            <v>Lili Azucena Perez Yantuch</v>
          </cell>
        </row>
        <row r="841">
          <cell r="F841">
            <v>310148</v>
          </cell>
          <cell r="G841" t="str">
            <v>Lilian Carolina Quiñonez Garcia</v>
          </cell>
        </row>
        <row r="842">
          <cell r="F842">
            <v>300280</v>
          </cell>
          <cell r="G842" t="str">
            <v>Lilian Del Carmen Franco Curin</v>
          </cell>
        </row>
        <row r="843">
          <cell r="F843">
            <v>306962</v>
          </cell>
          <cell r="G843" t="str">
            <v>Lilian Elizabeth Diaz Rivera</v>
          </cell>
        </row>
        <row r="844">
          <cell r="F844">
            <v>314279</v>
          </cell>
          <cell r="G844" t="str">
            <v>Lilian Evelyn Sajbochol Garcia</v>
          </cell>
        </row>
        <row r="845">
          <cell r="F845">
            <v>305035</v>
          </cell>
          <cell r="G845" t="str">
            <v>Lilian Nohemi Santos Bailon</v>
          </cell>
        </row>
        <row r="846">
          <cell r="F846">
            <v>314899</v>
          </cell>
          <cell r="G846" t="str">
            <v>Lilian Vanessa Tezó Monterroso</v>
          </cell>
        </row>
        <row r="847">
          <cell r="F847">
            <v>314728</v>
          </cell>
          <cell r="G847" t="str">
            <v>Lilian Yomara Perez Ajxup</v>
          </cell>
        </row>
        <row r="848">
          <cell r="F848">
            <v>313768</v>
          </cell>
          <cell r="G848" t="str">
            <v>Liliana Marisela Chamorro Tax</v>
          </cell>
        </row>
        <row r="849">
          <cell r="F849">
            <v>314091</v>
          </cell>
          <cell r="G849" t="str">
            <v>Linda Gineli Segura Perez</v>
          </cell>
        </row>
        <row r="850">
          <cell r="F850">
            <v>310198</v>
          </cell>
          <cell r="G850" t="str">
            <v>Linsi Mishell Batz Marroquin</v>
          </cell>
        </row>
        <row r="851">
          <cell r="F851">
            <v>309262</v>
          </cell>
          <cell r="G851" t="str">
            <v>Lisbeth Carolina Hernandez Urrutia</v>
          </cell>
        </row>
        <row r="852">
          <cell r="F852">
            <v>315486</v>
          </cell>
          <cell r="G852" t="str">
            <v>Lisbeth Jeaneth Sucup</v>
          </cell>
        </row>
        <row r="853">
          <cell r="F853">
            <v>311492</v>
          </cell>
          <cell r="G853" t="str">
            <v>Liseth Aldai De La Cruz Lopez</v>
          </cell>
        </row>
        <row r="854">
          <cell r="F854">
            <v>315403</v>
          </cell>
          <cell r="G854" t="str">
            <v>Lizbeth Liliana Peren Velasquez</v>
          </cell>
        </row>
        <row r="855">
          <cell r="F855">
            <v>312792</v>
          </cell>
          <cell r="G855" t="str">
            <v>Llori Eriselda Zuñiga Gomez</v>
          </cell>
        </row>
        <row r="856">
          <cell r="F856">
            <v>314774</v>
          </cell>
          <cell r="G856" t="str">
            <v>Loida Eunice Celada Panjoj</v>
          </cell>
        </row>
        <row r="857">
          <cell r="F857">
            <v>310872</v>
          </cell>
          <cell r="G857" t="str">
            <v>Loida Raquel Juarez Ixpata</v>
          </cell>
        </row>
        <row r="858">
          <cell r="F858">
            <v>312765</v>
          </cell>
          <cell r="G858" t="str">
            <v>Londy Yazmin Gonzalez Ramirez</v>
          </cell>
        </row>
        <row r="859">
          <cell r="F859">
            <v>303967</v>
          </cell>
          <cell r="G859" t="str">
            <v>Loren Alejandra Gutierrez Perez</v>
          </cell>
        </row>
        <row r="860">
          <cell r="F860">
            <v>311367</v>
          </cell>
          <cell r="G860" t="str">
            <v>Lorena Elisbeth Gomez Ajanel</v>
          </cell>
        </row>
        <row r="861">
          <cell r="F861">
            <v>310502</v>
          </cell>
          <cell r="G861" t="str">
            <v>Lourdes Cristina Flores Tahuite</v>
          </cell>
        </row>
        <row r="862">
          <cell r="F862">
            <v>315124</v>
          </cell>
          <cell r="G862" t="str">
            <v>Lourdes Guadalupe Solorzano Herrera</v>
          </cell>
        </row>
        <row r="863">
          <cell r="F863">
            <v>313529</v>
          </cell>
          <cell r="G863" t="str">
            <v>Lucia Adali Alvarado Juarez</v>
          </cell>
        </row>
        <row r="864">
          <cell r="F864">
            <v>314022</v>
          </cell>
          <cell r="G864" t="str">
            <v>Lucinda Nova Garcia</v>
          </cell>
        </row>
        <row r="865">
          <cell r="F865">
            <v>309747</v>
          </cell>
          <cell r="G865" t="str">
            <v>Ludwin Enrique Pineda Soto</v>
          </cell>
        </row>
        <row r="866">
          <cell r="F866">
            <v>315489</v>
          </cell>
          <cell r="G866" t="str">
            <v>Ludwyn Alejandro Estrada Giron</v>
          </cell>
        </row>
        <row r="867">
          <cell r="F867">
            <v>313595</v>
          </cell>
          <cell r="G867" t="str">
            <v>Luis Alan Caceros Chub</v>
          </cell>
        </row>
        <row r="868">
          <cell r="F868">
            <v>311207</v>
          </cell>
          <cell r="G868" t="str">
            <v>Luis Alberto Figueroa Vasquez</v>
          </cell>
        </row>
        <row r="869">
          <cell r="F869">
            <v>304473</v>
          </cell>
          <cell r="G869" t="str">
            <v>Luis Alberto Najera Solis</v>
          </cell>
        </row>
        <row r="870">
          <cell r="F870">
            <v>314202</v>
          </cell>
          <cell r="G870" t="str">
            <v>Luis Antonio Cotzajay Quelex</v>
          </cell>
        </row>
        <row r="871">
          <cell r="F871">
            <v>302484</v>
          </cell>
          <cell r="G871" t="str">
            <v>Luis Armando Ramirez De Leon</v>
          </cell>
        </row>
        <row r="872">
          <cell r="F872">
            <v>315385</v>
          </cell>
          <cell r="G872" t="str">
            <v>Luis Carlos Xitimul Ramirez</v>
          </cell>
        </row>
        <row r="873">
          <cell r="F873">
            <v>308614</v>
          </cell>
          <cell r="G873" t="str">
            <v>Luis De Jesus Julian Lopez</v>
          </cell>
        </row>
        <row r="874">
          <cell r="F874">
            <v>315222</v>
          </cell>
          <cell r="G874" t="str">
            <v>Luis Diego Figueroa Coronado</v>
          </cell>
        </row>
        <row r="875">
          <cell r="F875">
            <v>306213</v>
          </cell>
          <cell r="G875" t="str">
            <v>Luis Eduardo Corado Lara</v>
          </cell>
        </row>
        <row r="876">
          <cell r="F876">
            <v>315363</v>
          </cell>
          <cell r="G876" t="str">
            <v>Luis Eduardo Fuentes Flores</v>
          </cell>
        </row>
        <row r="877">
          <cell r="F877">
            <v>314162</v>
          </cell>
          <cell r="G877" t="str">
            <v>Luis Eduardo Gonzalez Arriaza</v>
          </cell>
        </row>
        <row r="878">
          <cell r="F878">
            <v>311975</v>
          </cell>
          <cell r="G878" t="str">
            <v>Luis Eduardo Ramirez Arriaza</v>
          </cell>
        </row>
        <row r="879">
          <cell r="F879">
            <v>300922</v>
          </cell>
          <cell r="G879" t="str">
            <v>Luis Ernesto Medrano Chajon</v>
          </cell>
        </row>
        <row r="880">
          <cell r="F880">
            <v>308519</v>
          </cell>
          <cell r="G880" t="str">
            <v>Luis Felipe Cuzal Gomez</v>
          </cell>
        </row>
        <row r="881">
          <cell r="F881">
            <v>314812</v>
          </cell>
          <cell r="G881" t="str">
            <v>Luis Fernando Alvarado Tocay</v>
          </cell>
        </row>
        <row r="882">
          <cell r="F882">
            <v>304509</v>
          </cell>
          <cell r="G882" t="str">
            <v>Luis Fernando Jerez Perez</v>
          </cell>
        </row>
        <row r="883">
          <cell r="F883">
            <v>313479</v>
          </cell>
          <cell r="G883" t="str">
            <v>Luis Fernando Lopez Lopez</v>
          </cell>
        </row>
        <row r="884">
          <cell r="F884">
            <v>310923</v>
          </cell>
          <cell r="G884" t="str">
            <v>Luis Fernando Lopez Lopez</v>
          </cell>
        </row>
        <row r="885">
          <cell r="F885">
            <v>307904</v>
          </cell>
          <cell r="G885" t="str">
            <v>Luis Fernando Martin Mateo</v>
          </cell>
        </row>
        <row r="886">
          <cell r="F886">
            <v>312303</v>
          </cell>
          <cell r="G886" t="str">
            <v>Luis Fernando Morales Chocoy</v>
          </cell>
        </row>
        <row r="887">
          <cell r="F887">
            <v>314124</v>
          </cell>
          <cell r="G887" t="str">
            <v>Luis Fernando Perez Torres</v>
          </cell>
        </row>
        <row r="888">
          <cell r="F888">
            <v>306713</v>
          </cell>
          <cell r="G888" t="str">
            <v>Luis Fernando Santos Aguilar</v>
          </cell>
        </row>
        <row r="889">
          <cell r="F889">
            <v>315342</v>
          </cell>
          <cell r="G889" t="str">
            <v>Luis Fernando Valle Cuyun</v>
          </cell>
        </row>
        <row r="890">
          <cell r="F890">
            <v>312257</v>
          </cell>
          <cell r="G890" t="str">
            <v>Luis Giovanni Coronado Vasquez</v>
          </cell>
        </row>
        <row r="891">
          <cell r="F891">
            <v>307113</v>
          </cell>
          <cell r="G891" t="str">
            <v>Luis Pedro Herrera España</v>
          </cell>
        </row>
        <row r="892">
          <cell r="F892">
            <v>303961</v>
          </cell>
          <cell r="G892" t="str">
            <v>Luis Rene Morales Lopez</v>
          </cell>
        </row>
        <row r="893">
          <cell r="F893">
            <v>308796</v>
          </cell>
          <cell r="G893" t="str">
            <v>Luis Tito Rene Esquivel Yancor</v>
          </cell>
        </row>
        <row r="894">
          <cell r="F894">
            <v>307862</v>
          </cell>
          <cell r="G894" t="str">
            <v>Luisa Fernanda Castro Garcia</v>
          </cell>
        </row>
        <row r="895">
          <cell r="F895">
            <v>310734</v>
          </cell>
          <cell r="G895" t="str">
            <v>Lupita Genesis Samanta Granados Valenzuela</v>
          </cell>
        </row>
        <row r="896">
          <cell r="F896">
            <v>309761</v>
          </cell>
          <cell r="G896" t="str">
            <v>Lusi Angelica Coyoy Hernandez</v>
          </cell>
        </row>
        <row r="897">
          <cell r="F897">
            <v>310867</v>
          </cell>
          <cell r="G897" t="str">
            <v>Madelin Raquel Garcia Punay</v>
          </cell>
        </row>
        <row r="898">
          <cell r="F898">
            <v>310796</v>
          </cell>
          <cell r="G898" t="str">
            <v>Madelyn Estefany Vega Velasquez</v>
          </cell>
        </row>
        <row r="899">
          <cell r="F899">
            <v>314563</v>
          </cell>
          <cell r="G899" t="str">
            <v>Madelyn Siomara Mazul De Leon</v>
          </cell>
        </row>
        <row r="900">
          <cell r="F900">
            <v>304658</v>
          </cell>
          <cell r="G900" t="str">
            <v>Madelyn Virginia Lopez Ortega</v>
          </cell>
        </row>
        <row r="901">
          <cell r="F901">
            <v>315181</v>
          </cell>
          <cell r="G901" t="str">
            <v>Magda Beatriz Galvez Fernandez</v>
          </cell>
        </row>
        <row r="902">
          <cell r="F902">
            <v>311615</v>
          </cell>
          <cell r="G902" t="str">
            <v>Magda Corina Gutierrez Yool</v>
          </cell>
        </row>
        <row r="903">
          <cell r="F903">
            <v>312044</v>
          </cell>
          <cell r="G903" t="str">
            <v>Magda Danira Catalan Paz</v>
          </cell>
        </row>
        <row r="904">
          <cell r="F904">
            <v>307582</v>
          </cell>
          <cell r="G904" t="str">
            <v>Mahely Elva Maria Franco Gualim</v>
          </cell>
        </row>
        <row r="905">
          <cell r="F905">
            <v>301669</v>
          </cell>
          <cell r="G905" t="str">
            <v>Manfredo Alexander Castillo Quex</v>
          </cell>
        </row>
        <row r="906">
          <cell r="F906">
            <v>309811</v>
          </cell>
          <cell r="G906" t="str">
            <v>Manfredo Isaias Orozco Perez</v>
          </cell>
        </row>
        <row r="907">
          <cell r="F907">
            <v>314136</v>
          </cell>
          <cell r="G907" t="str">
            <v>Manlio Alcides Godinez Yanez</v>
          </cell>
        </row>
        <row r="908">
          <cell r="F908">
            <v>315094</v>
          </cell>
          <cell r="G908" t="str">
            <v>Manuel Enrique Espinoza Cermeño</v>
          </cell>
        </row>
        <row r="909">
          <cell r="F909">
            <v>312835</v>
          </cell>
          <cell r="G909" t="str">
            <v>Manuel Estuardo Arriaga Garcia</v>
          </cell>
        </row>
        <row r="910">
          <cell r="F910">
            <v>314608</v>
          </cell>
          <cell r="G910" t="str">
            <v>Marbin Yobani Calderon Vicente</v>
          </cell>
        </row>
        <row r="911">
          <cell r="F911">
            <v>314041</v>
          </cell>
          <cell r="G911" t="str">
            <v>Marcela Isabel Medrano Ajquiy</v>
          </cell>
        </row>
        <row r="912">
          <cell r="F912">
            <v>308478</v>
          </cell>
          <cell r="G912" t="str">
            <v>Marco Antonio Tejada Herrera</v>
          </cell>
        </row>
        <row r="913">
          <cell r="F913">
            <v>315216</v>
          </cell>
          <cell r="G913" t="str">
            <v>Marcos Avilio Santizo Roman</v>
          </cell>
        </row>
        <row r="914">
          <cell r="F914">
            <v>312919</v>
          </cell>
          <cell r="G914" t="str">
            <v>Marcos Daniel Miranda Ordoñez</v>
          </cell>
        </row>
        <row r="915">
          <cell r="F915">
            <v>306192</v>
          </cell>
          <cell r="G915" t="str">
            <v>Marenda Mishel Galeano Lopez</v>
          </cell>
        </row>
        <row r="916">
          <cell r="F916">
            <v>311597</v>
          </cell>
          <cell r="G916" t="str">
            <v>Maria Alejandra Estrada Morales</v>
          </cell>
        </row>
        <row r="917">
          <cell r="F917">
            <v>315488</v>
          </cell>
          <cell r="G917" t="str">
            <v>Maria Alejandra Lanuza Perez</v>
          </cell>
        </row>
        <row r="918">
          <cell r="F918">
            <v>315414</v>
          </cell>
          <cell r="G918" t="str">
            <v>Maria Alejandra Perez Martinez</v>
          </cell>
        </row>
        <row r="919">
          <cell r="F919">
            <v>314383</v>
          </cell>
          <cell r="G919" t="str">
            <v>Maria De La Luz Masaya Moreno</v>
          </cell>
        </row>
        <row r="920">
          <cell r="F920">
            <v>314419</v>
          </cell>
          <cell r="G920" t="str">
            <v>Maria De Los Angeles Hernandez Oliva</v>
          </cell>
        </row>
        <row r="921">
          <cell r="F921">
            <v>309455</v>
          </cell>
          <cell r="G921" t="str">
            <v>Maria Del Rosario De Leon Puac</v>
          </cell>
        </row>
        <row r="922">
          <cell r="F922">
            <v>310240</v>
          </cell>
          <cell r="G922" t="str">
            <v>Maria Del Rosario Sion Calel</v>
          </cell>
        </row>
        <row r="923">
          <cell r="F923">
            <v>311583</v>
          </cell>
          <cell r="G923" t="str">
            <v>Maria Elizabeth Recinos Villagran</v>
          </cell>
        </row>
        <row r="924">
          <cell r="F924">
            <v>315128</v>
          </cell>
          <cell r="G924" t="str">
            <v>Maria Eugenia Alvarez Lopez</v>
          </cell>
        </row>
        <row r="925">
          <cell r="F925">
            <v>309571</v>
          </cell>
          <cell r="G925" t="str">
            <v>Maria Fernanda Aldana Fernandez</v>
          </cell>
        </row>
        <row r="926">
          <cell r="F926">
            <v>305630</v>
          </cell>
          <cell r="G926" t="str">
            <v>Maria Fernanda Duran Barrera De De De Leon</v>
          </cell>
        </row>
        <row r="927">
          <cell r="F927">
            <v>315325</v>
          </cell>
          <cell r="G927" t="str">
            <v>Maria Fernanda García Patzán</v>
          </cell>
        </row>
        <row r="928">
          <cell r="F928">
            <v>315310</v>
          </cell>
          <cell r="G928" t="str">
            <v>Maria Fernanda Reyes Trinidad</v>
          </cell>
        </row>
        <row r="929">
          <cell r="F929">
            <v>314265</v>
          </cell>
          <cell r="G929" t="str">
            <v>Maria Fernanda Sanches Yoc</v>
          </cell>
        </row>
        <row r="930">
          <cell r="F930">
            <v>313724</v>
          </cell>
          <cell r="G930" t="str">
            <v>Maria Fernanda Tomas</v>
          </cell>
        </row>
        <row r="931">
          <cell r="F931">
            <v>315252</v>
          </cell>
          <cell r="G931" t="str">
            <v>Maria Gabriela Giron De Leon</v>
          </cell>
        </row>
        <row r="932">
          <cell r="F932">
            <v>309515</v>
          </cell>
          <cell r="G932" t="str">
            <v>Maria Guadalupe Marroquin Camargo</v>
          </cell>
        </row>
        <row r="933">
          <cell r="F933">
            <v>313732</v>
          </cell>
          <cell r="G933" t="str">
            <v>Maria Isabel Martinez</v>
          </cell>
        </row>
        <row r="934">
          <cell r="F934">
            <v>314027</v>
          </cell>
          <cell r="G934" t="str">
            <v>Maria Isabel Reyes Aguirre</v>
          </cell>
        </row>
        <row r="935">
          <cell r="F935">
            <v>311474</v>
          </cell>
          <cell r="G935" t="str">
            <v>Maria Jose Alvarado Lopez De Barrientos</v>
          </cell>
        </row>
        <row r="936">
          <cell r="F936">
            <v>312356</v>
          </cell>
          <cell r="G936" t="str">
            <v>Maria Jose Fernandez Melendez</v>
          </cell>
        </row>
        <row r="937">
          <cell r="F937">
            <v>313800</v>
          </cell>
          <cell r="G937" t="str">
            <v>Maria Jose Flores Alvarez</v>
          </cell>
        </row>
        <row r="938">
          <cell r="F938">
            <v>314566</v>
          </cell>
          <cell r="G938" t="str">
            <v>Maria Jose Gonzalez Orellana</v>
          </cell>
        </row>
        <row r="939">
          <cell r="F939">
            <v>311569</v>
          </cell>
          <cell r="G939" t="str">
            <v>Maria Jose Gramajo Garcia De Monzon</v>
          </cell>
        </row>
        <row r="940">
          <cell r="F940">
            <v>313095</v>
          </cell>
          <cell r="G940" t="str">
            <v>Maria Jose Meza De Leon</v>
          </cell>
        </row>
        <row r="941">
          <cell r="F941">
            <v>300191</v>
          </cell>
          <cell r="G941" t="str">
            <v>Maria Jose Salazar Rueda</v>
          </cell>
        </row>
        <row r="942">
          <cell r="F942">
            <v>314226</v>
          </cell>
          <cell r="G942" t="str">
            <v>Maria Josee Morales Vaides</v>
          </cell>
        </row>
        <row r="943">
          <cell r="F943">
            <v>315362</v>
          </cell>
          <cell r="G943" t="str">
            <v>Maria Lourdes Ajpuz Julajuj</v>
          </cell>
        </row>
        <row r="944">
          <cell r="F944">
            <v>306697</v>
          </cell>
          <cell r="G944" t="str">
            <v>Maria Luisa Ramos Lopez</v>
          </cell>
        </row>
        <row r="945">
          <cell r="F945">
            <v>314180</v>
          </cell>
          <cell r="G945" t="str">
            <v>Maria Ruby Tzamol Pacay</v>
          </cell>
        </row>
        <row r="946">
          <cell r="F946">
            <v>311686</v>
          </cell>
          <cell r="G946" t="str">
            <v>Maria Teresa Recinos Estrada</v>
          </cell>
        </row>
        <row r="947">
          <cell r="F947">
            <v>315351</v>
          </cell>
          <cell r="G947" t="str">
            <v>Maria Vicenta Lopez Mancilla</v>
          </cell>
        </row>
        <row r="948">
          <cell r="F948">
            <v>311755</v>
          </cell>
          <cell r="G948" t="str">
            <v>Marian Rebeca Gallardo Alvarez</v>
          </cell>
        </row>
        <row r="949">
          <cell r="F949">
            <v>313660</v>
          </cell>
          <cell r="G949" t="str">
            <v>Mariana Del Rosario Escobar Sanchez</v>
          </cell>
        </row>
        <row r="950">
          <cell r="F950">
            <v>314169</v>
          </cell>
          <cell r="G950" t="str">
            <v>Mariano Jose Lopez Cojon</v>
          </cell>
        </row>
        <row r="951">
          <cell r="F951">
            <v>314341</v>
          </cell>
          <cell r="G951" t="str">
            <v>Mariano Jose Trujillo Baldizon</v>
          </cell>
        </row>
        <row r="952">
          <cell r="F952">
            <v>314050</v>
          </cell>
          <cell r="G952" t="str">
            <v>Mariela Alejandra Batz De Leon</v>
          </cell>
        </row>
        <row r="953">
          <cell r="F953">
            <v>311273</v>
          </cell>
          <cell r="G953" t="str">
            <v>Marili Cecilia Ramirez Cardona</v>
          </cell>
        </row>
        <row r="954">
          <cell r="F954">
            <v>312576</v>
          </cell>
          <cell r="G954" t="str">
            <v>Marilin Melisa Lopez Yoc</v>
          </cell>
        </row>
        <row r="955">
          <cell r="F955">
            <v>314530</v>
          </cell>
          <cell r="G955" t="str">
            <v>Marilyn Alexandra Davila Chavez</v>
          </cell>
        </row>
        <row r="956">
          <cell r="F956">
            <v>315099</v>
          </cell>
          <cell r="G956" t="str">
            <v>Marilyn Yulissa Alvarez Toscano</v>
          </cell>
        </row>
        <row r="957">
          <cell r="F957">
            <v>311405</v>
          </cell>
          <cell r="G957" t="str">
            <v>Marina Elena Giron Roldan</v>
          </cell>
        </row>
        <row r="958">
          <cell r="F958">
            <v>314803</v>
          </cell>
          <cell r="G958" t="str">
            <v>Mario David Quilo Hernandez</v>
          </cell>
        </row>
        <row r="959">
          <cell r="F959">
            <v>306487</v>
          </cell>
          <cell r="G959" t="str">
            <v>Mario Estuardo Chavez Zelada</v>
          </cell>
        </row>
        <row r="960">
          <cell r="F960">
            <v>315445</v>
          </cell>
          <cell r="G960" t="str">
            <v>Mario Guberlindo Gonzalez Velasquez</v>
          </cell>
        </row>
        <row r="961">
          <cell r="F961">
            <v>313107</v>
          </cell>
          <cell r="G961" t="str">
            <v>Mario Jose Mejia Escobar</v>
          </cell>
        </row>
        <row r="962">
          <cell r="F962">
            <v>314737</v>
          </cell>
          <cell r="G962" t="str">
            <v>Mario Rene Lopez Gudiel</v>
          </cell>
        </row>
        <row r="963">
          <cell r="F963">
            <v>309842</v>
          </cell>
          <cell r="G963" t="str">
            <v>Maritza Morales Tzoc</v>
          </cell>
        </row>
        <row r="964">
          <cell r="F964">
            <v>312996</v>
          </cell>
          <cell r="G964" t="str">
            <v>Marlen Aida Pelaez Ramirez</v>
          </cell>
        </row>
        <row r="965">
          <cell r="F965">
            <v>310203</v>
          </cell>
          <cell r="G965" t="str">
            <v>Marlen Brigitt Rosales De Leon</v>
          </cell>
        </row>
        <row r="966">
          <cell r="F966">
            <v>314089</v>
          </cell>
          <cell r="G966" t="str">
            <v>Marlin Yesenia Chacon Garcia</v>
          </cell>
        </row>
        <row r="967">
          <cell r="F967">
            <v>314054</v>
          </cell>
          <cell r="G967" t="str">
            <v>Marlon Eduardo Arreaga Escobar</v>
          </cell>
        </row>
        <row r="968">
          <cell r="F968">
            <v>315505</v>
          </cell>
          <cell r="G968" t="str">
            <v>Marlon Eduardo Medrano Sandoval</v>
          </cell>
        </row>
        <row r="969">
          <cell r="F969">
            <v>310727</v>
          </cell>
          <cell r="G969" t="str">
            <v>Marlon Ivan Dardon Hernandez</v>
          </cell>
        </row>
        <row r="970">
          <cell r="F970">
            <v>315341</v>
          </cell>
          <cell r="G970" t="str">
            <v>Marlon Miguelangel Morales Jerez</v>
          </cell>
        </row>
        <row r="971">
          <cell r="F971">
            <v>311604</v>
          </cell>
          <cell r="G971" t="str">
            <v>Marolet Patricia Palacios Argueta</v>
          </cell>
        </row>
        <row r="972">
          <cell r="F972">
            <v>310466</v>
          </cell>
          <cell r="G972" t="str">
            <v>Marta Emilia Moran Lopez</v>
          </cell>
        </row>
        <row r="973">
          <cell r="F973">
            <v>314611</v>
          </cell>
          <cell r="G973" t="str">
            <v>Marta Iris Martinez Sete</v>
          </cell>
        </row>
        <row r="974">
          <cell r="F974">
            <v>312109</v>
          </cell>
          <cell r="G974" t="str">
            <v>Martha Julia Shar Velasquez</v>
          </cell>
        </row>
        <row r="975">
          <cell r="F975">
            <v>315103</v>
          </cell>
          <cell r="G975" t="str">
            <v>Martin Aroldo Lorenzana Flores</v>
          </cell>
        </row>
        <row r="976">
          <cell r="F976">
            <v>315481</v>
          </cell>
          <cell r="G976" t="str">
            <v>Marvin Alejandro Puac Mulul</v>
          </cell>
        </row>
        <row r="977">
          <cell r="F977">
            <v>306655</v>
          </cell>
          <cell r="G977" t="str">
            <v>Marvin Alexander Choguix Chex</v>
          </cell>
        </row>
        <row r="978">
          <cell r="F978">
            <v>311176</v>
          </cell>
          <cell r="G978" t="str">
            <v>Marvin Andolfo Garcia De Leon</v>
          </cell>
        </row>
        <row r="979">
          <cell r="F979">
            <v>315475</v>
          </cell>
          <cell r="G979" t="str">
            <v>Marvin Eduardo Coxaj Sanic</v>
          </cell>
        </row>
        <row r="980">
          <cell r="F980">
            <v>312374</v>
          </cell>
          <cell r="G980" t="str">
            <v>Marvin Eleazar Sunun Acuta</v>
          </cell>
        </row>
        <row r="981">
          <cell r="F981">
            <v>310680</v>
          </cell>
          <cell r="G981" t="str">
            <v>Marvin Estuardo Xiloj De Leon</v>
          </cell>
        </row>
        <row r="982">
          <cell r="F982">
            <v>315460</v>
          </cell>
          <cell r="G982" t="str">
            <v>Marvin Leonel Hernandez Alvarez</v>
          </cell>
        </row>
        <row r="983">
          <cell r="F983">
            <v>307409</v>
          </cell>
          <cell r="G983" t="str">
            <v>Marvin Rodolfo Santizo Rosales</v>
          </cell>
        </row>
        <row r="984">
          <cell r="F984">
            <v>313194</v>
          </cell>
          <cell r="G984" t="str">
            <v>Mary Isabel Xiloj Tajiboy</v>
          </cell>
        </row>
        <row r="985">
          <cell r="F985">
            <v>314092</v>
          </cell>
          <cell r="G985" t="str">
            <v>Maryory Marilu Ramos Reyes</v>
          </cell>
        </row>
        <row r="986">
          <cell r="F986">
            <v>314207</v>
          </cell>
          <cell r="G986" t="str">
            <v>Maryury Yasmin Suret Mejia</v>
          </cell>
        </row>
        <row r="987">
          <cell r="F987">
            <v>314618</v>
          </cell>
          <cell r="G987" t="str">
            <v>Mauro Gilberto Rax Suc</v>
          </cell>
        </row>
        <row r="988">
          <cell r="F988">
            <v>304166</v>
          </cell>
          <cell r="G988" t="str">
            <v>Maviela Bibianeth Castillo Avila</v>
          </cell>
        </row>
        <row r="989">
          <cell r="F989">
            <v>309285</v>
          </cell>
          <cell r="G989" t="str">
            <v>Mavilin Griselda Jacome Molina</v>
          </cell>
        </row>
        <row r="990">
          <cell r="F990">
            <v>315042</v>
          </cell>
          <cell r="G990" t="str">
            <v>Mayki Waleska Alvarez Guzman</v>
          </cell>
        </row>
        <row r="991">
          <cell r="F991">
            <v>314691</v>
          </cell>
          <cell r="G991" t="str">
            <v>Maylin Fernanda Cifuentes Guevara</v>
          </cell>
        </row>
        <row r="992">
          <cell r="F992">
            <v>314857</v>
          </cell>
          <cell r="G992" t="str">
            <v>Maynor Alexander Chen Franco</v>
          </cell>
        </row>
        <row r="993">
          <cell r="F993">
            <v>315320</v>
          </cell>
          <cell r="G993" t="str">
            <v>Maynor David Montufar De La Cruz</v>
          </cell>
        </row>
        <row r="994">
          <cell r="F994">
            <v>314784</v>
          </cell>
          <cell r="G994" t="str">
            <v>Mayra Alejandra Perez Cordero</v>
          </cell>
        </row>
        <row r="995">
          <cell r="F995">
            <v>307616</v>
          </cell>
          <cell r="G995" t="str">
            <v>Mayra Ester Lopez Gonzalez</v>
          </cell>
        </row>
        <row r="996">
          <cell r="F996">
            <v>304234</v>
          </cell>
          <cell r="G996" t="str">
            <v>Mayra Julieta Sincal Coy</v>
          </cell>
        </row>
        <row r="997">
          <cell r="F997">
            <v>314324</v>
          </cell>
          <cell r="G997" t="str">
            <v>Mayra Karina Soc Ovalle</v>
          </cell>
        </row>
        <row r="998">
          <cell r="F998">
            <v>313096</v>
          </cell>
          <cell r="G998" t="str">
            <v>Mayra Noemi Godoy Carrera</v>
          </cell>
        </row>
        <row r="999">
          <cell r="F999">
            <v>315528</v>
          </cell>
          <cell r="G999" t="str">
            <v>Melanie Azucena Choc Garcia</v>
          </cell>
        </row>
        <row r="1000">
          <cell r="F1000">
            <v>309903</v>
          </cell>
          <cell r="G1000" t="str">
            <v>Melanie Vanessa Chacon Godoy</v>
          </cell>
        </row>
        <row r="1001">
          <cell r="F1001">
            <v>301165</v>
          </cell>
          <cell r="G1001" t="str">
            <v>Melissa Lissette Recinos Massella</v>
          </cell>
        </row>
        <row r="1002">
          <cell r="F1002">
            <v>314782</v>
          </cell>
          <cell r="G1002" t="str">
            <v>Melissandra Ruiz Ramirez</v>
          </cell>
        </row>
        <row r="1003">
          <cell r="F1003">
            <v>314053</v>
          </cell>
          <cell r="G1003" t="str">
            <v>Melody Arelis Elvira Monterroso</v>
          </cell>
        </row>
        <row r="1004">
          <cell r="F1004">
            <v>314777</v>
          </cell>
          <cell r="G1004" t="str">
            <v>Melvin Antonio Hernandez Gutierrez</v>
          </cell>
        </row>
        <row r="1005">
          <cell r="F1005">
            <v>315452</v>
          </cell>
          <cell r="G1005" t="str">
            <v>Melvin Everardo Morales Navas</v>
          </cell>
        </row>
        <row r="1006">
          <cell r="F1006">
            <v>315416</v>
          </cell>
          <cell r="G1006" t="str">
            <v>Melvin Hermenegildo Yagut Monterroso</v>
          </cell>
        </row>
        <row r="1007">
          <cell r="F1007">
            <v>315107</v>
          </cell>
          <cell r="G1007" t="str">
            <v>Merari Abigail Orantes Gonzalez</v>
          </cell>
        </row>
        <row r="1008">
          <cell r="F1008">
            <v>304528</v>
          </cell>
          <cell r="G1008" t="str">
            <v>Merari Abigail Veliz Samayoa</v>
          </cell>
        </row>
        <row r="1009">
          <cell r="F1009">
            <v>311310</v>
          </cell>
          <cell r="G1009" t="str">
            <v>Merari Madai Arana Erazo</v>
          </cell>
        </row>
        <row r="1010">
          <cell r="F1010">
            <v>314447</v>
          </cell>
          <cell r="G1010" t="str">
            <v>Mercy Roxana Galvez Canales</v>
          </cell>
        </row>
        <row r="1011">
          <cell r="F1011">
            <v>314610</v>
          </cell>
          <cell r="G1011" t="str">
            <v>Merly Carolina Lopez Laynez</v>
          </cell>
        </row>
        <row r="1012">
          <cell r="F1012">
            <v>315402</v>
          </cell>
          <cell r="G1012" t="str">
            <v>Merly Sorayda Ramirez Mendez</v>
          </cell>
        </row>
        <row r="1013">
          <cell r="F1013">
            <v>315499</v>
          </cell>
          <cell r="G1013" t="str">
            <v>Miguel Angel Arias Maquin</v>
          </cell>
        </row>
        <row r="1014">
          <cell r="F1014">
            <v>302368</v>
          </cell>
          <cell r="G1014" t="str">
            <v>Miguel Angel Moya Cabnal</v>
          </cell>
        </row>
        <row r="1015">
          <cell r="F1015">
            <v>307315</v>
          </cell>
          <cell r="G1015" t="str">
            <v>Miguel Angel Vicente Morales</v>
          </cell>
        </row>
        <row r="1016">
          <cell r="F1016">
            <v>307063</v>
          </cell>
          <cell r="G1016" t="str">
            <v>Miguel Omar Zuleta Solorzano</v>
          </cell>
        </row>
        <row r="1017">
          <cell r="F1017">
            <v>311165</v>
          </cell>
          <cell r="G1017" t="str">
            <v>Miguel Orlando Sebastian Juchan</v>
          </cell>
        </row>
        <row r="1018">
          <cell r="F1018">
            <v>310954</v>
          </cell>
          <cell r="G1018" t="str">
            <v>Mildre Fabiola Gomez Barillas</v>
          </cell>
        </row>
        <row r="1019">
          <cell r="F1019">
            <v>315346</v>
          </cell>
          <cell r="G1019" t="str">
            <v>Mildred Elizabeth Solis Quevedo</v>
          </cell>
        </row>
        <row r="1020">
          <cell r="F1020">
            <v>314330</v>
          </cell>
          <cell r="G1020" t="str">
            <v>Mildred Magaly Ortega Pac</v>
          </cell>
        </row>
        <row r="1021">
          <cell r="F1021">
            <v>314985</v>
          </cell>
          <cell r="G1021" t="str">
            <v>Mildred Magaly Sul Lopez</v>
          </cell>
        </row>
        <row r="1022">
          <cell r="F1022">
            <v>309503</v>
          </cell>
          <cell r="G1022" t="str">
            <v>Mildred Yaneth Figueroa Garcia</v>
          </cell>
        </row>
        <row r="1023">
          <cell r="F1023">
            <v>301826</v>
          </cell>
          <cell r="G1023" t="str">
            <v>Mildred Yanett Cruz Alvarez</v>
          </cell>
        </row>
        <row r="1024">
          <cell r="F1024">
            <v>313864</v>
          </cell>
          <cell r="G1024" t="str">
            <v>Milena Maria Mendez Cheguen</v>
          </cell>
        </row>
        <row r="1025">
          <cell r="F1025">
            <v>314919</v>
          </cell>
          <cell r="G1025" t="str">
            <v>Milton Enrique Yax Sosa</v>
          </cell>
        </row>
        <row r="1026">
          <cell r="F1026">
            <v>312699</v>
          </cell>
          <cell r="G1026" t="str">
            <v>Milton Rene Estrada Coc</v>
          </cell>
        </row>
        <row r="1027">
          <cell r="F1027">
            <v>310468</v>
          </cell>
          <cell r="G1027" t="str">
            <v>Milton Roberto Juarez Lemus</v>
          </cell>
        </row>
        <row r="1028">
          <cell r="F1028">
            <v>313534</v>
          </cell>
          <cell r="G1028" t="str">
            <v>Milver Moises Maldonado Pelico</v>
          </cell>
        </row>
        <row r="1029">
          <cell r="F1029">
            <v>314555</v>
          </cell>
          <cell r="G1029" t="str">
            <v>Milvia Fernanda Talento Urbina</v>
          </cell>
        </row>
        <row r="1030">
          <cell r="F1030">
            <v>301347</v>
          </cell>
          <cell r="G1030" t="str">
            <v>Miriam Betsabe Rodas Perez</v>
          </cell>
        </row>
        <row r="1031">
          <cell r="F1031">
            <v>313439</v>
          </cell>
          <cell r="G1031" t="str">
            <v>Miriam Elizabeth Pérez Guerra</v>
          </cell>
        </row>
        <row r="1032">
          <cell r="F1032">
            <v>307748</v>
          </cell>
          <cell r="G1032" t="str">
            <v>Miriam Judith Cermeño Cetino</v>
          </cell>
        </row>
        <row r="1033">
          <cell r="F1033">
            <v>313772</v>
          </cell>
          <cell r="G1033" t="str">
            <v>Miriam Mineidy Moscoso Mayen</v>
          </cell>
        </row>
        <row r="1034">
          <cell r="F1034">
            <v>306649</v>
          </cell>
          <cell r="G1034" t="str">
            <v>Miriam Stefanie Hernandez Subuyuj</v>
          </cell>
        </row>
        <row r="1035">
          <cell r="F1035">
            <v>201909</v>
          </cell>
          <cell r="G1035" t="str">
            <v>Mirian Del Carmen Guzman Maldonado</v>
          </cell>
        </row>
        <row r="1036">
          <cell r="F1036">
            <v>314023</v>
          </cell>
          <cell r="G1036" t="str">
            <v>Mirna Consuelo Muñoz Ordoñez</v>
          </cell>
        </row>
        <row r="1037">
          <cell r="F1037">
            <v>315506</v>
          </cell>
          <cell r="G1037" t="str">
            <v>Mirna Elizabeth Zolote Patzan</v>
          </cell>
        </row>
        <row r="1038">
          <cell r="F1038">
            <v>101866</v>
          </cell>
          <cell r="G1038" t="str">
            <v>Mirna Violeta Carrillo Gonzalez</v>
          </cell>
        </row>
        <row r="1039">
          <cell r="F1039">
            <v>310687</v>
          </cell>
          <cell r="G1039" t="str">
            <v>Mirna Yesenia Umaña Ramos</v>
          </cell>
        </row>
        <row r="1040">
          <cell r="F1040">
            <v>313842</v>
          </cell>
          <cell r="G1040" t="str">
            <v>Mirza Johana Cosigua Rabinal</v>
          </cell>
        </row>
        <row r="1041">
          <cell r="F1041">
            <v>313441</v>
          </cell>
          <cell r="G1041" t="str">
            <v>Moises Dario Flores Amaya</v>
          </cell>
        </row>
        <row r="1042">
          <cell r="F1042">
            <v>313480</v>
          </cell>
          <cell r="G1042" t="str">
            <v>Monica Cecilia Perez Lopez</v>
          </cell>
        </row>
        <row r="1043">
          <cell r="F1043">
            <v>313674</v>
          </cell>
          <cell r="G1043" t="str">
            <v>Monica Gabriela Canizales Santos</v>
          </cell>
        </row>
        <row r="1044">
          <cell r="F1044">
            <v>307706</v>
          </cell>
          <cell r="G1044" t="str">
            <v>Monica Guadalupe Garcia Rivera</v>
          </cell>
        </row>
        <row r="1045">
          <cell r="F1045">
            <v>314918</v>
          </cell>
          <cell r="G1045" t="str">
            <v>Monica Isabel Castillo Avila</v>
          </cell>
        </row>
        <row r="1046">
          <cell r="F1046">
            <v>313553</v>
          </cell>
          <cell r="G1046" t="str">
            <v>Monica Laj De La Cruz</v>
          </cell>
        </row>
        <row r="1047">
          <cell r="F1047">
            <v>308910</v>
          </cell>
          <cell r="G1047" t="str">
            <v>Monica Lisseth Marroquin Salazar</v>
          </cell>
        </row>
        <row r="1048">
          <cell r="F1048">
            <v>302232</v>
          </cell>
          <cell r="G1048" t="str">
            <v>Monica Lizbeth Franco Chacon</v>
          </cell>
        </row>
        <row r="1049">
          <cell r="F1049">
            <v>311945</v>
          </cell>
          <cell r="G1049" t="str">
            <v>Monica Michelle Diaz De Leon De Baltazar</v>
          </cell>
        </row>
        <row r="1050">
          <cell r="F1050">
            <v>315559</v>
          </cell>
          <cell r="G1050" t="str">
            <v>Monica Mishell Perez Ballesteros</v>
          </cell>
        </row>
        <row r="1051">
          <cell r="F1051">
            <v>313346</v>
          </cell>
          <cell r="G1051" t="str">
            <v>Monica Mishell Rendon Gamboa</v>
          </cell>
        </row>
        <row r="1052">
          <cell r="F1052">
            <v>314616</v>
          </cell>
          <cell r="G1052" t="str">
            <v>Monica Raquel Palacios Piedrasanta</v>
          </cell>
        </row>
        <row r="1053">
          <cell r="F1053">
            <v>314653</v>
          </cell>
          <cell r="G1053" t="str">
            <v>Monica Yulissa Sun Pacay</v>
          </cell>
        </row>
        <row r="1054">
          <cell r="F1054">
            <v>311311</v>
          </cell>
          <cell r="G1054" t="str">
            <v>Monica Yulissa Vicente Velasquez</v>
          </cell>
        </row>
        <row r="1055">
          <cell r="F1055">
            <v>313427</v>
          </cell>
          <cell r="G1055" t="str">
            <v>Mynor Genaro Salazar Merida</v>
          </cell>
        </row>
        <row r="1056">
          <cell r="F1056">
            <v>201518</v>
          </cell>
          <cell r="G1056" t="str">
            <v>Myriam Aracely Rivera Gonzalez</v>
          </cell>
        </row>
        <row r="1057">
          <cell r="F1057">
            <v>315266</v>
          </cell>
          <cell r="G1057" t="str">
            <v>Myrka Jessel Rivera Camo</v>
          </cell>
        </row>
        <row r="1058">
          <cell r="F1058">
            <v>314223</v>
          </cell>
          <cell r="G1058" t="str">
            <v>Nadia Estefania Gramajo Archila</v>
          </cell>
        </row>
        <row r="1059">
          <cell r="F1059">
            <v>314959</v>
          </cell>
          <cell r="G1059" t="str">
            <v>Nanci Magali Noj Santos</v>
          </cell>
        </row>
        <row r="1060">
          <cell r="F1060">
            <v>302592</v>
          </cell>
          <cell r="G1060" t="str">
            <v>Nanci Paola Con Morales</v>
          </cell>
        </row>
        <row r="1061">
          <cell r="F1061">
            <v>301700</v>
          </cell>
          <cell r="G1061" t="str">
            <v>Nanci Yanira Navas Garcia</v>
          </cell>
        </row>
        <row r="1062">
          <cell r="F1062">
            <v>312111</v>
          </cell>
          <cell r="G1062" t="str">
            <v>Nancy Corina Quiñonez Rodriguez</v>
          </cell>
        </row>
        <row r="1063">
          <cell r="F1063">
            <v>303538</v>
          </cell>
          <cell r="G1063" t="str">
            <v>Nancy Magaly Izaguirre Galicia</v>
          </cell>
        </row>
        <row r="1064">
          <cell r="F1064">
            <v>305223</v>
          </cell>
          <cell r="G1064" t="str">
            <v>Nancy Pahola De Leon Patzan</v>
          </cell>
        </row>
        <row r="1065">
          <cell r="F1065">
            <v>311423</v>
          </cell>
          <cell r="G1065" t="str">
            <v>Nancy Paola Jimenez Pamal</v>
          </cell>
        </row>
        <row r="1066">
          <cell r="F1066">
            <v>310510</v>
          </cell>
          <cell r="G1066" t="str">
            <v>Nancy Paola Morales Rodriguez</v>
          </cell>
        </row>
        <row r="1067">
          <cell r="F1067">
            <v>312587</v>
          </cell>
          <cell r="G1067" t="str">
            <v>Nancy Roxana Chuy Ponce</v>
          </cell>
        </row>
        <row r="1068">
          <cell r="F1068">
            <v>314745</v>
          </cell>
          <cell r="G1068" t="str">
            <v>Nancy Yaneth Vasquez Chiguichon</v>
          </cell>
        </row>
        <row r="1069">
          <cell r="F1069">
            <v>309809</v>
          </cell>
          <cell r="G1069" t="str">
            <v>Nancy Yessenia Set Iquite</v>
          </cell>
        </row>
        <row r="1070">
          <cell r="F1070">
            <v>311261</v>
          </cell>
          <cell r="G1070" t="str">
            <v>Nasly Abigail Cazian Lopez</v>
          </cell>
        </row>
        <row r="1071">
          <cell r="F1071">
            <v>312545</v>
          </cell>
          <cell r="G1071" t="str">
            <v>Nataly Pamela Fransheska Aguilar Escobar</v>
          </cell>
        </row>
        <row r="1072">
          <cell r="F1072">
            <v>314192</v>
          </cell>
          <cell r="G1072" t="str">
            <v>Neftaly Eliseo Aguilar Hernandez</v>
          </cell>
        </row>
        <row r="1073">
          <cell r="F1073">
            <v>314024</v>
          </cell>
          <cell r="G1073" t="str">
            <v>Nelson Aurelio Portillo Martinez</v>
          </cell>
        </row>
        <row r="1074">
          <cell r="F1074">
            <v>314913</v>
          </cell>
          <cell r="G1074" t="str">
            <v>Nelson Humberto Caal Güe</v>
          </cell>
        </row>
        <row r="1075">
          <cell r="F1075">
            <v>314631</v>
          </cell>
          <cell r="G1075" t="str">
            <v>Nelsy Adali Nova Vivar</v>
          </cell>
        </row>
        <row r="1076">
          <cell r="F1076">
            <v>309216</v>
          </cell>
          <cell r="G1076" t="str">
            <v>Nery Daniel Chipin Lindo</v>
          </cell>
        </row>
        <row r="1077">
          <cell r="F1077">
            <v>313499</v>
          </cell>
          <cell r="G1077" t="str">
            <v>Nestor Donaldo Xiloj Quiej</v>
          </cell>
        </row>
        <row r="1078">
          <cell r="F1078">
            <v>312176</v>
          </cell>
          <cell r="G1078" t="str">
            <v>Nestor Edgardo Gutierrez Lazaro</v>
          </cell>
        </row>
        <row r="1079">
          <cell r="F1079">
            <v>309178</v>
          </cell>
          <cell r="G1079" t="str">
            <v>Nestor Enmanuel Retana Castellanos</v>
          </cell>
        </row>
        <row r="1080">
          <cell r="F1080">
            <v>313878</v>
          </cell>
          <cell r="G1080" t="str">
            <v>Nestor Orlando Aguilar Santos</v>
          </cell>
        </row>
        <row r="1081">
          <cell r="F1081">
            <v>305532</v>
          </cell>
          <cell r="G1081" t="str">
            <v>Nicolas Ajiquichi Ibate</v>
          </cell>
        </row>
        <row r="1082">
          <cell r="F1082">
            <v>312763</v>
          </cell>
          <cell r="G1082" t="str">
            <v>Nicolas Walter Toma Zacarias</v>
          </cell>
        </row>
        <row r="1083">
          <cell r="F1083">
            <v>315413</v>
          </cell>
          <cell r="G1083" t="str">
            <v>Nicomedes Israel Echeverria Pacheco</v>
          </cell>
        </row>
        <row r="1084">
          <cell r="F1084">
            <v>310907</v>
          </cell>
          <cell r="G1084" t="str">
            <v>Nidia Dalila Bantes Segura De Manchame</v>
          </cell>
        </row>
        <row r="1085">
          <cell r="F1085">
            <v>314818</v>
          </cell>
          <cell r="G1085" t="str">
            <v>Nidia Lucy Herrera Lopez</v>
          </cell>
        </row>
        <row r="1086">
          <cell r="F1086">
            <v>301486</v>
          </cell>
          <cell r="G1086" t="str">
            <v>Nidia Maribel Carpio Roca</v>
          </cell>
        </row>
        <row r="1087">
          <cell r="F1087">
            <v>306850</v>
          </cell>
          <cell r="G1087" t="str">
            <v>Nilda Julieta Boror Xuya</v>
          </cell>
        </row>
        <row r="1088">
          <cell r="F1088">
            <v>311624</v>
          </cell>
          <cell r="G1088" t="str">
            <v>Noe Amos Marroquin Sicajol</v>
          </cell>
        </row>
        <row r="1089">
          <cell r="F1089">
            <v>309912</v>
          </cell>
          <cell r="G1089" t="str">
            <v>Noelia Azucena Garcia Mazariegos</v>
          </cell>
        </row>
        <row r="1090">
          <cell r="F1090">
            <v>102045</v>
          </cell>
          <cell r="G1090" t="str">
            <v>Noemi Ruth Hernandez Urrutia</v>
          </cell>
        </row>
        <row r="1091">
          <cell r="F1091">
            <v>310375</v>
          </cell>
          <cell r="G1091" t="str">
            <v>Nora Lisseth Lam Sanchez</v>
          </cell>
        </row>
        <row r="1092">
          <cell r="F1092">
            <v>313429</v>
          </cell>
          <cell r="G1092" t="str">
            <v>Norman Alessandro Madrid Garcia</v>
          </cell>
        </row>
        <row r="1093">
          <cell r="F1093">
            <v>309744</v>
          </cell>
          <cell r="G1093" t="str">
            <v>Odalis Ruby Garcia Siquina</v>
          </cell>
        </row>
        <row r="1094">
          <cell r="F1094">
            <v>315554</v>
          </cell>
          <cell r="G1094" t="str">
            <v>Odalys Faviola Reyes Rivera</v>
          </cell>
        </row>
        <row r="1095">
          <cell r="F1095">
            <v>315037</v>
          </cell>
          <cell r="G1095" t="str">
            <v>Odiel Armando Guerra Aguirre</v>
          </cell>
        </row>
        <row r="1096">
          <cell r="F1096">
            <v>307511</v>
          </cell>
          <cell r="G1096" t="str">
            <v>Odra Arcadia Barduel Sarat</v>
          </cell>
        </row>
        <row r="1097">
          <cell r="F1097">
            <v>310763</v>
          </cell>
          <cell r="G1097" t="str">
            <v>Olga Gabriela Lopez Tzic</v>
          </cell>
        </row>
        <row r="1098">
          <cell r="F1098">
            <v>309989</v>
          </cell>
          <cell r="G1098" t="str">
            <v>Olga Maricela Guarcas Tol</v>
          </cell>
        </row>
        <row r="1099">
          <cell r="F1099">
            <v>315281</v>
          </cell>
          <cell r="G1099" t="str">
            <v>Olinda Juarez Figueno</v>
          </cell>
        </row>
        <row r="1100">
          <cell r="F1100">
            <v>312972</v>
          </cell>
          <cell r="G1100" t="str">
            <v>Omar Anibal Barreda Valenzuela</v>
          </cell>
        </row>
        <row r="1101">
          <cell r="F1101">
            <v>302263</v>
          </cell>
          <cell r="G1101" t="str">
            <v>Oneida Del Carmen Corzo Morales</v>
          </cell>
        </row>
        <row r="1102">
          <cell r="F1102">
            <v>308263</v>
          </cell>
          <cell r="G1102" t="str">
            <v>Oscar Eduardo Xoyon Gomez</v>
          </cell>
        </row>
        <row r="1103">
          <cell r="F1103">
            <v>314104</v>
          </cell>
          <cell r="G1103" t="str">
            <v>Oscar Emilio Gomez Orozco</v>
          </cell>
        </row>
        <row r="1104">
          <cell r="F1104">
            <v>314270</v>
          </cell>
          <cell r="G1104" t="str">
            <v>Oscar Enrique Garcia Gualip</v>
          </cell>
        </row>
        <row r="1105">
          <cell r="F1105">
            <v>315507</v>
          </cell>
          <cell r="G1105" t="str">
            <v>Oscar Estuardo Mancilla Najarro</v>
          </cell>
        </row>
        <row r="1106">
          <cell r="F1106">
            <v>314914</v>
          </cell>
          <cell r="G1106" t="str">
            <v>Oscar Geovany Patzan Patzan</v>
          </cell>
        </row>
        <row r="1107">
          <cell r="F1107">
            <v>308805</v>
          </cell>
          <cell r="G1107" t="str">
            <v>Oscar Israel Thiel Hidalgo</v>
          </cell>
        </row>
        <row r="1108">
          <cell r="F1108">
            <v>315115</v>
          </cell>
          <cell r="G1108" t="str">
            <v>Osman Amilcar Zarate Ixcoy</v>
          </cell>
        </row>
        <row r="1109">
          <cell r="F1109">
            <v>315497</v>
          </cell>
          <cell r="G1109" t="str">
            <v>Osman Ivan Boanerges Coc Coronado</v>
          </cell>
        </row>
        <row r="1110">
          <cell r="F1110">
            <v>310031</v>
          </cell>
          <cell r="G1110" t="str">
            <v>Osvin Daniel Gomez Gonzalez</v>
          </cell>
        </row>
        <row r="1111">
          <cell r="F1111">
            <v>307209</v>
          </cell>
          <cell r="G1111" t="str">
            <v>Oswaldo Marcelino Huix Gomez</v>
          </cell>
        </row>
        <row r="1112">
          <cell r="F1112">
            <v>309656</v>
          </cell>
          <cell r="G1112" t="str">
            <v>Otto Alejandro Barahona Lopez</v>
          </cell>
        </row>
        <row r="1113">
          <cell r="F1113">
            <v>312335</v>
          </cell>
          <cell r="G1113" t="str">
            <v>Otto Leonel Zavala Rodas</v>
          </cell>
        </row>
        <row r="1114">
          <cell r="F1114">
            <v>314894</v>
          </cell>
          <cell r="G1114" t="str">
            <v>Ottoniel Amilcar Gomez Rodriguez</v>
          </cell>
        </row>
        <row r="1115">
          <cell r="F1115">
            <v>315122</v>
          </cell>
          <cell r="G1115" t="str">
            <v>Ottoniel De Jesus Castellanos Ordoñez</v>
          </cell>
        </row>
        <row r="1116">
          <cell r="F1116">
            <v>315454</v>
          </cell>
          <cell r="G1116" t="str">
            <v>Pablo Jose Barillas Sobalvarro</v>
          </cell>
        </row>
        <row r="1117">
          <cell r="F1117">
            <v>314010</v>
          </cell>
          <cell r="G1117" t="str">
            <v>Pablo Raul Calimayor</v>
          </cell>
        </row>
        <row r="1118">
          <cell r="F1118">
            <v>313530</v>
          </cell>
          <cell r="G1118" t="str">
            <v>Paola Veronica Cardenas Toscano</v>
          </cell>
        </row>
        <row r="1119">
          <cell r="F1119">
            <v>314884</v>
          </cell>
          <cell r="G1119" t="str">
            <v>Paula Eliza Santos Corado</v>
          </cell>
        </row>
        <row r="1120">
          <cell r="F1120">
            <v>309035</v>
          </cell>
          <cell r="G1120" t="str">
            <v>Pedro Alexander Sazo Machac</v>
          </cell>
        </row>
        <row r="1121">
          <cell r="F1121">
            <v>308158</v>
          </cell>
          <cell r="G1121" t="str">
            <v>Pedro David Ixcoy Chiquin</v>
          </cell>
        </row>
        <row r="1122">
          <cell r="F1122">
            <v>314694</v>
          </cell>
          <cell r="G1122" t="str">
            <v>Pedro Karol Gomez Lopez</v>
          </cell>
        </row>
        <row r="1123">
          <cell r="F1123">
            <v>311221</v>
          </cell>
          <cell r="G1123" t="str">
            <v>Pedro Natanahel Caxaj Rodriguez</v>
          </cell>
        </row>
        <row r="1124">
          <cell r="F1124">
            <v>314951</v>
          </cell>
          <cell r="G1124" t="str">
            <v>Pedro Rene Ramirez Guzman</v>
          </cell>
        </row>
        <row r="1125">
          <cell r="F1125">
            <v>306911</v>
          </cell>
          <cell r="G1125" t="str">
            <v>Perla Michelle Giron Galdamez</v>
          </cell>
        </row>
        <row r="1126">
          <cell r="F1126">
            <v>303664</v>
          </cell>
          <cell r="G1126" t="str">
            <v>Priscila Merari Sosa Sanabria</v>
          </cell>
        </row>
        <row r="1127">
          <cell r="F1127">
            <v>314450</v>
          </cell>
          <cell r="G1127" t="str">
            <v>Rafael Anibal Sut Tucubal</v>
          </cell>
        </row>
        <row r="1128">
          <cell r="F1128">
            <v>315367</v>
          </cell>
          <cell r="G1128" t="str">
            <v>Raul Adrian Priego Castellanos</v>
          </cell>
        </row>
        <row r="1129">
          <cell r="F1129">
            <v>311720</v>
          </cell>
          <cell r="G1129" t="str">
            <v>Raul Estuardo Roquel Suyuc</v>
          </cell>
        </row>
        <row r="1130">
          <cell r="F1130">
            <v>313341</v>
          </cell>
          <cell r="G1130" t="str">
            <v>Raul Geovanny Garcia Fuentes</v>
          </cell>
        </row>
        <row r="1131">
          <cell r="F1131">
            <v>309191</v>
          </cell>
          <cell r="G1131" t="str">
            <v>Raul Matias Matias</v>
          </cell>
        </row>
        <row r="1132">
          <cell r="F1132">
            <v>315321</v>
          </cell>
          <cell r="G1132" t="str">
            <v>Reina Lorena Canán</v>
          </cell>
        </row>
        <row r="1133">
          <cell r="F1133">
            <v>312312</v>
          </cell>
          <cell r="G1133" t="str">
            <v>Remigio Alexander Gonzalez Suchite</v>
          </cell>
        </row>
        <row r="1134">
          <cell r="F1134">
            <v>306619</v>
          </cell>
          <cell r="G1134" t="str">
            <v>Reyna Angelica Ba Vega</v>
          </cell>
        </row>
        <row r="1135">
          <cell r="F1135">
            <v>315347</v>
          </cell>
          <cell r="G1135" t="str">
            <v>Reyna Floridalma Donis Marroquin</v>
          </cell>
        </row>
        <row r="1136">
          <cell r="F1136">
            <v>314960</v>
          </cell>
          <cell r="G1136" t="str">
            <v>Reyna Sebastiana Reyes Zurdo</v>
          </cell>
        </row>
        <row r="1137">
          <cell r="F1137">
            <v>315170</v>
          </cell>
          <cell r="G1137" t="str">
            <v>Ricardo Alexander Morales Moran</v>
          </cell>
        </row>
        <row r="1138">
          <cell r="F1138">
            <v>315179</v>
          </cell>
          <cell r="G1138" t="str">
            <v>Ricardo Alfonso Chan Lopez</v>
          </cell>
        </row>
        <row r="1139">
          <cell r="F1139">
            <v>311846</v>
          </cell>
          <cell r="G1139" t="str">
            <v>Ricardo Antonio Vasquez Meza</v>
          </cell>
        </row>
        <row r="1140">
          <cell r="F1140">
            <v>314666</v>
          </cell>
          <cell r="G1140" t="str">
            <v>Ricardo Esau Hernandez Baten</v>
          </cell>
        </row>
        <row r="1141">
          <cell r="F1141">
            <v>310610</v>
          </cell>
          <cell r="G1141" t="str">
            <v>Ricky Edson Lux Cassia</v>
          </cell>
        </row>
        <row r="1142">
          <cell r="F1142">
            <v>314813</v>
          </cell>
          <cell r="G1142" t="str">
            <v>Roberto Ardon Ramos</v>
          </cell>
        </row>
        <row r="1143">
          <cell r="F1143">
            <v>312901</v>
          </cell>
          <cell r="G1143" t="str">
            <v>Roberto Augusto Silva Hernandez</v>
          </cell>
        </row>
        <row r="1144">
          <cell r="F1144">
            <v>308852</v>
          </cell>
          <cell r="G1144" t="str">
            <v>Roberto Caal Sente</v>
          </cell>
        </row>
        <row r="1145">
          <cell r="F1145">
            <v>306098</v>
          </cell>
          <cell r="G1145" t="str">
            <v>Roderico Simeon Lopez Lopez</v>
          </cell>
        </row>
        <row r="1146">
          <cell r="F1146">
            <v>313517</v>
          </cell>
          <cell r="G1146" t="str">
            <v>Rogelio Waldemar Aldana Turcios</v>
          </cell>
        </row>
        <row r="1147">
          <cell r="F1147">
            <v>314945</v>
          </cell>
          <cell r="G1147" t="str">
            <v>Rolando Esau Solis Santos</v>
          </cell>
        </row>
        <row r="1148">
          <cell r="F1148">
            <v>313403</v>
          </cell>
          <cell r="G1148" t="str">
            <v>Rolman Eliseo Bautista Mazariegos</v>
          </cell>
        </row>
        <row r="1149">
          <cell r="F1149">
            <v>314776</v>
          </cell>
          <cell r="G1149" t="str">
            <v>Romario Humberto Perez Us</v>
          </cell>
        </row>
        <row r="1150">
          <cell r="F1150">
            <v>315539</v>
          </cell>
          <cell r="G1150" t="str">
            <v>Ronald Arturo Sanchez Mijangos</v>
          </cell>
        </row>
        <row r="1151">
          <cell r="F1151">
            <v>314096</v>
          </cell>
          <cell r="G1151" t="str">
            <v>Ronald Erickson Hernandez Bamac</v>
          </cell>
        </row>
        <row r="1152">
          <cell r="F1152">
            <v>307943</v>
          </cell>
          <cell r="G1152" t="str">
            <v>Ronald Guillermo Garcia</v>
          </cell>
        </row>
        <row r="1153">
          <cell r="F1153">
            <v>315118</v>
          </cell>
          <cell r="G1153" t="str">
            <v>Ronald Ottoniel Ramos Argueta</v>
          </cell>
        </row>
        <row r="1154">
          <cell r="F1154">
            <v>315165</v>
          </cell>
          <cell r="G1154" t="str">
            <v>Ronie Ernesto Gonzalez Alvarado</v>
          </cell>
        </row>
        <row r="1155">
          <cell r="F1155">
            <v>312877</v>
          </cell>
          <cell r="G1155" t="str">
            <v>Rony David Ruano Vasquez</v>
          </cell>
        </row>
        <row r="1156">
          <cell r="F1156">
            <v>310267</v>
          </cell>
          <cell r="G1156" t="str">
            <v>Rony Josue Giron Roca</v>
          </cell>
        </row>
        <row r="1157">
          <cell r="F1157">
            <v>314930</v>
          </cell>
          <cell r="G1157" t="str">
            <v>Rony Oswaldo Gonzalez Lemus</v>
          </cell>
        </row>
        <row r="1158">
          <cell r="F1158">
            <v>315305</v>
          </cell>
          <cell r="G1158" t="str">
            <v>Rosa Isabel Garcia Menchu De Itzep</v>
          </cell>
        </row>
        <row r="1159">
          <cell r="F1159">
            <v>305255</v>
          </cell>
          <cell r="G1159" t="str">
            <v>Rosa Maria Raxtun Estrada</v>
          </cell>
        </row>
        <row r="1160">
          <cell r="F1160">
            <v>313771</v>
          </cell>
          <cell r="G1160" t="str">
            <v>Rosa Maribel Par Gutierrez De Parada</v>
          </cell>
        </row>
        <row r="1161">
          <cell r="F1161">
            <v>315353</v>
          </cell>
          <cell r="G1161" t="str">
            <v>Rosa Mariela Muñoz Samayoa</v>
          </cell>
        </row>
        <row r="1162">
          <cell r="F1162">
            <v>301835</v>
          </cell>
          <cell r="G1162" t="str">
            <v>Rosa Melia Isales Reyes</v>
          </cell>
        </row>
        <row r="1163">
          <cell r="F1163">
            <v>315389</v>
          </cell>
          <cell r="G1163" t="str">
            <v>Rosa Yadira Salguero Ceballos</v>
          </cell>
        </row>
        <row r="1164">
          <cell r="F1164">
            <v>312729</v>
          </cell>
          <cell r="G1164" t="str">
            <v>Rosalbina Magdali Alvarado Ramirez</v>
          </cell>
        </row>
        <row r="1165">
          <cell r="F1165">
            <v>300594</v>
          </cell>
          <cell r="G1165" t="str">
            <v>Rosaura Grisleny Perez Rios</v>
          </cell>
        </row>
        <row r="1166">
          <cell r="F1166">
            <v>303901</v>
          </cell>
          <cell r="G1166" t="str">
            <v>Rosmery Ana Lee Cojom Rodriguez</v>
          </cell>
        </row>
        <row r="1167">
          <cell r="F1167">
            <v>312040</v>
          </cell>
          <cell r="G1167" t="str">
            <v>Rosmery Figueroa Ramirez</v>
          </cell>
        </row>
        <row r="1168">
          <cell r="F1168">
            <v>313606</v>
          </cell>
          <cell r="G1168" t="str">
            <v>Rossana Alejandra Rodas Salguero</v>
          </cell>
        </row>
        <row r="1169">
          <cell r="F1169">
            <v>310534</v>
          </cell>
          <cell r="G1169" t="str">
            <v>Rossel Jose Hernandez Oliva</v>
          </cell>
        </row>
        <row r="1170">
          <cell r="F1170">
            <v>315045</v>
          </cell>
          <cell r="G1170" t="str">
            <v>Roxana Leticia Avila Villatoro</v>
          </cell>
        </row>
        <row r="1171">
          <cell r="F1171">
            <v>314308</v>
          </cell>
          <cell r="G1171" t="str">
            <v>Ruben Dario Peñate Aquino</v>
          </cell>
        </row>
        <row r="1172">
          <cell r="F1172">
            <v>311511</v>
          </cell>
          <cell r="G1172" t="str">
            <v>Ruby Alejandra Merida Rivas</v>
          </cell>
        </row>
        <row r="1173">
          <cell r="F1173">
            <v>312888</v>
          </cell>
          <cell r="G1173" t="str">
            <v>Rudy Alexander Gramajo Reyes</v>
          </cell>
        </row>
        <row r="1174">
          <cell r="F1174">
            <v>314814</v>
          </cell>
          <cell r="G1174" t="str">
            <v>Rudy Fernando Lopez Ajcabal</v>
          </cell>
        </row>
        <row r="1175">
          <cell r="F1175">
            <v>311551</v>
          </cell>
          <cell r="G1175" t="str">
            <v>Ruth Betsabe Campos Vargas</v>
          </cell>
        </row>
        <row r="1176">
          <cell r="F1176">
            <v>312546</v>
          </cell>
          <cell r="G1176" t="str">
            <v>Ruth Hermelinda Cardona Blanco</v>
          </cell>
        </row>
        <row r="1177">
          <cell r="F1177">
            <v>313599</v>
          </cell>
          <cell r="G1177" t="str">
            <v>Ruth Noemi Solis Contreras</v>
          </cell>
        </row>
        <row r="1178">
          <cell r="F1178">
            <v>301658</v>
          </cell>
          <cell r="G1178" t="str">
            <v>Ruth Nohemi Contreras Hernandez</v>
          </cell>
        </row>
        <row r="1179">
          <cell r="F1179">
            <v>301786</v>
          </cell>
          <cell r="G1179" t="str">
            <v>Ruth Nohemi Perez Esteban</v>
          </cell>
        </row>
        <row r="1180">
          <cell r="F1180">
            <v>314606</v>
          </cell>
          <cell r="G1180" t="str">
            <v>Saida Yasmin Garcia Xot</v>
          </cell>
        </row>
        <row r="1181">
          <cell r="F1181">
            <v>312383</v>
          </cell>
          <cell r="G1181" t="str">
            <v>Samuel Everardo Garcia Lemus</v>
          </cell>
        </row>
        <row r="1182">
          <cell r="F1182">
            <v>313592</v>
          </cell>
          <cell r="G1182" t="str">
            <v>Samuel Nehemias Nuñez Michicoj</v>
          </cell>
        </row>
        <row r="1183">
          <cell r="F1183">
            <v>305099</v>
          </cell>
          <cell r="G1183" t="str">
            <v>Sandi Anavela Mejia Alvarado</v>
          </cell>
        </row>
        <row r="1184">
          <cell r="F1184">
            <v>312923</v>
          </cell>
          <cell r="G1184" t="str">
            <v>Sandra Esmeralda Martinez Baeza</v>
          </cell>
        </row>
        <row r="1185">
          <cell r="F1185">
            <v>314420</v>
          </cell>
          <cell r="G1185" t="str">
            <v>Sandra Jeaneth Ajcuc Garcia</v>
          </cell>
        </row>
        <row r="1186">
          <cell r="F1186">
            <v>301460</v>
          </cell>
          <cell r="G1186" t="str">
            <v>Sandra Judith Vasquez Fernandez</v>
          </cell>
        </row>
        <row r="1187">
          <cell r="F1187">
            <v>312012</v>
          </cell>
          <cell r="G1187" t="str">
            <v>Sandra Lucrecia Hernandez Aceituno</v>
          </cell>
        </row>
        <row r="1188">
          <cell r="F1188">
            <v>200872</v>
          </cell>
          <cell r="G1188" t="str">
            <v>Sandra Maritza Mus Chaman</v>
          </cell>
        </row>
        <row r="1189">
          <cell r="F1189">
            <v>314820</v>
          </cell>
          <cell r="G1189" t="str">
            <v>Sandra Mishell Amarilis Gutierrez Palma</v>
          </cell>
        </row>
        <row r="1190">
          <cell r="F1190">
            <v>313875</v>
          </cell>
          <cell r="G1190" t="str">
            <v>Sandra Patricia Mejia Raguex</v>
          </cell>
        </row>
        <row r="1191">
          <cell r="F1191">
            <v>311092</v>
          </cell>
          <cell r="G1191" t="str">
            <v>Sandra Patricia Ochoa Sanchez</v>
          </cell>
        </row>
        <row r="1192">
          <cell r="F1192">
            <v>306416</v>
          </cell>
          <cell r="G1192" t="str">
            <v>Sandy Claribel Barrientos Caal</v>
          </cell>
        </row>
        <row r="1193">
          <cell r="F1193">
            <v>315024</v>
          </cell>
          <cell r="G1193" t="str">
            <v>Sandy Jasmyn Gonzalez Catun</v>
          </cell>
        </row>
        <row r="1194">
          <cell r="F1194">
            <v>312908</v>
          </cell>
          <cell r="G1194" t="str">
            <v>Sandy Maria Flores</v>
          </cell>
        </row>
        <row r="1195">
          <cell r="F1195">
            <v>313078</v>
          </cell>
          <cell r="G1195" t="str">
            <v>Sandy Maribel Herrera Mazariegos</v>
          </cell>
        </row>
        <row r="1196">
          <cell r="F1196">
            <v>301438</v>
          </cell>
          <cell r="G1196" t="str">
            <v>Sandy Mariela Batres Orozco</v>
          </cell>
        </row>
        <row r="1197">
          <cell r="F1197">
            <v>313622</v>
          </cell>
          <cell r="G1197" t="str">
            <v>Sandy Nohemy Sontay Agueda</v>
          </cell>
        </row>
        <row r="1198">
          <cell r="F1198">
            <v>315408</v>
          </cell>
          <cell r="G1198" t="str">
            <v>Sandy Suset Morales Barrientos</v>
          </cell>
        </row>
        <row r="1199">
          <cell r="F1199">
            <v>307105</v>
          </cell>
          <cell r="G1199" t="str">
            <v>Santiago Isaias Barreno Rosales</v>
          </cell>
        </row>
        <row r="1200">
          <cell r="F1200">
            <v>315254</v>
          </cell>
          <cell r="G1200" t="str">
            <v>Santos Ismael Najera Culajay</v>
          </cell>
        </row>
        <row r="1201">
          <cell r="F1201">
            <v>313402</v>
          </cell>
          <cell r="G1201" t="str">
            <v>Santos Valentin Coroy Ruyan</v>
          </cell>
        </row>
        <row r="1202">
          <cell r="F1202">
            <v>312501</v>
          </cell>
          <cell r="G1202" t="str">
            <v>Sara Elizabeth Guzman Linares</v>
          </cell>
        </row>
        <row r="1203">
          <cell r="F1203">
            <v>313492</v>
          </cell>
          <cell r="G1203" t="str">
            <v>Sarvia Bitia Orellana Ortiz</v>
          </cell>
        </row>
        <row r="1204">
          <cell r="F1204">
            <v>309816</v>
          </cell>
          <cell r="G1204" t="str">
            <v>Sayra Elizabeth Reyes Zuñiga</v>
          </cell>
        </row>
        <row r="1205">
          <cell r="F1205">
            <v>314956</v>
          </cell>
          <cell r="G1205" t="str">
            <v>Sebastian Geovanny Calel Ixtuc</v>
          </cell>
        </row>
        <row r="1206">
          <cell r="F1206">
            <v>314855</v>
          </cell>
          <cell r="G1206" t="str">
            <v>Selvin Adan Garcia Portillo</v>
          </cell>
        </row>
        <row r="1207">
          <cell r="F1207">
            <v>312294</v>
          </cell>
          <cell r="G1207" t="str">
            <v>Selvin Geronimo Aguilar</v>
          </cell>
        </row>
        <row r="1208">
          <cell r="F1208">
            <v>302278</v>
          </cell>
          <cell r="G1208" t="str">
            <v>Selvin Manolo Montepeque Merida</v>
          </cell>
        </row>
        <row r="1209">
          <cell r="F1209">
            <v>314266</v>
          </cell>
          <cell r="G1209" t="str">
            <v>Selvin Rodolfo De La Cruz Contreras</v>
          </cell>
        </row>
        <row r="1210">
          <cell r="F1210">
            <v>301308</v>
          </cell>
          <cell r="G1210" t="str">
            <v>Selvyn Ivan Sierra Ramirez</v>
          </cell>
        </row>
        <row r="1211">
          <cell r="F1211">
            <v>312346</v>
          </cell>
          <cell r="G1211" t="str">
            <v>Sendy Vanessa Villagran Garcia</v>
          </cell>
        </row>
        <row r="1212">
          <cell r="F1212">
            <v>314559</v>
          </cell>
          <cell r="G1212" t="str">
            <v>Sergio Alejandro Aguilar Perez</v>
          </cell>
        </row>
        <row r="1213">
          <cell r="F1213">
            <v>101896</v>
          </cell>
          <cell r="G1213" t="str">
            <v>Sergio Estuardo Mejia Lopez</v>
          </cell>
        </row>
        <row r="1214">
          <cell r="F1214">
            <v>315294</v>
          </cell>
          <cell r="G1214" t="str">
            <v>Sergio Obdulio Chali Chocojay</v>
          </cell>
        </row>
        <row r="1215">
          <cell r="F1215">
            <v>314079</v>
          </cell>
          <cell r="G1215" t="str">
            <v>Sharon Klarivel Santis Najarro</v>
          </cell>
        </row>
        <row r="1216">
          <cell r="F1216">
            <v>311147</v>
          </cell>
          <cell r="G1216" t="str">
            <v>Shaury Jazmeny Garcia Arias</v>
          </cell>
        </row>
        <row r="1217">
          <cell r="F1217">
            <v>310599</v>
          </cell>
          <cell r="G1217" t="str">
            <v>Sheila Nineth Mendez Lopez</v>
          </cell>
        </row>
        <row r="1218">
          <cell r="F1218">
            <v>315541</v>
          </cell>
          <cell r="G1218" t="str">
            <v>Sheily Nahomy Oliva Morales</v>
          </cell>
        </row>
        <row r="1219">
          <cell r="F1219">
            <v>304805</v>
          </cell>
          <cell r="G1219" t="str">
            <v>Sheily Raquel Angel Arreaga</v>
          </cell>
        </row>
        <row r="1220">
          <cell r="F1220">
            <v>312357</v>
          </cell>
          <cell r="G1220" t="str">
            <v>Shirley Andrea Lopez Lopez</v>
          </cell>
        </row>
        <row r="1221">
          <cell r="F1221">
            <v>311646</v>
          </cell>
          <cell r="G1221" t="str">
            <v>Shirley Leticia Lissette Lopez Guzman</v>
          </cell>
        </row>
        <row r="1222">
          <cell r="F1222">
            <v>312096</v>
          </cell>
          <cell r="G1222" t="str">
            <v>Silvia Edelmira Garcia Donis</v>
          </cell>
        </row>
        <row r="1223">
          <cell r="F1223">
            <v>301371</v>
          </cell>
          <cell r="G1223" t="str">
            <v>Silvia Gabriela Gonzalez Siliezar</v>
          </cell>
        </row>
        <row r="1224">
          <cell r="F1224">
            <v>313328</v>
          </cell>
          <cell r="G1224" t="str">
            <v>Silvia Leticia Morales Perez</v>
          </cell>
        </row>
        <row r="1225">
          <cell r="F1225">
            <v>309948</v>
          </cell>
          <cell r="G1225" t="str">
            <v>Silvia Lucrecia Gonzalez Char</v>
          </cell>
        </row>
        <row r="1226">
          <cell r="F1226">
            <v>305230</v>
          </cell>
          <cell r="G1226" t="str">
            <v>Silvia Marleni Rac Yoc</v>
          </cell>
        </row>
        <row r="1227">
          <cell r="F1227">
            <v>305427</v>
          </cell>
          <cell r="G1227" t="str">
            <v>Silvia Noemi Calderon</v>
          </cell>
        </row>
        <row r="1228">
          <cell r="F1228">
            <v>306034</v>
          </cell>
          <cell r="G1228" t="str">
            <v>Silvia Patricia Gonzalez Hernandez</v>
          </cell>
        </row>
        <row r="1229">
          <cell r="F1229">
            <v>310105</v>
          </cell>
          <cell r="G1229" t="str">
            <v>Simeon Valentin Gomez Flores</v>
          </cell>
        </row>
        <row r="1230">
          <cell r="F1230">
            <v>313981</v>
          </cell>
          <cell r="G1230" t="str">
            <v>Sindy Beatriz Perez Sanchez</v>
          </cell>
        </row>
        <row r="1231">
          <cell r="F1231">
            <v>314976</v>
          </cell>
          <cell r="G1231" t="str">
            <v>Sindy Carolina Ramirez Pur</v>
          </cell>
        </row>
        <row r="1232">
          <cell r="F1232">
            <v>312881</v>
          </cell>
          <cell r="G1232" t="str">
            <v>Sindy Karina Ramirez Lopez</v>
          </cell>
        </row>
        <row r="1233">
          <cell r="F1233">
            <v>310066</v>
          </cell>
          <cell r="G1233" t="str">
            <v>Sindy Paola Vargas Calderon</v>
          </cell>
        </row>
        <row r="1234">
          <cell r="F1234">
            <v>315466</v>
          </cell>
          <cell r="G1234" t="str">
            <v>Siomara Victoria Valle Sac</v>
          </cell>
        </row>
        <row r="1235">
          <cell r="F1235">
            <v>313593</v>
          </cell>
          <cell r="G1235" t="str">
            <v>Slayker Andony Santiago Natareno</v>
          </cell>
        </row>
        <row r="1236">
          <cell r="F1236">
            <v>315439</v>
          </cell>
          <cell r="G1236" t="str">
            <v>Smaylin Sarita Villatoro Angel</v>
          </cell>
        </row>
        <row r="1237">
          <cell r="F1237">
            <v>310731</v>
          </cell>
          <cell r="G1237" t="str">
            <v>Sofia Etelvina Lopez Perez</v>
          </cell>
        </row>
        <row r="1238">
          <cell r="F1238">
            <v>314735</v>
          </cell>
          <cell r="G1238" t="str">
            <v>Sofia Ines Bermudez Avila</v>
          </cell>
        </row>
        <row r="1239">
          <cell r="F1239">
            <v>315340</v>
          </cell>
          <cell r="G1239" t="str">
            <v>Stefanny Manuela Azaneth Garcia Garcia</v>
          </cell>
        </row>
        <row r="1240">
          <cell r="F1240">
            <v>308054</v>
          </cell>
          <cell r="G1240" t="str">
            <v>Stephanie Abigail De Los Angeles Villalta</v>
          </cell>
        </row>
        <row r="1241">
          <cell r="F1241">
            <v>303382</v>
          </cell>
          <cell r="G1241" t="str">
            <v>Sucely Abigail Nerios Rodriguez</v>
          </cell>
        </row>
        <row r="1242">
          <cell r="F1242">
            <v>314787</v>
          </cell>
          <cell r="G1242" t="str">
            <v>Sucely Analy Arias Paredes</v>
          </cell>
        </row>
        <row r="1243">
          <cell r="F1243">
            <v>310671</v>
          </cell>
          <cell r="G1243" t="str">
            <v>Sucely Paola Godinez Gomez De Perez</v>
          </cell>
        </row>
        <row r="1244">
          <cell r="F1244">
            <v>315386</v>
          </cell>
          <cell r="G1244" t="str">
            <v>Sulibeth Estela Ortega Mendez</v>
          </cell>
        </row>
        <row r="1245">
          <cell r="F1245">
            <v>314347</v>
          </cell>
          <cell r="G1245" t="str">
            <v>Suri Mireidy Perez Estrada</v>
          </cell>
        </row>
        <row r="1246">
          <cell r="F1246">
            <v>313630</v>
          </cell>
          <cell r="G1246" t="str">
            <v>Susan Andrea Perez Lima</v>
          </cell>
        </row>
        <row r="1247">
          <cell r="F1247">
            <v>313395</v>
          </cell>
          <cell r="G1247" t="str">
            <v>Susan Maria Jose Rodas Carranza</v>
          </cell>
        </row>
        <row r="1248">
          <cell r="F1248">
            <v>309883</v>
          </cell>
          <cell r="G1248" t="str">
            <v>Susana Alvarado Gonzalez</v>
          </cell>
        </row>
        <row r="1249">
          <cell r="F1249">
            <v>307664</v>
          </cell>
          <cell r="G1249" t="str">
            <v>Susana Jeanneth Lemus Pineda</v>
          </cell>
        </row>
        <row r="1250">
          <cell r="F1250">
            <v>315313</v>
          </cell>
          <cell r="G1250" t="str">
            <v>Tayme Gabriela Uzu Ramirez</v>
          </cell>
        </row>
        <row r="1251">
          <cell r="F1251">
            <v>314575</v>
          </cell>
          <cell r="G1251" t="str">
            <v>Telma Esperanza Santos Orantes</v>
          </cell>
        </row>
        <row r="1252">
          <cell r="F1252">
            <v>302658</v>
          </cell>
          <cell r="G1252" t="str">
            <v>Telma Sucely Solis Merida</v>
          </cell>
        </row>
        <row r="1253">
          <cell r="F1253">
            <v>315048</v>
          </cell>
          <cell r="G1253" t="str">
            <v>Thania Lucia Romero Garcia</v>
          </cell>
        </row>
        <row r="1254">
          <cell r="F1254">
            <v>302332</v>
          </cell>
          <cell r="G1254" t="str">
            <v>Thelma Patricia Mena Melchor</v>
          </cell>
        </row>
        <row r="1255">
          <cell r="F1255">
            <v>314108</v>
          </cell>
          <cell r="G1255" t="str">
            <v>Thelma Yolanda De Candelaria Garcia Sanchez</v>
          </cell>
        </row>
        <row r="1256">
          <cell r="F1256">
            <v>315049</v>
          </cell>
          <cell r="G1256" t="str">
            <v>Tomas Amador Manuel Martin</v>
          </cell>
        </row>
        <row r="1257">
          <cell r="F1257">
            <v>315373</v>
          </cell>
          <cell r="G1257" t="str">
            <v>Tomas Xiloj Mejia</v>
          </cell>
        </row>
        <row r="1258">
          <cell r="F1258">
            <v>311866</v>
          </cell>
          <cell r="G1258" t="str">
            <v>Treisy Lisbeth Orozco Orozco</v>
          </cell>
        </row>
        <row r="1259">
          <cell r="F1259">
            <v>310220</v>
          </cell>
          <cell r="G1259" t="str">
            <v>Urias Samuel Velasquez Ardeano</v>
          </cell>
        </row>
        <row r="1260">
          <cell r="F1260">
            <v>305903</v>
          </cell>
          <cell r="G1260" t="str">
            <v>Valeska Paola Rivas Gomez</v>
          </cell>
        </row>
        <row r="1261">
          <cell r="F1261">
            <v>314544</v>
          </cell>
          <cell r="G1261" t="str">
            <v>Velvet Sofia Estrada Ruiz</v>
          </cell>
        </row>
        <row r="1262">
          <cell r="F1262">
            <v>314405</v>
          </cell>
          <cell r="G1262" t="str">
            <v>Veronica Alejandra Barahona Santa Cruz</v>
          </cell>
        </row>
        <row r="1263">
          <cell r="F1263">
            <v>311048</v>
          </cell>
          <cell r="G1263" t="str">
            <v>Veronica Dalila Barrios Hernandez</v>
          </cell>
        </row>
        <row r="1264">
          <cell r="F1264">
            <v>311005</v>
          </cell>
          <cell r="G1264" t="str">
            <v>Veronica Sierra Xo</v>
          </cell>
        </row>
        <row r="1265">
          <cell r="F1265">
            <v>304024</v>
          </cell>
          <cell r="G1265" t="str">
            <v>Vicky Roxana Lopez Hernandez</v>
          </cell>
        </row>
        <row r="1266">
          <cell r="F1266">
            <v>300999</v>
          </cell>
          <cell r="G1266" t="str">
            <v>Victor Adolfo Barrios Monzon</v>
          </cell>
        </row>
        <row r="1267">
          <cell r="F1267">
            <v>309689</v>
          </cell>
          <cell r="G1267" t="str">
            <v>Victor Demecio Leon Villeda</v>
          </cell>
        </row>
        <row r="1268">
          <cell r="F1268">
            <v>311258</v>
          </cell>
          <cell r="G1268" t="str">
            <v>Victor Otoniel Sebastian Cardona</v>
          </cell>
        </row>
        <row r="1269">
          <cell r="F1269">
            <v>314367</v>
          </cell>
          <cell r="G1269" t="str">
            <v>Victoria Maria Llamas Perez</v>
          </cell>
        </row>
        <row r="1270">
          <cell r="F1270">
            <v>315399</v>
          </cell>
          <cell r="G1270" t="str">
            <v>Vilma Rossibel Mendez Vasquez</v>
          </cell>
        </row>
        <row r="1271">
          <cell r="F1271">
            <v>312875</v>
          </cell>
          <cell r="G1271" t="str">
            <v>Virginia Nohemi Perez Ajtum</v>
          </cell>
        </row>
        <row r="1272">
          <cell r="F1272">
            <v>313671</v>
          </cell>
          <cell r="G1272" t="str">
            <v>Virginia Yesenia Merida Lopez De Lopez</v>
          </cell>
        </row>
        <row r="1273">
          <cell r="F1273">
            <v>315529</v>
          </cell>
          <cell r="G1273" t="str">
            <v>Vivian Alejandra Ramirez Samayoa</v>
          </cell>
        </row>
        <row r="1274">
          <cell r="F1274">
            <v>310009</v>
          </cell>
          <cell r="G1274" t="str">
            <v>Vivian Celeste De Leon Rian</v>
          </cell>
        </row>
        <row r="1275">
          <cell r="F1275">
            <v>308693</v>
          </cell>
          <cell r="G1275" t="str">
            <v>Vivian Dinora Fuentes Carrillo</v>
          </cell>
        </row>
        <row r="1276">
          <cell r="F1276">
            <v>300347</v>
          </cell>
          <cell r="G1276" t="str">
            <v>Vivian Roxana Piedrasanta Rodriguez</v>
          </cell>
        </row>
        <row r="1277">
          <cell r="F1277">
            <v>306597</v>
          </cell>
          <cell r="G1277" t="str">
            <v>Vivian Samara Sanchez Lopez</v>
          </cell>
        </row>
        <row r="1278">
          <cell r="F1278">
            <v>312772</v>
          </cell>
          <cell r="G1278" t="str">
            <v>Viviana Isabet Machic Tiño</v>
          </cell>
        </row>
        <row r="1279">
          <cell r="F1279">
            <v>314636</v>
          </cell>
          <cell r="G1279" t="str">
            <v>Walkiria Anais Herrera Castillo</v>
          </cell>
        </row>
        <row r="1280">
          <cell r="F1280">
            <v>301033</v>
          </cell>
          <cell r="G1280" t="str">
            <v>Walter Daniel Perea Flores</v>
          </cell>
        </row>
        <row r="1281">
          <cell r="F1281">
            <v>305935</v>
          </cell>
          <cell r="G1281" t="str">
            <v>Walter David De Leon Gomez</v>
          </cell>
        </row>
        <row r="1282">
          <cell r="F1282">
            <v>315324</v>
          </cell>
          <cell r="G1282" t="str">
            <v>Walter Estuardo Guerra López</v>
          </cell>
        </row>
        <row r="1283">
          <cell r="F1283">
            <v>310994</v>
          </cell>
          <cell r="G1283" t="str">
            <v>Walter Geovany Hernandez Hernandez</v>
          </cell>
        </row>
        <row r="1284">
          <cell r="F1284">
            <v>315577</v>
          </cell>
          <cell r="G1284" t="str">
            <v>Walter Yovany Sequec Lopic</v>
          </cell>
        </row>
        <row r="1285">
          <cell r="F1285">
            <v>312305</v>
          </cell>
          <cell r="G1285" t="str">
            <v>Wanda Marisol Cabrera Lemus</v>
          </cell>
        </row>
        <row r="1286">
          <cell r="F1286">
            <v>313388</v>
          </cell>
          <cell r="G1286" t="str">
            <v>Wander Andres Grijlava Porras</v>
          </cell>
        </row>
        <row r="1287">
          <cell r="F1287">
            <v>312738</v>
          </cell>
          <cell r="G1287" t="str">
            <v>Wendoly Beatriz Morales Cornel</v>
          </cell>
        </row>
        <row r="1288">
          <cell r="F1288">
            <v>304802</v>
          </cell>
          <cell r="G1288" t="str">
            <v>Wendy Alejandra Cuyan Alvarez</v>
          </cell>
        </row>
        <row r="1289">
          <cell r="F1289">
            <v>315438</v>
          </cell>
          <cell r="G1289" t="str">
            <v>Wendy Alejandra Monzon Lopez</v>
          </cell>
        </row>
        <row r="1290">
          <cell r="F1290">
            <v>309177</v>
          </cell>
          <cell r="G1290" t="str">
            <v>Wendy Carolina Lopez Alvizuriz</v>
          </cell>
        </row>
        <row r="1291">
          <cell r="F1291">
            <v>315364</v>
          </cell>
          <cell r="G1291" t="str">
            <v>Wendy Corina Najera Vasquez</v>
          </cell>
        </row>
        <row r="1292">
          <cell r="F1292">
            <v>308431</v>
          </cell>
          <cell r="G1292" t="str">
            <v>Wendy Jessenia Arredondo Lopez</v>
          </cell>
        </row>
        <row r="1293">
          <cell r="F1293">
            <v>315096</v>
          </cell>
          <cell r="G1293" t="str">
            <v>Wendy Mariela Diaz Hernandez</v>
          </cell>
        </row>
        <row r="1294">
          <cell r="F1294">
            <v>314551</v>
          </cell>
          <cell r="G1294" t="str">
            <v>Wendy Nineth Perez Roque</v>
          </cell>
        </row>
        <row r="1295">
          <cell r="F1295">
            <v>312886</v>
          </cell>
          <cell r="G1295" t="str">
            <v>Wendy Paola Baquiax Cu</v>
          </cell>
        </row>
        <row r="1296">
          <cell r="F1296">
            <v>306851</v>
          </cell>
          <cell r="G1296" t="str">
            <v>Wendy Paola De Paz Prado</v>
          </cell>
        </row>
        <row r="1297">
          <cell r="F1297">
            <v>313707</v>
          </cell>
          <cell r="G1297" t="str">
            <v>Wendy Paola Rodriguez Gonzalez</v>
          </cell>
        </row>
        <row r="1298">
          <cell r="F1298">
            <v>314055</v>
          </cell>
          <cell r="G1298" t="str">
            <v>Wendy Patricia Lopez Gonzalez</v>
          </cell>
        </row>
        <row r="1299">
          <cell r="F1299">
            <v>310388</v>
          </cell>
          <cell r="G1299" t="str">
            <v>Wendy Susana Chinchilla Cotill</v>
          </cell>
        </row>
        <row r="1300">
          <cell r="F1300">
            <v>315106</v>
          </cell>
          <cell r="G1300" t="str">
            <v>Wendy Victoria Rodriguez Chacon</v>
          </cell>
        </row>
        <row r="1301">
          <cell r="F1301">
            <v>314063</v>
          </cell>
          <cell r="G1301" t="str">
            <v>Wensler David Obando Polanco</v>
          </cell>
        </row>
        <row r="1302">
          <cell r="F1302">
            <v>308069</v>
          </cell>
          <cell r="G1302" t="str">
            <v>Wilda Yohandra Atz Cruz</v>
          </cell>
        </row>
        <row r="1303">
          <cell r="F1303">
            <v>313300</v>
          </cell>
          <cell r="G1303" t="str">
            <v>Wilfido Abraham Cardona Garcia</v>
          </cell>
        </row>
        <row r="1304">
          <cell r="F1304">
            <v>309284</v>
          </cell>
          <cell r="G1304" t="str">
            <v>Wilian Aroldo Lucero Cardona</v>
          </cell>
        </row>
        <row r="1305">
          <cell r="F1305">
            <v>314821</v>
          </cell>
          <cell r="G1305" t="str">
            <v>William Alexander Tobias Gomez</v>
          </cell>
        </row>
        <row r="1306">
          <cell r="F1306">
            <v>314881</v>
          </cell>
          <cell r="G1306" t="str">
            <v>William Eduardo Velasquez Castillo</v>
          </cell>
        </row>
        <row r="1307">
          <cell r="F1307">
            <v>313027</v>
          </cell>
          <cell r="G1307" t="str">
            <v>William Rodolfo Yool Tucux</v>
          </cell>
        </row>
        <row r="1308">
          <cell r="F1308">
            <v>314221</v>
          </cell>
          <cell r="G1308" t="str">
            <v>Willian Baldemar Castillo Ramirez</v>
          </cell>
        </row>
        <row r="1309">
          <cell r="F1309">
            <v>314947</v>
          </cell>
          <cell r="G1309" t="str">
            <v>Wilmer Arnoldo Diaz Martinez</v>
          </cell>
        </row>
        <row r="1310">
          <cell r="F1310">
            <v>306656</v>
          </cell>
          <cell r="G1310" t="str">
            <v>Wilmer Benjamin Vasquez Puac</v>
          </cell>
        </row>
        <row r="1311">
          <cell r="F1311">
            <v>314391</v>
          </cell>
          <cell r="G1311" t="str">
            <v>Wilmer Esteban Lopez Hernandez</v>
          </cell>
        </row>
        <row r="1312">
          <cell r="F1312">
            <v>308506</v>
          </cell>
          <cell r="G1312" t="str">
            <v>Wilmer Estuardo Salama Golon</v>
          </cell>
        </row>
        <row r="1313">
          <cell r="F1313">
            <v>308686</v>
          </cell>
          <cell r="G1313" t="str">
            <v>Wilson Arnoldo Lopez Revolorio</v>
          </cell>
        </row>
        <row r="1314">
          <cell r="F1314">
            <v>312770</v>
          </cell>
          <cell r="G1314" t="str">
            <v>Wilson Manuel Zuñiga Perez</v>
          </cell>
        </row>
        <row r="1315">
          <cell r="F1315">
            <v>300978</v>
          </cell>
          <cell r="G1315" t="str">
            <v>Wuangler Geovane Cal Sucup</v>
          </cell>
        </row>
        <row r="1316">
          <cell r="F1316">
            <v>305989</v>
          </cell>
          <cell r="G1316" t="str">
            <v>Wuilson Ottoniel Hernandez Alonzo</v>
          </cell>
        </row>
        <row r="1317">
          <cell r="F1317">
            <v>314819</v>
          </cell>
          <cell r="G1317" t="str">
            <v>Xiomara Karina Rendon Peinado</v>
          </cell>
        </row>
        <row r="1318">
          <cell r="F1318">
            <v>306493</v>
          </cell>
          <cell r="G1318" t="str">
            <v>Yackelin Maribel Zamora Medina</v>
          </cell>
        </row>
        <row r="1319">
          <cell r="F1319">
            <v>309963</v>
          </cell>
          <cell r="G1319" t="str">
            <v>Yajaira Emiliana Reyes Zapet</v>
          </cell>
        </row>
        <row r="1320">
          <cell r="F1320">
            <v>312248</v>
          </cell>
          <cell r="G1320" t="str">
            <v>Yakelin Consuelo Zapeta Perez</v>
          </cell>
        </row>
        <row r="1321">
          <cell r="F1321">
            <v>310159</v>
          </cell>
          <cell r="G1321" t="str">
            <v>Yaquelin Dinora Xicara Mejia</v>
          </cell>
        </row>
        <row r="1322">
          <cell r="F1322">
            <v>309920</v>
          </cell>
          <cell r="G1322" t="str">
            <v>Yaquelin Karina Virula Patzan</v>
          </cell>
        </row>
        <row r="1323">
          <cell r="F1323">
            <v>312505</v>
          </cell>
          <cell r="G1323" t="str">
            <v>Yaquelin Yessenia Sapon Gonzalez</v>
          </cell>
        </row>
        <row r="1324">
          <cell r="F1324">
            <v>309463</v>
          </cell>
          <cell r="G1324" t="str">
            <v>Yasmin Paola Sicay Marroquin</v>
          </cell>
        </row>
        <row r="1325">
          <cell r="F1325">
            <v>313857</v>
          </cell>
          <cell r="G1325" t="str">
            <v>Yefersson Zabala Aviles</v>
          </cell>
        </row>
        <row r="1326">
          <cell r="F1326">
            <v>313628</v>
          </cell>
          <cell r="G1326" t="str">
            <v>Yefry Jesus Soto</v>
          </cell>
        </row>
        <row r="1327">
          <cell r="F1327">
            <v>310318</v>
          </cell>
          <cell r="G1327" t="str">
            <v>Yeimi Yareli Moscoso Guzman</v>
          </cell>
        </row>
        <row r="1328">
          <cell r="F1328">
            <v>313558</v>
          </cell>
          <cell r="G1328" t="str">
            <v>Yener Catarino Chilel Velasquez</v>
          </cell>
        </row>
        <row r="1329">
          <cell r="F1329">
            <v>303083</v>
          </cell>
          <cell r="G1329" t="str">
            <v>Yeni Elizabeth Carrillo Barrios</v>
          </cell>
        </row>
        <row r="1330">
          <cell r="F1330">
            <v>313221</v>
          </cell>
          <cell r="G1330" t="str">
            <v>Yeni Jannet Morales Sintud</v>
          </cell>
        </row>
        <row r="1331">
          <cell r="F1331">
            <v>315374</v>
          </cell>
          <cell r="G1331" t="str">
            <v>Yeni Sabrina Ordonez Gonzalez De Chicas</v>
          </cell>
        </row>
        <row r="1332">
          <cell r="F1332">
            <v>314613</v>
          </cell>
          <cell r="G1332" t="str">
            <v>Yenifer Alicia Yessenia Tzib Lemus</v>
          </cell>
        </row>
        <row r="1333">
          <cell r="F1333">
            <v>308434</v>
          </cell>
          <cell r="G1333" t="str">
            <v>Yenifer Antonieta Borja Aragon</v>
          </cell>
        </row>
        <row r="1334">
          <cell r="F1334">
            <v>313725</v>
          </cell>
          <cell r="G1334" t="str">
            <v>Yenner Antonio Perez Castro</v>
          </cell>
        </row>
        <row r="1335">
          <cell r="F1335">
            <v>314562</v>
          </cell>
          <cell r="G1335" t="str">
            <v>Yesenia Noemi Gutierrez Argueta</v>
          </cell>
        </row>
        <row r="1336">
          <cell r="F1336">
            <v>311581</v>
          </cell>
          <cell r="G1336" t="str">
            <v>Yesi Lisbet Fuentes Velarde</v>
          </cell>
        </row>
        <row r="1337">
          <cell r="F1337">
            <v>312579</v>
          </cell>
          <cell r="G1337" t="str">
            <v>Yesica Elizabet Marroquin Vielman</v>
          </cell>
        </row>
        <row r="1338">
          <cell r="F1338">
            <v>315433</v>
          </cell>
          <cell r="G1338" t="str">
            <v>Yessica Paola Perez Poma</v>
          </cell>
        </row>
        <row r="1339">
          <cell r="F1339">
            <v>311486</v>
          </cell>
          <cell r="G1339" t="str">
            <v>Yolisma Yaneth Vasquez Najera</v>
          </cell>
        </row>
        <row r="1340">
          <cell r="F1340">
            <v>315060</v>
          </cell>
          <cell r="G1340" t="str">
            <v>Yonatan Alexander Perez Scott</v>
          </cell>
        </row>
        <row r="1341">
          <cell r="F1341">
            <v>312632</v>
          </cell>
          <cell r="G1341" t="str">
            <v>Yonatan Nazareth Zapeta Gomez</v>
          </cell>
        </row>
        <row r="1342">
          <cell r="F1342">
            <v>312988</v>
          </cell>
          <cell r="G1342" t="str">
            <v>Yonathan Neftali Moran Velasquez</v>
          </cell>
        </row>
        <row r="1343">
          <cell r="F1343">
            <v>305872</v>
          </cell>
          <cell r="G1343" t="str">
            <v>Yoni Adan Gutierrez Veliz</v>
          </cell>
        </row>
        <row r="1344">
          <cell r="F1344">
            <v>312087</v>
          </cell>
          <cell r="G1344" t="str">
            <v>Yoni Yosuen Rodriguez Sosa</v>
          </cell>
        </row>
        <row r="1345">
          <cell r="F1345">
            <v>312317</v>
          </cell>
          <cell r="G1345" t="str">
            <v>Yoselin Alejandra Barrios Reyes</v>
          </cell>
        </row>
        <row r="1346">
          <cell r="F1346">
            <v>313057</v>
          </cell>
          <cell r="G1346" t="str">
            <v>Yoselin Alejandra Moran Burgos</v>
          </cell>
        </row>
        <row r="1347">
          <cell r="F1347">
            <v>314700</v>
          </cell>
          <cell r="G1347" t="str">
            <v>Yoselin Andrea Cipriano Garcia</v>
          </cell>
        </row>
        <row r="1348">
          <cell r="F1348">
            <v>314280</v>
          </cell>
          <cell r="G1348" t="str">
            <v>Yoselin Ninet Lopez Quibaja</v>
          </cell>
        </row>
        <row r="1349">
          <cell r="F1349">
            <v>314388</v>
          </cell>
          <cell r="G1349" t="str">
            <v>Yubithza Azucena Gamez Agustin De Cordova</v>
          </cell>
        </row>
        <row r="1350">
          <cell r="F1350">
            <v>310717</v>
          </cell>
          <cell r="G1350" t="str">
            <v>Yuliana Elizabeth Hernandez Lopez</v>
          </cell>
        </row>
        <row r="1351">
          <cell r="F1351">
            <v>314472</v>
          </cell>
          <cell r="G1351" t="str">
            <v>Yuri Madali Cabrera Garcia</v>
          </cell>
        </row>
        <row r="1352">
          <cell r="F1352">
            <v>310871</v>
          </cell>
          <cell r="G1352" t="str">
            <v>Yuri Vanessa Bac Caal</v>
          </cell>
        </row>
        <row r="1353">
          <cell r="F1353">
            <v>302802</v>
          </cell>
          <cell r="G1353" t="str">
            <v>Yuri Yesenia Beza Ramirez</v>
          </cell>
        </row>
        <row r="1354">
          <cell r="F1354">
            <v>310778</v>
          </cell>
          <cell r="G1354" t="str">
            <v>Zacarias Rigoberto Cuc Tiul</v>
          </cell>
        </row>
        <row r="1355">
          <cell r="F1355">
            <v>309651</v>
          </cell>
          <cell r="G1355" t="str">
            <v>Zaira Eloiza Orantes Ramirez</v>
          </cell>
        </row>
        <row r="1356">
          <cell r="F1356">
            <v>315308</v>
          </cell>
          <cell r="G1356" t="str">
            <v>Zalma Esmeralda Flores Tojin</v>
          </cell>
        </row>
        <row r="1357">
          <cell r="F1357">
            <v>306856</v>
          </cell>
          <cell r="G1357" t="str">
            <v>Zoraida Marisol Martinez Perez</v>
          </cell>
        </row>
        <row r="1358">
          <cell r="F1358">
            <v>313411</v>
          </cell>
          <cell r="G1358" t="str">
            <v>Zulema Noemy Aristondo Lopez</v>
          </cell>
        </row>
        <row r="1359">
          <cell r="F1359">
            <v>312665</v>
          </cell>
          <cell r="G1359" t="str">
            <v>Zulma Damaris Menchu Mendez</v>
          </cell>
        </row>
        <row r="1360">
          <cell r="F1360">
            <v>314042</v>
          </cell>
          <cell r="G1360" t="str">
            <v>Zulmy Paola Mateo Salazar</v>
          </cell>
        </row>
        <row r="1361">
          <cell r="F1361">
            <v>313161</v>
          </cell>
          <cell r="G1361" t="str">
            <v>Zuly Beatriz De Jesus Lopez Martinez</v>
          </cell>
        </row>
        <row r="1362">
          <cell r="F1362">
            <v>314783</v>
          </cell>
          <cell r="G1362" t="str">
            <v>Jency Noeli Estrada Paredes</v>
          </cell>
        </row>
        <row r="1363">
          <cell r="F1363">
            <v>311880</v>
          </cell>
          <cell r="G1363" t="str">
            <v>Patricia Alejandra Ramos Velasquez</v>
          </cell>
        </row>
        <row r="1364">
          <cell r="F1364">
            <v>313031</v>
          </cell>
          <cell r="G1364" t="str">
            <v>Lesly Sucely Ramirez Maxin</v>
          </cell>
        </row>
        <row r="1365">
          <cell r="F1365">
            <v>313155</v>
          </cell>
          <cell r="G1365" t="str">
            <v>Aylin Jiceli Romero Cruz</v>
          </cell>
        </row>
        <row r="1366">
          <cell r="F1366">
            <v>314858</v>
          </cell>
          <cell r="G1366" t="str">
            <v>Henry De Jesus Mujo Garcia</v>
          </cell>
        </row>
        <row r="1367">
          <cell r="F1367">
            <v>315188</v>
          </cell>
          <cell r="G1367" t="str">
            <v>Zoila Edmunda Pirir Tezen</v>
          </cell>
        </row>
        <row r="1368">
          <cell r="F1368">
            <v>314690</v>
          </cell>
          <cell r="G1368" t="str">
            <v>Scarlet Iveth Rosales Rivera</v>
          </cell>
        </row>
        <row r="1369">
          <cell r="F1369">
            <v>309417</v>
          </cell>
          <cell r="G1369" t="str">
            <v>Lisbeth Sarai Gutierrez Oscal</v>
          </cell>
        </row>
        <row r="1370">
          <cell r="F1370">
            <v>314284</v>
          </cell>
          <cell r="G1370" t="str">
            <v>William Alexander Gonzalez Mendoza</v>
          </cell>
        </row>
        <row r="1371">
          <cell r="F1371">
            <v>312424</v>
          </cell>
          <cell r="G1371" t="str">
            <v>Andrea Fernanda Martin Flores</v>
          </cell>
        </row>
        <row r="1372">
          <cell r="F1372">
            <v>313081</v>
          </cell>
          <cell r="G1372" t="str">
            <v>Alba Mariana Higueros Micheo</v>
          </cell>
        </row>
        <row r="1373">
          <cell r="F1373">
            <v>315184</v>
          </cell>
          <cell r="G1373" t="str">
            <v>Leysly Rubi Panchoy Rivera</v>
          </cell>
        </row>
        <row r="1374">
          <cell r="F1374">
            <v>315248</v>
          </cell>
          <cell r="G1374" t="str">
            <v>Claudia Marissa Chuquiej Granados</v>
          </cell>
        </row>
        <row r="1375">
          <cell r="F1375">
            <v>314982</v>
          </cell>
          <cell r="G1375" t="str">
            <v>Alvin David Cush Roman</v>
          </cell>
        </row>
        <row r="1376">
          <cell r="F1376">
            <v>312859</v>
          </cell>
          <cell r="G1376" t="str">
            <v>Wilson Eli Pineda Argueta</v>
          </cell>
        </row>
        <row r="1377">
          <cell r="F1377">
            <v>315040</v>
          </cell>
          <cell r="G1377" t="str">
            <v>Renny Camilo Ixcopal Ramirez</v>
          </cell>
        </row>
        <row r="1378">
          <cell r="F1378">
            <v>315061</v>
          </cell>
          <cell r="G1378" t="str">
            <v>Durvin Dayanara Mejicanos Ramos</v>
          </cell>
        </row>
        <row r="1379">
          <cell r="F1379">
            <v>314923</v>
          </cell>
          <cell r="G1379" t="str">
            <v>Sergio Alexander Urizar Godínez</v>
          </cell>
        </row>
        <row r="1380">
          <cell r="F1380">
            <v>314511</v>
          </cell>
          <cell r="G1380" t="str">
            <v>Dulce Maria Fajardo Ramos</v>
          </cell>
        </row>
        <row r="1381">
          <cell r="F1381">
            <v>315316</v>
          </cell>
          <cell r="G1381" t="str">
            <v>Axel Alexander Lemus Ovando</v>
          </cell>
        </row>
        <row r="1382">
          <cell r="F1382">
            <v>314538</v>
          </cell>
          <cell r="G1382" t="str">
            <v>Cristofer Melgar Ortega</v>
          </cell>
        </row>
        <row r="1383">
          <cell r="F1383">
            <v>315046</v>
          </cell>
          <cell r="G1383" t="str">
            <v>Maria Damaris Noemi Asig Cu</v>
          </cell>
        </row>
        <row r="1384">
          <cell r="F1384">
            <v>314652</v>
          </cell>
          <cell r="G1384" t="str">
            <v>Leyvi Diana Morales Garrido</v>
          </cell>
        </row>
        <row r="1385">
          <cell r="F1385">
            <v>314440</v>
          </cell>
          <cell r="G1385" t="str">
            <v>Luis Alexsander Barco Ramirez</v>
          </cell>
        </row>
        <row r="1386">
          <cell r="F1386">
            <v>315249</v>
          </cell>
          <cell r="G1386" t="str">
            <v>Estuardo Rocael Chivalan Caal</v>
          </cell>
        </row>
        <row r="1387">
          <cell r="F1387">
            <v>315301</v>
          </cell>
          <cell r="G1387" t="str">
            <v>Carlos Edmundo Hernandez Miranda</v>
          </cell>
        </row>
        <row r="1388">
          <cell r="F1388">
            <v>313008</v>
          </cell>
          <cell r="G1388" t="str">
            <v>Jose Guillermo Ixen Queche</v>
          </cell>
        </row>
        <row r="1389">
          <cell r="F1389">
            <v>309110</v>
          </cell>
          <cell r="G1389" t="str">
            <v>Josselyn Fabiola Xunic Taquiej</v>
          </cell>
        </row>
        <row r="1390">
          <cell r="F1390">
            <v>312944</v>
          </cell>
          <cell r="G1390" t="str">
            <v>Lesly Araceli Mendez Gonzalez</v>
          </cell>
        </row>
        <row r="1391">
          <cell r="F1391">
            <v>314043</v>
          </cell>
          <cell r="G1391" t="str">
            <v>Luis Miguel Camaja Recinos</v>
          </cell>
        </row>
        <row r="1392">
          <cell r="F1392">
            <v>308753</v>
          </cell>
          <cell r="G1392" t="str">
            <v>Wilson Estuardo Vicente Tzun</v>
          </cell>
        </row>
        <row r="1393">
          <cell r="F1393">
            <v>312219</v>
          </cell>
          <cell r="G1393" t="str">
            <v>Yenifer Magali Arana Tezen</v>
          </cell>
        </row>
        <row r="1394">
          <cell r="F1394">
            <v>314664</v>
          </cell>
          <cell r="G1394" t="str">
            <v>Favio Juan Manuel Citalan Gomez</v>
          </cell>
        </row>
        <row r="1395">
          <cell r="F1395">
            <v>315314</v>
          </cell>
          <cell r="G1395" t="str">
            <v>Katherine Maria Pereira Estacuy</v>
          </cell>
        </row>
        <row r="1396">
          <cell r="F1396">
            <v>309750</v>
          </cell>
          <cell r="G1396" t="str">
            <v>Maria Teresa Hom Guit</v>
          </cell>
        </row>
        <row r="1397">
          <cell r="F1397">
            <v>307867</v>
          </cell>
          <cell r="G1397" t="str">
            <v>Alex Jose Bamaca Baltazar</v>
          </cell>
        </row>
        <row r="1398">
          <cell r="F1398">
            <v>313410</v>
          </cell>
          <cell r="G1398" t="str">
            <v>Esmeralda Claribel Velasquez Hernandez</v>
          </cell>
        </row>
        <row r="1399">
          <cell r="F1399">
            <v>315157</v>
          </cell>
          <cell r="G1399" t="str">
            <v>Nancy Rocio Maldonado Lopez</v>
          </cell>
        </row>
        <row r="1400">
          <cell r="F1400">
            <v>303878</v>
          </cell>
          <cell r="G1400" t="str">
            <v>Milka Patricia Merida Muñoz</v>
          </cell>
        </row>
        <row r="1401">
          <cell r="F1401">
            <v>315187</v>
          </cell>
          <cell r="G1401" t="str">
            <v>Luis Fernando Ramos Reynoso</v>
          </cell>
        </row>
        <row r="1402">
          <cell r="F1402">
            <v>310537</v>
          </cell>
          <cell r="G1402" t="str">
            <v>Astrid Anybeth Ochoa Sac</v>
          </cell>
        </row>
        <row r="1403">
          <cell r="F1403">
            <v>314578</v>
          </cell>
          <cell r="G1403" t="str">
            <v>Ana Gabriela Garcia Ajanel</v>
          </cell>
        </row>
        <row r="1404">
          <cell r="F1404">
            <v>315331</v>
          </cell>
          <cell r="G1404" t="str">
            <v>Dallynn Eunice Perez Herrera</v>
          </cell>
        </row>
        <row r="1405">
          <cell r="F1405">
            <v>314950</v>
          </cell>
          <cell r="G1405" t="str">
            <v>Saul Rodrigo Monterroso Belteton</v>
          </cell>
        </row>
        <row r="1406">
          <cell r="F1406">
            <v>312575</v>
          </cell>
          <cell r="G1406" t="str">
            <v>Sugey Alejandrina Ramirez Zepeda</v>
          </cell>
        </row>
        <row r="1407">
          <cell r="F1407">
            <v>309102</v>
          </cell>
          <cell r="G1407" t="str">
            <v>Josselyn Jasmin Asencio Revolorio De Lopez</v>
          </cell>
        </row>
        <row r="1408">
          <cell r="F1408">
            <v>313516</v>
          </cell>
          <cell r="G1408" t="str">
            <v>Mayra Leticia Diaz Armas</v>
          </cell>
        </row>
        <row r="1409">
          <cell r="F1409">
            <v>314786</v>
          </cell>
          <cell r="G1409" t="str">
            <v>Andrea Stephany Villeda Bran</v>
          </cell>
        </row>
        <row r="1410">
          <cell r="F1410">
            <v>313482</v>
          </cell>
          <cell r="G1410" t="str">
            <v>Alexandra Stefania Estrada Flores</v>
          </cell>
        </row>
        <row r="1411">
          <cell r="F1411">
            <v>313642</v>
          </cell>
          <cell r="G1411" t="str">
            <v>Jose Luis Landaverry Arana</v>
          </cell>
        </row>
        <row r="1412">
          <cell r="F1412">
            <v>314734</v>
          </cell>
          <cell r="G1412" t="str">
            <v>Maria Teresa Barrientos Perdomo</v>
          </cell>
        </row>
        <row r="1413">
          <cell r="F1413">
            <v>312551</v>
          </cell>
          <cell r="G1413" t="str">
            <v>Zenia Estefania Alvarado Alvarado</v>
          </cell>
        </row>
        <row r="1414">
          <cell r="F1414">
            <v>311524</v>
          </cell>
          <cell r="G1414" t="str">
            <v>Iris Marleny Alvarado Barrios</v>
          </cell>
        </row>
        <row r="1415">
          <cell r="F1415">
            <v>309360</v>
          </cell>
          <cell r="G1415" t="str">
            <v>Diana Violeta Yaguas Carin</v>
          </cell>
        </row>
        <row r="1416">
          <cell r="F1416">
            <v>309560</v>
          </cell>
          <cell r="G1416" t="str">
            <v>Astrid Gabriela Carin Castillo</v>
          </cell>
        </row>
        <row r="1417">
          <cell r="F1417">
            <v>313834</v>
          </cell>
          <cell r="G1417" t="str">
            <v>Luis Fernando Cuque Marquez</v>
          </cell>
        </row>
        <row r="1418">
          <cell r="F1418">
            <v>312983</v>
          </cell>
          <cell r="G1418" t="str">
            <v>Jennifer Jeaneth Patzan Urizar</v>
          </cell>
        </row>
        <row r="1419">
          <cell r="F1419">
            <v>313043</v>
          </cell>
          <cell r="G1419" t="str">
            <v>Saul Alexander Sicay Ramirez</v>
          </cell>
        </row>
        <row r="1420">
          <cell r="F1420">
            <v>315052</v>
          </cell>
          <cell r="G1420" t="str">
            <v>Ana Ruth Garcia Garcia</v>
          </cell>
        </row>
        <row r="1421">
          <cell r="F1421">
            <v>311322</v>
          </cell>
          <cell r="G1421" t="str">
            <v>Valerie Andrea Rivas Del Valle</v>
          </cell>
        </row>
        <row r="1422">
          <cell r="F1422">
            <v>313852</v>
          </cell>
          <cell r="G1422" t="str">
            <v>Brandon Steven Quiñonez Garcia</v>
          </cell>
        </row>
        <row r="1423">
          <cell r="F1423">
            <v>310326</v>
          </cell>
          <cell r="G1423" t="str">
            <v>Bryan Daniel Donado Ortiz</v>
          </cell>
        </row>
        <row r="1424">
          <cell r="F1424">
            <v>312039</v>
          </cell>
          <cell r="G1424" t="str">
            <v>Lourdes Yamileth Escobar Recinos</v>
          </cell>
        </row>
        <row r="1425">
          <cell r="F1425">
            <v>315030</v>
          </cell>
          <cell r="G1425" t="str">
            <v>Daniel Antonio Gonzalez Del Cid</v>
          </cell>
        </row>
        <row r="1426">
          <cell r="F1426">
            <v>314898</v>
          </cell>
          <cell r="G1426" t="str">
            <v>Jose Danilo Chacar Saguach</v>
          </cell>
        </row>
        <row r="1427">
          <cell r="F1427">
            <v>315306</v>
          </cell>
          <cell r="G1427" t="str">
            <v>Karen Melissa Munoz Guevara</v>
          </cell>
        </row>
        <row r="1428">
          <cell r="F1428">
            <v>315370</v>
          </cell>
          <cell r="G1428" t="str">
            <v>Mario Eduardo Reyes Argueta</v>
          </cell>
        </row>
        <row r="1429">
          <cell r="F1429">
            <v>315354</v>
          </cell>
          <cell r="G1429" t="str">
            <v>Diego Rodrigo Morales Camacho</v>
          </cell>
        </row>
        <row r="1430">
          <cell r="F1430">
            <v>314676</v>
          </cell>
          <cell r="G1430" t="str">
            <v>Irvin Lizardo Miranda Guzman</v>
          </cell>
        </row>
        <row r="1431">
          <cell r="F1431">
            <v>314069</v>
          </cell>
          <cell r="G1431" t="str">
            <v>Yesenia Nataly Alvarado Sarpec</v>
          </cell>
        </row>
        <row r="1432">
          <cell r="F1432">
            <v>315328</v>
          </cell>
          <cell r="G1432" t="str">
            <v xml:space="preserve">Ludwin Oscar David Chavez </v>
          </cell>
        </row>
        <row r="1433">
          <cell r="F1433">
            <v>314629</v>
          </cell>
          <cell r="G1433" t="str">
            <v>Heidy Azucena Martinez Garcia</v>
          </cell>
        </row>
        <row r="1434">
          <cell r="F1434">
            <v>314358</v>
          </cell>
          <cell r="G1434" t="str">
            <v>Manuel Eduardo Garcia Diaz</v>
          </cell>
        </row>
        <row r="1435">
          <cell r="F1435">
            <v>314090</v>
          </cell>
          <cell r="G1435" t="str">
            <v>Dayana Mishell Mazariegos Gomez</v>
          </cell>
        </row>
        <row r="1436">
          <cell r="F1436">
            <v>311202</v>
          </cell>
          <cell r="G1436" t="str">
            <v>Vilma Lizeth Caal Yantuche</v>
          </cell>
        </row>
        <row r="1437">
          <cell r="F1437">
            <v>314693</v>
          </cell>
          <cell r="G1437" t="str">
            <v>Oscar Javier Veliz Galvez</v>
          </cell>
        </row>
        <row r="1438">
          <cell r="F1438">
            <v>307008</v>
          </cell>
          <cell r="G1438" t="str">
            <v>Evelyn Rebeca Lopez Socoy</v>
          </cell>
        </row>
        <row r="1439">
          <cell r="F1439">
            <v>313003</v>
          </cell>
          <cell r="G1439" t="str">
            <v>Jonathan Renato Chete Urias</v>
          </cell>
        </row>
        <row r="1440">
          <cell r="F1440">
            <v>315224</v>
          </cell>
          <cell r="G1440" t="str">
            <v>Dina Nohemi Solano Juarez</v>
          </cell>
        </row>
        <row r="1441">
          <cell r="F1441">
            <v>315178</v>
          </cell>
          <cell r="G1441" t="str">
            <v>Melany Nohemi Velasquez Solorzano</v>
          </cell>
        </row>
        <row r="1442">
          <cell r="F1442">
            <v>314040</v>
          </cell>
          <cell r="G1442" t="str">
            <v>Cindy Abigail Patzan Perez</v>
          </cell>
        </row>
        <row r="1443">
          <cell r="F1443">
            <v>315172</v>
          </cell>
          <cell r="G1443" t="str">
            <v>Merlyn Esther Pérez Girón</v>
          </cell>
        </row>
        <row r="1444">
          <cell r="F1444">
            <v>314726</v>
          </cell>
          <cell r="G1444" t="str">
            <v>Bryan Roberto Sanchez Echeverria</v>
          </cell>
        </row>
        <row r="1445">
          <cell r="F1445">
            <v>306350</v>
          </cell>
          <cell r="G1445" t="str">
            <v>Andrea Eunice Velasquez Mazariegos</v>
          </cell>
        </row>
        <row r="1446">
          <cell r="F1446">
            <v>314282</v>
          </cell>
          <cell r="G1446" t="str">
            <v>Yolanda Genoveva Lopez Bamaca</v>
          </cell>
        </row>
        <row r="1447">
          <cell r="F1447">
            <v>314675</v>
          </cell>
          <cell r="G1447" t="str">
            <v>Edson Romeo Maldonado Reyes</v>
          </cell>
        </row>
        <row r="1448">
          <cell r="F1448">
            <v>313056</v>
          </cell>
          <cell r="G1448" t="str">
            <v>Suceli Isamar Orozco Fuentes</v>
          </cell>
        </row>
        <row r="1449">
          <cell r="F1449">
            <v>311573</v>
          </cell>
          <cell r="G1449" t="str">
            <v>Karen Gabriela Uz Shalix</v>
          </cell>
        </row>
        <row r="1450">
          <cell r="F1450">
            <v>313661</v>
          </cell>
          <cell r="G1450" t="str">
            <v>Mario Jose Herrera De Leon</v>
          </cell>
        </row>
        <row r="1451">
          <cell r="F1451">
            <v>314134</v>
          </cell>
          <cell r="G1451" t="str">
            <v>Rogelia Emperatriz Ortiz Alcantara</v>
          </cell>
        </row>
        <row r="1452">
          <cell r="F1452">
            <v>315207</v>
          </cell>
          <cell r="G1452" t="str">
            <v>Yeison Lemuel Lopez Vasquez</v>
          </cell>
        </row>
        <row r="1453">
          <cell r="F1453">
            <v>312659</v>
          </cell>
          <cell r="G1453" t="str">
            <v>Danny Johana Perez Reyes</v>
          </cell>
        </row>
        <row r="1454">
          <cell r="F1454">
            <v>315587</v>
          </cell>
          <cell r="G1454" t="str">
            <v>Pedro Jose Castañeda Velasquez</v>
          </cell>
        </row>
        <row r="1455">
          <cell r="F1455">
            <v>315590</v>
          </cell>
          <cell r="G1455" t="str">
            <v>Jamileth Andreina Arreaga Quin</v>
          </cell>
        </row>
        <row r="1456">
          <cell r="F1456">
            <v>315602</v>
          </cell>
          <cell r="G1456" t="str">
            <v>Ventura Rivera, Rhode Esperanza</v>
          </cell>
        </row>
        <row r="1457">
          <cell r="F1457">
            <v>315607</v>
          </cell>
          <cell r="G1457" t="str">
            <v>Ruiz Castillo, Maria Antonia</v>
          </cell>
        </row>
        <row r="1458">
          <cell r="F1458">
            <v>315611</v>
          </cell>
          <cell r="G1458" t="str">
            <v>Cordova Newbery, Allison Alejandra</v>
          </cell>
        </row>
        <row r="1459">
          <cell r="F1459">
            <v>315612</v>
          </cell>
          <cell r="G1459" t="str">
            <v>Castanon Lopez, Brandon Eliberto</v>
          </cell>
        </row>
        <row r="1460">
          <cell r="F1460">
            <v>315616</v>
          </cell>
          <cell r="G1460" t="str">
            <v>Diaz Calderon, Josue Noe</v>
          </cell>
        </row>
        <row r="1461">
          <cell r="F1461">
            <v>315629</v>
          </cell>
          <cell r="G1461" t="str">
            <v>Rucuch Choguaj, Miguel</v>
          </cell>
        </row>
        <row r="1462">
          <cell r="F1462">
            <v>315630</v>
          </cell>
          <cell r="G1462" t="str">
            <v>Zavala Soto, Alisson Yisel</v>
          </cell>
        </row>
        <row r="1463">
          <cell r="F1463">
            <v>309658</v>
          </cell>
          <cell r="G1463" t="str">
            <v xml:space="preserve">Otto Alejandro Barahona López </v>
          </cell>
        </row>
        <row r="1464">
          <cell r="F1464">
            <v>301291</v>
          </cell>
          <cell r="G1464" t="str">
            <v>Alexandra Carolina Valdez Vasquez</v>
          </cell>
        </row>
        <row r="1465">
          <cell r="F1465">
            <v>307550</v>
          </cell>
          <cell r="G1465" t="str">
            <v>Aura Marleny Perez Ventura</v>
          </cell>
        </row>
        <row r="1466">
          <cell r="F1466">
            <v>312210</v>
          </cell>
          <cell r="G1466" t="str">
            <v>Carlos Enrique Saenz Cardona</v>
          </cell>
        </row>
        <row r="1467">
          <cell r="F1467">
            <v>304801</v>
          </cell>
          <cell r="G1467" t="str">
            <v>Celeste Azucena Estrada Salvador De Estrada</v>
          </cell>
        </row>
        <row r="1468">
          <cell r="F1468">
            <v>314684</v>
          </cell>
          <cell r="G1468" t="str">
            <v>Escarlet Liliana Molina Herrera De Bolaños</v>
          </cell>
        </row>
        <row r="1469">
          <cell r="F1469">
            <v>309956</v>
          </cell>
          <cell r="G1469" t="str">
            <v>Heidy Celeste San Jose Diaz</v>
          </cell>
        </row>
        <row r="1470">
          <cell r="F1470">
            <v>314978</v>
          </cell>
          <cell r="G1470" t="str">
            <v>Jhoseline Esmeralda Medina Rivas</v>
          </cell>
        </row>
        <row r="1471">
          <cell r="F1471">
            <v>302674</v>
          </cell>
          <cell r="G1471" t="str">
            <v>Karen Elizabeth Roman Castellanos</v>
          </cell>
        </row>
        <row r="1472">
          <cell r="F1472">
            <v>315147</v>
          </cell>
          <cell r="G1472" t="str">
            <v>Karin Zulema Molina Fonseca</v>
          </cell>
        </row>
        <row r="1473">
          <cell r="F1473">
            <v>312838</v>
          </cell>
          <cell r="G1473" t="str">
            <v>Katherine Lucia Carranza Ortega</v>
          </cell>
        </row>
        <row r="1474">
          <cell r="F1474">
            <v>305064</v>
          </cell>
          <cell r="G1474" t="str">
            <v>Lilian Jose Lopez Quevedo</v>
          </cell>
        </row>
        <row r="1475">
          <cell r="F1475">
            <v>308754</v>
          </cell>
          <cell r="G1475" t="str">
            <v>Luis Alberto Perez Barrios</v>
          </cell>
        </row>
        <row r="1476">
          <cell r="F1476">
            <v>313396</v>
          </cell>
          <cell r="G1476" t="str">
            <v>Luz Mariela Donis Gonzalez</v>
          </cell>
        </row>
        <row r="1477">
          <cell r="F1477">
            <v>306330</v>
          </cell>
          <cell r="G1477" t="str">
            <v>Maria Andree Gonzalez</v>
          </cell>
        </row>
        <row r="1478">
          <cell r="F1478">
            <v>307198</v>
          </cell>
          <cell r="G1478" t="str">
            <v>Maria Gabriela Coloma Morales</v>
          </cell>
        </row>
        <row r="1479">
          <cell r="F1479">
            <v>307786</v>
          </cell>
          <cell r="G1479" t="str">
            <v>Marvin Alfredo Asturias Mendez</v>
          </cell>
        </row>
        <row r="1480">
          <cell r="F1480">
            <v>300268</v>
          </cell>
          <cell r="G1480" t="str">
            <v>Monica Carolina Pappa Dominguez</v>
          </cell>
        </row>
        <row r="1481">
          <cell r="F1481">
            <v>313636</v>
          </cell>
          <cell r="G1481" t="str">
            <v>Pablo Cesar Oliva Lopez</v>
          </cell>
        </row>
        <row r="1482">
          <cell r="F1482">
            <v>307702</v>
          </cell>
          <cell r="G1482" t="str">
            <v>Rosmeri Elizabeth Alvarez Lopez De Corado</v>
          </cell>
        </row>
        <row r="1483">
          <cell r="F1483">
            <v>314648</v>
          </cell>
          <cell r="G1483" t="str">
            <v>Sergio Vinicio Natareno Paredes</v>
          </cell>
        </row>
        <row r="1484">
          <cell r="F1484">
            <v>309567</v>
          </cell>
          <cell r="G1484" t="str">
            <v>Sindy Elizabeth Chavez Guzman</v>
          </cell>
        </row>
        <row r="1485">
          <cell r="F1485">
            <v>313649</v>
          </cell>
          <cell r="G1485" t="str">
            <v>Victor Hugo Turriz Flores</v>
          </cell>
        </row>
        <row r="1486">
          <cell r="F1486">
            <v>302684</v>
          </cell>
          <cell r="G1486" t="str">
            <v>Ana Melisa Giron Gonzalez</v>
          </cell>
        </row>
        <row r="1487">
          <cell r="F1487">
            <v>302866</v>
          </cell>
          <cell r="G1487" t="str">
            <v>Maria Magdalena Solis Carrera</v>
          </cell>
        </row>
        <row r="1488">
          <cell r="F1488">
            <v>313111</v>
          </cell>
          <cell r="G1488" t="str">
            <v>Mynor Arturo Barrios Reyes</v>
          </cell>
        </row>
        <row r="1489">
          <cell r="F1489">
            <v>313203</v>
          </cell>
          <cell r="G1489" t="str">
            <v>Marvin Alejandro Lopez Solis</v>
          </cell>
        </row>
        <row r="1490">
          <cell r="F1490">
            <v>302596</v>
          </cell>
          <cell r="G1490" t="str">
            <v>Victor Alfonso Ortega Torres</v>
          </cell>
        </row>
        <row r="1491">
          <cell r="F1491">
            <v>310241</v>
          </cell>
          <cell r="G1491" t="str">
            <v>Heidi Marleny Fajardo Ortiz De Cojon</v>
          </cell>
        </row>
        <row r="1492">
          <cell r="F1492">
            <v>313342</v>
          </cell>
          <cell r="G1492" t="str">
            <v>Magda Karina Mendoza Hernandez</v>
          </cell>
        </row>
        <row r="1493">
          <cell r="F1493">
            <v>301234</v>
          </cell>
          <cell r="G1493" t="str">
            <v>Ana Bertha Guzman Yaggi</v>
          </cell>
        </row>
        <row r="1494">
          <cell r="F1494">
            <v>307154</v>
          </cell>
          <cell r="G1494" t="str">
            <v>Evelin Gicela Burgos Franco</v>
          </cell>
        </row>
        <row r="1495">
          <cell r="F1495">
            <v>305181</v>
          </cell>
          <cell r="G1495" t="str">
            <v>Jose Luis Chay Machic</v>
          </cell>
        </row>
        <row r="1496">
          <cell r="F1496">
            <v>303552</v>
          </cell>
          <cell r="G1496" t="str">
            <v>Liliam Lisseth Santizo Mejia De Cordova</v>
          </cell>
        </row>
        <row r="1497">
          <cell r="F1497">
            <v>303704</v>
          </cell>
          <cell r="G1497" t="str">
            <v>Lisbeth Noemi Hernandez Giron</v>
          </cell>
        </row>
        <row r="1498">
          <cell r="F1498">
            <v>102171</v>
          </cell>
          <cell r="G1498" t="str">
            <v>Maritza Isabel Hernandez Cruz</v>
          </cell>
        </row>
        <row r="1499">
          <cell r="F1499">
            <v>310126</v>
          </cell>
          <cell r="G1499" t="str">
            <v>Jony Estuardo Gamarro Chinchilla</v>
          </cell>
        </row>
        <row r="1500">
          <cell r="F1500">
            <v>307812</v>
          </cell>
          <cell r="G1500" t="str">
            <v>Kevin Josue Moscoso Espino</v>
          </cell>
        </row>
        <row r="1501">
          <cell r="F1501">
            <v>308137</v>
          </cell>
          <cell r="G1501" t="str">
            <v>Oscar Rene Zacarias Jordan</v>
          </cell>
        </row>
        <row r="1502">
          <cell r="F1502">
            <v>311466</v>
          </cell>
          <cell r="G1502" t="str">
            <v>Edgar Estuardo Guerra Romero</v>
          </cell>
        </row>
        <row r="1503">
          <cell r="F1503">
            <v>301374</v>
          </cell>
          <cell r="G1503" t="str">
            <v>Karla Paola Martinez Salazar</v>
          </cell>
        </row>
        <row r="1504">
          <cell r="F1504">
            <v>313446</v>
          </cell>
          <cell r="G1504" t="str">
            <v>Ursula Deyanira Molina Mendoza</v>
          </cell>
        </row>
        <row r="1505">
          <cell r="F1505">
            <v>313780</v>
          </cell>
          <cell r="G1505" t="str">
            <v>Habraham Cesar Torres Alfaro</v>
          </cell>
        </row>
        <row r="1506">
          <cell r="F1506">
            <v>313576</v>
          </cell>
          <cell r="G1506" t="str">
            <v>Hilda Janina Diaz</v>
          </cell>
        </row>
        <row r="1507">
          <cell r="F1507">
            <v>314171</v>
          </cell>
          <cell r="G1507" t="str">
            <v>Jose Alejandro Carrera Tecun</v>
          </cell>
        </row>
        <row r="1508">
          <cell r="F1508">
            <v>313022</v>
          </cell>
          <cell r="G1508" t="str">
            <v>Karim Yaneth Mendez Hidalgo</v>
          </cell>
        </row>
        <row r="1509">
          <cell r="F1509">
            <v>313141</v>
          </cell>
          <cell r="G1509" t="str">
            <v>Edith Carolina Rojas Moreno</v>
          </cell>
        </row>
        <row r="1510">
          <cell r="F1510">
            <v>312615</v>
          </cell>
          <cell r="G1510" t="str">
            <v>Juan Jose Sarceño Siquiej</v>
          </cell>
        </row>
        <row r="1511">
          <cell r="F1511">
            <v>312858</v>
          </cell>
          <cell r="G1511" t="str">
            <v>Juan Pablo Marroquin Franco</v>
          </cell>
        </row>
        <row r="1512">
          <cell r="F1512">
            <v>314739</v>
          </cell>
          <cell r="G1512" t="str">
            <v>Elmer Josue Chinchilla Mendoza</v>
          </cell>
        </row>
        <row r="1513">
          <cell r="F1513">
            <v>315299</v>
          </cell>
          <cell r="G1513" t="str">
            <v>Luis Rodrigo Polanco Marroquin</v>
          </cell>
        </row>
        <row r="1514">
          <cell r="F1514">
            <v>315357</v>
          </cell>
          <cell r="G1514" t="str">
            <v>Linda Garcia          </v>
          </cell>
        </row>
        <row r="1515">
          <cell r="F1515">
            <v>315315</v>
          </cell>
          <cell r="G1515" t="str">
            <v xml:space="preserve">Shirley Guadalupe Munguia Gil </v>
          </cell>
        </row>
        <row r="1516">
          <cell r="F1516">
            <v>315477</v>
          </cell>
          <cell r="G1516" t="str">
            <v xml:space="preserve">Yesenia Guadalupe Ajcu Castillo </v>
          </cell>
        </row>
        <row r="1517">
          <cell r="F1517">
            <v>314170</v>
          </cell>
          <cell r="G1517" t="str">
            <v>Herman Gabriel Mendez Castellanos</v>
          </cell>
        </row>
        <row r="1518">
          <cell r="F1518">
            <v>312053</v>
          </cell>
          <cell r="G1518" t="str">
            <v xml:space="preserve"> Erick Estuardo Gonzalez Culajay</v>
          </cell>
        </row>
        <row r="1519">
          <cell r="F1519">
            <v>309795</v>
          </cell>
          <cell r="G1519" t="str">
            <v xml:space="preserve"> Evelin Johana Perez Fajardo De Estayul</v>
          </cell>
        </row>
        <row r="1520">
          <cell r="F1520">
            <v>308490</v>
          </cell>
          <cell r="G1520" t="str">
            <v xml:space="preserve"> Gabriela Poitan Ordoñez De Garcia</v>
          </cell>
        </row>
        <row r="1521">
          <cell r="F1521">
            <v>311663</v>
          </cell>
          <cell r="G1521" t="str">
            <v xml:space="preserve"> Jenny Betzabel Solis De Hernandez</v>
          </cell>
        </row>
        <row r="1522">
          <cell r="F1522">
            <v>300878</v>
          </cell>
          <cell r="G1522" t="str">
            <v xml:space="preserve"> Juan Francisco Lara Villavicencio</v>
          </cell>
        </row>
        <row r="1523">
          <cell r="F1523">
            <v>311195</v>
          </cell>
          <cell r="G1523" t="str">
            <v xml:space="preserve"> Julia Mariela Lourdette Gonzalez Rosales</v>
          </cell>
        </row>
        <row r="1524">
          <cell r="F1524">
            <v>311073</v>
          </cell>
          <cell r="G1524" t="str">
            <v xml:space="preserve"> Julio Roberto Castellanos Ordoñez</v>
          </cell>
        </row>
        <row r="1525">
          <cell r="F1525">
            <v>309602</v>
          </cell>
          <cell r="G1525" t="str">
            <v xml:space="preserve"> Linda Aracely Garcia Beteta De Cuxulic</v>
          </cell>
        </row>
        <row r="1526">
          <cell r="F1526">
            <v>311706</v>
          </cell>
          <cell r="G1526" t="str">
            <v xml:space="preserve"> Mailyn Anely Chavez Gonzalez</v>
          </cell>
        </row>
        <row r="1527">
          <cell r="F1527">
            <v>311347</v>
          </cell>
          <cell r="G1527" t="str">
            <v xml:space="preserve"> Mario Adolfo Telon Pedroza</v>
          </cell>
        </row>
        <row r="1528">
          <cell r="F1528">
            <v>311236</v>
          </cell>
          <cell r="G1528" t="str">
            <v xml:space="preserve"> Marlon Aroldo De Leon Juarez</v>
          </cell>
        </row>
        <row r="1529">
          <cell r="F1529">
            <v>304620</v>
          </cell>
          <cell r="G1529" t="str">
            <v xml:space="preserve"> Mayra Judith Marroquin Guevara De Melendez</v>
          </cell>
        </row>
        <row r="1530">
          <cell r="F1530">
            <v>311196</v>
          </cell>
          <cell r="G1530" t="str">
            <v xml:space="preserve"> Nancy Mariela Estrada Calel De Samayoa</v>
          </cell>
        </row>
        <row r="1531">
          <cell r="F1531">
            <v>309398</v>
          </cell>
          <cell r="G1531" t="str">
            <v xml:space="preserve"> Sindy Yesenia Fuentes Alvarez De Flores</v>
          </cell>
        </row>
        <row r="1532">
          <cell r="F1532">
            <v>311588</v>
          </cell>
          <cell r="G1532" t="str">
            <v xml:space="preserve"> Wendy Carolina Flores Garcia</v>
          </cell>
        </row>
        <row r="1533">
          <cell r="F1533">
            <v>313885</v>
          </cell>
          <cell r="G1533" t="str">
            <v>Adrian Emanuel Turcios Azurdia</v>
          </cell>
        </row>
        <row r="1534">
          <cell r="F1534">
            <v>314224</v>
          </cell>
          <cell r="G1534" t="str">
            <v>Ana Ruth Wong Mejia</v>
          </cell>
        </row>
        <row r="1535">
          <cell r="F1535">
            <v>314304</v>
          </cell>
          <cell r="G1535" t="str">
            <v>Brenda Yaneth Perez Lucas</v>
          </cell>
        </row>
        <row r="1536">
          <cell r="F1536">
            <v>313839</v>
          </cell>
          <cell r="G1536" t="str">
            <v>Carlos Enrique Dighero Lopez</v>
          </cell>
        </row>
        <row r="1537">
          <cell r="F1537">
            <v>311901</v>
          </cell>
          <cell r="G1537" t="str">
            <v>Edith Veranice Palacios</v>
          </cell>
        </row>
        <row r="1538">
          <cell r="F1538">
            <v>314439</v>
          </cell>
          <cell r="G1538" t="str">
            <v>Hersson Eduardo Leal Garcia</v>
          </cell>
        </row>
        <row r="1539">
          <cell r="F1539">
            <v>313884</v>
          </cell>
          <cell r="G1539" t="str">
            <v>Jasminia Sarai Cotzajay Peñate</v>
          </cell>
        </row>
        <row r="1540">
          <cell r="F1540">
            <v>309852</v>
          </cell>
          <cell r="G1540" t="str">
            <v>Jonathan Rene Villavicencio Soto</v>
          </cell>
        </row>
        <row r="1541">
          <cell r="F1541">
            <v>312709</v>
          </cell>
          <cell r="G1541" t="str">
            <v>Jorge Alfonso Hernandez Chinchilla</v>
          </cell>
        </row>
        <row r="1542">
          <cell r="F1542">
            <v>314436</v>
          </cell>
          <cell r="G1542" t="str">
            <v xml:space="preserve">Jorge Francisco Saban Lopez </v>
          </cell>
        </row>
        <row r="1543">
          <cell r="F1543">
            <v>313114</v>
          </cell>
          <cell r="G1543" t="str">
            <v xml:space="preserve">Jose Albino Albeño Galicia </v>
          </cell>
        </row>
        <row r="1544">
          <cell r="F1544">
            <v>308558</v>
          </cell>
          <cell r="G1544" t="str">
            <v>Jose Emilio Yuman Roche</v>
          </cell>
        </row>
        <row r="1545">
          <cell r="F1545">
            <v>313233</v>
          </cell>
          <cell r="G1545" t="str">
            <v>Jose Miguel Silva Contreras</v>
          </cell>
        </row>
        <row r="1546">
          <cell r="F1546">
            <v>313739</v>
          </cell>
          <cell r="G1546" t="str">
            <v>Lester Onelio Lopez Rosales</v>
          </cell>
        </row>
        <row r="1547">
          <cell r="F1547">
            <v>315361</v>
          </cell>
          <cell r="G1547" t="str">
            <v>Luis Fernando Roche Valenzuela</v>
          </cell>
        </row>
        <row r="1548">
          <cell r="F1548">
            <v>314103</v>
          </cell>
          <cell r="G1548" t="str">
            <v>Luisa Fernanda Marroquin Tiguila</v>
          </cell>
        </row>
        <row r="1549">
          <cell r="F1549">
            <v>313680</v>
          </cell>
          <cell r="G1549" t="str">
            <v>Marco Antonio Salazar Alinzo</v>
          </cell>
        </row>
        <row r="1550">
          <cell r="F1550">
            <v>314359</v>
          </cell>
          <cell r="G1550" t="str">
            <v>Maynor Alexander Perez Surque</v>
          </cell>
        </row>
        <row r="1551">
          <cell r="F1551">
            <v>309332</v>
          </cell>
          <cell r="G1551" t="str">
            <v>Melani Mishell Vasquez Castillo</v>
          </cell>
        </row>
        <row r="1552">
          <cell r="F1552">
            <v>314547</v>
          </cell>
          <cell r="G1552" t="str">
            <v>Nancy Elizabeth Lopez Perez</v>
          </cell>
        </row>
        <row r="1553">
          <cell r="F1553">
            <v>314370</v>
          </cell>
          <cell r="G1553" t="str">
            <v>Olga Roxana Gomez</v>
          </cell>
        </row>
        <row r="1554">
          <cell r="F1554">
            <v>315419</v>
          </cell>
          <cell r="G1554" t="str">
            <v>Rubeldi Ajaniel Roblero Gonzales</v>
          </cell>
        </row>
        <row r="1555">
          <cell r="F1555">
            <v>314769</v>
          </cell>
          <cell r="G1555" t="str">
            <v>Abel Eduardo Lopez Lopez</v>
          </cell>
        </row>
        <row r="1556">
          <cell r="F1556">
            <v>314839</v>
          </cell>
          <cell r="G1556" t="str">
            <v>Ana Gabriela Samayoa Lopez</v>
          </cell>
        </row>
        <row r="1557">
          <cell r="F1557">
            <v>315422</v>
          </cell>
          <cell r="G1557" t="str">
            <v xml:space="preserve">Carlos Alberto Roque </v>
          </cell>
        </row>
        <row r="1558">
          <cell r="F1558">
            <v>314836</v>
          </cell>
          <cell r="G1558" t="str">
            <v xml:space="preserve">Carlos David Ajmac </v>
          </cell>
        </row>
        <row r="1559">
          <cell r="F1559">
            <v>314759</v>
          </cell>
          <cell r="G1559" t="str">
            <v>Carlos Roberto Hernandez Gonzalez</v>
          </cell>
        </row>
        <row r="1560">
          <cell r="F1560">
            <v>314757</v>
          </cell>
          <cell r="G1560" t="str">
            <v>Cristal Estephania Juarroz Muñoz</v>
          </cell>
        </row>
        <row r="1561">
          <cell r="F1561">
            <v>314817</v>
          </cell>
          <cell r="G1561" t="str">
            <v>Cristian Orlando Monzon De Leon</v>
          </cell>
        </row>
        <row r="1562">
          <cell r="F1562">
            <v>314815</v>
          </cell>
          <cell r="G1562" t="str">
            <v>Gabriela Elizabeth Alvarez Mix</v>
          </cell>
        </row>
        <row r="1563">
          <cell r="F1563">
            <v>315421</v>
          </cell>
          <cell r="G1563" t="str">
            <v xml:space="preserve">Gladis Morales Cutzal </v>
          </cell>
        </row>
        <row r="1564">
          <cell r="F1564">
            <v>314794</v>
          </cell>
          <cell r="G1564" t="str">
            <v>Herbert Wellington Rodriguez Ramirez</v>
          </cell>
        </row>
        <row r="1565">
          <cell r="F1565">
            <v>314760</v>
          </cell>
          <cell r="G1565" t="str">
            <v>Jadurani Devi Dasi Archila Lool</v>
          </cell>
        </row>
        <row r="1566">
          <cell r="F1566">
            <v>314838</v>
          </cell>
          <cell r="G1566" t="str">
            <v>Jenifer Lucerito Sique Mayorga</v>
          </cell>
        </row>
        <row r="1567">
          <cell r="F1567">
            <v>314790</v>
          </cell>
          <cell r="G1567" t="str">
            <v>Johana Vidalia Chach Ixcoy</v>
          </cell>
        </row>
        <row r="1568">
          <cell r="F1568">
            <v>314846</v>
          </cell>
          <cell r="G1568" t="str">
            <v>Jonnathan Josue Rodas Florian</v>
          </cell>
        </row>
        <row r="1569">
          <cell r="F1569">
            <v>314761</v>
          </cell>
          <cell r="G1569" t="str">
            <v>Jorge Eduardo Fonseca Palacios</v>
          </cell>
        </row>
        <row r="1570">
          <cell r="F1570">
            <v>314842</v>
          </cell>
          <cell r="G1570" t="str">
            <v>Jose Geovanni Castañeda Galindo</v>
          </cell>
        </row>
        <row r="1571">
          <cell r="F1571">
            <v>314756</v>
          </cell>
          <cell r="G1571" t="str">
            <v>Juan Manuel Gomez Sampuel</v>
          </cell>
        </row>
        <row r="1572">
          <cell r="F1572">
            <v>315366</v>
          </cell>
          <cell r="G1572" t="str">
            <v xml:space="preserve">Mario Enrique Morales Escobar </v>
          </cell>
        </row>
        <row r="1573">
          <cell r="F1573">
            <v>315392</v>
          </cell>
          <cell r="G1573" t="str">
            <v xml:space="preserve">Mijail Erick Joaquín Morales Ortiz </v>
          </cell>
        </row>
        <row r="1574">
          <cell r="F1574">
            <v>314843</v>
          </cell>
          <cell r="G1574" t="str">
            <v>Nancy Pahola Arevalo Yuman</v>
          </cell>
        </row>
        <row r="1575">
          <cell r="F1575">
            <v>314791</v>
          </cell>
          <cell r="G1575" t="str">
            <v>Norman Scott Castillo Rivera</v>
          </cell>
        </row>
        <row r="1576">
          <cell r="F1576">
            <v>314799</v>
          </cell>
          <cell r="G1576" t="str">
            <v>Rusbelindo  Miguel Lopez</v>
          </cell>
        </row>
        <row r="1577">
          <cell r="F1577">
            <v>314751</v>
          </cell>
          <cell r="G1577" t="str">
            <v>Ana Lucia Veliz Solares</v>
          </cell>
        </row>
        <row r="1578">
          <cell r="F1578">
            <v>315169</v>
          </cell>
          <cell r="G1578" t="str">
            <v>Andy Oswaldo Pineda Arriola</v>
          </cell>
        </row>
        <row r="1579">
          <cell r="F1579">
            <v>314903</v>
          </cell>
          <cell r="G1579" t="str">
            <v>Cindy Julissa Herrera</v>
          </cell>
        </row>
        <row r="1580">
          <cell r="F1580">
            <v>314800</v>
          </cell>
          <cell r="G1580" t="str">
            <v>Elmer Eduardo Castillo</v>
          </cell>
        </row>
        <row r="1581">
          <cell r="F1581">
            <v>314748</v>
          </cell>
          <cell r="G1581" t="str">
            <v>Freddy Reynaldo Velarde Valenzuela</v>
          </cell>
        </row>
        <row r="1582">
          <cell r="F1582">
            <v>314795</v>
          </cell>
          <cell r="G1582" t="str">
            <v>Gustavo Ernesto Altan Gonzalez</v>
          </cell>
        </row>
        <row r="1583">
          <cell r="F1583">
            <v>315148</v>
          </cell>
          <cell r="G1583" t="str">
            <v>Irene Beatriz Pena Orellana</v>
          </cell>
        </row>
        <row r="1584">
          <cell r="F1584">
            <v>314906</v>
          </cell>
          <cell r="G1584" t="str">
            <v>Juan Pedro Tiney Cax</v>
          </cell>
        </row>
        <row r="1585">
          <cell r="F1585">
            <v>315322</v>
          </cell>
          <cell r="G1585" t="str">
            <v>Lester Juan Jose Arevalo Reynoso</v>
          </cell>
        </row>
        <row r="1586">
          <cell r="F1586">
            <v>315368</v>
          </cell>
          <cell r="G1586" t="str">
            <v>Marlon Enrique Del Cid Roque</v>
          </cell>
        </row>
        <row r="1587">
          <cell r="F1587">
            <v>315093</v>
          </cell>
          <cell r="G1587" t="str">
            <v>Miriam Eugenia Santizo Montenegro</v>
          </cell>
        </row>
        <row r="1588">
          <cell r="F1588">
            <v>314902</v>
          </cell>
          <cell r="G1588" t="str">
            <v>Roberto Alejandro Alvarez Abularach</v>
          </cell>
        </row>
        <row r="1589">
          <cell r="F1589">
            <v>314755</v>
          </cell>
          <cell r="G1589" t="str">
            <v>Sergio David Gonzalez Perez</v>
          </cell>
        </row>
        <row r="1590">
          <cell r="F1590">
            <v>314967</v>
          </cell>
          <cell r="G1590" t="str">
            <v>Sergio Javier Cortez Tunchez</v>
          </cell>
        </row>
        <row r="1591">
          <cell r="F1591">
            <v>314968</v>
          </cell>
          <cell r="G1591" t="str">
            <v>Sharon Dayana Ninoshka López Márquez</v>
          </cell>
        </row>
        <row r="1592">
          <cell r="F1592">
            <v>311961</v>
          </cell>
          <cell r="G1592" t="str">
            <v xml:space="preserve"> Abner Eli Gonzalez Gonzalez</v>
          </cell>
        </row>
        <row r="1593">
          <cell r="F1593">
            <v>311188</v>
          </cell>
          <cell r="G1593" t="str">
            <v xml:space="preserve"> Ana Ester Cuyan Aguilar De Dominguez</v>
          </cell>
        </row>
        <row r="1594">
          <cell r="F1594">
            <v>311894</v>
          </cell>
          <cell r="G1594" t="str">
            <v xml:space="preserve"> Christyan Stuardo Ronquillo Saravia</v>
          </cell>
        </row>
        <row r="1595">
          <cell r="F1595">
            <v>308901</v>
          </cell>
          <cell r="G1595" t="str">
            <v xml:space="preserve"> David Estuardo Rosales Corado</v>
          </cell>
        </row>
        <row r="1596">
          <cell r="F1596">
            <v>312069</v>
          </cell>
          <cell r="G1596" t="str">
            <v xml:space="preserve"> De Leon Cach Roberto Carlos</v>
          </cell>
        </row>
        <row r="1597">
          <cell r="F1597">
            <v>310331</v>
          </cell>
          <cell r="G1597" t="str">
            <v xml:space="preserve"> Elda Luzbina Valdez Guerra De Fuentes</v>
          </cell>
        </row>
        <row r="1598">
          <cell r="F1598">
            <v>310822</v>
          </cell>
          <cell r="G1598" t="str">
            <v xml:space="preserve"> Jennifer Leticia Gonzalez Pineda</v>
          </cell>
        </row>
        <row r="1599">
          <cell r="F1599">
            <v>308012</v>
          </cell>
          <cell r="G1599" t="str">
            <v xml:space="preserve"> Jocelyn Sucel Yantuche Chin</v>
          </cell>
        </row>
        <row r="1600">
          <cell r="F1600">
            <v>312160</v>
          </cell>
          <cell r="G1600" t="str">
            <v xml:space="preserve"> Jose Rigoberto Osorio Abarca</v>
          </cell>
        </row>
        <row r="1601">
          <cell r="F1601">
            <v>311465</v>
          </cell>
          <cell r="G1601" t="str">
            <v xml:space="preserve"> Kevin Alejandro Corado Estrada</v>
          </cell>
        </row>
        <row r="1602">
          <cell r="F1602">
            <v>311294</v>
          </cell>
          <cell r="G1602" t="str">
            <v xml:space="preserve"> Lotar Robson Araujo Perez</v>
          </cell>
        </row>
        <row r="1603">
          <cell r="F1603">
            <v>310910</v>
          </cell>
          <cell r="G1603" t="str">
            <v xml:space="preserve"> Luis Fernando Lopez Vasquez</v>
          </cell>
        </row>
        <row r="1604">
          <cell r="F1604">
            <v>304279</v>
          </cell>
          <cell r="G1604" t="str">
            <v xml:space="preserve"> Marlon Estuardo Hernandez</v>
          </cell>
        </row>
        <row r="1605">
          <cell r="F1605">
            <v>308911</v>
          </cell>
          <cell r="G1605" t="str">
            <v xml:space="preserve"> Rudy Fernando Orozco Tejeda</v>
          </cell>
        </row>
        <row r="1606">
          <cell r="F1606">
            <v>310214</v>
          </cell>
          <cell r="G1606" t="str">
            <v xml:space="preserve"> Vivian Pamela Rodas Lopez</v>
          </cell>
        </row>
        <row r="1607">
          <cell r="F1607">
            <v>314928</v>
          </cell>
          <cell r="G1607" t="str">
            <v xml:space="preserve">Brandon Steve Juarez Arrazola </v>
          </cell>
        </row>
        <row r="1608">
          <cell r="F1608">
            <v>313239</v>
          </cell>
          <cell r="G1608" t="str">
            <v>Addy Aida Cifuentes Coronado</v>
          </cell>
        </row>
        <row r="1609">
          <cell r="F1609">
            <v>313694</v>
          </cell>
          <cell r="G1609" t="str">
            <v>Alex Humberto Montezuma</v>
          </cell>
        </row>
        <row r="1610">
          <cell r="F1610">
            <v>313241</v>
          </cell>
          <cell r="G1610" t="str">
            <v>Angel Arturo Mauricio Ayapan</v>
          </cell>
        </row>
        <row r="1611">
          <cell r="F1611">
            <v>314323</v>
          </cell>
          <cell r="G1611" t="str">
            <v>Angel Arturo Mauricio Ayapan</v>
          </cell>
        </row>
        <row r="1612">
          <cell r="F1612">
            <v>312327</v>
          </cell>
          <cell r="G1612" t="str">
            <v>Armando Andree Quiñonez Flores</v>
          </cell>
        </row>
        <row r="1613">
          <cell r="F1613">
            <v>313749</v>
          </cell>
          <cell r="G1613" t="str">
            <v>Cesar Haroldo Ixcayau Castro</v>
          </cell>
        </row>
        <row r="1614">
          <cell r="F1614">
            <v>313840</v>
          </cell>
          <cell r="G1614" t="str">
            <v>Claudia Maria Orozco Garcia</v>
          </cell>
        </row>
        <row r="1615">
          <cell r="F1615">
            <v>314119</v>
          </cell>
          <cell r="G1615" t="str">
            <v>Cristian David Urizar Canteo</v>
          </cell>
        </row>
        <row r="1616">
          <cell r="F1616">
            <v>313242</v>
          </cell>
          <cell r="G1616" t="str">
            <v>Guillermo Alejandro Pirir</v>
          </cell>
        </row>
        <row r="1617">
          <cell r="F1617">
            <v>313539</v>
          </cell>
          <cell r="G1617" t="str">
            <v>Joaquin Alonso Murillo Perez</v>
          </cell>
        </row>
        <row r="1618">
          <cell r="F1618">
            <v>314082</v>
          </cell>
          <cell r="G1618" t="str">
            <v>Johanna Amarilis Hernandez Perez</v>
          </cell>
        </row>
        <row r="1619">
          <cell r="F1619">
            <v>313983</v>
          </cell>
          <cell r="G1619" t="str">
            <v>Jose Anibal Reyes Sandoval</v>
          </cell>
        </row>
        <row r="1620">
          <cell r="F1620">
            <v>308875</v>
          </cell>
          <cell r="G1620" t="str">
            <v>Joselyn Manuela Sandoval De Leon</v>
          </cell>
        </row>
        <row r="1621">
          <cell r="F1621">
            <v>313240</v>
          </cell>
          <cell r="G1621" t="str">
            <v>Karen Jamara Luna Menendez</v>
          </cell>
        </row>
        <row r="1622">
          <cell r="F1622">
            <v>314083</v>
          </cell>
          <cell r="G1622" t="str">
            <v>Luis Alfredo Ruben Castillo Mejia</v>
          </cell>
        </row>
        <row r="1623">
          <cell r="F1623">
            <v>312489</v>
          </cell>
          <cell r="G1623" t="str">
            <v>Marliz Irene Bonifaz Lopez</v>
          </cell>
        </row>
        <row r="1624">
          <cell r="F1624">
            <v>313823</v>
          </cell>
          <cell r="G1624" t="str">
            <v>Mildred Mazciel Almazan Lemus Codigo</v>
          </cell>
        </row>
        <row r="1625">
          <cell r="F1625">
            <v>313289</v>
          </cell>
          <cell r="G1625" t="str">
            <v>Orellana Alvarez, Nestor Giovanni</v>
          </cell>
        </row>
        <row r="1626">
          <cell r="F1626">
            <v>312476</v>
          </cell>
          <cell r="G1626" t="str">
            <v>Oscar Oswaldo Ramirez Tahuite</v>
          </cell>
        </row>
        <row r="1627">
          <cell r="F1627">
            <v>313392</v>
          </cell>
          <cell r="G1627" t="str">
            <v>Sandra Marisol Ramirez Solis</v>
          </cell>
        </row>
        <row r="1628">
          <cell r="F1628">
            <v>315101</v>
          </cell>
          <cell r="G1628" t="str">
            <v>Alvaro Oswaldo De La Rosa Hernandez</v>
          </cell>
        </row>
        <row r="1629">
          <cell r="F1629">
            <v>314905</v>
          </cell>
          <cell r="G1629" t="str">
            <v>Antonio Carlos Alvarenga Diaz</v>
          </cell>
        </row>
        <row r="1630">
          <cell r="F1630">
            <v>314885</v>
          </cell>
          <cell r="G1630" t="str">
            <v>Edi Ibander Osoy Lopez</v>
          </cell>
        </row>
        <row r="1631">
          <cell r="F1631">
            <v>314750</v>
          </cell>
          <cell r="G1631" t="str">
            <v>Eswin Leonel Fernandez Diaz</v>
          </cell>
        </row>
        <row r="1632">
          <cell r="F1632">
            <v>314753</v>
          </cell>
          <cell r="G1632" t="str">
            <v>Gabriel Antonio Mucur Arriaga</v>
          </cell>
        </row>
        <row r="1633">
          <cell r="F1633">
            <v>315318</v>
          </cell>
          <cell r="G1633" t="str">
            <v>Gabriela Melissa Arias Ovando</v>
          </cell>
        </row>
        <row r="1634">
          <cell r="F1634">
            <v>315164</v>
          </cell>
          <cell r="G1634" t="str">
            <v>Hernan Antonio Castro Guzman</v>
          </cell>
        </row>
        <row r="1635">
          <cell r="F1635">
            <v>315149</v>
          </cell>
          <cell r="G1635" t="str">
            <v>Jennifer Karla Maria De Leon Yoc</v>
          </cell>
        </row>
        <row r="1636">
          <cell r="F1636">
            <v>315065</v>
          </cell>
          <cell r="G1636" t="str">
            <v>Jennifer Veronica Flores Pineda</v>
          </cell>
        </row>
        <row r="1637">
          <cell r="F1637">
            <v>314797</v>
          </cell>
          <cell r="G1637" t="str">
            <v>Jimmy Alfredo Coronado Cabrera</v>
          </cell>
        </row>
        <row r="1638">
          <cell r="F1638">
            <v>314746</v>
          </cell>
          <cell r="G1638" t="str">
            <v>Jose Luis Quisquinay Inay</v>
          </cell>
        </row>
        <row r="1639">
          <cell r="F1639">
            <v>315231</v>
          </cell>
          <cell r="G1639" t="str">
            <v>Juan Fernando Alvarez Argueta</v>
          </cell>
        </row>
        <row r="1640">
          <cell r="F1640">
            <v>314752</v>
          </cell>
          <cell r="G1640" t="str">
            <v>Luis Arturo Fuentes Jerez</v>
          </cell>
        </row>
        <row r="1641">
          <cell r="F1641">
            <v>314990</v>
          </cell>
          <cell r="G1641" t="str">
            <v>Maria Fernanda Ambrocio Reyes</v>
          </cell>
        </row>
        <row r="1642">
          <cell r="F1642">
            <v>314966</v>
          </cell>
          <cell r="G1642" t="str">
            <v>Marlin Argelia Herrera Claveria</v>
          </cell>
        </row>
        <row r="1643">
          <cell r="F1643">
            <v>314904</v>
          </cell>
          <cell r="G1643" t="str">
            <v>Miguel Estuardo Marín</v>
          </cell>
        </row>
        <row r="1644">
          <cell r="F1644">
            <v>314796</v>
          </cell>
          <cell r="G1644" t="str">
            <v>Ricardo Antonio Ruiz Orozco</v>
          </cell>
        </row>
        <row r="1645">
          <cell r="F1645">
            <v>315365</v>
          </cell>
          <cell r="G1645" t="str">
            <v>Ruth Liliana Reyes Rivas</v>
          </cell>
        </row>
        <row r="1646">
          <cell r="F1646">
            <v>314758</v>
          </cell>
          <cell r="G1646" t="str">
            <v>Sergio Alejandro Estrada Velasco</v>
          </cell>
        </row>
        <row r="1647">
          <cell r="F1647">
            <v>312045</v>
          </cell>
          <cell r="G1647" t="str">
            <v xml:space="preserve"> Edgar Marco Tulio Sanchez Ochoa</v>
          </cell>
        </row>
        <row r="1648">
          <cell r="F1648">
            <v>309496</v>
          </cell>
          <cell r="G1648" t="str">
            <v xml:space="preserve"> Elcira Livduvina Perez Lopez De Merlos</v>
          </cell>
        </row>
        <row r="1649">
          <cell r="F1649">
            <v>311750</v>
          </cell>
          <cell r="G1649" t="str">
            <v xml:space="preserve"> Juan Toma Torrez</v>
          </cell>
        </row>
        <row r="1650">
          <cell r="F1650">
            <v>311539</v>
          </cell>
          <cell r="G1650" t="str">
            <v xml:space="preserve"> Luis Eduardo Garcia Gomez</v>
          </cell>
        </row>
        <row r="1651">
          <cell r="F1651">
            <v>311898</v>
          </cell>
          <cell r="G1651" t="str">
            <v xml:space="preserve"> Nori Liseth Bautista</v>
          </cell>
        </row>
        <row r="1652">
          <cell r="F1652">
            <v>312283</v>
          </cell>
          <cell r="G1652" t="str">
            <v xml:space="preserve"> Oscar Javier Galvez</v>
          </cell>
        </row>
        <row r="1653">
          <cell r="F1653">
            <v>311190</v>
          </cell>
          <cell r="G1653" t="str">
            <v xml:space="preserve"> Pedro Chas Morales</v>
          </cell>
        </row>
        <row r="1654">
          <cell r="F1654">
            <v>311632</v>
          </cell>
          <cell r="G1654" t="str">
            <v>Virginia Del Rosario Matilde Garcia Ico</v>
          </cell>
        </row>
        <row r="1655">
          <cell r="F1655">
            <v>311906</v>
          </cell>
          <cell r="G1655" t="str">
            <v xml:space="preserve"> Yenifer Alejandra Ordoñez</v>
          </cell>
        </row>
        <row r="1656">
          <cell r="F1656">
            <v>314705</v>
          </cell>
          <cell r="G1656" t="str">
            <v>Alex Eduardo Gil Paniagua</v>
          </cell>
        </row>
        <row r="1657">
          <cell r="F1657">
            <v>313182</v>
          </cell>
          <cell r="G1657" t="str">
            <v>Allan Kenneth Chiguichon Solis</v>
          </cell>
        </row>
        <row r="1658">
          <cell r="F1658">
            <v>314363</v>
          </cell>
          <cell r="G1658" t="str">
            <v xml:space="preserve">Anderson Noe Chunix Morales </v>
          </cell>
        </row>
        <row r="1659">
          <cell r="F1659">
            <v>314241</v>
          </cell>
          <cell r="G1659" t="str">
            <v>Andres Simon Sunun</v>
          </cell>
        </row>
        <row r="1660">
          <cell r="F1660">
            <v>309341</v>
          </cell>
          <cell r="G1660" t="str">
            <v>Angel Estuardo Perez Veliz</v>
          </cell>
        </row>
        <row r="1661">
          <cell r="F1661">
            <v>312093</v>
          </cell>
          <cell r="G1661" t="str">
            <v xml:space="preserve">Bobadilla Romero Alan Gonzalo </v>
          </cell>
        </row>
        <row r="1662">
          <cell r="F1662">
            <v>314080</v>
          </cell>
          <cell r="G1662" t="str">
            <v>Bryan Leonardo Lopez</v>
          </cell>
        </row>
        <row r="1663">
          <cell r="F1663">
            <v>314704</v>
          </cell>
          <cell r="G1663" t="str">
            <v xml:space="preserve">Cindy Damaris Villagran Castellano </v>
          </cell>
        </row>
        <row r="1664">
          <cell r="F1664">
            <v>314085</v>
          </cell>
          <cell r="G1664" t="str">
            <v>Cristian Ottoniel Lopez Alvarado</v>
          </cell>
        </row>
        <row r="1665">
          <cell r="F1665">
            <v>314364</v>
          </cell>
          <cell r="G1665" t="str">
            <v xml:space="preserve">Donel Omar Landaverry Solis </v>
          </cell>
        </row>
        <row r="1666">
          <cell r="F1666">
            <v>313373</v>
          </cell>
          <cell r="G1666" t="str">
            <v>Edgar Francisco Yanes Carrera</v>
          </cell>
        </row>
        <row r="1667">
          <cell r="F1667">
            <v>315056</v>
          </cell>
          <cell r="G1667" t="str">
            <v>Esvin David De Jesus Calanche</v>
          </cell>
        </row>
        <row r="1668">
          <cell r="F1668">
            <v>314118</v>
          </cell>
          <cell r="G1668" t="str">
            <v>Ginni Andrea Gramajo Lucas</v>
          </cell>
        </row>
        <row r="1669">
          <cell r="F1669">
            <v>313049</v>
          </cell>
          <cell r="G1669" t="str">
            <v>Herberth Ivan Garcia Davila</v>
          </cell>
        </row>
        <row r="1670">
          <cell r="F1670">
            <v>312162</v>
          </cell>
          <cell r="G1670" t="str">
            <v xml:space="preserve">Hernandez Andrea Yoselin Cristina </v>
          </cell>
        </row>
        <row r="1671">
          <cell r="F1671">
            <v>313692</v>
          </cell>
          <cell r="G1671" t="str">
            <v xml:space="preserve">Ingrid Leticia Paredes Pulido    </v>
          </cell>
        </row>
        <row r="1672">
          <cell r="F1672">
            <v>314500</v>
          </cell>
          <cell r="G1672" t="str">
            <v xml:space="preserve">Jairo Noel Linarez Gomez </v>
          </cell>
        </row>
        <row r="1673">
          <cell r="F1673">
            <v>312369</v>
          </cell>
          <cell r="G1673" t="str">
            <v>Jorge Luis Hernandez Juarez</v>
          </cell>
        </row>
        <row r="1674">
          <cell r="F1674">
            <v>314039</v>
          </cell>
          <cell r="G1674" t="str">
            <v>Juan Humberto Barrios Escobar</v>
          </cell>
        </row>
        <row r="1675">
          <cell r="F1675">
            <v>313540</v>
          </cell>
          <cell r="G1675" t="str">
            <v xml:space="preserve">Juan Manuel Macario Reyna </v>
          </cell>
        </row>
        <row r="1676">
          <cell r="F1676">
            <v>314355</v>
          </cell>
          <cell r="G1676" t="str">
            <v>Kevin Samuel Guamuch Guardado</v>
          </cell>
        </row>
        <row r="1677">
          <cell r="F1677">
            <v>314299</v>
          </cell>
          <cell r="G1677" t="str">
            <v>Lopez Morales, Andrea Lucia</v>
          </cell>
        </row>
        <row r="1678">
          <cell r="F1678">
            <v>314747</v>
          </cell>
          <cell r="G1678" t="str">
            <v>Mayra Azucena Perez Guzman</v>
          </cell>
        </row>
        <row r="1679">
          <cell r="F1679">
            <v>313572</v>
          </cell>
          <cell r="G1679" t="str">
            <v xml:space="preserve">Milton Hardany Dominguez Martinez </v>
          </cell>
        </row>
        <row r="1680">
          <cell r="F1680">
            <v>313541</v>
          </cell>
          <cell r="G1680" t="str">
            <v xml:space="preserve">Mirna Lorena Argueta Ayala </v>
          </cell>
        </row>
        <row r="1681">
          <cell r="F1681">
            <v>315319</v>
          </cell>
          <cell r="G1681" t="str">
            <v xml:space="preserve">Noe Rubell Garcia Cerna </v>
          </cell>
        </row>
        <row r="1682">
          <cell r="F1682">
            <v>314502</v>
          </cell>
          <cell r="G1682" t="str">
            <v>Reyna Elizabeth Panadero</v>
          </cell>
        </row>
        <row r="1683">
          <cell r="F1683">
            <v>313284</v>
          </cell>
          <cell r="G1683" t="str">
            <v>Sebastian Quino Morales</v>
          </cell>
        </row>
        <row r="1684">
          <cell r="F1684">
            <v>311460</v>
          </cell>
          <cell r="G1684" t="str">
            <v xml:space="preserve"> Ana Vilma Bamaca Cardona</v>
          </cell>
        </row>
        <row r="1685">
          <cell r="F1685">
            <v>306579</v>
          </cell>
          <cell r="G1685" t="str">
            <v xml:space="preserve"> Angel Emilio De Jesus Morales Ramirez</v>
          </cell>
        </row>
        <row r="1686">
          <cell r="F1686">
            <v>311234</v>
          </cell>
          <cell r="G1686" t="str">
            <v xml:space="preserve"> Astrid Marlene Diaz</v>
          </cell>
        </row>
        <row r="1687">
          <cell r="F1687">
            <v>308361</v>
          </cell>
          <cell r="G1687" t="str">
            <v xml:space="preserve"> Brenda Maribel Orozco Mendoza</v>
          </cell>
        </row>
        <row r="1688">
          <cell r="F1688">
            <v>311060</v>
          </cell>
          <cell r="G1688" t="str">
            <v xml:space="preserve"> Dora Lissette Higueros Trejo</v>
          </cell>
        </row>
        <row r="1689">
          <cell r="F1689">
            <v>305555</v>
          </cell>
          <cell r="G1689" t="str">
            <v xml:space="preserve"> Heber Antonio Olivares Alvarado</v>
          </cell>
        </row>
        <row r="1690">
          <cell r="F1690">
            <v>308210</v>
          </cell>
          <cell r="G1690" t="str">
            <v xml:space="preserve"> Isaias Ramirez Jimenez</v>
          </cell>
        </row>
        <row r="1691">
          <cell r="F1691">
            <v>310790</v>
          </cell>
          <cell r="G1691" t="str">
            <v xml:space="preserve"> Karina Del Rosario Castro Lopez De Guzman</v>
          </cell>
        </row>
        <row r="1692">
          <cell r="F1692">
            <v>309544</v>
          </cell>
          <cell r="G1692" t="str">
            <v xml:space="preserve"> Lorena Alexandra Lopez Yax</v>
          </cell>
        </row>
        <row r="1693">
          <cell r="F1693">
            <v>308493</v>
          </cell>
          <cell r="G1693" t="str">
            <v xml:space="preserve"> Sandra Beatriz Ardiano De Leon</v>
          </cell>
        </row>
        <row r="1694">
          <cell r="F1694">
            <v>312483</v>
          </cell>
          <cell r="G1694" t="str">
            <v>Berta Elizabeth Rodas Rosales</v>
          </cell>
        </row>
        <row r="1695">
          <cell r="F1695">
            <v>314431</v>
          </cell>
          <cell r="G1695" t="str">
            <v>Cristian Rene Contreras Sales</v>
          </cell>
        </row>
        <row r="1696">
          <cell r="F1696">
            <v>307394</v>
          </cell>
          <cell r="G1696" t="str">
            <v>Damaris Judith Rivas Benitez</v>
          </cell>
        </row>
        <row r="1697">
          <cell r="F1697">
            <v>311082</v>
          </cell>
          <cell r="G1697" t="str">
            <v>Janz Vincent Tunche</v>
          </cell>
        </row>
        <row r="1698">
          <cell r="F1698">
            <v>314301</v>
          </cell>
          <cell r="G1698" t="str">
            <v>Jose Carlos Puluc</v>
          </cell>
        </row>
        <row r="1699">
          <cell r="F1699">
            <v>308405</v>
          </cell>
          <cell r="G1699" t="str">
            <v>Juan Aquino Rac</v>
          </cell>
        </row>
        <row r="1700">
          <cell r="F1700">
            <v>312485</v>
          </cell>
          <cell r="G1700" t="str">
            <v>Juan Ramon Guerra Martinez</v>
          </cell>
        </row>
        <row r="1701">
          <cell r="F1701">
            <v>314527</v>
          </cell>
          <cell r="G1701" t="str">
            <v>Luis Fernando Rodas Pineda</v>
          </cell>
        </row>
        <row r="1702">
          <cell r="F1702">
            <v>312481</v>
          </cell>
          <cell r="G1702" t="str">
            <v>Magdalena Noemi Leonardo Ventura</v>
          </cell>
        </row>
        <row r="1703">
          <cell r="F1703">
            <v>312482</v>
          </cell>
          <cell r="G1703" t="str">
            <v>Mildred Elizabeth Rivera Tenas</v>
          </cell>
        </row>
        <row r="1704">
          <cell r="F1704">
            <v>307005</v>
          </cell>
          <cell r="G1704" t="str">
            <v>Miriam Leticia Romero Torres</v>
          </cell>
        </row>
        <row r="1705">
          <cell r="F1705">
            <v>314227</v>
          </cell>
          <cell r="G1705" t="str">
            <v xml:space="preserve">Mirna Janeth Ordoñez </v>
          </cell>
        </row>
        <row r="1706">
          <cell r="F1706">
            <v>308474</v>
          </cell>
          <cell r="G1706" t="str">
            <v>Victor Abraham Alvarado De La Cruz</v>
          </cell>
        </row>
        <row r="1707">
          <cell r="F1707">
            <v>312480</v>
          </cell>
          <cell r="G1707" t="str">
            <v>Wilson Moises Carias Santos</v>
          </cell>
        </row>
        <row r="1708">
          <cell r="F1708">
            <v>305051</v>
          </cell>
          <cell r="G1708" t="str">
            <v xml:space="preserve"> Amalia Cifuentes Gramajo</v>
          </cell>
        </row>
        <row r="1709">
          <cell r="F1709">
            <v>308201</v>
          </cell>
          <cell r="G1709" t="str">
            <v xml:space="preserve"> Amparo Janet Cardona Linares</v>
          </cell>
        </row>
        <row r="1710">
          <cell r="F1710">
            <v>311232</v>
          </cell>
          <cell r="G1710" t="str">
            <v xml:space="preserve"> Carlos Alberto Roque Galicia</v>
          </cell>
        </row>
        <row r="1711">
          <cell r="F1711">
            <v>310382</v>
          </cell>
          <cell r="G1711" t="str">
            <v xml:space="preserve"> David Gilberto Perez Mayorga</v>
          </cell>
        </row>
        <row r="1712">
          <cell r="F1712">
            <v>305796</v>
          </cell>
          <cell r="G1712" t="str">
            <v xml:space="preserve"> Elias Perez Sequen</v>
          </cell>
        </row>
        <row r="1713">
          <cell r="F1713">
            <v>310823</v>
          </cell>
          <cell r="G1713" t="str">
            <v xml:space="preserve"> Francisca Yesenia Aceytuno Quevedo</v>
          </cell>
        </row>
        <row r="1714">
          <cell r="F1714">
            <v>311152</v>
          </cell>
          <cell r="G1714" t="str">
            <v xml:space="preserve"> Heidi Natali Chacon De La Rosa De Diaz</v>
          </cell>
        </row>
        <row r="1715">
          <cell r="F1715">
            <v>309785</v>
          </cell>
          <cell r="G1715" t="str">
            <v xml:space="preserve"> Jose Esteban Diaz Montufar</v>
          </cell>
        </row>
        <row r="1716">
          <cell r="F1716">
            <v>310787</v>
          </cell>
          <cell r="G1716" t="str">
            <v xml:space="preserve"> Marilin Janeth Sanchez De Rodriguez</v>
          </cell>
        </row>
        <row r="1717">
          <cell r="F1717">
            <v>305520</v>
          </cell>
          <cell r="G1717" t="str">
            <v xml:space="preserve"> Milton Orlando Lopez</v>
          </cell>
        </row>
        <row r="1718">
          <cell r="F1718">
            <v>308978</v>
          </cell>
          <cell r="G1718" t="str">
            <v xml:space="preserve"> Oscar Amilcar Najera Segura</v>
          </cell>
        </row>
        <row r="1719">
          <cell r="F1719">
            <v>311776</v>
          </cell>
          <cell r="G1719" t="str">
            <v xml:space="preserve"> Susan Jackelinne Cristal Sanchez</v>
          </cell>
        </row>
        <row r="1720">
          <cell r="F1720">
            <v>309732</v>
          </cell>
          <cell r="G1720" t="str">
            <v xml:space="preserve"> Wilfredo Noe Tobar Valenzuela</v>
          </cell>
        </row>
        <row r="1721">
          <cell r="F1721">
            <v>314741</v>
          </cell>
          <cell r="G1721" t="str">
            <v>Angelica Lorena Garcia Gonzalez</v>
          </cell>
        </row>
        <row r="1722">
          <cell r="F1722">
            <v>314546</v>
          </cell>
          <cell r="G1722" t="str">
            <v xml:space="preserve">Cinthia Irene Paz Caal   </v>
          </cell>
        </row>
        <row r="1723">
          <cell r="F1723">
            <v>313746</v>
          </cell>
          <cell r="G1723" t="str">
            <v>Cristian Omar Cruz Mata</v>
          </cell>
        </row>
        <row r="1724">
          <cell r="F1724">
            <v>315327</v>
          </cell>
          <cell r="G1724" t="str">
            <v>Daninyer Alfonso Orellana Madrid</v>
          </cell>
        </row>
        <row r="1725">
          <cell r="F1725">
            <v>314084</v>
          </cell>
          <cell r="G1725" t="str">
            <v>Edgar Emilio Gomez Bobadilla</v>
          </cell>
        </row>
        <row r="1726">
          <cell r="F1726">
            <v>313195</v>
          </cell>
          <cell r="G1726" t="str">
            <v>Edna Helenin Benitez Guzman De Altan</v>
          </cell>
        </row>
        <row r="1727">
          <cell r="F1727">
            <v>313259</v>
          </cell>
          <cell r="G1727" t="str">
            <v>Edvin Orlando Tuis Guerra</v>
          </cell>
        </row>
        <row r="1728">
          <cell r="F1728">
            <v>314524</v>
          </cell>
          <cell r="G1728" t="str">
            <v>Francisco Antonio Davila Morales</v>
          </cell>
        </row>
        <row r="1729">
          <cell r="F1729">
            <v>314329</v>
          </cell>
          <cell r="G1729" t="str">
            <v>Fredy Joel Lopez Santiago</v>
          </cell>
        </row>
        <row r="1730">
          <cell r="F1730">
            <v>314305</v>
          </cell>
          <cell r="G1730" t="str">
            <v>Henry Gustavo Vasquez Robledo</v>
          </cell>
        </row>
        <row r="1731">
          <cell r="F1731">
            <v>311962</v>
          </cell>
          <cell r="G1731" t="str">
            <v>Hugo David Monroy Pichola</v>
          </cell>
        </row>
        <row r="1732">
          <cell r="F1732">
            <v>311075</v>
          </cell>
          <cell r="G1732" t="str">
            <v>Jorge Alberto Buch Patzan</v>
          </cell>
        </row>
        <row r="1733">
          <cell r="F1733">
            <v>311233</v>
          </cell>
          <cell r="G1733" t="str">
            <v>Maria Fernanda Del Rosario Orellana Lima De Orellana</v>
          </cell>
        </row>
        <row r="1734">
          <cell r="F1734">
            <v>314811</v>
          </cell>
          <cell r="G1734" t="str">
            <v>Marlon Estuardo Hernandez Moreira</v>
          </cell>
        </row>
        <row r="1735">
          <cell r="F1735">
            <v>313745</v>
          </cell>
          <cell r="G1735" t="str">
            <v>Milvia Alejandra Lopez Marroquin</v>
          </cell>
        </row>
        <row r="1736">
          <cell r="F1736">
            <v>312288</v>
          </cell>
          <cell r="G1736" t="str">
            <v>Miriam Marilisa Herrera Perez</v>
          </cell>
        </row>
        <row r="1737">
          <cell r="F1737">
            <v>312474</v>
          </cell>
          <cell r="G1737" t="str">
            <v>Nancy Paola Ramirez Garcia</v>
          </cell>
        </row>
        <row r="1738">
          <cell r="F1738">
            <v>313756</v>
          </cell>
          <cell r="G1738" t="str">
            <v>Walter Josue Corona Barrera</v>
          </cell>
        </row>
        <row r="1739">
          <cell r="F1739">
            <v>312284</v>
          </cell>
          <cell r="G1739" t="str">
            <v xml:space="preserve"> Arnoldo Coque Hernandez</v>
          </cell>
        </row>
        <row r="1740">
          <cell r="F1740">
            <v>312015</v>
          </cell>
          <cell r="G1740" t="str">
            <v xml:space="preserve"> Carlos Alfredo Cuc Cuxe</v>
          </cell>
        </row>
        <row r="1741">
          <cell r="F1741">
            <v>310710</v>
          </cell>
          <cell r="G1741" t="str">
            <v xml:space="preserve"> Edgar Enrique Garcia Cortave</v>
          </cell>
        </row>
        <row r="1742">
          <cell r="F1742">
            <v>311459</v>
          </cell>
          <cell r="G1742" t="str">
            <v xml:space="preserve"> Gandy Baygesus Sanchez Estrada</v>
          </cell>
        </row>
        <row r="1743">
          <cell r="F1743">
            <v>303585</v>
          </cell>
          <cell r="G1743" t="str">
            <v xml:space="preserve"> Gerber Estuardo Albizures Archila</v>
          </cell>
        </row>
        <row r="1744">
          <cell r="F1744">
            <v>310704</v>
          </cell>
          <cell r="G1744" t="str">
            <v xml:space="preserve"> Henry Samuel De Leon Menchu</v>
          </cell>
        </row>
        <row r="1745">
          <cell r="F1745">
            <v>311359</v>
          </cell>
          <cell r="G1745" t="str">
            <v xml:space="preserve"> Jania Nataly De Leon Ramirez De Suret</v>
          </cell>
        </row>
        <row r="1746">
          <cell r="F1746">
            <v>306643</v>
          </cell>
          <cell r="G1746" t="str">
            <v xml:space="preserve"> Marvin Saul Sical Ventura</v>
          </cell>
        </row>
        <row r="1747">
          <cell r="F1747">
            <v>307846</v>
          </cell>
          <cell r="G1747" t="str">
            <v xml:space="preserve"> Sandra Patricia Baran Avila</v>
          </cell>
        </row>
        <row r="1748">
          <cell r="F1748">
            <v>307962</v>
          </cell>
          <cell r="G1748" t="str">
            <v xml:space="preserve"> Selvyn David Payola Ayala</v>
          </cell>
        </row>
        <row r="1749">
          <cell r="F1749">
            <v>307891</v>
          </cell>
          <cell r="G1749" t="str">
            <v xml:space="preserve"> Susana Rodriguez Cordova</v>
          </cell>
        </row>
        <row r="1750">
          <cell r="F1750">
            <v>314936</v>
          </cell>
          <cell r="G1750" t="str">
            <v>Alex Fernando Garcia De Leon</v>
          </cell>
        </row>
        <row r="1751">
          <cell r="F1751">
            <v>313295</v>
          </cell>
          <cell r="G1751" t="str">
            <v>Amed Carlos Eduardo Matheu Cabrera</v>
          </cell>
        </row>
        <row r="1752">
          <cell r="F1752">
            <v>314413</v>
          </cell>
          <cell r="G1752" t="str">
            <v>Carmen Arely Perez Escobar</v>
          </cell>
        </row>
        <row r="1753">
          <cell r="F1753">
            <v>315237</v>
          </cell>
          <cell r="G1753" t="str">
            <v>Celia Mariela Castillo Beteta</v>
          </cell>
        </row>
        <row r="1754">
          <cell r="F1754">
            <v>311345</v>
          </cell>
          <cell r="G1754" t="str">
            <v>Darwin Ruben Martinez Ramirez</v>
          </cell>
        </row>
        <row r="1755">
          <cell r="F1755">
            <v>314250</v>
          </cell>
          <cell r="G1755" t="str">
            <v>Diego Armando Contreras Flores</v>
          </cell>
        </row>
        <row r="1756">
          <cell r="F1756">
            <v>314281</v>
          </cell>
          <cell r="G1756" t="str">
            <v>Edward Josue Cortez Belloso</v>
          </cell>
        </row>
        <row r="1757">
          <cell r="F1757">
            <v>313451</v>
          </cell>
          <cell r="G1757" t="str">
            <v>Erick Dionicio Alvarez Flores</v>
          </cell>
        </row>
        <row r="1758">
          <cell r="F1758">
            <v>313497</v>
          </cell>
          <cell r="G1758" t="str">
            <v>Francisco Roman Aceytuno Ramos</v>
          </cell>
        </row>
        <row r="1759">
          <cell r="F1759">
            <v>314013</v>
          </cell>
          <cell r="G1759" t="str">
            <v>Jose Orlando Lopez Matzar</v>
          </cell>
        </row>
        <row r="1760">
          <cell r="F1760">
            <v>313262</v>
          </cell>
          <cell r="G1760" t="str">
            <v>Juan Luis Soyos Tzoy</v>
          </cell>
        </row>
        <row r="1761">
          <cell r="F1761">
            <v>313583</v>
          </cell>
          <cell r="G1761" t="str">
            <v>Laiza Marleny Gomez Garcia De Gomez</v>
          </cell>
        </row>
        <row r="1762">
          <cell r="F1762">
            <v>314762</v>
          </cell>
          <cell r="G1762" t="str">
            <v>Mario Ernesto Alvarado Molina</v>
          </cell>
        </row>
        <row r="1763">
          <cell r="F1763">
            <v>311902</v>
          </cell>
          <cell r="G1763" t="str">
            <v>Mario Raul Monroy Monroy</v>
          </cell>
        </row>
        <row r="1764">
          <cell r="F1764">
            <v>313251</v>
          </cell>
          <cell r="G1764" t="str">
            <v>Mario Ricardo Gabriel Monterroso</v>
          </cell>
        </row>
        <row r="1765">
          <cell r="F1765">
            <v>312564</v>
          </cell>
          <cell r="G1765" t="str">
            <v xml:space="preserve">Marlyn Carolina Hernandez Escobar De Dubon </v>
          </cell>
        </row>
        <row r="1766">
          <cell r="F1766">
            <v>313011</v>
          </cell>
          <cell r="G1766" t="str">
            <v>Miguel David Boch Cifuentes</v>
          </cell>
        </row>
        <row r="1767">
          <cell r="F1767">
            <v>313750</v>
          </cell>
          <cell r="G1767" t="str">
            <v xml:space="preserve">Mildred Alejandra Sapon Ruano   </v>
          </cell>
        </row>
        <row r="1768">
          <cell r="F1768">
            <v>313212</v>
          </cell>
          <cell r="G1768" t="str">
            <v>Shirley Mariana Lopez Natarengo</v>
          </cell>
        </row>
        <row r="1769">
          <cell r="F1769">
            <v>313261</v>
          </cell>
          <cell r="G1769" t="str">
            <v>Viviana Maribel Ortiz Barrios</v>
          </cell>
        </row>
        <row r="1770">
          <cell r="F1770">
            <v>309678</v>
          </cell>
          <cell r="G1770" t="str">
            <v xml:space="preserve"> Carla Noemi Irias Alvarez</v>
          </cell>
        </row>
        <row r="1771">
          <cell r="F1771">
            <v>311704</v>
          </cell>
          <cell r="G1771" t="str">
            <v xml:space="preserve"> Celedonia Isabel Chan Batz De Iscaya</v>
          </cell>
        </row>
        <row r="1772">
          <cell r="F1772">
            <v>308464</v>
          </cell>
          <cell r="G1772" t="str">
            <v xml:space="preserve"> Enmanuel Antonio Ochoa Hernandez</v>
          </cell>
        </row>
        <row r="1773">
          <cell r="F1773">
            <v>311964</v>
          </cell>
          <cell r="G1773" t="str">
            <v xml:space="preserve"> Estephanie Michelle Mendez Cano De Rivera</v>
          </cell>
        </row>
        <row r="1774">
          <cell r="F1774">
            <v>311963</v>
          </cell>
          <cell r="G1774" t="str">
            <v xml:space="preserve"> Giovanni Noel Valdez Rodriguez</v>
          </cell>
        </row>
        <row r="1775">
          <cell r="F1775">
            <v>308771</v>
          </cell>
          <cell r="G1775" t="str">
            <v xml:space="preserve"> Gloria Estefanilla Espinoza Garcia</v>
          </cell>
        </row>
        <row r="1776">
          <cell r="F1776">
            <v>311530</v>
          </cell>
          <cell r="G1776" t="str">
            <v xml:space="preserve"> Laura Ninoshka Mogollon Galvez De Ortiz</v>
          </cell>
        </row>
        <row r="1777">
          <cell r="F1777">
            <v>309348</v>
          </cell>
          <cell r="G1777" t="str">
            <v xml:space="preserve"> Ludbind Alexander Noriega Chavez</v>
          </cell>
        </row>
        <row r="1778">
          <cell r="F1778">
            <v>303093</v>
          </cell>
          <cell r="G1778" t="str">
            <v xml:space="preserve"> Rony Armando Choche Perez</v>
          </cell>
        </row>
        <row r="1779">
          <cell r="F1779">
            <v>311838</v>
          </cell>
          <cell r="G1779" t="str">
            <v xml:space="preserve"> Sarah Noemy Sandoval Poggio</v>
          </cell>
        </row>
        <row r="1780">
          <cell r="F1780">
            <v>310071</v>
          </cell>
          <cell r="G1780" t="str">
            <v xml:space="preserve"> Victoria Aracely Gomez Ochoa</v>
          </cell>
        </row>
        <row r="1781">
          <cell r="F1781">
            <v>315129</v>
          </cell>
          <cell r="G1781" t="str">
            <v xml:space="preserve">Angel Israel Perez Perez </v>
          </cell>
        </row>
        <row r="1782">
          <cell r="F1782">
            <v>314522</v>
          </cell>
          <cell r="G1782" t="str">
            <v>Argentina Frisdy Juarez Lopez</v>
          </cell>
        </row>
        <row r="1783">
          <cell r="F1783">
            <v>311595</v>
          </cell>
          <cell r="G1783" t="str">
            <v>Billy Giovanny Avalos Castillo</v>
          </cell>
        </row>
        <row r="1784">
          <cell r="F1784">
            <v>312457</v>
          </cell>
          <cell r="G1784" t="str">
            <v>Edgar Estuardo Moran Lopez</v>
          </cell>
        </row>
        <row r="1785">
          <cell r="F1785">
            <v>313314</v>
          </cell>
          <cell r="G1785" t="str">
            <v>Elida Bertilia Donis Aguilar</v>
          </cell>
        </row>
        <row r="1786">
          <cell r="F1786">
            <v>313108</v>
          </cell>
          <cell r="G1786" t="str">
            <v>Evelyn Karina Lorenzana Gomez</v>
          </cell>
        </row>
        <row r="1787">
          <cell r="F1787">
            <v>313313</v>
          </cell>
          <cell r="G1787" t="str">
            <v>Francisco Roberto Contreras Bernardino</v>
          </cell>
        </row>
        <row r="1788">
          <cell r="F1788">
            <v>313757</v>
          </cell>
          <cell r="G1788" t="str">
            <v>Geydi Yanira Roque Esquivel</v>
          </cell>
        </row>
        <row r="1789">
          <cell r="F1789">
            <v>309122</v>
          </cell>
          <cell r="G1789" t="str">
            <v>Greyci Yulissa Aliñado Rodriguez</v>
          </cell>
        </row>
        <row r="1790">
          <cell r="F1790">
            <v>314362</v>
          </cell>
          <cell r="G1790" t="str">
            <v>Heber Adiel Dardon Batres</v>
          </cell>
        </row>
        <row r="1791">
          <cell r="F1791">
            <v>315073</v>
          </cell>
          <cell r="G1791" t="str">
            <v xml:space="preserve">Jose Manuel Molina Gaitan </v>
          </cell>
        </row>
        <row r="1792">
          <cell r="F1792">
            <v>314490</v>
          </cell>
          <cell r="G1792" t="str">
            <v xml:space="preserve">Josue Omar Rosas Vasquez </v>
          </cell>
        </row>
        <row r="1793">
          <cell r="F1793">
            <v>311662</v>
          </cell>
          <cell r="G1793" t="str">
            <v>Juan Antonio Juarez Recinos</v>
          </cell>
        </row>
        <row r="1794">
          <cell r="F1794">
            <v>312848</v>
          </cell>
          <cell r="G1794" t="str">
            <v>Juan Humberto Castillo Garcia</v>
          </cell>
        </row>
        <row r="1795">
          <cell r="F1795">
            <v>313196</v>
          </cell>
          <cell r="G1795" t="str">
            <v>Maria Fernanda Palencia Campo</v>
          </cell>
        </row>
        <row r="1796">
          <cell r="F1796">
            <v>315406</v>
          </cell>
          <cell r="G1796" t="str">
            <v>Maria Fernandez Perez Rangel</v>
          </cell>
        </row>
        <row r="1797">
          <cell r="F1797">
            <v>314302</v>
          </cell>
          <cell r="G1797" t="str">
            <v>Mario Rene Garcia Paredes</v>
          </cell>
        </row>
        <row r="1798">
          <cell r="F1798">
            <v>313758</v>
          </cell>
          <cell r="G1798" t="str">
            <v>Melani Andrea Salcedo Acevedo</v>
          </cell>
        </row>
        <row r="1799">
          <cell r="F1799">
            <v>314656</v>
          </cell>
          <cell r="G1799" t="str">
            <v>Nancy Johana Flores Barrera</v>
          </cell>
        </row>
        <row r="1800">
          <cell r="F1800">
            <v>313835</v>
          </cell>
          <cell r="G1800" t="str">
            <v>Rainer Daniel Melgar Chajon</v>
          </cell>
        </row>
        <row r="1801">
          <cell r="F1801">
            <v>312478</v>
          </cell>
          <cell r="G1801" t="str">
            <v>Walter Josue Ampudia Martinez</v>
          </cell>
        </row>
        <row r="1802">
          <cell r="F1802">
            <v>315200</v>
          </cell>
          <cell r="G1802" t="str">
            <v xml:space="preserve">Yeni Amarilis Ruano </v>
          </cell>
        </row>
        <row r="1803">
          <cell r="F1803">
            <v>315029</v>
          </cell>
          <cell r="G1803" t="str">
            <v>Camelia Bocel Tun</v>
          </cell>
        </row>
        <row r="1804">
          <cell r="F1804">
            <v>314847</v>
          </cell>
          <cell r="G1804" t="str">
            <v>Donald Jacshon Abac Velasquez</v>
          </cell>
        </row>
        <row r="1805">
          <cell r="F1805">
            <v>314911</v>
          </cell>
          <cell r="G1805" t="str">
            <v>Jose Armando Valdez Juarez</v>
          </cell>
        </row>
        <row r="1806">
          <cell r="F1806">
            <v>314907</v>
          </cell>
          <cell r="G1806" t="str">
            <v>Jose Gabriel Armas Sandoval</v>
          </cell>
        </row>
        <row r="1807">
          <cell r="F1807">
            <v>315190</v>
          </cell>
          <cell r="G1807" t="str">
            <v xml:space="preserve">Edy Alexander Gonzalez Ramos </v>
          </cell>
        </row>
        <row r="1808">
          <cell r="F1808">
            <v>315176</v>
          </cell>
          <cell r="G1808" t="str">
            <v xml:space="preserve">Etson Samuel Villatoro Saballos </v>
          </cell>
        </row>
        <row r="1809">
          <cell r="F1809">
            <v>315080</v>
          </cell>
          <cell r="G1809" t="str">
            <v>Horacio Rafael Molina Avila</v>
          </cell>
        </row>
        <row r="1810">
          <cell r="F1810">
            <v>315177</v>
          </cell>
          <cell r="G1810" t="str">
            <v xml:space="preserve">Keitlin Anahi Martinez Castillo </v>
          </cell>
        </row>
        <row r="1811">
          <cell r="F1811">
            <v>315189</v>
          </cell>
          <cell r="G1811" t="str">
            <v xml:space="preserve">Milthon Yobany Castillo Martinez </v>
          </cell>
        </row>
        <row r="1812">
          <cell r="F1812">
            <v>315469</v>
          </cell>
          <cell r="G1812" t="str">
            <v xml:space="preserve">Milvia Fabiola Velasquez </v>
          </cell>
        </row>
        <row r="1813">
          <cell r="F1813">
            <v>315360</v>
          </cell>
          <cell r="G1813" t="str">
            <v>Eneas Valdez Colop</v>
          </cell>
        </row>
        <row r="1814">
          <cell r="F1814">
            <v>315461</v>
          </cell>
          <cell r="G1814" t="str">
            <v>Teylor Cuyuch</v>
          </cell>
        </row>
        <row r="1815">
          <cell r="F1815">
            <v>315390</v>
          </cell>
          <cell r="G1815" t="str">
            <v>Jose Carlos Morales</v>
          </cell>
        </row>
        <row r="1816">
          <cell r="F1816">
            <v>315464</v>
          </cell>
          <cell r="G1816" t="str">
            <v>Maria Alejandra Mazariegos</v>
          </cell>
        </row>
        <row r="1817">
          <cell r="F1817">
            <v>315574</v>
          </cell>
          <cell r="G1817" t="str">
            <v>Maryury De Los Angeles Garcia Romero</v>
          </cell>
        </row>
        <row r="1818">
          <cell r="F1818">
            <v>315596</v>
          </cell>
          <cell r="G1818" t="str">
            <v>Etson Eduardo Hernandez Campos</v>
          </cell>
        </row>
        <row r="1819">
          <cell r="F1819">
            <v>315593</v>
          </cell>
          <cell r="G1819" t="str">
            <v>Flora Anabella Yaxcal Fernandez</v>
          </cell>
        </row>
        <row r="1820">
          <cell r="F1820">
            <v>315595</v>
          </cell>
          <cell r="G1820" t="str">
            <v xml:space="preserve">Jaqueline Paola Santizo Roman </v>
          </cell>
        </row>
        <row r="1821">
          <cell r="F1821">
            <v>315292</v>
          </cell>
          <cell r="G1821" t="str">
            <v>Mijail Erick Joaquin Morales Ortiz</v>
          </cell>
        </row>
        <row r="1822">
          <cell r="F1822">
            <v>860486</v>
          </cell>
          <cell r="G1822" t="str">
            <v>Brenda Lucrecia Velasquez Cifuentes</v>
          </cell>
        </row>
        <row r="1823">
          <cell r="F1823">
            <v>860236</v>
          </cell>
          <cell r="G1823" t="str">
            <v>Emmanuel Gonzalez</v>
          </cell>
        </row>
        <row r="1824">
          <cell r="F1824" t="str">
            <v>UN</v>
          </cell>
          <cell r="G1824" t="str">
            <v>UN</v>
          </cell>
        </row>
        <row r="1825">
          <cell r="F1825">
            <v>315625</v>
          </cell>
          <cell r="G1825" t="str">
            <v>CLAUDIA ELIZABETH CARRERA MARROQUIN</v>
          </cell>
        </row>
        <row r="1826">
          <cell r="F1826">
            <v>315666</v>
          </cell>
          <cell r="G1826" t="str">
            <v>SINDY AMARILIS SANCHEZ MONTERROSO</v>
          </cell>
        </row>
        <row r="1827">
          <cell r="F1827">
            <v>315691</v>
          </cell>
          <cell r="G1827" t="str">
            <v>JAIME RENE JUAREZ SANCHEZ</v>
          </cell>
        </row>
        <row r="1828">
          <cell r="F1828">
            <v>315750</v>
          </cell>
          <cell r="G1828" t="str">
            <v>KEILA PAOLA CALDERON LOPEZ</v>
          </cell>
        </row>
        <row r="1829">
          <cell r="F1829">
            <v>315721</v>
          </cell>
          <cell r="G1829" t="str">
            <v>HECTOR LEONEL MEJICANOS CRUZ</v>
          </cell>
        </row>
        <row r="1830">
          <cell r="F1830">
            <v>315847</v>
          </cell>
          <cell r="G1830" t="str">
            <v>YEFRI ESTUARDO LOPEZ VELASQUEZ</v>
          </cell>
        </row>
        <row r="1831">
          <cell r="F1831">
            <v>315833</v>
          </cell>
          <cell r="G1831" t="str">
            <v>MARIA DE LOS ANGELES MURALLES MURALLES</v>
          </cell>
        </row>
        <row r="1832">
          <cell r="F1832">
            <v>315621</v>
          </cell>
          <cell r="G1832" t="str">
            <v>SAYDA ROCIO JUAREZ SANJAY</v>
          </cell>
        </row>
        <row r="1833">
          <cell r="F1833">
            <v>315816</v>
          </cell>
          <cell r="G1833" t="str">
            <v>RANDALL  AREVALO RUIZ</v>
          </cell>
        </row>
        <row r="1834">
          <cell r="F1834">
            <v>315692</v>
          </cell>
          <cell r="G1834" t="str">
            <v>Jose David Jimenez Valle</v>
          </cell>
        </row>
        <row r="1835">
          <cell r="F1835">
            <v>315801</v>
          </cell>
          <cell r="G1835" t="str">
            <v>YENIFFER GUADALUPE CHIQUIN CARBONELL</v>
          </cell>
        </row>
        <row r="1836">
          <cell r="F1836">
            <v>315649</v>
          </cell>
          <cell r="G1836" t="str">
            <v>JOSE LEON CHOGUAJ TOJIN</v>
          </cell>
        </row>
        <row r="1837">
          <cell r="F1837">
            <v>315986</v>
          </cell>
          <cell r="G1837" t="str">
            <v>KELVYN AMERICO SOSA OCHOA</v>
          </cell>
        </row>
        <row r="1838">
          <cell r="F1838">
            <v>315693</v>
          </cell>
          <cell r="G1838" t="str">
            <v>barbara asibinac</v>
          </cell>
        </row>
        <row r="1839">
          <cell r="F1839">
            <v>315974</v>
          </cell>
          <cell r="G1839" t="str">
            <v>Ana Victoria Noj Galindo</v>
          </cell>
        </row>
        <row r="1840">
          <cell r="F1840">
            <v>316040</v>
          </cell>
          <cell r="G1840" t="str">
            <v>Douglas Armando Flores Mendoza</v>
          </cell>
        </row>
        <row r="1841">
          <cell r="F1841">
            <v>315825</v>
          </cell>
          <cell r="G1841" t="str">
            <v>Reina Elizabeth Chacon Vasquez</v>
          </cell>
        </row>
        <row r="1842">
          <cell r="F1842">
            <v>315597</v>
          </cell>
          <cell r="G1842" t="str">
            <v>Edgar Jhonatan Contreras Garcia</v>
          </cell>
        </row>
        <row r="1843">
          <cell r="F1843">
            <v>316083</v>
          </cell>
          <cell r="G1843" t="str">
            <v>Marlen Erendida Rivas Gonzalez</v>
          </cell>
        </row>
        <row r="1844">
          <cell r="F1844">
            <v>315665</v>
          </cell>
          <cell r="G1844" t="str">
            <v>jefferson jose antonio interano solis</v>
          </cell>
        </row>
        <row r="1845">
          <cell r="F1845">
            <v>315913</v>
          </cell>
          <cell r="G1845" t="str">
            <v>HERLY SARAI GONZALEZ VELASQUEZ</v>
          </cell>
        </row>
        <row r="1846">
          <cell r="F1846">
            <v>315765</v>
          </cell>
          <cell r="G1846" t="str">
            <v>JACQUELINE ESTER PATZAN TZUNUN</v>
          </cell>
        </row>
        <row r="1847">
          <cell r="F1847">
            <v>316051</v>
          </cell>
          <cell r="G1847" t="str">
            <v>CHRISTIN ANDREA CASTILLO CALDERON</v>
          </cell>
        </row>
        <row r="1848">
          <cell r="F1848">
            <v>315939</v>
          </cell>
          <cell r="G1848" t="str">
            <v>JOSE DAVID BAMACA</v>
          </cell>
        </row>
        <row r="1849">
          <cell r="F1849">
            <v>315744</v>
          </cell>
          <cell r="G1849" t="str">
            <v>JACKELINE SUSANA HERRARTE BOCHE</v>
          </cell>
        </row>
        <row r="1850">
          <cell r="F1850">
            <v>316187</v>
          </cell>
          <cell r="G1850" t="str">
            <v xml:space="preserve">ADY MICHELLE LOPEZ QUEL </v>
          </cell>
        </row>
        <row r="1851">
          <cell r="F1851">
            <v>315786</v>
          </cell>
          <cell r="G1851" t="str">
            <v>EDUARDO ISAIAS HERNANDEZ AMBROCIO</v>
          </cell>
        </row>
        <row r="1852">
          <cell r="F1852">
            <v>315803</v>
          </cell>
          <cell r="G1852" t="str">
            <v>DEYVID SAUL OSORIO COLIN</v>
          </cell>
        </row>
        <row r="1853">
          <cell r="F1853">
            <v>315893</v>
          </cell>
          <cell r="G1853" t="str">
            <v xml:space="preserve">BRYAN ALEXANDER LAINES MARROQUIN </v>
          </cell>
        </row>
        <row r="1854">
          <cell r="F1854">
            <v>315890</v>
          </cell>
          <cell r="G1854" t="str">
            <v>ERICK JOSUE PINEDA CACEROS</v>
          </cell>
        </row>
        <row r="1855">
          <cell r="F1855">
            <v>316190</v>
          </cell>
          <cell r="G1855" t="str">
            <v>JOSE MANUEL MELLADO ESQUIBEL</v>
          </cell>
        </row>
        <row r="1856">
          <cell r="F1856">
            <v>315843</v>
          </cell>
          <cell r="G1856" t="str">
            <v xml:space="preserve">JENNIFER YESSENIA PEREZ MORALES </v>
          </cell>
        </row>
        <row r="1857">
          <cell r="F1857">
            <v>315840</v>
          </cell>
          <cell r="G1857" t="str">
            <v>Cesar David Perez Garrido</v>
          </cell>
        </row>
        <row r="1858">
          <cell r="F1858">
            <v>315697</v>
          </cell>
          <cell r="G1858" t="str">
            <v xml:space="preserve">Karen Dayana Xiquin Sanchez </v>
          </cell>
        </row>
        <row r="1859">
          <cell r="F1859">
            <v>315946</v>
          </cell>
          <cell r="G1859" t="str">
            <v xml:space="preserve"> MANUEL ADAN SURUY JIMENEZ</v>
          </cell>
        </row>
        <row r="1860">
          <cell r="F1860">
            <v>315784</v>
          </cell>
          <cell r="G1860" t="str">
            <v xml:space="preserve">JORGE MARIO SIC </v>
          </cell>
        </row>
        <row r="1861">
          <cell r="F1861">
            <v>316001</v>
          </cell>
          <cell r="G1861" t="str">
            <v>WENDY DANIELA CAMEY MATEO</v>
          </cell>
        </row>
        <row r="1862">
          <cell r="F1862">
            <v>315777</v>
          </cell>
          <cell r="G1862" t="str">
            <v>Jonatan Mauricio Padilla Marroquin</v>
          </cell>
        </row>
        <row r="1863">
          <cell r="F1863">
            <v>315699</v>
          </cell>
          <cell r="G1863" t="str">
            <v>Gualfer Orlando Dieguez Ibanez</v>
          </cell>
        </row>
        <row r="1864">
          <cell r="F1864">
            <v>315994</v>
          </cell>
          <cell r="G1864" t="str">
            <v>Edwin Wilfredo Pineda Giron</v>
          </cell>
        </row>
        <row r="1865">
          <cell r="F1865">
            <v>315766</v>
          </cell>
          <cell r="G1865" t="str">
            <v>Edgar Omar de Jesus Andrade Monterroso</v>
          </cell>
        </row>
        <row r="1866">
          <cell r="F1866">
            <v>315987</v>
          </cell>
          <cell r="G1866" t="str">
            <v>FRANCISCO DANIEL ARGUETA RAMIREZ</v>
          </cell>
        </row>
        <row r="1867">
          <cell r="F1867">
            <v>316208</v>
          </cell>
          <cell r="G1867" t="str">
            <v>LEYCER ULICES CANA ANDRADE</v>
          </cell>
        </row>
        <row r="1868">
          <cell r="F1868">
            <v>316193</v>
          </cell>
          <cell r="G1868" t="str">
            <v>Maria de Lourdes Leb Nij</v>
          </cell>
        </row>
        <row r="1869">
          <cell r="F1869">
            <v>316176</v>
          </cell>
          <cell r="G1869" t="str">
            <v>ROSA ANGELICA ZURDO GONZALEZ</v>
          </cell>
        </row>
        <row r="1870">
          <cell r="F1870">
            <v>316293</v>
          </cell>
          <cell r="G1870" t="str">
            <v>LUCIO MOISES CHAVEZ CHAVEZ</v>
          </cell>
        </row>
        <row r="1871">
          <cell r="F1871">
            <v>316090</v>
          </cell>
          <cell r="G1871" t="str">
            <v>ASTRID SUCELY VELIZ CAAL</v>
          </cell>
        </row>
        <row r="1872">
          <cell r="F1872">
            <v>316057</v>
          </cell>
          <cell r="G1872" t="str">
            <v>ROGELIO ARMANDO ACEITUNO HERRERA</v>
          </cell>
        </row>
        <row r="1873">
          <cell r="F1873">
            <v>315962</v>
          </cell>
          <cell r="G1873" t="str">
            <v>Jennifer Celeste Delgado Garcia</v>
          </cell>
        </row>
        <row r="1874">
          <cell r="F1874">
            <v>316237</v>
          </cell>
          <cell r="G1874" t="str">
            <v>MARIA DEL ROSARIO ESPINOZA CRUZ</v>
          </cell>
        </row>
        <row r="1875">
          <cell r="F1875">
            <v>316054</v>
          </cell>
          <cell r="G1875" t="str">
            <v>Kevin Steve Barrera Galicia</v>
          </cell>
        </row>
        <row r="1876">
          <cell r="F1876">
            <v>315734</v>
          </cell>
          <cell r="G1876" t="str">
            <v>DULCE MARINA LOPEZ SOLIS</v>
          </cell>
        </row>
        <row r="1877">
          <cell r="F1877">
            <v>316098</v>
          </cell>
          <cell r="G1877" t="str">
            <v>KARLA ALEJANDRA CHAVEZ PEÑA</v>
          </cell>
        </row>
        <row r="1878">
          <cell r="F1878">
            <v>315679</v>
          </cell>
          <cell r="G1878" t="str">
            <v>ANGELA XIOMARA PONCIANO GONZALEZ</v>
          </cell>
        </row>
        <row r="1879">
          <cell r="F1879">
            <v>315769</v>
          </cell>
          <cell r="G1879" t="str">
            <v>URIAS VENANCIO LOPEZ COTON</v>
          </cell>
        </row>
        <row r="1880">
          <cell r="F1880">
            <v>316174</v>
          </cell>
          <cell r="G1880" t="str">
            <v>ENRIQUE ALFONSO LOPEZ RAMREZ</v>
          </cell>
        </row>
        <row r="1881">
          <cell r="F1881">
            <v>316152</v>
          </cell>
          <cell r="G1881" t="str">
            <v>Yenica Limni López Sebastian</v>
          </cell>
        </row>
        <row r="1882">
          <cell r="F1882">
            <v>315882</v>
          </cell>
          <cell r="G1882" t="str">
            <v>RUTH ANAI GOMEZ RAMIREZ</v>
          </cell>
        </row>
        <row r="1883">
          <cell r="F1883">
            <v>316241</v>
          </cell>
          <cell r="G1883" t="str">
            <v>ALLAN ESMAYLIN CABRERA PEREZ</v>
          </cell>
        </row>
        <row r="1884">
          <cell r="F1884">
            <v>315651</v>
          </cell>
          <cell r="G1884" t="str">
            <v>WALTER EDUARDO RODAS RIOS</v>
          </cell>
        </row>
        <row r="1885">
          <cell r="F1885">
            <v>316011</v>
          </cell>
          <cell r="G1885" t="str">
            <v>KEVIN MAUEL PEREZ OROZCO</v>
          </cell>
        </row>
        <row r="1886">
          <cell r="F1886">
            <v>316263</v>
          </cell>
          <cell r="G1886" t="str">
            <v>LUIS FERNANDO LOPEZ VASQUEZ</v>
          </cell>
        </row>
        <row r="1887">
          <cell r="F1887">
            <v>315661</v>
          </cell>
          <cell r="G1887" t="str">
            <v>MIGUEL ANGEL MENDEZ JUAREZ</v>
          </cell>
        </row>
        <row r="1888">
          <cell r="F1888">
            <v>316060</v>
          </cell>
          <cell r="G1888" t="str">
            <v>CARLOS ENRIQUE SOSA HERNANDEZ</v>
          </cell>
        </row>
        <row r="1889">
          <cell r="F1889">
            <v>315992</v>
          </cell>
          <cell r="G1889" t="str">
            <v>LISBETH VICTORIA GARCIA</v>
          </cell>
        </row>
        <row r="1890">
          <cell r="F1890">
            <v>316191</v>
          </cell>
          <cell r="G1890" t="str">
            <v>Katerin Mishel Acosta Lobos</v>
          </cell>
        </row>
        <row r="1891">
          <cell r="F1891">
            <v>316294</v>
          </cell>
          <cell r="G1891" t="str">
            <v>Carmen Fernanda Ramos Jimenez</v>
          </cell>
        </row>
        <row r="1892">
          <cell r="F1892">
            <v>90012428</v>
          </cell>
          <cell r="G1892" t="str">
            <v>Lesly Alejandra Urbina Chojolan</v>
          </cell>
        </row>
        <row r="1893">
          <cell r="F1893">
            <v>90013944</v>
          </cell>
          <cell r="G1893" t="str">
            <v>KARLA ROSARIO MARTINEZ SOTO</v>
          </cell>
        </row>
        <row r="1894">
          <cell r="F1894">
            <v>316240</v>
          </cell>
          <cell r="G1894" t="str">
            <v>WILMER GUILLERMO PEREZ CHAY</v>
          </cell>
        </row>
        <row r="1895">
          <cell r="F1895">
            <v>90014151</v>
          </cell>
          <cell r="G1895" t="str">
            <v>ANDERSON NOE MORALES MARROQUIN</v>
          </cell>
        </row>
        <row r="1896">
          <cell r="F1896">
            <v>90013720</v>
          </cell>
          <cell r="G1896" t="str">
            <v>OBED DANIEL RAMIREZ FUENTES</v>
          </cell>
        </row>
        <row r="1897">
          <cell r="F1897">
            <v>90012315</v>
          </cell>
          <cell r="G1897" t="str">
            <v>Lorenzo Antonio Herrera Tobar</v>
          </cell>
        </row>
        <row r="1898">
          <cell r="F1898">
            <v>90013833</v>
          </cell>
          <cell r="G1898" t="str">
            <v>Melane Alejandra Contreras Sicajan</v>
          </cell>
        </row>
        <row r="1899">
          <cell r="F1899">
            <v>90018997</v>
          </cell>
          <cell r="G1899" t="str">
            <v>Daniel Uvaldo Barreno Meneses</v>
          </cell>
        </row>
        <row r="1900">
          <cell r="F1900">
            <v>90014269</v>
          </cell>
          <cell r="G1900" t="str">
            <v>Lusvin Ariel Villacinda Flores</v>
          </cell>
        </row>
        <row r="1901">
          <cell r="F1901" t="str">
            <v>N/A</v>
          </cell>
          <cell r="G1901" t="str">
            <v>N/A</v>
          </cell>
        </row>
        <row r="1902">
          <cell r="F1902">
            <v>90014281</v>
          </cell>
          <cell r="G1902" t="str">
            <v>MARIO EMANUEL DE JESUS MENDOZA</v>
          </cell>
        </row>
        <row r="1903">
          <cell r="F1903">
            <v>90019660</v>
          </cell>
          <cell r="G1903" t="str">
            <v>MONICA ILDUARA LIMA</v>
          </cell>
        </row>
        <row r="1904">
          <cell r="F1904">
            <v>90018838</v>
          </cell>
          <cell r="G1904" t="str">
            <v>PERLA ESPERANZA ORDONEZ ZULETA</v>
          </cell>
        </row>
        <row r="1905">
          <cell r="F1905">
            <v>90013719</v>
          </cell>
          <cell r="G1905" t="str">
            <v>MONICA CAROLINA LIMA CIFUENTES</v>
          </cell>
        </row>
        <row r="1906">
          <cell r="F1906">
            <v>90019011</v>
          </cell>
          <cell r="G1906" t="str">
            <v>ANGEL JOEL CASTRO COSAJAY</v>
          </cell>
        </row>
        <row r="1907">
          <cell r="F1907">
            <v>90019588</v>
          </cell>
          <cell r="G1907" t="str">
            <v>SANDRA MARIELA LÓPEZ MARROQUÍN</v>
          </cell>
        </row>
        <row r="1908">
          <cell r="F1908">
            <v>90019689</v>
          </cell>
          <cell r="G1908" t="str">
            <v xml:space="preserve">HELEN YADIRA DE LEON QUIÑONEZ </v>
          </cell>
        </row>
        <row r="1909">
          <cell r="F1909">
            <v>90024021</v>
          </cell>
          <cell r="G1909" t="str">
            <v>MANUEL MEJIA AYERDI</v>
          </cell>
        </row>
        <row r="1910">
          <cell r="F1910">
            <v>90013782</v>
          </cell>
          <cell r="G1910" t="str">
            <v>Williams Jose Galvez Jordan</v>
          </cell>
        </row>
        <row r="1911">
          <cell r="F1911">
            <v>90024411</v>
          </cell>
          <cell r="G1911" t="str">
            <v>DINA ELIZABETH GARRIDO ALVAREZ</v>
          </cell>
        </row>
        <row r="1912">
          <cell r="F1912">
            <v>90024370</v>
          </cell>
          <cell r="G1912" t="str">
            <v>Marilin Yasmin Godoy Morataya</v>
          </cell>
        </row>
        <row r="1913">
          <cell r="F1913">
            <v>90024235</v>
          </cell>
          <cell r="G1913" t="str">
            <v>JASON ALBERTO BOLAÑOS GUTIERREZ</v>
          </cell>
        </row>
        <row r="1914">
          <cell r="F1914">
            <v>90028187</v>
          </cell>
          <cell r="G1914" t="str">
            <v>MIRELLI RAMIREZ GARCIA</v>
          </cell>
        </row>
        <row r="1915">
          <cell r="F1915">
            <v>90025289</v>
          </cell>
          <cell r="G1915" t="str">
            <v>DIEGO ALEJANDRO DONIS JUAREZ</v>
          </cell>
        </row>
        <row r="1916">
          <cell r="F1916">
            <v>90028608</v>
          </cell>
          <cell r="G1916" t="str">
            <v>ERLIN ROBERTO XEC ANGULO</v>
          </cell>
        </row>
        <row r="1917">
          <cell r="F1917">
            <v>90028491</v>
          </cell>
          <cell r="G1917" t="str">
            <v xml:space="preserve">ADOLFO RAFAEL SEGOVIA QUEZADA </v>
          </cell>
        </row>
        <row r="1918">
          <cell r="F1918">
            <v>90024419</v>
          </cell>
          <cell r="G1918" t="str">
            <v>HELEN JASSMIN REYES PALACIOS</v>
          </cell>
        </row>
        <row r="1919">
          <cell r="F1919">
            <v>90028606</v>
          </cell>
          <cell r="G1919" t="str">
            <v>Laura Angelica Lux Tzunun</v>
          </cell>
        </row>
        <row r="1920">
          <cell r="F1920">
            <v>90028496</v>
          </cell>
          <cell r="G1920" t="str">
            <v>SORAYDA BETZAI CHAVEZ</v>
          </cell>
        </row>
        <row r="1921">
          <cell r="F1921">
            <v>90024632</v>
          </cell>
          <cell r="G1921" t="str">
            <v xml:space="preserve">ERICKA SANDOVAL </v>
          </cell>
        </row>
        <row r="1922">
          <cell r="F1922">
            <v>90025666</v>
          </cell>
          <cell r="G1922" t="str">
            <v>PAULY MARTINA TOJ</v>
          </cell>
        </row>
        <row r="1923">
          <cell r="F1923">
            <v>90027918</v>
          </cell>
          <cell r="G1923" t="str">
            <v>GERBER ALEXANDER SAGUACHE BENITO</v>
          </cell>
        </row>
        <row r="1924">
          <cell r="F1924">
            <v>90027845</v>
          </cell>
          <cell r="G1924" t="str">
            <v>SHIRLEY DAYANA RAMIREZ GALLARDO</v>
          </cell>
        </row>
        <row r="1925">
          <cell r="F1925">
            <v>90027868</v>
          </cell>
          <cell r="G1925" t="str">
            <v>ASHLY ANABELLA RAYMUNDO GONZALEZ</v>
          </cell>
        </row>
        <row r="1926">
          <cell r="F1926">
            <v>90028292</v>
          </cell>
          <cell r="G1926" t="str">
            <v>JULISSA CRISTIANY ESCOBAR ACEITUNO</v>
          </cell>
        </row>
        <row r="1927">
          <cell r="F1927">
            <v>90025620</v>
          </cell>
          <cell r="G1927" t="str">
            <v>ANA LUISA JIMENEZ CORADO</v>
          </cell>
        </row>
        <row r="1928">
          <cell r="F1928">
            <v>315856</v>
          </cell>
          <cell r="G1928" t="str">
            <v>TERESA CAROLINA PRIMERO JALAL</v>
          </cell>
        </row>
        <row r="1929">
          <cell r="F1929">
            <v>316023</v>
          </cell>
          <cell r="G1929" t="str">
            <v>MARIA ANGELICA TRUJILLO CORONADO DE ANDRADE</v>
          </cell>
        </row>
        <row r="1930">
          <cell r="F1930">
            <v>315925</v>
          </cell>
          <cell r="G1930" t="str">
            <v>JOSTHYN RAUL PARDO OBREGON</v>
          </cell>
        </row>
        <row r="1931">
          <cell r="F1931">
            <v>315841</v>
          </cell>
          <cell r="G1931" t="str">
            <v>LESBIA ROXANA ROJAS CASTRO</v>
          </cell>
        </row>
        <row r="1932">
          <cell r="F1932">
            <v>314692</v>
          </cell>
          <cell r="G1932" t="str">
            <v>Abi Susana Santos Alvarado</v>
          </cell>
        </row>
        <row r="1933">
          <cell r="F1933">
            <v>313537</v>
          </cell>
          <cell r="G1933" t="str">
            <v>Abigail Nohemi Letona Lopez</v>
          </cell>
        </row>
        <row r="1934">
          <cell r="F1934">
            <v>314163</v>
          </cell>
          <cell r="G1934" t="str">
            <v>Abner Amilcar Miguel Pedro</v>
          </cell>
        </row>
        <row r="1935">
          <cell r="F1935">
            <v>300544</v>
          </cell>
          <cell r="G1935" t="str">
            <v>Abner Enmanuel Perez Rodriguez</v>
          </cell>
        </row>
        <row r="1936">
          <cell r="F1936">
            <v>315208</v>
          </cell>
          <cell r="G1936" t="str">
            <v>Abner Juan Alexander Menchu Tiu</v>
          </cell>
        </row>
        <row r="1937">
          <cell r="F1937">
            <v>315069</v>
          </cell>
          <cell r="G1937" t="str">
            <v>Abner Rocael Sosa Escobar</v>
          </cell>
        </row>
        <row r="1938">
          <cell r="F1938">
            <v>310864</v>
          </cell>
          <cell r="G1938" t="str">
            <v>Adelaida Garcia Hernandez</v>
          </cell>
        </row>
        <row r="1939">
          <cell r="F1939">
            <v>314604</v>
          </cell>
          <cell r="G1939" t="str">
            <v>Adieny Moren Ramirez Gamboa</v>
          </cell>
        </row>
        <row r="1940">
          <cell r="F1940">
            <v>311687</v>
          </cell>
          <cell r="G1940" t="str">
            <v>Aida Gabriela De Leon Carrascoza</v>
          </cell>
        </row>
        <row r="1941">
          <cell r="F1941">
            <v>315221</v>
          </cell>
          <cell r="G1941" t="str">
            <v>Alan David Perez Muyus</v>
          </cell>
        </row>
        <row r="1942">
          <cell r="F1942">
            <v>311950</v>
          </cell>
          <cell r="G1942" t="str">
            <v>Alan Javier Castillo Ordoñez</v>
          </cell>
        </row>
        <row r="1943">
          <cell r="F1943">
            <v>313765</v>
          </cell>
          <cell r="G1943" t="str">
            <v>Alan Ricardo Flores Diaz</v>
          </cell>
        </row>
        <row r="1944">
          <cell r="F1944">
            <v>314840</v>
          </cell>
          <cell r="G1944" t="str">
            <v>Alba Andrea Perez Hernandez</v>
          </cell>
        </row>
        <row r="1945">
          <cell r="F1945">
            <v>312686</v>
          </cell>
          <cell r="G1945" t="str">
            <v>Alba Azucena Santeliz Marin</v>
          </cell>
        </row>
        <row r="1946">
          <cell r="F1946">
            <v>313531</v>
          </cell>
          <cell r="G1946" t="str">
            <v>Alejandra Gramajo Marroquin</v>
          </cell>
        </row>
        <row r="1947">
          <cell r="F1947">
            <v>313714</v>
          </cell>
          <cell r="G1947" t="str">
            <v>Alejandra Julissa Solis Aguilar</v>
          </cell>
        </row>
        <row r="1948">
          <cell r="F1948">
            <v>313994</v>
          </cell>
          <cell r="G1948" t="str">
            <v>Alejandra Naime Muñoz Letona</v>
          </cell>
        </row>
        <row r="1949">
          <cell r="F1949">
            <v>314849</v>
          </cell>
          <cell r="G1949" t="str">
            <v>Alejandro Enrique Mejicanos Ramos</v>
          </cell>
        </row>
        <row r="1950">
          <cell r="F1950">
            <v>315220</v>
          </cell>
          <cell r="G1950" t="str">
            <v>Alejandro Jose Mont Diaz</v>
          </cell>
        </row>
        <row r="1951">
          <cell r="F1951">
            <v>311810</v>
          </cell>
          <cell r="G1951" t="str">
            <v>Alexander Macario Gonzalez Monterroso</v>
          </cell>
        </row>
        <row r="1952">
          <cell r="F1952">
            <v>300907</v>
          </cell>
          <cell r="G1952" t="str">
            <v>Alexangel Quan Urrutia</v>
          </cell>
        </row>
        <row r="1953">
          <cell r="F1953">
            <v>312962</v>
          </cell>
          <cell r="G1953" t="str">
            <v>Alexia Paola Marroquin Lopez</v>
          </cell>
        </row>
        <row r="1954">
          <cell r="F1954">
            <v>314671</v>
          </cell>
          <cell r="G1954" t="str">
            <v>Alexsandra Daniela Cano Garcia</v>
          </cell>
        </row>
        <row r="1955">
          <cell r="F1955">
            <v>311103</v>
          </cell>
          <cell r="G1955" t="str">
            <v>Alfredo Chiyal Bocel</v>
          </cell>
        </row>
        <row r="1956">
          <cell r="F1956">
            <v>311576</v>
          </cell>
          <cell r="G1956" t="str">
            <v>Alfredo Gomez Lancerio</v>
          </cell>
        </row>
        <row r="1957">
          <cell r="F1957">
            <v>313014</v>
          </cell>
          <cell r="G1957" t="str">
            <v>Alfredo Monsanto Santos</v>
          </cell>
        </row>
        <row r="1958">
          <cell r="F1958">
            <v>315223</v>
          </cell>
          <cell r="G1958" t="str">
            <v>Alicia Magaly Juarez Quiacain</v>
          </cell>
        </row>
        <row r="1959">
          <cell r="F1959">
            <v>314035</v>
          </cell>
          <cell r="G1959" t="str">
            <v>Alisson Andrea Jacobo Castro</v>
          </cell>
        </row>
        <row r="1960">
          <cell r="F1960">
            <v>315214</v>
          </cell>
          <cell r="G1960" t="str">
            <v>Allan David Galdamez De Leon</v>
          </cell>
        </row>
        <row r="1961">
          <cell r="F1961">
            <v>306902</v>
          </cell>
          <cell r="G1961" t="str">
            <v>Allan Kalleb Garcia Cahuex</v>
          </cell>
        </row>
        <row r="1962">
          <cell r="F1962">
            <v>315434</v>
          </cell>
          <cell r="G1962" t="str">
            <v>Alma Carolina Herrera Pirir</v>
          </cell>
        </row>
        <row r="1963">
          <cell r="F1963">
            <v>315280</v>
          </cell>
          <cell r="G1963" t="str">
            <v>Alma Rosa Valle Blandon</v>
          </cell>
        </row>
        <row r="1964">
          <cell r="F1964">
            <v>302247</v>
          </cell>
          <cell r="G1964" t="str">
            <v>Alma Yecenia Ramon Oroxon</v>
          </cell>
        </row>
        <row r="1965">
          <cell r="F1965">
            <v>310433</v>
          </cell>
          <cell r="G1965" t="str">
            <v>Alma Zucely Sarceño Peralta</v>
          </cell>
        </row>
        <row r="1966">
          <cell r="F1966">
            <v>313286</v>
          </cell>
          <cell r="G1966" t="str">
            <v>Alvaro Fernando Acte Mérida</v>
          </cell>
        </row>
        <row r="1967">
          <cell r="F1967">
            <v>313119</v>
          </cell>
          <cell r="G1967" t="str">
            <v>Alvaro Luis Carias Gonzalez</v>
          </cell>
        </row>
        <row r="1968">
          <cell r="F1968">
            <v>313528</v>
          </cell>
          <cell r="G1968" t="str">
            <v>Amairani Lilibeth Escobar Maquin</v>
          </cell>
        </row>
        <row r="1969">
          <cell r="F1969">
            <v>309338</v>
          </cell>
          <cell r="G1969" t="str">
            <v>Amalia Rebeca Son Juarez</v>
          </cell>
        </row>
        <row r="1970">
          <cell r="F1970">
            <v>309664</v>
          </cell>
          <cell r="G1970" t="str">
            <v>Amarilis Sarita Ajtun Lopez</v>
          </cell>
        </row>
        <row r="1971">
          <cell r="F1971">
            <v>309337</v>
          </cell>
          <cell r="G1971" t="str">
            <v>Amauri Santillano Catalan</v>
          </cell>
        </row>
        <row r="1972">
          <cell r="F1972">
            <v>315553</v>
          </cell>
          <cell r="G1972" t="str">
            <v>Amed Isram Rodas Garcia</v>
          </cell>
        </row>
        <row r="1973">
          <cell r="F1973">
            <v>301503</v>
          </cell>
          <cell r="G1973" t="str">
            <v>America Romilia Martinez Ramirez</v>
          </cell>
        </row>
        <row r="1974">
          <cell r="F1974">
            <v>311055</v>
          </cell>
          <cell r="G1974" t="str">
            <v>Amram Dodanim Lopez Cahuec</v>
          </cell>
        </row>
        <row r="1975">
          <cell r="F1975">
            <v>307790</v>
          </cell>
          <cell r="G1975" t="str">
            <v>Ana Cecilia Navichoc Chiquival</v>
          </cell>
        </row>
        <row r="1976">
          <cell r="F1976">
            <v>315044</v>
          </cell>
          <cell r="G1976" t="str">
            <v>Ana Celeste Garcia Garcia</v>
          </cell>
        </row>
        <row r="1977">
          <cell r="F1977">
            <v>309527</v>
          </cell>
          <cell r="G1977" t="str">
            <v>Ana Gabriela Caal Cruz</v>
          </cell>
        </row>
        <row r="1978">
          <cell r="F1978">
            <v>313217</v>
          </cell>
          <cell r="G1978" t="str">
            <v>Ana Gabriela Damian Ixbalan</v>
          </cell>
        </row>
        <row r="1979">
          <cell r="F1979">
            <v>305932</v>
          </cell>
          <cell r="G1979" t="str">
            <v>Ana Gabriela De La Cruz Aguilar</v>
          </cell>
        </row>
        <row r="1980">
          <cell r="F1980">
            <v>314984</v>
          </cell>
          <cell r="G1980" t="str">
            <v>Ana Gabriela Equite Diaz</v>
          </cell>
        </row>
        <row r="1981">
          <cell r="F1981">
            <v>307751</v>
          </cell>
          <cell r="G1981" t="str">
            <v>Ana Gabriela Gonzalez Herrera</v>
          </cell>
        </row>
        <row r="1982">
          <cell r="F1982">
            <v>310329</v>
          </cell>
          <cell r="G1982" t="str">
            <v>Ana Leticia Lux Say</v>
          </cell>
        </row>
        <row r="1983">
          <cell r="F1983">
            <v>311761</v>
          </cell>
          <cell r="G1983" t="str">
            <v>Ana Lourdes Muñoz Pensamiento</v>
          </cell>
        </row>
        <row r="1984">
          <cell r="F1984">
            <v>311111</v>
          </cell>
          <cell r="G1984" t="str">
            <v>Ana Lucia Donis Franco</v>
          </cell>
        </row>
        <row r="1985">
          <cell r="F1985">
            <v>313991</v>
          </cell>
          <cell r="G1985" t="str">
            <v>Ana Lucia Gudiel Vasquez</v>
          </cell>
        </row>
        <row r="1986">
          <cell r="F1986">
            <v>307442</v>
          </cell>
          <cell r="G1986" t="str">
            <v>Ana Lucia Ramirez Aquino</v>
          </cell>
        </row>
        <row r="1987">
          <cell r="F1987">
            <v>306767</v>
          </cell>
          <cell r="G1987" t="str">
            <v>Ana Marcela Castillo Rodriguez</v>
          </cell>
        </row>
        <row r="1988">
          <cell r="F1988">
            <v>312249</v>
          </cell>
          <cell r="G1988" t="str">
            <v>Ana Margarita Barrera Estrada</v>
          </cell>
        </row>
        <row r="1989">
          <cell r="F1989">
            <v>202795</v>
          </cell>
          <cell r="G1989" t="str">
            <v>Ana Maria Barrios Alejos</v>
          </cell>
        </row>
        <row r="1990">
          <cell r="F1990">
            <v>315474</v>
          </cell>
          <cell r="G1990" t="str">
            <v>Ana Merced Arriola Gomez</v>
          </cell>
        </row>
        <row r="1991">
          <cell r="F1991">
            <v>308129</v>
          </cell>
          <cell r="G1991" t="str">
            <v>Ana Mercedes Tiul Caal</v>
          </cell>
        </row>
        <row r="1992">
          <cell r="F1992">
            <v>314191</v>
          </cell>
          <cell r="G1992" t="str">
            <v>Ana Patricia Escobar Cardona</v>
          </cell>
        </row>
        <row r="1993">
          <cell r="F1993">
            <v>310191</v>
          </cell>
          <cell r="G1993" t="str">
            <v>Ana Paulina Macario Del Cid</v>
          </cell>
        </row>
        <row r="1994">
          <cell r="F1994">
            <v>310728</v>
          </cell>
          <cell r="G1994" t="str">
            <v>Ana Rita Morales Mata</v>
          </cell>
        </row>
        <row r="1995">
          <cell r="F1995">
            <v>314469</v>
          </cell>
          <cell r="G1995" t="str">
            <v>Ana Sofia Castillo Armas</v>
          </cell>
        </row>
        <row r="1996">
          <cell r="F1996">
            <v>312945</v>
          </cell>
          <cell r="G1996" t="str">
            <v>Ana Victoria Gonzalez Garcia</v>
          </cell>
        </row>
        <row r="1997">
          <cell r="F1997">
            <v>314019</v>
          </cell>
          <cell r="G1997" t="str">
            <v>Anali Guadalupe Salazar Rodriguez</v>
          </cell>
        </row>
        <row r="1998">
          <cell r="F1998">
            <v>315372</v>
          </cell>
          <cell r="G1998" t="str">
            <v>Andrea Ayalett Ochoa Lopez</v>
          </cell>
        </row>
        <row r="1999">
          <cell r="F1999">
            <v>311505</v>
          </cell>
          <cell r="G1999" t="str">
            <v>Andrea Dayana Ordoñez Mendez</v>
          </cell>
        </row>
        <row r="2000">
          <cell r="F2000">
            <v>315215</v>
          </cell>
          <cell r="G2000" t="str">
            <v>Andrea Fernanda Villela Hernandez</v>
          </cell>
        </row>
        <row r="2001">
          <cell r="F2001">
            <v>311380</v>
          </cell>
          <cell r="G2001" t="str">
            <v>Andrea Lisbeth Ruiz Rodas</v>
          </cell>
        </row>
        <row r="2002">
          <cell r="F2002">
            <v>311137</v>
          </cell>
          <cell r="G2002" t="str">
            <v>Andrea Lucia Lopez Ajin</v>
          </cell>
        </row>
        <row r="2003">
          <cell r="F2003">
            <v>303012</v>
          </cell>
          <cell r="G2003" t="str">
            <v>Andrea Marbely Letran Juarez</v>
          </cell>
        </row>
        <row r="2004">
          <cell r="F2004">
            <v>315264</v>
          </cell>
          <cell r="G2004" t="str">
            <v>Andrea Margarita Gomez Morales</v>
          </cell>
        </row>
        <row r="2005">
          <cell r="F2005">
            <v>302630</v>
          </cell>
          <cell r="G2005" t="str">
            <v>Andrea Maria Alvarez Calderon</v>
          </cell>
        </row>
        <row r="2006">
          <cell r="F2006">
            <v>314057</v>
          </cell>
          <cell r="G2006" t="str">
            <v>Andrea Michelle Urbina Solorzano</v>
          </cell>
        </row>
        <row r="2007">
          <cell r="F2007">
            <v>312310</v>
          </cell>
          <cell r="G2007" t="str">
            <v>Andrea Paola Santisteban Per</v>
          </cell>
        </row>
        <row r="2008">
          <cell r="F2008">
            <v>311079</v>
          </cell>
          <cell r="G2008" t="str">
            <v>Andrea Sucely Ortiz Villavicencio</v>
          </cell>
        </row>
        <row r="2009">
          <cell r="F2009">
            <v>311759</v>
          </cell>
          <cell r="G2009" t="str">
            <v>Andrea Yesenia Carpio Ramirez</v>
          </cell>
        </row>
        <row r="2010">
          <cell r="F2010">
            <v>313301</v>
          </cell>
          <cell r="G2010" t="str">
            <v>Andreina Antonieta Velasquez Fuentes</v>
          </cell>
        </row>
        <row r="2011">
          <cell r="F2011">
            <v>315450</v>
          </cell>
          <cell r="G2011" t="str">
            <v>Andreina Nataly Canahui Ochoa</v>
          </cell>
        </row>
        <row r="2012">
          <cell r="F2012">
            <v>314933</v>
          </cell>
          <cell r="G2012" t="str">
            <v>Angel Eliu Humberto Caal Lopez</v>
          </cell>
        </row>
        <row r="2013">
          <cell r="F2013">
            <v>306471</v>
          </cell>
          <cell r="G2013" t="str">
            <v>Angel Enmanuel Quim Macz</v>
          </cell>
        </row>
        <row r="2014">
          <cell r="F2014">
            <v>309415</v>
          </cell>
          <cell r="G2014" t="str">
            <v>Angel Jose Figueroa Garcia</v>
          </cell>
        </row>
        <row r="2015">
          <cell r="F2015">
            <v>315312</v>
          </cell>
          <cell r="G2015" t="str">
            <v>Angel Josue Ortiz De Leon</v>
          </cell>
        </row>
        <row r="2016">
          <cell r="F2016">
            <v>305814</v>
          </cell>
          <cell r="G2016" t="str">
            <v>Angel Josue Perez Rivera</v>
          </cell>
        </row>
        <row r="2017">
          <cell r="F2017">
            <v>314564</v>
          </cell>
          <cell r="G2017" t="str">
            <v>Angel Raderyk Vasquez Ovando</v>
          </cell>
        </row>
        <row r="2018">
          <cell r="F2018">
            <v>312055</v>
          </cell>
          <cell r="G2018" t="str">
            <v>Angela Daniela Mazariegos Herrera</v>
          </cell>
        </row>
        <row r="2019">
          <cell r="F2019">
            <v>311086</v>
          </cell>
          <cell r="G2019" t="str">
            <v>Angela Esmeralda Reyes Arriaza</v>
          </cell>
        </row>
        <row r="2020">
          <cell r="F2020">
            <v>309859</v>
          </cell>
          <cell r="G2020" t="str">
            <v>Angela Ester Gramajo Galicia</v>
          </cell>
        </row>
        <row r="2021">
          <cell r="F2021">
            <v>315026</v>
          </cell>
          <cell r="G2021" t="str">
            <v>Angela Marizol Ramon Escobar</v>
          </cell>
        </row>
        <row r="2022">
          <cell r="F2022">
            <v>314696</v>
          </cell>
          <cell r="G2022" t="str">
            <v>Angelica Sol Ortiz</v>
          </cell>
        </row>
        <row r="2023">
          <cell r="F2023">
            <v>311699</v>
          </cell>
          <cell r="G2023" t="str">
            <v>Anika Beira Domingo Escobar</v>
          </cell>
        </row>
        <row r="2024">
          <cell r="F2024">
            <v>315556</v>
          </cell>
          <cell r="G2024" t="str">
            <v>Anthony Enrique Castellanos Perez</v>
          </cell>
        </row>
        <row r="2025">
          <cell r="F2025">
            <v>315121</v>
          </cell>
          <cell r="G2025" t="str">
            <v>Antoni Alexis Del Cid Sian</v>
          </cell>
        </row>
        <row r="2026">
          <cell r="F2026">
            <v>311557</v>
          </cell>
          <cell r="G2026" t="str">
            <v>Aracely Nohemy Fuentes Alonzo</v>
          </cell>
        </row>
        <row r="2027">
          <cell r="F2027">
            <v>102256</v>
          </cell>
          <cell r="G2027" t="str">
            <v>Arelis Noemi Gonzalez Vivar</v>
          </cell>
        </row>
        <row r="2028">
          <cell r="F2028">
            <v>315150</v>
          </cell>
          <cell r="G2028" t="str">
            <v>Arely Maoly Aguilar Y Aguilar</v>
          </cell>
        </row>
        <row r="2029">
          <cell r="F2029">
            <v>309908</v>
          </cell>
          <cell r="G2029" t="str">
            <v>Arleth Julissa Paredez Ramirez</v>
          </cell>
        </row>
        <row r="2030">
          <cell r="F2030">
            <v>315532</v>
          </cell>
          <cell r="G2030" t="str">
            <v>Ashley Dayana Franco Sandoval</v>
          </cell>
        </row>
        <row r="2031">
          <cell r="F2031">
            <v>315493</v>
          </cell>
          <cell r="G2031" t="str">
            <v>Astrid Carolina Lopez Lopez</v>
          </cell>
        </row>
        <row r="2032">
          <cell r="F2032">
            <v>310020</v>
          </cell>
          <cell r="G2032" t="str">
            <v>Astrid Elena Alvarado Lopez</v>
          </cell>
        </row>
        <row r="2033">
          <cell r="F2033">
            <v>315277</v>
          </cell>
          <cell r="G2033" t="str">
            <v>Astrid Guadalupe Fernandez Perez</v>
          </cell>
        </row>
        <row r="2034">
          <cell r="F2034">
            <v>310483</v>
          </cell>
          <cell r="G2034" t="str">
            <v>Astrid Ivone Hernandez</v>
          </cell>
        </row>
        <row r="2035">
          <cell r="F2035">
            <v>309804</v>
          </cell>
          <cell r="G2035" t="str">
            <v>Astrid Leonela Barrios Velasquez</v>
          </cell>
        </row>
        <row r="2036">
          <cell r="F2036">
            <v>312146</v>
          </cell>
          <cell r="G2036" t="str">
            <v>Astrid Lisbeth Morales Morales</v>
          </cell>
        </row>
        <row r="2037">
          <cell r="F2037">
            <v>310967</v>
          </cell>
          <cell r="G2037" t="str">
            <v>Astrid Marielena Mendez Garcia</v>
          </cell>
        </row>
        <row r="2038">
          <cell r="F2038">
            <v>311328</v>
          </cell>
          <cell r="G2038" t="str">
            <v>Astrid Yohana Escobar Oliva</v>
          </cell>
        </row>
        <row r="2039">
          <cell r="F2039">
            <v>314277</v>
          </cell>
          <cell r="G2039" t="str">
            <v>Aura Josefina Coy Tiul</v>
          </cell>
        </row>
        <row r="2040">
          <cell r="F2040">
            <v>202265</v>
          </cell>
          <cell r="G2040" t="str">
            <v>Aura Leticia Aparicio Marin</v>
          </cell>
        </row>
        <row r="2041">
          <cell r="F2041">
            <v>314986</v>
          </cell>
          <cell r="G2041" t="str">
            <v>Aura Lourdes Garcia Gomez</v>
          </cell>
        </row>
        <row r="2042">
          <cell r="F2042">
            <v>314350</v>
          </cell>
          <cell r="G2042" t="str">
            <v>Aura Mirthala Castillo Castillo</v>
          </cell>
        </row>
        <row r="2043">
          <cell r="F2043">
            <v>313666</v>
          </cell>
          <cell r="G2043" t="str">
            <v>Avner Josue Merida Molina</v>
          </cell>
        </row>
        <row r="2044">
          <cell r="F2044">
            <v>315388</v>
          </cell>
          <cell r="G2044" t="str">
            <v>Axel Anderson Montufar Roca</v>
          </cell>
        </row>
        <row r="2045">
          <cell r="F2045">
            <v>314730</v>
          </cell>
          <cell r="G2045" t="str">
            <v>Axel Denilson Hernandez Tocay</v>
          </cell>
        </row>
        <row r="2046">
          <cell r="F2046">
            <v>315271</v>
          </cell>
          <cell r="G2046" t="str">
            <v>Axel Roberto Guzman Coro</v>
          </cell>
        </row>
        <row r="2047">
          <cell r="F2047">
            <v>308798</v>
          </cell>
          <cell r="G2047" t="str">
            <v>Axel Wilfredo Caal Coy</v>
          </cell>
        </row>
        <row r="2048">
          <cell r="F2048">
            <v>307068</v>
          </cell>
          <cell r="G2048" t="str">
            <v>Azucena Raquel Luis Perez</v>
          </cell>
        </row>
        <row r="2049">
          <cell r="F2049">
            <v>313706</v>
          </cell>
          <cell r="G2049" t="str">
            <v>Barbara Alejandra Toj Romero</v>
          </cell>
        </row>
        <row r="2050">
          <cell r="F2050">
            <v>311943</v>
          </cell>
          <cell r="G2050" t="str">
            <v>Beberli Yuceli Gomez Davila</v>
          </cell>
        </row>
        <row r="2051">
          <cell r="F2051">
            <v>311141</v>
          </cell>
          <cell r="G2051" t="str">
            <v>Beberlin Dayana Veron Garcia</v>
          </cell>
        </row>
        <row r="2052">
          <cell r="F2052">
            <v>312544</v>
          </cell>
          <cell r="G2052" t="str">
            <v>Beberly Angeaneth Gonzalez Ruiz</v>
          </cell>
        </row>
        <row r="2053">
          <cell r="F2053">
            <v>309965</v>
          </cell>
          <cell r="G2053" t="str">
            <v>Beberly Karina Ramirez Ismatul</v>
          </cell>
        </row>
        <row r="2054">
          <cell r="F2054">
            <v>313675</v>
          </cell>
          <cell r="G2054" t="str">
            <v>Beberly Salvador Zuñiga</v>
          </cell>
        </row>
        <row r="2055">
          <cell r="F2055">
            <v>311623</v>
          </cell>
          <cell r="G2055" t="str">
            <v>Belgica Lizeth Can Guitz</v>
          </cell>
        </row>
        <row r="2056">
          <cell r="F2056">
            <v>314219</v>
          </cell>
          <cell r="G2056" t="str">
            <v>Berta Leticia Yapan Pelen</v>
          </cell>
        </row>
        <row r="2057">
          <cell r="F2057">
            <v>314495</v>
          </cell>
          <cell r="G2057" t="str">
            <v>Bertha Lidia Morataya Diaz</v>
          </cell>
        </row>
        <row r="2058">
          <cell r="F2058">
            <v>310116</v>
          </cell>
          <cell r="G2058" t="str">
            <v>Bertha Rosalba Gabriel Vasquez</v>
          </cell>
        </row>
        <row r="2059">
          <cell r="F2059">
            <v>312164</v>
          </cell>
          <cell r="G2059" t="str">
            <v>Betzy Dayana Gutierrez Chon</v>
          </cell>
        </row>
        <row r="2060">
          <cell r="F2060">
            <v>314695</v>
          </cell>
          <cell r="G2060" t="str">
            <v>Beverly Jeanette Panjoj Tiriquiz</v>
          </cell>
        </row>
        <row r="2061">
          <cell r="F2061">
            <v>305070</v>
          </cell>
          <cell r="G2061" t="str">
            <v>Beverly Walesca Morales Ibarra</v>
          </cell>
        </row>
        <row r="2062">
          <cell r="F2062">
            <v>314496</v>
          </cell>
          <cell r="G2062" t="str">
            <v>Blanca Cristina Saquic Ac</v>
          </cell>
        </row>
        <row r="2063">
          <cell r="F2063">
            <v>310463</v>
          </cell>
          <cell r="G2063" t="str">
            <v>Blanca Olinda Quintanilla Godoy</v>
          </cell>
        </row>
        <row r="2064">
          <cell r="F2064">
            <v>315542</v>
          </cell>
          <cell r="G2064" t="str">
            <v>Brandon Alberto Jerez Cajas</v>
          </cell>
        </row>
        <row r="2065">
          <cell r="F2065">
            <v>313655</v>
          </cell>
          <cell r="G2065" t="str">
            <v>Brandon Antonio Alvarez Lopez</v>
          </cell>
        </row>
        <row r="2066">
          <cell r="F2066">
            <v>311035</v>
          </cell>
          <cell r="G2066" t="str">
            <v>Brandon Ivan De Mata Monzon</v>
          </cell>
        </row>
        <row r="2067">
          <cell r="F2067">
            <v>315227</v>
          </cell>
          <cell r="G2067" t="str">
            <v>Brayan Alexander Lopez Garcia</v>
          </cell>
        </row>
        <row r="2068">
          <cell r="F2068">
            <v>311689</v>
          </cell>
          <cell r="G2068" t="str">
            <v>Brayan Alexander Recancoy Ramos</v>
          </cell>
        </row>
        <row r="2069">
          <cell r="F2069">
            <v>314853</v>
          </cell>
          <cell r="G2069" t="str">
            <v>Brayan Dennis Lopez Puac</v>
          </cell>
        </row>
        <row r="2070">
          <cell r="F2070">
            <v>310812</v>
          </cell>
          <cell r="G2070" t="str">
            <v>Brayan Franklin Lopez Alvarez</v>
          </cell>
        </row>
        <row r="2071">
          <cell r="F2071">
            <v>308857</v>
          </cell>
          <cell r="G2071" t="str">
            <v>Brenda Elizabeth Sanchez Barrientos</v>
          </cell>
        </row>
        <row r="2072">
          <cell r="F2072">
            <v>305633</v>
          </cell>
          <cell r="G2072" t="str">
            <v>Brenda Esmeralda Alvarado Pascual</v>
          </cell>
        </row>
        <row r="2073">
          <cell r="F2073">
            <v>311220</v>
          </cell>
          <cell r="G2073" t="str">
            <v>Brenda Karina Coxaj Peinado</v>
          </cell>
        </row>
        <row r="2074">
          <cell r="F2074">
            <v>314642</v>
          </cell>
          <cell r="G2074" t="str">
            <v>Brenda Liseth Ixcoy Tulujan</v>
          </cell>
        </row>
        <row r="2075">
          <cell r="F2075">
            <v>304427</v>
          </cell>
          <cell r="G2075" t="str">
            <v>Brenda Lucrecia Lopez Gonzalez</v>
          </cell>
        </row>
        <row r="2076">
          <cell r="F2076">
            <v>315536</v>
          </cell>
          <cell r="G2076" t="str">
            <v>Brenda Lucrecia Ruiz Sanchez</v>
          </cell>
        </row>
        <row r="2077">
          <cell r="F2077">
            <v>310019</v>
          </cell>
          <cell r="G2077" t="str">
            <v>Brenda Maribel Montenegro Reyes</v>
          </cell>
        </row>
        <row r="2078">
          <cell r="F2078">
            <v>301074</v>
          </cell>
          <cell r="G2078" t="str">
            <v>Brenda Marisol Aguilar Patzan</v>
          </cell>
        </row>
        <row r="2079">
          <cell r="F2079">
            <v>313843</v>
          </cell>
          <cell r="G2079" t="str">
            <v>Brenda Marisol Sanchez Chivalan</v>
          </cell>
        </row>
        <row r="2080">
          <cell r="F2080">
            <v>309042</v>
          </cell>
          <cell r="G2080" t="str">
            <v>Brenda Perez Morales</v>
          </cell>
        </row>
        <row r="2081">
          <cell r="F2081">
            <v>306259</v>
          </cell>
          <cell r="G2081" t="str">
            <v>Brenda Raquel Ramirez Sanchez</v>
          </cell>
        </row>
        <row r="2082">
          <cell r="F2082">
            <v>315398</v>
          </cell>
          <cell r="G2082" t="str">
            <v>Bretany Celeste Ramirez Monroy</v>
          </cell>
        </row>
        <row r="2083">
          <cell r="F2083">
            <v>313436</v>
          </cell>
          <cell r="G2083" t="str">
            <v>Brian Baudilio Orozco Perez</v>
          </cell>
        </row>
        <row r="2084">
          <cell r="F2084">
            <v>310691</v>
          </cell>
          <cell r="G2084" t="str">
            <v>Brisley Cristina Ortiz Zelada</v>
          </cell>
        </row>
        <row r="2085">
          <cell r="F2085">
            <v>314290</v>
          </cell>
          <cell r="G2085" t="str">
            <v>Bryan Alexander Emanuel Orozco Lancerio</v>
          </cell>
        </row>
        <row r="2086">
          <cell r="F2086">
            <v>315133</v>
          </cell>
          <cell r="G2086" t="str">
            <v>Bryan Daniel Milián De Leon</v>
          </cell>
        </row>
        <row r="2087">
          <cell r="F2087">
            <v>307335</v>
          </cell>
          <cell r="G2087" t="str">
            <v>Bryllan Armando Sierra Sierra</v>
          </cell>
        </row>
        <row r="2088">
          <cell r="F2088">
            <v>314864</v>
          </cell>
          <cell r="G2088" t="str">
            <v>Byron Estuardo Paredes Villela</v>
          </cell>
        </row>
        <row r="2089">
          <cell r="F2089">
            <v>313648</v>
          </cell>
          <cell r="G2089" t="str">
            <v>Byron Giovanni Veliz Vasquez</v>
          </cell>
        </row>
        <row r="2090">
          <cell r="F2090">
            <v>303766</v>
          </cell>
          <cell r="G2090" t="str">
            <v>Byron Josue Moscoso Vega</v>
          </cell>
        </row>
        <row r="2091">
          <cell r="F2091">
            <v>313985</v>
          </cell>
          <cell r="G2091" t="str">
            <v>Byron Mauricio Amezquita Rivas</v>
          </cell>
        </row>
        <row r="2092">
          <cell r="F2092">
            <v>315267</v>
          </cell>
          <cell r="G2092" t="str">
            <v>Carla Esmeralda Candido Gonzalez</v>
          </cell>
        </row>
        <row r="2093">
          <cell r="F2093">
            <v>314451</v>
          </cell>
          <cell r="G2093" t="str">
            <v>Carla Fernanda Fernandez Lopez</v>
          </cell>
        </row>
        <row r="2094">
          <cell r="F2094">
            <v>312153</v>
          </cell>
          <cell r="G2094" t="str">
            <v>Carlos Adalberto Diaz Escobar</v>
          </cell>
        </row>
        <row r="2095">
          <cell r="F2095">
            <v>315125</v>
          </cell>
          <cell r="G2095" t="str">
            <v>Carlos Alberto Galvez Hernandez</v>
          </cell>
        </row>
        <row r="2096">
          <cell r="F2096">
            <v>314135</v>
          </cell>
          <cell r="G2096" t="str">
            <v>Carlos Alberto Guzman Hernandez</v>
          </cell>
        </row>
        <row r="2097">
          <cell r="F2097">
            <v>315051</v>
          </cell>
          <cell r="G2097" t="str">
            <v>Carlos Alfredo Catun Rax</v>
          </cell>
        </row>
        <row r="2098">
          <cell r="F2098">
            <v>309822</v>
          </cell>
          <cell r="G2098" t="str">
            <v>Carlos Anibal Caal Tux</v>
          </cell>
        </row>
        <row r="2099">
          <cell r="F2099">
            <v>302371</v>
          </cell>
          <cell r="G2099" t="str">
            <v>Carlos Arturo Straube Lopez</v>
          </cell>
        </row>
        <row r="2100">
          <cell r="F2100">
            <v>314738</v>
          </cell>
          <cell r="G2100" t="str">
            <v>Carlos David Castillo Gamboa</v>
          </cell>
        </row>
        <row r="2101">
          <cell r="F2101">
            <v>315158</v>
          </cell>
          <cell r="G2101" t="str">
            <v>Carlos Emilio Cumez Chenol</v>
          </cell>
        </row>
        <row r="2102">
          <cell r="F2102">
            <v>312533</v>
          </cell>
          <cell r="G2102" t="str">
            <v>Carlos Enrique Coz Toc</v>
          </cell>
        </row>
        <row r="2103">
          <cell r="F2103">
            <v>314773</v>
          </cell>
          <cell r="G2103" t="str">
            <v>Carlos Enrique Ramirez Lopez</v>
          </cell>
        </row>
        <row r="2104">
          <cell r="F2104">
            <v>313303</v>
          </cell>
          <cell r="G2104" t="str">
            <v>Carlos Enrique Vasquez Esteban</v>
          </cell>
        </row>
        <row r="2105">
          <cell r="F2105">
            <v>314841</v>
          </cell>
          <cell r="G2105" t="str">
            <v>Carlos Estuardo Campos Asig</v>
          </cell>
        </row>
        <row r="2106">
          <cell r="F2106">
            <v>308075</v>
          </cell>
          <cell r="G2106" t="str">
            <v>Carlos Humberto De Paz Paiz</v>
          </cell>
        </row>
        <row r="2107">
          <cell r="F2107">
            <v>314441</v>
          </cell>
          <cell r="G2107" t="str">
            <v>Carlos Josue Perez Garcia</v>
          </cell>
        </row>
        <row r="2108">
          <cell r="F2108">
            <v>202153</v>
          </cell>
          <cell r="G2108" t="str">
            <v>Carlos Leonel Corado Sosa</v>
          </cell>
        </row>
        <row r="2109">
          <cell r="F2109">
            <v>313324</v>
          </cell>
          <cell r="G2109" t="str">
            <v>Carlos Miguel Carrillo Perez</v>
          </cell>
        </row>
        <row r="2110">
          <cell r="F2110">
            <v>310535</v>
          </cell>
          <cell r="G2110" t="str">
            <v>Carlos Oliverio Ortiz Villalobos</v>
          </cell>
        </row>
        <row r="2111">
          <cell r="F2111">
            <v>315501</v>
          </cell>
          <cell r="G2111" t="str">
            <v>Carlos Onofre Sierra Vasquez</v>
          </cell>
        </row>
        <row r="2112">
          <cell r="F2112">
            <v>313844</v>
          </cell>
          <cell r="G2112" t="str">
            <v>Carlos Raul Pedroza Lopez</v>
          </cell>
        </row>
        <row r="2113">
          <cell r="F2113">
            <v>315111</v>
          </cell>
          <cell r="G2113" t="str">
            <v>Carlos Roberto Arana Garcia</v>
          </cell>
        </row>
        <row r="2114">
          <cell r="F2114">
            <v>304522</v>
          </cell>
          <cell r="G2114" t="str">
            <v>Carlos Saul Santizo Lopez</v>
          </cell>
        </row>
        <row r="2115">
          <cell r="F2115">
            <v>315182</v>
          </cell>
          <cell r="G2115" t="str">
            <v>Carmen Amalia Macario Rixtun</v>
          </cell>
        </row>
        <row r="2116">
          <cell r="F2116">
            <v>311800</v>
          </cell>
          <cell r="G2116" t="str">
            <v>Carmen Elizabeth Vargas Tun</v>
          </cell>
        </row>
        <row r="2117">
          <cell r="F2117">
            <v>312849</v>
          </cell>
          <cell r="G2117" t="str">
            <v>Carmen Liliana Subuyuj Ordoñez</v>
          </cell>
        </row>
        <row r="2118">
          <cell r="F2118">
            <v>315498</v>
          </cell>
          <cell r="G2118" t="str">
            <v>Carolina Azucena Lima Contreras</v>
          </cell>
        </row>
        <row r="2119">
          <cell r="F2119">
            <v>312692</v>
          </cell>
          <cell r="G2119" t="str">
            <v>Catarina Del Rosario Lopez Taquiej</v>
          </cell>
        </row>
        <row r="2120">
          <cell r="F2120">
            <v>314287</v>
          </cell>
          <cell r="G2120" t="str">
            <v>Caterin Berenise Cayax Atz</v>
          </cell>
        </row>
        <row r="2121">
          <cell r="F2121">
            <v>313662</v>
          </cell>
          <cell r="G2121" t="str">
            <v>Catirin Marbella Juarez Garcia</v>
          </cell>
        </row>
        <row r="2122">
          <cell r="F2122">
            <v>307766</v>
          </cell>
          <cell r="G2122" t="str">
            <v>Cecia Amabil Lopez Valencia</v>
          </cell>
        </row>
        <row r="2123">
          <cell r="F2123">
            <v>311730</v>
          </cell>
          <cell r="G2123" t="str">
            <v>Cecilia Margoth Lopez Raymundo</v>
          </cell>
        </row>
        <row r="2124">
          <cell r="F2124">
            <v>314955</v>
          </cell>
          <cell r="G2124" t="str">
            <v>Celia Esperanza Arroyo Chiche</v>
          </cell>
        </row>
        <row r="2125">
          <cell r="F2125">
            <v>310950</v>
          </cell>
          <cell r="G2125" t="str">
            <v>Cendy Regina Axulen Gonzalez</v>
          </cell>
        </row>
        <row r="2126">
          <cell r="F2126">
            <v>314640</v>
          </cell>
          <cell r="G2126" t="str">
            <v>Cesar Estuardo Perez Monterroso</v>
          </cell>
        </row>
        <row r="2127">
          <cell r="F2127">
            <v>300192</v>
          </cell>
          <cell r="G2127" t="str">
            <v>Cesar Fernando Reyna Almengor</v>
          </cell>
        </row>
        <row r="2128">
          <cell r="F2128">
            <v>313484</v>
          </cell>
          <cell r="G2128" t="str">
            <v>Cesar Geovanni Tuc Sum</v>
          </cell>
        </row>
        <row r="2129">
          <cell r="F2129">
            <v>303330</v>
          </cell>
          <cell r="G2129" t="str">
            <v>Cesar Geovanny De Leon Palacios</v>
          </cell>
        </row>
        <row r="2130">
          <cell r="F2130">
            <v>314446</v>
          </cell>
          <cell r="G2130" t="str">
            <v>Cesar Humberto Cazun Hernandez</v>
          </cell>
        </row>
        <row r="2131">
          <cell r="F2131">
            <v>314900</v>
          </cell>
          <cell r="G2131" t="str">
            <v>Cesar Oliverio Orozco Flores</v>
          </cell>
        </row>
        <row r="2132">
          <cell r="F2132">
            <v>311692</v>
          </cell>
          <cell r="G2132" t="str">
            <v>Cesia Paola Marroquin Sanchez</v>
          </cell>
        </row>
        <row r="2133">
          <cell r="F2133">
            <v>315401</v>
          </cell>
          <cell r="G2133" t="str">
            <v>Christa Maria Belen Barrera Mazariegos</v>
          </cell>
        </row>
        <row r="2134">
          <cell r="F2134">
            <v>315509</v>
          </cell>
          <cell r="G2134" t="str">
            <v>Christiam Daniel Arroyo Cisneros</v>
          </cell>
        </row>
        <row r="2135">
          <cell r="F2135">
            <v>310362</v>
          </cell>
          <cell r="G2135" t="str">
            <v>Christian Alejandro Tistoj Lopez</v>
          </cell>
        </row>
        <row r="2136">
          <cell r="F2136">
            <v>315525</v>
          </cell>
          <cell r="G2136" t="str">
            <v>Christian Bladimir Panjoj Mejia</v>
          </cell>
        </row>
        <row r="2137">
          <cell r="F2137">
            <v>314565</v>
          </cell>
          <cell r="G2137" t="str">
            <v>Christian Eduardo Celada Orellana</v>
          </cell>
        </row>
        <row r="2138">
          <cell r="F2138">
            <v>309907</v>
          </cell>
          <cell r="G2138" t="str">
            <v>Christofer Antonio Chali Bacajol</v>
          </cell>
        </row>
        <row r="2139">
          <cell r="F2139">
            <v>312703</v>
          </cell>
          <cell r="G2139" t="str">
            <v>Cindy Aracely Ruano Can</v>
          </cell>
        </row>
        <row r="2140">
          <cell r="F2140">
            <v>307760</v>
          </cell>
          <cell r="G2140" t="str">
            <v>Cindy Beatriz Reyes De Leon</v>
          </cell>
        </row>
        <row r="2141">
          <cell r="F2141">
            <v>312950</v>
          </cell>
          <cell r="G2141" t="str">
            <v>Cindy Carolina Sandoval Ruiz</v>
          </cell>
        </row>
        <row r="2142">
          <cell r="F2142">
            <v>312302</v>
          </cell>
          <cell r="G2142" t="str">
            <v>Cindy Gabriela Chanchavac Mejia</v>
          </cell>
        </row>
        <row r="2143">
          <cell r="F2143">
            <v>315484</v>
          </cell>
          <cell r="G2143" t="str">
            <v>Cindy Gabriela Perez</v>
          </cell>
        </row>
        <row r="2144">
          <cell r="F2144">
            <v>312872</v>
          </cell>
          <cell r="G2144" t="str">
            <v>Cindy Judith Urizar Davila</v>
          </cell>
        </row>
        <row r="2145">
          <cell r="F2145">
            <v>312532</v>
          </cell>
          <cell r="G2145" t="str">
            <v>Cindy Melissa Cordon Alfaro</v>
          </cell>
        </row>
        <row r="2146">
          <cell r="F2146">
            <v>314028</v>
          </cell>
          <cell r="G2146" t="str">
            <v>Cindy Paola Garcia Monroy</v>
          </cell>
        </row>
        <row r="2147">
          <cell r="F2147">
            <v>314689</v>
          </cell>
          <cell r="G2147" t="str">
            <v>Cindy Veronica Bran Polanco</v>
          </cell>
        </row>
        <row r="2148">
          <cell r="F2148">
            <v>314409</v>
          </cell>
          <cell r="G2148" t="str">
            <v>Cindy Yenibeth Cano Claudio</v>
          </cell>
        </row>
        <row r="2149">
          <cell r="F2149">
            <v>310946</v>
          </cell>
          <cell r="G2149" t="str">
            <v>Cindy Yesenia Morales Quevedo De Abril</v>
          </cell>
        </row>
        <row r="2150">
          <cell r="F2150">
            <v>312831</v>
          </cell>
          <cell r="G2150" t="str">
            <v>Cindy Yojana Mendoza Cajas</v>
          </cell>
        </row>
        <row r="2151">
          <cell r="F2151">
            <v>312181</v>
          </cell>
          <cell r="G2151" t="str">
            <v>Clara Elizabeth Joge Torres</v>
          </cell>
        </row>
        <row r="2152">
          <cell r="F2152">
            <v>310768</v>
          </cell>
          <cell r="G2152" t="str">
            <v>Clara Lorena Perez Hernandez</v>
          </cell>
        </row>
        <row r="2153">
          <cell r="F2153">
            <v>315453</v>
          </cell>
          <cell r="G2153" t="str">
            <v>Claudia Analy Argueta Matias</v>
          </cell>
        </row>
        <row r="2154">
          <cell r="F2154">
            <v>306444</v>
          </cell>
          <cell r="G2154" t="str">
            <v>Claudia Dolores Barcenas Guillen</v>
          </cell>
        </row>
        <row r="2155">
          <cell r="F2155">
            <v>301809</v>
          </cell>
          <cell r="G2155" t="str">
            <v>Claudia Eugenia Chavarria Ramos</v>
          </cell>
        </row>
        <row r="2156">
          <cell r="F2156">
            <v>311808</v>
          </cell>
          <cell r="G2156" t="str">
            <v>Claudia Lorena Quino Isaguirre</v>
          </cell>
        </row>
        <row r="2157">
          <cell r="F2157">
            <v>314574</v>
          </cell>
          <cell r="G2157" t="str">
            <v>Claudia Marisol Esquivel Ramirez</v>
          </cell>
        </row>
        <row r="2158">
          <cell r="F2158">
            <v>313613</v>
          </cell>
          <cell r="G2158" t="str">
            <v>Claudia Noemi Marroquin Perez</v>
          </cell>
        </row>
        <row r="2159">
          <cell r="F2159">
            <v>306569</v>
          </cell>
          <cell r="G2159" t="str">
            <v>Claudia Susana Garcia</v>
          </cell>
        </row>
        <row r="2160">
          <cell r="F2160">
            <v>311441</v>
          </cell>
          <cell r="G2160" t="str">
            <v>Claudia Yaneth Hidalgo Gonzalez</v>
          </cell>
        </row>
        <row r="2161">
          <cell r="F2161">
            <v>303265</v>
          </cell>
          <cell r="G2161" t="str">
            <v>Claudia Yesenia Pinto Picen</v>
          </cell>
        </row>
        <row r="2162">
          <cell r="F2162">
            <v>313318</v>
          </cell>
          <cell r="G2162" t="str">
            <v>Claudia Yesenia Ramos Perez</v>
          </cell>
        </row>
        <row r="2163">
          <cell r="F2163">
            <v>309535</v>
          </cell>
          <cell r="G2163" t="str">
            <v>Coralia Brenda Judith Ruano Hernandez</v>
          </cell>
        </row>
        <row r="2164">
          <cell r="F2164">
            <v>310711</v>
          </cell>
          <cell r="G2164" t="str">
            <v>Cristian Alfredo Jimenez Quino</v>
          </cell>
        </row>
        <row r="2165">
          <cell r="F2165">
            <v>312995</v>
          </cell>
          <cell r="G2165" t="str">
            <v>Cristian Esleiter Zuleta Batres</v>
          </cell>
        </row>
        <row r="2166">
          <cell r="F2166">
            <v>314701</v>
          </cell>
          <cell r="G2166" t="str">
            <v>Cristian Orlando Leonardo Cortez</v>
          </cell>
        </row>
        <row r="2167">
          <cell r="F2167">
            <v>314612</v>
          </cell>
          <cell r="G2167" t="str">
            <v>Cristian Romulo Rolando Cojulun Barrera</v>
          </cell>
        </row>
        <row r="2168">
          <cell r="F2168">
            <v>314468</v>
          </cell>
          <cell r="G2168" t="str">
            <v>Cristian Salvador Perez Quiroa</v>
          </cell>
        </row>
        <row r="2169">
          <cell r="F2169">
            <v>314670</v>
          </cell>
          <cell r="G2169" t="str">
            <v>Cristian Tomas Chuc Perez</v>
          </cell>
        </row>
        <row r="2170">
          <cell r="F2170">
            <v>315578</v>
          </cell>
          <cell r="G2170" t="str">
            <v>Cristian Ubaldo De Leon Ramirez</v>
          </cell>
        </row>
        <row r="2171">
          <cell r="F2171">
            <v>307449</v>
          </cell>
          <cell r="G2171" t="str">
            <v>Cristina De Jesus Hernandez Macajola</v>
          </cell>
        </row>
        <row r="2172">
          <cell r="F2172">
            <v>306823</v>
          </cell>
          <cell r="G2172" t="str">
            <v>Cristina Mariela Sapon Morales</v>
          </cell>
        </row>
        <row r="2173">
          <cell r="F2173">
            <v>313589</v>
          </cell>
          <cell r="G2173" t="str">
            <v>Cristobal Vinicio Chacon Rosana</v>
          </cell>
        </row>
        <row r="2174">
          <cell r="F2174">
            <v>310386</v>
          </cell>
          <cell r="G2174" t="str">
            <v>Cristy Charito Bran Guerra</v>
          </cell>
        </row>
        <row r="2175">
          <cell r="F2175">
            <v>314883</v>
          </cell>
          <cell r="G2175" t="str">
            <v>Cynthia Guisela Samayoa Aldana</v>
          </cell>
        </row>
        <row r="2176">
          <cell r="F2176">
            <v>313709</v>
          </cell>
          <cell r="G2176" t="str">
            <v>Cynthia Marisol Gonzalez Vargas</v>
          </cell>
        </row>
        <row r="2177">
          <cell r="F2177">
            <v>314097</v>
          </cell>
          <cell r="G2177" t="str">
            <v>Cynthia Rosaura Cruz Cosajay</v>
          </cell>
        </row>
        <row r="2178">
          <cell r="F2178">
            <v>314981</v>
          </cell>
          <cell r="G2178" t="str">
            <v>Dalila Marisol Ramos Galan</v>
          </cell>
        </row>
        <row r="2179">
          <cell r="F2179">
            <v>308765</v>
          </cell>
          <cell r="G2179" t="str">
            <v>Damaris Abigail Garcia Perez</v>
          </cell>
        </row>
        <row r="2180">
          <cell r="F2180">
            <v>315256</v>
          </cell>
          <cell r="G2180" t="str">
            <v>Damaris Abigail Urizar Martinez</v>
          </cell>
        </row>
        <row r="2181">
          <cell r="F2181">
            <v>312949</v>
          </cell>
          <cell r="G2181" t="str">
            <v>Damaris Liseth Sagastume Pinto</v>
          </cell>
        </row>
        <row r="2182">
          <cell r="F2182">
            <v>314411</v>
          </cell>
          <cell r="G2182" t="str">
            <v>Damaris Paola Gonzalez Gallardo</v>
          </cell>
        </row>
        <row r="2183">
          <cell r="F2183">
            <v>314179</v>
          </cell>
          <cell r="G2183" t="str">
            <v>Damaris Sucely Mendez Roche</v>
          </cell>
        </row>
        <row r="2184">
          <cell r="F2184">
            <v>314276</v>
          </cell>
          <cell r="G2184" t="str">
            <v>Damaris Violeta Gonzalez Miguel</v>
          </cell>
        </row>
        <row r="2185">
          <cell r="F2185">
            <v>313514</v>
          </cell>
          <cell r="G2185" t="str">
            <v>Danae Melissa Xitumul Ruiz</v>
          </cell>
        </row>
        <row r="2186">
          <cell r="F2186">
            <v>313868</v>
          </cell>
          <cell r="G2186" t="str">
            <v>Danely Arleth Rubin Escobar</v>
          </cell>
        </row>
        <row r="2187">
          <cell r="F2187">
            <v>315480</v>
          </cell>
          <cell r="G2187" t="str">
            <v>Daneylie Abigalie Dardon Gomez</v>
          </cell>
        </row>
        <row r="2188">
          <cell r="F2188">
            <v>314406</v>
          </cell>
          <cell r="G2188" t="str">
            <v>Daniel Abrahan Castillo Hernandez</v>
          </cell>
        </row>
        <row r="2189">
          <cell r="F2189">
            <v>314646</v>
          </cell>
          <cell r="G2189" t="str">
            <v>Daniel Alfredo Aguirre Marroquin</v>
          </cell>
        </row>
        <row r="2190">
          <cell r="F2190">
            <v>305521</v>
          </cell>
          <cell r="G2190" t="str">
            <v>Daniel Antonio Aceituno Paredes</v>
          </cell>
        </row>
        <row r="2191">
          <cell r="F2191">
            <v>315568</v>
          </cell>
          <cell r="G2191" t="str">
            <v>Daniel Isai Moran Lima</v>
          </cell>
        </row>
        <row r="2192">
          <cell r="F2192">
            <v>310374</v>
          </cell>
          <cell r="G2192" t="str">
            <v>Daniela Amarilis Davila Juarez</v>
          </cell>
        </row>
        <row r="2193">
          <cell r="F2193">
            <v>315104</v>
          </cell>
          <cell r="G2193" t="str">
            <v>Dany Adalberto Choc Bac</v>
          </cell>
        </row>
        <row r="2194">
          <cell r="F2194">
            <v>314807</v>
          </cell>
          <cell r="G2194" t="str">
            <v>Daomi Mishel Larios Morales</v>
          </cell>
        </row>
        <row r="2195">
          <cell r="F2195">
            <v>312391</v>
          </cell>
          <cell r="G2195" t="str">
            <v>Daphne Pamela Lopez Rodriguez</v>
          </cell>
        </row>
        <row r="2196">
          <cell r="F2196">
            <v>312172</v>
          </cell>
          <cell r="G2196" t="str">
            <v>Darbin Alejandro Soto Rodriguez</v>
          </cell>
        </row>
        <row r="2197">
          <cell r="F2197">
            <v>314845</v>
          </cell>
          <cell r="G2197" t="str">
            <v>Darissa Anahi Galindo Monzon</v>
          </cell>
        </row>
        <row r="2198">
          <cell r="F2198">
            <v>312419</v>
          </cell>
          <cell r="G2198" t="str">
            <v>Darli Asuceli Florian Garcia</v>
          </cell>
        </row>
        <row r="2199">
          <cell r="F2199">
            <v>312836</v>
          </cell>
          <cell r="G2199" t="str">
            <v>Darlin Estefany Coyoy Rivas</v>
          </cell>
        </row>
        <row r="2200">
          <cell r="F2200">
            <v>312077</v>
          </cell>
          <cell r="G2200" t="str">
            <v>Darlin Pamela Aguilar De La Cruz</v>
          </cell>
        </row>
        <row r="2201">
          <cell r="F2201">
            <v>314775</v>
          </cell>
          <cell r="G2201" t="str">
            <v>Darlyn Dayanara Cortez Ramirez</v>
          </cell>
        </row>
        <row r="2202">
          <cell r="F2202">
            <v>312223</v>
          </cell>
          <cell r="G2202" t="str">
            <v>Darlyn Guadalupe Barrios Yax</v>
          </cell>
        </row>
        <row r="2203">
          <cell r="F2203">
            <v>309926</v>
          </cell>
          <cell r="G2203" t="str">
            <v>Darwin Alexis Ponciano Cruz</v>
          </cell>
        </row>
        <row r="2204">
          <cell r="F2204">
            <v>315167</v>
          </cell>
          <cell r="G2204" t="str">
            <v>Darwin Omar Cabrera Cheguen</v>
          </cell>
        </row>
        <row r="2205">
          <cell r="F2205">
            <v>310390</v>
          </cell>
          <cell r="G2205" t="str">
            <v>Dauris Yomira Tellechea Lopez</v>
          </cell>
        </row>
        <row r="2206">
          <cell r="F2206">
            <v>202076</v>
          </cell>
          <cell r="G2206" t="str">
            <v>David De Jesus Quel Orozco</v>
          </cell>
        </row>
        <row r="2207">
          <cell r="F2207">
            <v>314891</v>
          </cell>
          <cell r="G2207" t="str">
            <v>David Emanuel Cachin Morales</v>
          </cell>
        </row>
        <row r="2208">
          <cell r="F2208">
            <v>309831</v>
          </cell>
          <cell r="G2208" t="str">
            <v>David Mejia Vicente</v>
          </cell>
        </row>
        <row r="2209">
          <cell r="F2209">
            <v>315533</v>
          </cell>
          <cell r="G2209" t="str">
            <v>Dayana Paola Lopez Bolanos</v>
          </cell>
        </row>
        <row r="2210">
          <cell r="F2210">
            <v>314017</v>
          </cell>
          <cell r="G2210" t="str">
            <v>Dayanna Beatriz Cachupe Chavac</v>
          </cell>
        </row>
        <row r="2211">
          <cell r="F2211">
            <v>314852</v>
          </cell>
          <cell r="G2211" t="str">
            <v>Daylin Ambrocia Cruz Lopez</v>
          </cell>
        </row>
        <row r="2212">
          <cell r="F2212">
            <v>313408</v>
          </cell>
          <cell r="G2212" t="str">
            <v>Dayne Dalu Sanchez Hernandez</v>
          </cell>
        </row>
        <row r="2213">
          <cell r="F2213">
            <v>315552</v>
          </cell>
          <cell r="G2213" t="str">
            <v>Debora Eunice Tzay Chuluc</v>
          </cell>
        </row>
        <row r="2214">
          <cell r="F2214">
            <v>313629</v>
          </cell>
          <cell r="G2214" t="str">
            <v>Debora Madahi Escobar Gomez</v>
          </cell>
        </row>
        <row r="2215">
          <cell r="F2215">
            <v>315270</v>
          </cell>
          <cell r="G2215" t="str">
            <v>Debora Paola Sepez Cuc</v>
          </cell>
        </row>
        <row r="2216">
          <cell r="F2216">
            <v>314353</v>
          </cell>
          <cell r="G2216" t="str">
            <v>Deisy Gabriela Pineda Paiz</v>
          </cell>
        </row>
        <row r="2217">
          <cell r="F2217">
            <v>302751</v>
          </cell>
          <cell r="G2217" t="str">
            <v>Delia Virginia Piedrasanta Parra</v>
          </cell>
        </row>
        <row r="2218">
          <cell r="F2218">
            <v>201031</v>
          </cell>
          <cell r="G2218" t="str">
            <v>Delio Maynor Lopez Barrios</v>
          </cell>
        </row>
        <row r="2219">
          <cell r="F2219">
            <v>311758</v>
          </cell>
          <cell r="G2219" t="str">
            <v>Delmy Fabiola Orellana Barrientos</v>
          </cell>
        </row>
        <row r="2220">
          <cell r="F2220">
            <v>307870</v>
          </cell>
          <cell r="G2220" t="str">
            <v>Delmy Francisca Lopez Perez</v>
          </cell>
        </row>
        <row r="2221">
          <cell r="F2221">
            <v>314901</v>
          </cell>
          <cell r="G2221" t="str">
            <v>Delmy Vanesa Morales Ramirez</v>
          </cell>
        </row>
        <row r="2222">
          <cell r="F2222">
            <v>306256</v>
          </cell>
          <cell r="G2222" t="str">
            <v>Delwin Leonel Vasquez Barrera</v>
          </cell>
        </row>
        <row r="2223">
          <cell r="F2223">
            <v>314540</v>
          </cell>
          <cell r="G2223" t="str">
            <v>Denilson Laureano De Paz Galdamez</v>
          </cell>
        </row>
        <row r="2224">
          <cell r="F2224">
            <v>312158</v>
          </cell>
          <cell r="G2224" t="str">
            <v>Derick Juan David Coti Camas</v>
          </cell>
        </row>
        <row r="2225">
          <cell r="F2225">
            <v>315437</v>
          </cell>
          <cell r="G2225" t="str">
            <v>Deysi Liliana Caal Oxom</v>
          </cell>
        </row>
        <row r="2226">
          <cell r="F2226">
            <v>309692</v>
          </cell>
          <cell r="G2226" t="str">
            <v>Deysi Margoth Lopez Monroy</v>
          </cell>
        </row>
        <row r="2227">
          <cell r="F2227">
            <v>309418</v>
          </cell>
          <cell r="G2227" t="str">
            <v>Deysi Noemi Aranoli Carias Pimentel</v>
          </cell>
        </row>
        <row r="2228">
          <cell r="F2228">
            <v>313797</v>
          </cell>
          <cell r="G2228" t="str">
            <v>Deysi Paola Lopez Yanes De Conde</v>
          </cell>
        </row>
        <row r="2229">
          <cell r="F2229">
            <v>312166</v>
          </cell>
          <cell r="G2229" t="str">
            <v>Deysi Roxana Pablo Ramirez</v>
          </cell>
        </row>
        <row r="2230">
          <cell r="F2230">
            <v>313856</v>
          </cell>
          <cell r="G2230" t="str">
            <v>Diana Andrea Castillo Mejia</v>
          </cell>
        </row>
        <row r="2231">
          <cell r="F2231">
            <v>310411</v>
          </cell>
          <cell r="G2231" t="str">
            <v>Diana Elizabeth Ayfan Del Cid</v>
          </cell>
        </row>
        <row r="2232">
          <cell r="F2232">
            <v>315070</v>
          </cell>
          <cell r="G2232" t="str">
            <v>Diana Guisela Satey De Leon</v>
          </cell>
        </row>
        <row r="2233">
          <cell r="F2233">
            <v>315089</v>
          </cell>
          <cell r="G2233" t="str">
            <v>Diana Lizeth Acabal Pansay</v>
          </cell>
        </row>
        <row r="2234">
          <cell r="F2234">
            <v>315209</v>
          </cell>
          <cell r="G2234" t="str">
            <v>Diana Mishel Perez Flores</v>
          </cell>
        </row>
        <row r="2235">
          <cell r="F2235">
            <v>314964</v>
          </cell>
          <cell r="G2235" t="str">
            <v>Diana Priscila Reyes Bran</v>
          </cell>
        </row>
        <row r="2236">
          <cell r="F2236">
            <v>315545</v>
          </cell>
          <cell r="G2236" t="str">
            <v>Diego Alejandro Monroy Barillas</v>
          </cell>
        </row>
        <row r="2237">
          <cell r="F2237">
            <v>314603</v>
          </cell>
          <cell r="G2237" t="str">
            <v>Diego Antonio Dubon Suyen</v>
          </cell>
        </row>
        <row r="2238">
          <cell r="F2238">
            <v>314912</v>
          </cell>
          <cell r="G2238" t="str">
            <v>Diego Ezequiel Samayoa Toledo</v>
          </cell>
        </row>
        <row r="2239">
          <cell r="F2239">
            <v>314021</v>
          </cell>
          <cell r="G2239" t="str">
            <v>Diego Josue David Dieguez Vivar</v>
          </cell>
        </row>
        <row r="2240">
          <cell r="F2240">
            <v>314609</v>
          </cell>
          <cell r="G2240" t="str">
            <v>Dilma Carolina Zetino Zepeda</v>
          </cell>
        </row>
        <row r="2241">
          <cell r="F2241">
            <v>315393</v>
          </cell>
          <cell r="G2241" t="str">
            <v>Dina Azucena Ortiz Crispin</v>
          </cell>
        </row>
        <row r="2242">
          <cell r="F2242">
            <v>301534</v>
          </cell>
          <cell r="G2242" t="str">
            <v>Donald Alejandro Mendez Mayen</v>
          </cell>
        </row>
        <row r="2243">
          <cell r="F2243">
            <v>314070</v>
          </cell>
          <cell r="G2243" t="str">
            <v>Donetta Diaz Oroman</v>
          </cell>
        </row>
        <row r="2244">
          <cell r="F2244">
            <v>313316</v>
          </cell>
          <cell r="G2244" t="str">
            <v>Dora Estefany Garcia Zetino</v>
          </cell>
        </row>
        <row r="2245">
          <cell r="F2245">
            <v>308707</v>
          </cell>
          <cell r="G2245" t="str">
            <v>Dorcas Raquel Palacios Reyes</v>
          </cell>
        </row>
        <row r="2246">
          <cell r="F2246">
            <v>308921</v>
          </cell>
          <cell r="G2246" t="str">
            <v>Doris Elizabeth Sandoval Gonzalez</v>
          </cell>
        </row>
        <row r="2247">
          <cell r="F2247">
            <v>315057</v>
          </cell>
          <cell r="G2247" t="str">
            <v>Dorman Fernando Gomez Perez</v>
          </cell>
        </row>
        <row r="2248">
          <cell r="F2248">
            <v>312651</v>
          </cell>
          <cell r="G2248" t="str">
            <v>Douglas Alberto Luna</v>
          </cell>
        </row>
        <row r="2249">
          <cell r="F2249">
            <v>314635</v>
          </cell>
          <cell r="G2249" t="str">
            <v>Douglas Armando Garcia Machic</v>
          </cell>
        </row>
        <row r="2250">
          <cell r="F2250">
            <v>313351</v>
          </cell>
          <cell r="G2250" t="str">
            <v>Douglas Nehemias Paz Agustin</v>
          </cell>
        </row>
        <row r="2251">
          <cell r="F2251">
            <v>309154</v>
          </cell>
          <cell r="G2251" t="str">
            <v>Duglas Alexander Ramirez</v>
          </cell>
        </row>
        <row r="2252">
          <cell r="F2252">
            <v>310593</v>
          </cell>
          <cell r="G2252" t="str">
            <v>Dulce Estrellita Boche Pineda</v>
          </cell>
        </row>
        <row r="2253">
          <cell r="F2253">
            <v>312578</v>
          </cell>
          <cell r="G2253" t="str">
            <v>Dulce Fabiola Cabrera Alvarado</v>
          </cell>
        </row>
        <row r="2254">
          <cell r="F2254">
            <v>314977</v>
          </cell>
          <cell r="G2254" t="str">
            <v>Dulce Gollin Garcia</v>
          </cell>
        </row>
        <row r="2255">
          <cell r="F2255">
            <v>315028</v>
          </cell>
          <cell r="G2255" t="str">
            <v>Dulce Maria Barillas Pineda</v>
          </cell>
        </row>
        <row r="2256">
          <cell r="F2256">
            <v>314016</v>
          </cell>
          <cell r="G2256" t="str">
            <v>Dulce Maria De Los Angeles Carranza Poitan</v>
          </cell>
        </row>
        <row r="2257">
          <cell r="F2257">
            <v>314338</v>
          </cell>
          <cell r="G2257" t="str">
            <v>Dulce Maria Sican Galicia</v>
          </cell>
        </row>
        <row r="2258">
          <cell r="F2258">
            <v>301052</v>
          </cell>
          <cell r="G2258" t="str">
            <v>Dulsse Gabriela Muñoz Giordano</v>
          </cell>
        </row>
        <row r="2259">
          <cell r="F2259">
            <v>313406</v>
          </cell>
          <cell r="G2259" t="str">
            <v>Duncan Vladimir Fuentes Marroquin</v>
          </cell>
        </row>
        <row r="2260">
          <cell r="F2260">
            <v>315551</v>
          </cell>
          <cell r="G2260" t="str">
            <v>Dylan Anderson Rodriguez Paredes</v>
          </cell>
        </row>
        <row r="2261">
          <cell r="F2261">
            <v>301579</v>
          </cell>
          <cell r="G2261" t="str">
            <v>Eber Manuel Valdes Samayoa</v>
          </cell>
        </row>
        <row r="2262">
          <cell r="F2262">
            <v>314077</v>
          </cell>
          <cell r="G2262" t="str">
            <v>Eddy Estuardo Lool Calderon</v>
          </cell>
        </row>
        <row r="2263">
          <cell r="F2263">
            <v>304630</v>
          </cell>
          <cell r="G2263" t="str">
            <v>Eddy Jose Cabrera Rivas</v>
          </cell>
        </row>
        <row r="2264">
          <cell r="F2264">
            <v>315163</v>
          </cell>
          <cell r="G2264" t="str">
            <v>Edgar Alejandro Alvarado Juarez</v>
          </cell>
        </row>
        <row r="2265">
          <cell r="F2265">
            <v>314231</v>
          </cell>
          <cell r="G2265" t="str">
            <v>Edgar Alfonso Escoto Asig</v>
          </cell>
        </row>
        <row r="2266">
          <cell r="F2266">
            <v>312910</v>
          </cell>
          <cell r="G2266" t="str">
            <v>Edgar Augusto Lara Joachin</v>
          </cell>
        </row>
        <row r="2267">
          <cell r="F2267">
            <v>314531</v>
          </cell>
          <cell r="G2267" t="str">
            <v>Edgar Josue Lopez Cahuec</v>
          </cell>
        </row>
        <row r="2268">
          <cell r="F2268">
            <v>309428</v>
          </cell>
          <cell r="G2268" t="str">
            <v>Edgar Manrique Flores Sanchez</v>
          </cell>
        </row>
        <row r="2269">
          <cell r="F2269">
            <v>313559</v>
          </cell>
          <cell r="G2269" t="str">
            <v>Edgar Ricardo Lopez Valenzuela</v>
          </cell>
        </row>
        <row r="2270">
          <cell r="F2270">
            <v>314916</v>
          </cell>
          <cell r="G2270" t="str">
            <v>Edgar Samuel Chavez Garcia</v>
          </cell>
        </row>
        <row r="2271">
          <cell r="F2271">
            <v>313861</v>
          </cell>
          <cell r="G2271" t="str">
            <v>Edith Guadalupe Del Cid Orellana</v>
          </cell>
        </row>
        <row r="2272">
          <cell r="F2272">
            <v>304240</v>
          </cell>
          <cell r="G2272" t="str">
            <v>Edna Fabiola Miranda Nufio</v>
          </cell>
        </row>
        <row r="2273">
          <cell r="F2273">
            <v>313770</v>
          </cell>
          <cell r="G2273" t="str">
            <v>Edna Rubi Hernandez Retana</v>
          </cell>
        </row>
        <row r="2274">
          <cell r="F2274">
            <v>308533</v>
          </cell>
          <cell r="G2274" t="str">
            <v>Eduardo Antonio Sotoj Zepeda</v>
          </cell>
        </row>
        <row r="2275">
          <cell r="F2275">
            <v>315502</v>
          </cell>
          <cell r="G2275" t="str">
            <v>Eduardo Eliu Camey Coyoy</v>
          </cell>
        </row>
        <row r="2276">
          <cell r="F2276">
            <v>315483</v>
          </cell>
          <cell r="G2276" t="str">
            <v>Eduardo Jose Perez Pichilla</v>
          </cell>
        </row>
        <row r="2277">
          <cell r="F2277">
            <v>306695</v>
          </cell>
          <cell r="G2277" t="str">
            <v>Eduvina Lisbeth Chilel Garcia</v>
          </cell>
        </row>
        <row r="2278">
          <cell r="F2278">
            <v>313804</v>
          </cell>
          <cell r="G2278" t="str">
            <v>Edvin Daniel Compa Oroxom</v>
          </cell>
        </row>
        <row r="2279">
          <cell r="F2279">
            <v>305736</v>
          </cell>
          <cell r="G2279" t="str">
            <v>Edvin Estuardo Ordoñez Gonzalez</v>
          </cell>
        </row>
        <row r="2280">
          <cell r="F2280">
            <v>313327</v>
          </cell>
          <cell r="G2280" t="str">
            <v>Edvin Raul Chavez Monroy</v>
          </cell>
        </row>
        <row r="2281">
          <cell r="F2281">
            <v>309209</v>
          </cell>
          <cell r="G2281" t="str">
            <v>Edward Andoni Alvarez Agueda</v>
          </cell>
        </row>
        <row r="2282">
          <cell r="F2282">
            <v>311219</v>
          </cell>
          <cell r="G2282" t="str">
            <v>Edward Oswaldo Mo Macz</v>
          </cell>
        </row>
        <row r="2283">
          <cell r="F2283">
            <v>315174</v>
          </cell>
          <cell r="G2283" t="str">
            <v>Edwin Adolfo Soberanis Mazariegos</v>
          </cell>
        </row>
        <row r="2284">
          <cell r="F2284">
            <v>312540</v>
          </cell>
          <cell r="G2284" t="str">
            <v>Edwin Alexander Davila Xitumul</v>
          </cell>
        </row>
        <row r="2285">
          <cell r="F2285">
            <v>313701</v>
          </cell>
          <cell r="G2285" t="str">
            <v>Edwin Ernesto Sut Chinol</v>
          </cell>
        </row>
        <row r="2286">
          <cell r="F2286">
            <v>312557</v>
          </cell>
          <cell r="G2286" t="str">
            <v>Edwin Romeo Eleazar Ochoa Lopez</v>
          </cell>
        </row>
        <row r="2287">
          <cell r="F2287">
            <v>311167</v>
          </cell>
          <cell r="G2287" t="str">
            <v>Edy Giancarlo Moreno Pineda</v>
          </cell>
        </row>
        <row r="2288">
          <cell r="F2288">
            <v>312542</v>
          </cell>
          <cell r="G2288" t="str">
            <v>Elba Eulalia Esquite Lemus</v>
          </cell>
        </row>
        <row r="2289">
          <cell r="F2289">
            <v>303412</v>
          </cell>
          <cell r="G2289" t="str">
            <v>Elder Antonio Mendez Tobar</v>
          </cell>
        </row>
        <row r="2290">
          <cell r="F2290">
            <v>315436</v>
          </cell>
          <cell r="G2290" t="str">
            <v>Elder Frankiln Cax Dionicio</v>
          </cell>
        </row>
        <row r="2291">
          <cell r="F2291">
            <v>311891</v>
          </cell>
          <cell r="G2291" t="str">
            <v>Elder Uzias Jordan Perez</v>
          </cell>
        </row>
        <row r="2292">
          <cell r="F2292">
            <v>309812</v>
          </cell>
          <cell r="G2292" t="str">
            <v>Elena Yazmin Valdez Gallegos</v>
          </cell>
        </row>
        <row r="2293">
          <cell r="F2293">
            <v>314275</v>
          </cell>
          <cell r="G2293" t="str">
            <v>Elias Jose Daniel Estrada Nufio</v>
          </cell>
        </row>
        <row r="2294">
          <cell r="F2294">
            <v>307588</v>
          </cell>
          <cell r="G2294" t="str">
            <v>Elida Noemi Monroy Ortega</v>
          </cell>
        </row>
        <row r="2295">
          <cell r="F2295">
            <v>315463</v>
          </cell>
          <cell r="G2295" t="str">
            <v>Elin Magali Gallardo Velasquez</v>
          </cell>
        </row>
        <row r="2296">
          <cell r="F2296">
            <v>310755</v>
          </cell>
          <cell r="G2296" t="str">
            <v>Elisa Clementina Mazariegos Andrade</v>
          </cell>
        </row>
        <row r="2297">
          <cell r="F2297">
            <v>314466</v>
          </cell>
          <cell r="G2297" t="str">
            <v>Eliseo Gonzalez De Leon</v>
          </cell>
        </row>
        <row r="2298">
          <cell r="F2298">
            <v>310043</v>
          </cell>
          <cell r="G2298" t="str">
            <v>Elizangela Jazmin Barillas Ramirez</v>
          </cell>
        </row>
        <row r="2299">
          <cell r="F2299">
            <v>314443</v>
          </cell>
          <cell r="G2299" t="str">
            <v>Elmer Antonio Muñoz Alvarez</v>
          </cell>
        </row>
        <row r="2300">
          <cell r="F2300">
            <v>314763</v>
          </cell>
          <cell r="G2300" t="str">
            <v>Elsa Edith Alixjandra Morales Cordon</v>
          </cell>
        </row>
        <row r="2301">
          <cell r="F2301">
            <v>311227</v>
          </cell>
          <cell r="G2301" t="str">
            <v>Elsa Karina Siquibache Perez</v>
          </cell>
        </row>
        <row r="2302">
          <cell r="F2302">
            <v>308968</v>
          </cell>
          <cell r="G2302" t="str">
            <v>Eluizer Amadeus De Leon De Leon</v>
          </cell>
        </row>
        <row r="2303">
          <cell r="F2303">
            <v>314871</v>
          </cell>
          <cell r="G2303" t="str">
            <v>Elvis Ariel Juarez Solis</v>
          </cell>
        </row>
        <row r="2304">
          <cell r="F2304">
            <v>313368</v>
          </cell>
          <cell r="G2304" t="str">
            <v>Elvis Orlando Lopez Marroquin</v>
          </cell>
        </row>
        <row r="2305">
          <cell r="F2305">
            <v>314342</v>
          </cell>
          <cell r="G2305" t="str">
            <v>Emanuel Perez Garnillo</v>
          </cell>
        </row>
        <row r="2306">
          <cell r="F2306">
            <v>312736</v>
          </cell>
          <cell r="G2306" t="str">
            <v>Emely Johanna Urbina Beltran</v>
          </cell>
        </row>
        <row r="2307">
          <cell r="F2307">
            <v>312762</v>
          </cell>
          <cell r="G2307" t="str">
            <v>Emerson Ezequiel Giron Lopez</v>
          </cell>
        </row>
        <row r="2308">
          <cell r="F2308">
            <v>303591</v>
          </cell>
          <cell r="G2308" t="str">
            <v>Emerson Josue Lopez Hernandez</v>
          </cell>
        </row>
        <row r="2309">
          <cell r="F2309">
            <v>312165</v>
          </cell>
          <cell r="G2309" t="str">
            <v>Emily Jisselle Rosales Paz</v>
          </cell>
        </row>
        <row r="2310">
          <cell r="F2310">
            <v>313560</v>
          </cell>
          <cell r="G2310" t="str">
            <v>Emy Noemi Vicente Herrera</v>
          </cell>
        </row>
        <row r="2311">
          <cell r="F2311">
            <v>315047</v>
          </cell>
          <cell r="G2311" t="str">
            <v>Erick Adolfo Orellana Lopez</v>
          </cell>
        </row>
        <row r="2312">
          <cell r="F2312">
            <v>311598</v>
          </cell>
          <cell r="G2312" t="str">
            <v>Erick Antonio Perez Perez</v>
          </cell>
        </row>
        <row r="2313">
          <cell r="F2313">
            <v>311742</v>
          </cell>
          <cell r="G2313" t="str">
            <v>Erick Estuardo Morales Samayoa</v>
          </cell>
        </row>
        <row r="2314">
          <cell r="F2314">
            <v>308758</v>
          </cell>
          <cell r="G2314" t="str">
            <v>Erick Gamaliel Pineda Mendez</v>
          </cell>
        </row>
        <row r="2315">
          <cell r="F2315">
            <v>314371</v>
          </cell>
          <cell r="G2315" t="str">
            <v>Erick Guillermo Sierra Escobar</v>
          </cell>
        </row>
        <row r="2316">
          <cell r="F2316">
            <v>314095</v>
          </cell>
          <cell r="G2316" t="str">
            <v>Erick Joel Diaz Barrera</v>
          </cell>
        </row>
        <row r="2317">
          <cell r="F2317">
            <v>314408</v>
          </cell>
          <cell r="G2317" t="str">
            <v>Erick Josue Martinez Pineda</v>
          </cell>
        </row>
        <row r="2318">
          <cell r="F2318">
            <v>312434</v>
          </cell>
          <cell r="G2318" t="str">
            <v>Erick Manuel Umul Quiej</v>
          </cell>
        </row>
        <row r="2319">
          <cell r="F2319">
            <v>202410</v>
          </cell>
          <cell r="G2319" t="str">
            <v>Erick Oswaldo Aguilar Santiago</v>
          </cell>
        </row>
        <row r="2320">
          <cell r="F2320">
            <v>310750</v>
          </cell>
          <cell r="G2320" t="str">
            <v>Erick Uriel Sandoval Herrera</v>
          </cell>
        </row>
        <row r="2321">
          <cell r="F2321">
            <v>304557</v>
          </cell>
          <cell r="G2321" t="str">
            <v>Ericka Arceli Gonzalez Astorga</v>
          </cell>
        </row>
        <row r="2322">
          <cell r="F2322">
            <v>308593</v>
          </cell>
          <cell r="G2322" t="str">
            <v>Ericka Beatriz Tiu Arriola</v>
          </cell>
        </row>
        <row r="2323">
          <cell r="F2323">
            <v>310893</v>
          </cell>
          <cell r="G2323" t="str">
            <v>Ericka Florentina Hernandez Bermudes</v>
          </cell>
        </row>
        <row r="2324">
          <cell r="F2324">
            <v>310845</v>
          </cell>
          <cell r="G2324" t="str">
            <v>Ericka Gricelda Beatriz Calderon Lopez</v>
          </cell>
        </row>
        <row r="2325">
          <cell r="F2325">
            <v>313654</v>
          </cell>
          <cell r="G2325" t="str">
            <v>Ericka Mabel Choc Vasquez</v>
          </cell>
        </row>
        <row r="2326">
          <cell r="F2326">
            <v>308152</v>
          </cell>
          <cell r="G2326" t="str">
            <v>Ericka Nathali Huitz Ortega</v>
          </cell>
        </row>
        <row r="2327">
          <cell r="F2327">
            <v>313812</v>
          </cell>
          <cell r="G2327" t="str">
            <v>Erickson Amilcar Vasquez Garrido</v>
          </cell>
        </row>
        <row r="2328">
          <cell r="F2328">
            <v>303616</v>
          </cell>
          <cell r="G2328" t="str">
            <v>Erik Leonel Alva</v>
          </cell>
        </row>
        <row r="2329">
          <cell r="F2329">
            <v>310011</v>
          </cell>
          <cell r="G2329" t="str">
            <v>Erika Alejandra Hernandez Vega</v>
          </cell>
        </row>
        <row r="2330">
          <cell r="F2330">
            <v>314808</v>
          </cell>
          <cell r="G2330" t="str">
            <v>Erika Carolina Lopez Chiroy</v>
          </cell>
        </row>
        <row r="2331">
          <cell r="F2331">
            <v>306497</v>
          </cell>
          <cell r="G2331" t="str">
            <v>Erika Ixtan Canil</v>
          </cell>
        </row>
        <row r="2332">
          <cell r="F2332">
            <v>314703</v>
          </cell>
          <cell r="G2332" t="str">
            <v>Erlinda Elizabeth Cabrera</v>
          </cell>
        </row>
        <row r="2333">
          <cell r="F2333">
            <v>315535</v>
          </cell>
          <cell r="G2333" t="str">
            <v>Ernesto Perez Tecun</v>
          </cell>
        </row>
        <row r="2334">
          <cell r="F2334">
            <v>313727</v>
          </cell>
          <cell r="G2334" t="str">
            <v>Erwin Antonio Lorenzo Zamora</v>
          </cell>
        </row>
        <row r="2335">
          <cell r="F2335">
            <v>315123</v>
          </cell>
          <cell r="G2335" t="str">
            <v>Esdras Daniel Pablo Solis</v>
          </cell>
        </row>
        <row r="2336">
          <cell r="F2336">
            <v>315491</v>
          </cell>
          <cell r="G2336" t="str">
            <v>Esdras Eduardo Hernadez Morales</v>
          </cell>
        </row>
        <row r="2337">
          <cell r="F2337">
            <v>314068</v>
          </cell>
          <cell r="G2337" t="str">
            <v>Esdras Manases Vasquez Vasquez</v>
          </cell>
        </row>
        <row r="2338">
          <cell r="F2338">
            <v>313871</v>
          </cell>
          <cell r="G2338" t="str">
            <v>Eskarleth Julieta Coloma Camey</v>
          </cell>
        </row>
        <row r="2339">
          <cell r="F2339">
            <v>312554</v>
          </cell>
          <cell r="G2339" t="str">
            <v>Esmaylin Alexis Melchor Lopez</v>
          </cell>
        </row>
        <row r="2340">
          <cell r="F2340">
            <v>315510</v>
          </cell>
          <cell r="G2340" t="str">
            <v>Esteban Alfonso Gonzalez Osuna</v>
          </cell>
        </row>
        <row r="2341">
          <cell r="F2341">
            <v>313644</v>
          </cell>
          <cell r="G2341" t="str">
            <v>Estefani Elizabeth Tzul Macario</v>
          </cell>
        </row>
        <row r="2342">
          <cell r="F2342">
            <v>312323</v>
          </cell>
          <cell r="G2342" t="str">
            <v>Estefani Mishel Carpio Alvarado</v>
          </cell>
        </row>
        <row r="2343">
          <cell r="F2343">
            <v>313428</v>
          </cell>
          <cell r="G2343" t="str">
            <v>Estefany Catalina Suazo Garcia</v>
          </cell>
        </row>
        <row r="2344">
          <cell r="F2344">
            <v>311094</v>
          </cell>
          <cell r="G2344" t="str">
            <v>Estefany Virginia Perez Leiva</v>
          </cell>
        </row>
        <row r="2345">
          <cell r="F2345">
            <v>313151</v>
          </cell>
          <cell r="G2345" t="str">
            <v>Ester Yulissa Salazar Sanches</v>
          </cell>
        </row>
        <row r="2346">
          <cell r="F2346">
            <v>308702</v>
          </cell>
          <cell r="G2346" t="str">
            <v>Estuardo Alejandro Us Chanchavac</v>
          </cell>
        </row>
        <row r="2347">
          <cell r="F2347">
            <v>315564</v>
          </cell>
          <cell r="G2347" t="str">
            <v>Esvin Rolando Orozco Mulul</v>
          </cell>
        </row>
        <row r="2348">
          <cell r="F2348">
            <v>314285</v>
          </cell>
          <cell r="G2348" t="str">
            <v>Eswin Antonio Carrillo Barrera</v>
          </cell>
        </row>
        <row r="2349">
          <cell r="F2349">
            <v>311882</v>
          </cell>
          <cell r="G2349" t="str">
            <v>Eswin Aroldo Ordoñez Robles</v>
          </cell>
        </row>
        <row r="2350">
          <cell r="F2350">
            <v>315041</v>
          </cell>
          <cell r="G2350" t="str">
            <v>Eugenia Azucely Lopez De De Aguirre</v>
          </cell>
        </row>
        <row r="2351">
          <cell r="F2351">
            <v>313219</v>
          </cell>
          <cell r="G2351" t="str">
            <v>Eunice Alejandrina Simon Gonzalez</v>
          </cell>
        </row>
        <row r="2352">
          <cell r="F2352">
            <v>314553</v>
          </cell>
          <cell r="G2352" t="str">
            <v>Eva Argentina Ramirez Perez</v>
          </cell>
        </row>
        <row r="2353">
          <cell r="F2353">
            <v>313803</v>
          </cell>
          <cell r="G2353" t="str">
            <v>Eva Yustinia Lopez Zuñiga</v>
          </cell>
        </row>
        <row r="2354">
          <cell r="F2354">
            <v>314445</v>
          </cell>
          <cell r="G2354" t="str">
            <v>Evelin Lorena Noguera García</v>
          </cell>
        </row>
        <row r="2355">
          <cell r="F2355">
            <v>314320</v>
          </cell>
          <cell r="G2355" t="str">
            <v>Evelin Maria Padilla Garcia</v>
          </cell>
        </row>
        <row r="2356">
          <cell r="F2356">
            <v>313699</v>
          </cell>
          <cell r="G2356" t="str">
            <v>Evelin Yulissa Lopez Villar</v>
          </cell>
        </row>
        <row r="2357">
          <cell r="F2357">
            <v>307498</v>
          </cell>
          <cell r="G2357" t="str">
            <v>Evelyn Julieta Lopez Peralta</v>
          </cell>
        </row>
        <row r="2358">
          <cell r="F2358">
            <v>312811</v>
          </cell>
          <cell r="G2358" t="str">
            <v>Evelyn Maritza Chumil Monroy</v>
          </cell>
        </row>
        <row r="2359">
          <cell r="F2359">
            <v>313353</v>
          </cell>
          <cell r="G2359" t="str">
            <v>Evelyn Marleny Rosales Cutz</v>
          </cell>
        </row>
        <row r="2360">
          <cell r="F2360">
            <v>313264</v>
          </cell>
          <cell r="G2360" t="str">
            <v>Evelyn Mishell Catalan Pixtun</v>
          </cell>
        </row>
        <row r="2361">
          <cell r="F2361">
            <v>314528</v>
          </cell>
          <cell r="G2361" t="str">
            <v>Evelyn Nohemi Morales Lopez</v>
          </cell>
        </row>
        <row r="2362">
          <cell r="F2362">
            <v>311933</v>
          </cell>
          <cell r="G2362" t="str">
            <v>Evelyn Rocio Chiquival Piquic</v>
          </cell>
        </row>
        <row r="2363">
          <cell r="F2363">
            <v>315213</v>
          </cell>
          <cell r="G2363" t="str">
            <v>Evelyn Susana Hernandez Ambrosio</v>
          </cell>
        </row>
        <row r="2364">
          <cell r="F2364">
            <v>311721</v>
          </cell>
          <cell r="G2364" t="str">
            <v>Evelyn Yaneth Aceituno Lara</v>
          </cell>
        </row>
        <row r="2365">
          <cell r="F2365">
            <v>313016</v>
          </cell>
          <cell r="G2365" t="str">
            <v>Ever Josue Del Valle Rivera</v>
          </cell>
        </row>
        <row r="2366">
          <cell r="F2366">
            <v>313552</v>
          </cell>
          <cell r="G2366" t="str">
            <v>Everilda Choc Caal</v>
          </cell>
        </row>
        <row r="2367">
          <cell r="F2367">
            <v>313091</v>
          </cell>
          <cell r="G2367" t="str">
            <v>Fabian De Jesus Ramirez Icute</v>
          </cell>
        </row>
        <row r="2368">
          <cell r="F2368">
            <v>312169</v>
          </cell>
          <cell r="G2368" t="str">
            <v>Fabiola Hernandez Bartolon</v>
          </cell>
        </row>
        <row r="2369">
          <cell r="F2369">
            <v>308284</v>
          </cell>
          <cell r="G2369" t="str">
            <v>Fabiola Ninett Beteta Barillas</v>
          </cell>
        </row>
        <row r="2370">
          <cell r="F2370">
            <v>312293</v>
          </cell>
          <cell r="G2370" t="str">
            <v>Fabricio Daniel Cajas Cifuentes</v>
          </cell>
        </row>
        <row r="2371">
          <cell r="F2371">
            <v>315582</v>
          </cell>
          <cell r="G2371" t="str">
            <v>Fatima Mercedes Montes Quezada</v>
          </cell>
        </row>
        <row r="2372">
          <cell r="F2372">
            <v>314263</v>
          </cell>
          <cell r="G2372" t="str">
            <v>Feliciana Isabel Ramirez Raymundo</v>
          </cell>
        </row>
        <row r="2373">
          <cell r="F2373">
            <v>314012</v>
          </cell>
          <cell r="G2373" t="str">
            <v>Felix Rodolfo Alvarado Jimenez</v>
          </cell>
        </row>
        <row r="2374">
          <cell r="F2374">
            <v>314349</v>
          </cell>
          <cell r="G2374" t="str">
            <v>Fernanda Lucia Lopez Estrada</v>
          </cell>
        </row>
        <row r="2375">
          <cell r="F2375">
            <v>312409</v>
          </cell>
          <cell r="G2375" t="str">
            <v>Fernanda Rene Villatoro Guarcas</v>
          </cell>
        </row>
        <row r="2376">
          <cell r="F2376">
            <v>314934</v>
          </cell>
          <cell r="G2376" t="str">
            <v>Fernando Jose Monzon Castañeda</v>
          </cell>
        </row>
        <row r="2377">
          <cell r="F2377">
            <v>315303</v>
          </cell>
          <cell r="G2377" t="str">
            <v>Flavio Ernesto Monzón Rummler</v>
          </cell>
        </row>
        <row r="2378">
          <cell r="F2378">
            <v>315309</v>
          </cell>
          <cell r="G2378" t="str">
            <v>Flor De Maria Lopez Garcia</v>
          </cell>
        </row>
        <row r="2379">
          <cell r="F2379">
            <v>307917</v>
          </cell>
          <cell r="G2379" t="str">
            <v>Flor De Maria Mux Ramos</v>
          </cell>
        </row>
        <row r="2380">
          <cell r="F2380">
            <v>315038</v>
          </cell>
          <cell r="G2380" t="str">
            <v>Flor Sylvestre Orellana Gonzalez</v>
          </cell>
        </row>
        <row r="2381">
          <cell r="F2381">
            <v>101729</v>
          </cell>
          <cell r="G2381" t="str">
            <v>Florencio Monterroso Estrada</v>
          </cell>
        </row>
        <row r="2382">
          <cell r="F2382">
            <v>314230</v>
          </cell>
          <cell r="G2382" t="str">
            <v>Floridalma Leticia Lopez Ramirez</v>
          </cell>
        </row>
        <row r="2383">
          <cell r="F2383">
            <v>314093</v>
          </cell>
          <cell r="G2383" t="str">
            <v>Floridalma Nicolas Yos</v>
          </cell>
        </row>
        <row r="2384">
          <cell r="F2384">
            <v>312717</v>
          </cell>
          <cell r="G2384" t="str">
            <v>Florita Reyes Roblero Morales</v>
          </cell>
        </row>
        <row r="2385">
          <cell r="F2385">
            <v>314785</v>
          </cell>
          <cell r="G2385" t="str">
            <v>Flory Azucena De Leon Ventura</v>
          </cell>
        </row>
        <row r="2386">
          <cell r="F2386">
            <v>310144</v>
          </cell>
          <cell r="G2386" t="str">
            <v>Francisco Javier Diaz Avila</v>
          </cell>
        </row>
        <row r="2387">
          <cell r="F2387">
            <v>315457</v>
          </cell>
          <cell r="G2387" t="str">
            <v>Francisco Joel Gomez Rodriguez</v>
          </cell>
        </row>
        <row r="2388">
          <cell r="F2388">
            <v>311612</v>
          </cell>
          <cell r="G2388" t="str">
            <v>Franklin Alexander Perez Paiz</v>
          </cell>
        </row>
        <row r="2389">
          <cell r="F2389">
            <v>315204</v>
          </cell>
          <cell r="G2389" t="str">
            <v>Gabriel Antonio Rodas Domingo</v>
          </cell>
        </row>
        <row r="2390">
          <cell r="F2390">
            <v>311548</v>
          </cell>
          <cell r="G2390" t="str">
            <v>Gabriela Alejandra Estrada Aroche</v>
          </cell>
        </row>
        <row r="2391">
          <cell r="F2391">
            <v>306667</v>
          </cell>
          <cell r="G2391" t="str">
            <v>Gabriela Elizabeth Flores Santos</v>
          </cell>
        </row>
        <row r="2392">
          <cell r="F2392">
            <v>314533</v>
          </cell>
          <cell r="G2392" t="str">
            <v>Gabriela Liseth Perez Monzon</v>
          </cell>
        </row>
        <row r="2393">
          <cell r="F2393">
            <v>311817</v>
          </cell>
          <cell r="G2393" t="str">
            <v>Gabriela Paola Macario Lopez</v>
          </cell>
        </row>
        <row r="2394">
          <cell r="F2394">
            <v>301309</v>
          </cell>
          <cell r="G2394" t="str">
            <v>Gabriela Pelaez Gonzalez</v>
          </cell>
        </row>
        <row r="2395">
          <cell r="F2395">
            <v>315530</v>
          </cell>
          <cell r="G2395" t="str">
            <v>Gabriela Raquel Pixtun Trujillo</v>
          </cell>
        </row>
        <row r="2396">
          <cell r="F2396">
            <v>315343</v>
          </cell>
          <cell r="G2396" t="str">
            <v>Gabriela Valeska Lemus Cotuc</v>
          </cell>
        </row>
        <row r="2397">
          <cell r="F2397">
            <v>309911</v>
          </cell>
          <cell r="G2397" t="str">
            <v>Gaby Beatriz Lopez Lopez</v>
          </cell>
        </row>
        <row r="2398">
          <cell r="F2398">
            <v>315485</v>
          </cell>
          <cell r="G2398" t="str">
            <v>Geraldy Daleska Cuyan Giron</v>
          </cell>
        </row>
        <row r="2399">
          <cell r="F2399">
            <v>307104</v>
          </cell>
          <cell r="G2399" t="str">
            <v>Gerber Ariel De Leon Elias</v>
          </cell>
        </row>
        <row r="2400">
          <cell r="F2400">
            <v>312975</v>
          </cell>
          <cell r="G2400" t="str">
            <v>Gerberth Aridmendi Arevalo Zepeda</v>
          </cell>
        </row>
        <row r="2401">
          <cell r="F2401">
            <v>306654</v>
          </cell>
          <cell r="G2401" t="str">
            <v>Gerson Arcadio Hernandez Barrios</v>
          </cell>
        </row>
        <row r="2402">
          <cell r="F2402">
            <v>315035</v>
          </cell>
          <cell r="G2402" t="str">
            <v>Gerson David Ortega Soto</v>
          </cell>
        </row>
        <row r="2403">
          <cell r="F2403">
            <v>315255</v>
          </cell>
          <cell r="G2403" t="str">
            <v>Gerson Rene Galicia Alvarez</v>
          </cell>
        </row>
        <row r="2404">
          <cell r="F2404">
            <v>313730</v>
          </cell>
          <cell r="G2404" t="str">
            <v>Gerson Rolando Alcantara Gonzalez</v>
          </cell>
        </row>
        <row r="2405">
          <cell r="F2405">
            <v>315273</v>
          </cell>
          <cell r="G2405" t="str">
            <v>Gladis Guadalupe Tuyuc Ramirez</v>
          </cell>
        </row>
        <row r="2406">
          <cell r="F2406">
            <v>309429</v>
          </cell>
          <cell r="G2406" t="str">
            <v>Gladis Mishel Aguilar Garcia</v>
          </cell>
        </row>
        <row r="2407">
          <cell r="F2407">
            <v>315265</v>
          </cell>
          <cell r="G2407" t="str">
            <v>Gladis Nohemi Noj Hernandez De De Leon</v>
          </cell>
        </row>
        <row r="2408">
          <cell r="F2408">
            <v>301514</v>
          </cell>
          <cell r="G2408" t="str">
            <v>Gladiz Maricela Guamuch Caracun De Lopez</v>
          </cell>
        </row>
        <row r="2409">
          <cell r="F2409">
            <v>309950</v>
          </cell>
          <cell r="G2409" t="str">
            <v>Gladys Maribel Chamale Cotzajay</v>
          </cell>
        </row>
        <row r="2410">
          <cell r="F2410">
            <v>315349</v>
          </cell>
          <cell r="G2410" t="str">
            <v>Gladys Marleny Rodriguez Tzoc</v>
          </cell>
        </row>
        <row r="2411">
          <cell r="F2411">
            <v>306248</v>
          </cell>
          <cell r="G2411" t="str">
            <v>Gladys Susana Marin De Leon</v>
          </cell>
        </row>
        <row r="2412">
          <cell r="F2412">
            <v>310719</v>
          </cell>
          <cell r="G2412" t="str">
            <v>Gladyz Ninett Sanchez Perez</v>
          </cell>
        </row>
        <row r="2413">
          <cell r="F2413">
            <v>309945</v>
          </cell>
          <cell r="G2413" t="str">
            <v>Glenda Flor De Maria Caal</v>
          </cell>
        </row>
        <row r="2414">
          <cell r="F2414">
            <v>314619</v>
          </cell>
          <cell r="G2414" t="str">
            <v>Glenda Isabel Perez Velasquez</v>
          </cell>
        </row>
        <row r="2415">
          <cell r="F2415">
            <v>315263</v>
          </cell>
          <cell r="G2415" t="str">
            <v>Glendy Aracely Arevalo Estrada</v>
          </cell>
        </row>
        <row r="2416">
          <cell r="F2416">
            <v>312140</v>
          </cell>
          <cell r="G2416" t="str">
            <v>Glendy Elizabeth Aspuac Xunux</v>
          </cell>
        </row>
        <row r="2417">
          <cell r="F2417">
            <v>304949</v>
          </cell>
          <cell r="G2417" t="str">
            <v>Glendy Modesta Orellana Sanabria</v>
          </cell>
        </row>
        <row r="2418">
          <cell r="F2418">
            <v>314189</v>
          </cell>
          <cell r="G2418" t="str">
            <v>Gloria Angelica Torres Franco</v>
          </cell>
        </row>
        <row r="2419">
          <cell r="F2419">
            <v>304943</v>
          </cell>
          <cell r="G2419" t="str">
            <v>Gloria Hernandez Reyes</v>
          </cell>
        </row>
        <row r="2420">
          <cell r="F2420">
            <v>314569</v>
          </cell>
          <cell r="G2420" t="str">
            <v>Gonzalo Danilo Castillo Miche</v>
          </cell>
        </row>
        <row r="2421">
          <cell r="F2421">
            <v>310114</v>
          </cell>
          <cell r="G2421" t="str">
            <v>Guadalupe Marroquin Mayen</v>
          </cell>
        </row>
        <row r="2422">
          <cell r="F2422">
            <v>313710</v>
          </cell>
          <cell r="G2422" t="str">
            <v>Gustavo Adolfo Mixtun Sunun</v>
          </cell>
        </row>
        <row r="2423">
          <cell r="F2423">
            <v>314863</v>
          </cell>
          <cell r="G2423" t="str">
            <v>Gustavo Manuel Cifuentes De Mata</v>
          </cell>
        </row>
        <row r="2424">
          <cell r="F2424">
            <v>315412</v>
          </cell>
          <cell r="G2424" t="str">
            <v>Hairo Andre Contreras Paz</v>
          </cell>
        </row>
        <row r="2425">
          <cell r="F2425">
            <v>311419</v>
          </cell>
          <cell r="G2425" t="str">
            <v>Hallari Michel Orozco Chapen</v>
          </cell>
        </row>
        <row r="2426">
          <cell r="F2426">
            <v>312961</v>
          </cell>
          <cell r="G2426" t="str">
            <v>Hans Estuard Milian Alarcon</v>
          </cell>
        </row>
        <row r="2427">
          <cell r="F2427">
            <v>315569</v>
          </cell>
          <cell r="G2427" t="str">
            <v>Heber Benjamin Gomez Ramirez</v>
          </cell>
        </row>
        <row r="2428">
          <cell r="F2428">
            <v>315175</v>
          </cell>
          <cell r="G2428" t="str">
            <v>Heber Nehemias Velasquez Lorenzo</v>
          </cell>
        </row>
        <row r="2429">
          <cell r="F2429">
            <v>315576</v>
          </cell>
          <cell r="G2429" t="str">
            <v>Heber Uziel Ruiz Escobar</v>
          </cell>
        </row>
        <row r="2430">
          <cell r="F2430">
            <v>315154</v>
          </cell>
          <cell r="G2430" t="str">
            <v>Hector Estuardo Velasquez Carvajal</v>
          </cell>
        </row>
        <row r="2431">
          <cell r="F2431">
            <v>312588</v>
          </cell>
          <cell r="G2431" t="str">
            <v>Hector Manuel Pojoy Berduo</v>
          </cell>
        </row>
        <row r="2432">
          <cell r="F2432">
            <v>309925</v>
          </cell>
          <cell r="G2432" t="str">
            <v>Hector Marco Tulio Torres Garcia</v>
          </cell>
        </row>
        <row r="2433">
          <cell r="F2433">
            <v>312114</v>
          </cell>
          <cell r="G2433" t="str">
            <v>Hegner Aquino Mateo Recinos</v>
          </cell>
        </row>
        <row r="2434">
          <cell r="F2434">
            <v>310694</v>
          </cell>
          <cell r="G2434" t="str">
            <v>Heidy Carolina Monterroso Monterroso</v>
          </cell>
        </row>
        <row r="2435">
          <cell r="F2435">
            <v>315300</v>
          </cell>
          <cell r="G2435" t="str">
            <v>Heidy Karina Gil Quinti</v>
          </cell>
        </row>
        <row r="2436">
          <cell r="F2436">
            <v>314029</v>
          </cell>
          <cell r="G2436" t="str">
            <v>Heidy Noely Yupe Hernandez</v>
          </cell>
        </row>
        <row r="2437">
          <cell r="F2437">
            <v>313510</v>
          </cell>
          <cell r="G2437" t="str">
            <v>Heidy Patricia Santizo López</v>
          </cell>
        </row>
        <row r="2438">
          <cell r="F2438">
            <v>308951</v>
          </cell>
          <cell r="G2438" t="str">
            <v>Heidy Sucely Boc Monroy</v>
          </cell>
        </row>
        <row r="2439">
          <cell r="F2439">
            <v>301847</v>
          </cell>
          <cell r="G2439" t="str">
            <v>Heidy Yanet Reyes Presencin</v>
          </cell>
        </row>
        <row r="2440">
          <cell r="F2440">
            <v>314009</v>
          </cell>
          <cell r="G2440" t="str">
            <v>Heily Marie Taracena Diaz</v>
          </cell>
        </row>
        <row r="2441">
          <cell r="F2441">
            <v>303959</v>
          </cell>
          <cell r="G2441" t="str">
            <v>Helen Editt Solorzano Estrada</v>
          </cell>
        </row>
        <row r="2442">
          <cell r="F2442">
            <v>308028</v>
          </cell>
          <cell r="G2442" t="str">
            <v>Helen Eunice Hernandez Recinos</v>
          </cell>
        </row>
        <row r="2443">
          <cell r="F2443">
            <v>302479</v>
          </cell>
          <cell r="G2443" t="str">
            <v>Helen Xiomara Roldan Sagastume</v>
          </cell>
        </row>
        <row r="2444">
          <cell r="F2444">
            <v>313041</v>
          </cell>
          <cell r="G2444" t="str">
            <v>Hellen Marisol Velasquez Ciprian</v>
          </cell>
        </row>
        <row r="2445">
          <cell r="F2445">
            <v>313729</v>
          </cell>
          <cell r="G2445" t="str">
            <v>Henry David Lopez Perez</v>
          </cell>
        </row>
        <row r="2446">
          <cell r="F2446">
            <v>307713</v>
          </cell>
          <cell r="G2446" t="str">
            <v>Henry Donaldo Rodriguez Perez</v>
          </cell>
        </row>
        <row r="2447">
          <cell r="F2447">
            <v>315304</v>
          </cell>
          <cell r="G2447" t="str">
            <v>Henry Gabriel Morales Chinchilla</v>
          </cell>
        </row>
        <row r="2448">
          <cell r="F2448">
            <v>314630</v>
          </cell>
          <cell r="G2448" t="str">
            <v>Henry Misael Serech Ramon</v>
          </cell>
        </row>
        <row r="2449">
          <cell r="F2449">
            <v>312139</v>
          </cell>
          <cell r="G2449" t="str">
            <v>Herber Ardany Lucho Samayoa</v>
          </cell>
        </row>
        <row r="2450">
          <cell r="F2450">
            <v>310725</v>
          </cell>
          <cell r="G2450" t="str">
            <v>Herber Humberto Cax Gonzales</v>
          </cell>
        </row>
        <row r="2451">
          <cell r="F2451">
            <v>309034</v>
          </cell>
          <cell r="G2451" t="str">
            <v>Herbert Josue Mucia Garcia</v>
          </cell>
        </row>
        <row r="2452">
          <cell r="F2452">
            <v>315218</v>
          </cell>
          <cell r="G2452" t="str">
            <v>Herberth Alberto Barrios Perez</v>
          </cell>
        </row>
        <row r="2453">
          <cell r="F2453">
            <v>315050</v>
          </cell>
          <cell r="G2453" t="str">
            <v>Hercy Dayana Hidalgo Romero</v>
          </cell>
        </row>
        <row r="2454">
          <cell r="F2454">
            <v>312377</v>
          </cell>
          <cell r="G2454" t="str">
            <v>Hesler Jonathan Quevedo De La Cruz</v>
          </cell>
        </row>
        <row r="2455">
          <cell r="F2455">
            <v>315495</v>
          </cell>
          <cell r="G2455" t="str">
            <v>Heydee Johana Marisol Cho Del Valle</v>
          </cell>
        </row>
        <row r="2456">
          <cell r="F2456">
            <v>302285</v>
          </cell>
          <cell r="G2456" t="str">
            <v>Heydi Yaneth Sales Mazariegos</v>
          </cell>
        </row>
        <row r="2457">
          <cell r="F2457">
            <v>309528</v>
          </cell>
          <cell r="G2457" t="str">
            <v>Heydi Zuleyma Gue Cac</v>
          </cell>
        </row>
        <row r="2458">
          <cell r="F2458">
            <v>310612</v>
          </cell>
          <cell r="G2458" t="str">
            <v>Heydy Mariela Santiago Armas</v>
          </cell>
        </row>
        <row r="2459">
          <cell r="F2459">
            <v>301649</v>
          </cell>
          <cell r="G2459" t="str">
            <v>Hilda Paola Lopez Cano</v>
          </cell>
        </row>
        <row r="2460">
          <cell r="F2460">
            <v>306404</v>
          </cell>
          <cell r="G2460" t="str">
            <v>Hugo Leonel Tahual Ramos</v>
          </cell>
        </row>
        <row r="2461">
          <cell r="F2461">
            <v>313743</v>
          </cell>
          <cell r="G2461" t="str">
            <v>Hugo Rolando Ruiz Alquijay</v>
          </cell>
        </row>
        <row r="2462">
          <cell r="F2462">
            <v>310888</v>
          </cell>
          <cell r="G2462" t="str">
            <v>Hugo Vinicio Chavez Barrios</v>
          </cell>
        </row>
        <row r="2463">
          <cell r="F2463">
            <v>302261</v>
          </cell>
          <cell r="G2463" t="str">
            <v>Idalia Ester Espino Lopez</v>
          </cell>
        </row>
        <row r="2464">
          <cell r="F2464">
            <v>304392</v>
          </cell>
          <cell r="G2464" t="str">
            <v>Ilda Gricelda Garcia Zacarias</v>
          </cell>
        </row>
        <row r="2465">
          <cell r="F2465">
            <v>313703</v>
          </cell>
          <cell r="G2465" t="str">
            <v>Ilda Magnolia Lopez Ramirez</v>
          </cell>
        </row>
        <row r="2466">
          <cell r="F2466">
            <v>310432</v>
          </cell>
          <cell r="G2466" t="str">
            <v>Ilda Merary Calachij Mendez</v>
          </cell>
        </row>
        <row r="2467">
          <cell r="F2467">
            <v>309389</v>
          </cell>
          <cell r="G2467" t="str">
            <v>Ilsy Meliza Matzir Lebon</v>
          </cell>
        </row>
        <row r="2468">
          <cell r="F2468">
            <v>303674</v>
          </cell>
          <cell r="G2468" t="str">
            <v>Imelda Elizabeth Castro Rodas</v>
          </cell>
        </row>
        <row r="2469">
          <cell r="F2469">
            <v>301644</v>
          </cell>
          <cell r="G2469" t="str">
            <v>Imelda Eugenia Recinos Martinez</v>
          </cell>
        </row>
        <row r="2470">
          <cell r="F2470">
            <v>307030</v>
          </cell>
          <cell r="G2470" t="str">
            <v>Ingrid Alejandra Juarez Yanes</v>
          </cell>
        </row>
        <row r="2471">
          <cell r="F2471">
            <v>315503</v>
          </cell>
          <cell r="G2471" t="str">
            <v>Ingrid Benita Tojin Chuc</v>
          </cell>
        </row>
        <row r="2472">
          <cell r="F2472">
            <v>312398</v>
          </cell>
          <cell r="G2472" t="str">
            <v>Ingrid Esteffany Salazar Sosa</v>
          </cell>
        </row>
        <row r="2473">
          <cell r="F2473">
            <v>301199</v>
          </cell>
          <cell r="G2473" t="str">
            <v>Ingrid Haydee Minchez Monzon</v>
          </cell>
        </row>
        <row r="2474">
          <cell r="F2474">
            <v>304317</v>
          </cell>
          <cell r="G2474" t="str">
            <v>Ingrid Johana Muñoz Choc</v>
          </cell>
        </row>
        <row r="2475">
          <cell r="F2475">
            <v>311286</v>
          </cell>
          <cell r="G2475" t="str">
            <v>Ingrid Lorena Anleu Morales</v>
          </cell>
        </row>
        <row r="2476">
          <cell r="F2476">
            <v>311133</v>
          </cell>
          <cell r="G2476" t="str">
            <v>Ingrid Mariela Maldonado Tubac</v>
          </cell>
        </row>
        <row r="2477">
          <cell r="F2477">
            <v>313304</v>
          </cell>
          <cell r="G2477" t="str">
            <v>Ingrid Yojana Ramos Sacalxot</v>
          </cell>
        </row>
        <row r="2478">
          <cell r="F2478">
            <v>311997</v>
          </cell>
          <cell r="G2478" t="str">
            <v>Irene Lizbeth Rodas Cuc</v>
          </cell>
        </row>
        <row r="2479">
          <cell r="F2479">
            <v>313128</v>
          </cell>
          <cell r="G2479" t="str">
            <v>Iris Elizabeth Cardona Gonzalez</v>
          </cell>
        </row>
        <row r="2480">
          <cell r="F2480">
            <v>314232</v>
          </cell>
          <cell r="G2480" t="str">
            <v>Iris Yulisa Camposeco Funes</v>
          </cell>
        </row>
        <row r="2481">
          <cell r="F2481">
            <v>312920</v>
          </cell>
          <cell r="G2481" t="str">
            <v>Irma Leticia Raquec Yos</v>
          </cell>
        </row>
        <row r="2482">
          <cell r="F2482">
            <v>314336</v>
          </cell>
          <cell r="G2482" t="str">
            <v>Isaac David Ismael Calderon Socop</v>
          </cell>
        </row>
        <row r="2483">
          <cell r="F2483">
            <v>315186</v>
          </cell>
          <cell r="G2483" t="str">
            <v>Isabelita Retana Zepeda</v>
          </cell>
        </row>
        <row r="2484">
          <cell r="F2484">
            <v>311913</v>
          </cell>
          <cell r="G2484" t="str">
            <v>Isai Bernabe Quiroa Alvarez</v>
          </cell>
        </row>
        <row r="2485">
          <cell r="F2485">
            <v>315302</v>
          </cell>
          <cell r="G2485" t="str">
            <v>Isai De Jesus Cabrera Tirado</v>
          </cell>
        </row>
        <row r="2486">
          <cell r="F2486">
            <v>314983</v>
          </cell>
          <cell r="G2486" t="str">
            <v>Ismael Josafat Barrios</v>
          </cell>
        </row>
        <row r="2487">
          <cell r="F2487">
            <v>313569</v>
          </cell>
          <cell r="G2487" t="str">
            <v>Ismar Manfredo Gomez Batres</v>
          </cell>
        </row>
        <row r="2488">
          <cell r="F2488">
            <v>315034</v>
          </cell>
          <cell r="G2488" t="str">
            <v>Jackeline Andrea Yancor Wilhelm</v>
          </cell>
        </row>
        <row r="2489">
          <cell r="F2489">
            <v>315352</v>
          </cell>
          <cell r="G2489" t="str">
            <v>Jackeline Ester Vasquez Pernillo</v>
          </cell>
        </row>
        <row r="2490">
          <cell r="F2490">
            <v>100717</v>
          </cell>
          <cell r="G2490" t="str">
            <v>Jackeline Larisa De Leon Roldan</v>
          </cell>
        </row>
        <row r="2491">
          <cell r="F2491">
            <v>313656</v>
          </cell>
          <cell r="G2491" t="str">
            <v>Jackelinne Judith Paz Morales</v>
          </cell>
        </row>
        <row r="2492">
          <cell r="F2492">
            <v>312255</v>
          </cell>
          <cell r="G2492" t="str">
            <v>Jacqueline Mercedes Portuguez Simaj</v>
          </cell>
        </row>
        <row r="2493">
          <cell r="F2493">
            <v>314780</v>
          </cell>
          <cell r="G2493" t="str">
            <v>Jacqueline Michell Arroyo Mendoza</v>
          </cell>
        </row>
        <row r="2494">
          <cell r="F2494">
            <v>301265</v>
          </cell>
          <cell r="G2494" t="str">
            <v>Jaime Estuardo Gonzalez Lopez</v>
          </cell>
        </row>
        <row r="2495">
          <cell r="F2495">
            <v>314552</v>
          </cell>
          <cell r="G2495" t="str">
            <v>Jaime Ottoniel Del Aguila Pineda</v>
          </cell>
        </row>
        <row r="2496">
          <cell r="F2496">
            <v>301608</v>
          </cell>
          <cell r="G2496" t="str">
            <v>Jaime Rene Guzman Muy</v>
          </cell>
        </row>
        <row r="2497">
          <cell r="F2497">
            <v>314866</v>
          </cell>
          <cell r="G2497" t="str">
            <v>Jaime Wilfredo Chub Coc</v>
          </cell>
        </row>
        <row r="2498">
          <cell r="F2498">
            <v>314935</v>
          </cell>
          <cell r="G2498" t="str">
            <v>Jairo Anibal Veliz Carrera</v>
          </cell>
        </row>
        <row r="2499">
          <cell r="F2499">
            <v>313086</v>
          </cell>
          <cell r="G2499" t="str">
            <v>Jairo Onesimo Aguilar Cabrera</v>
          </cell>
        </row>
        <row r="2500">
          <cell r="F2500">
            <v>314146</v>
          </cell>
          <cell r="G2500" t="str">
            <v>Jairo Saul Lopez Quinteros</v>
          </cell>
        </row>
        <row r="2501">
          <cell r="F2501">
            <v>315130</v>
          </cell>
          <cell r="G2501" t="str">
            <v>Jakelyn Estrella Erazo Asencio</v>
          </cell>
        </row>
        <row r="2502">
          <cell r="F2502">
            <v>315546</v>
          </cell>
          <cell r="G2502" t="str">
            <v>James Alexander Marquez Salazar</v>
          </cell>
        </row>
        <row r="2503">
          <cell r="F2503">
            <v>314261</v>
          </cell>
          <cell r="G2503" t="str">
            <v>Jannely Darlene Telon Giron</v>
          </cell>
        </row>
        <row r="2504">
          <cell r="F2504">
            <v>313187</v>
          </cell>
          <cell r="G2504" t="str">
            <v>Janyer Violeta Aguirre Alvarez</v>
          </cell>
        </row>
        <row r="2505">
          <cell r="F2505">
            <v>308525</v>
          </cell>
          <cell r="G2505" t="str">
            <v>Jaquelin Paola Lopez Bocel</v>
          </cell>
        </row>
        <row r="2506">
          <cell r="F2506">
            <v>308189</v>
          </cell>
          <cell r="G2506" t="str">
            <v>Jaquelin Rocxana Cantey De Leon</v>
          </cell>
        </row>
        <row r="2507">
          <cell r="F2507">
            <v>312758</v>
          </cell>
          <cell r="G2507" t="str">
            <v>Jaqueline Gabriela Vasquez Icute De Padilla</v>
          </cell>
        </row>
        <row r="2508">
          <cell r="F2508">
            <v>301462</v>
          </cell>
          <cell r="G2508" t="str">
            <v>Jaqueline Johana Hernandez Masaya</v>
          </cell>
        </row>
        <row r="2509">
          <cell r="F2509">
            <v>310027</v>
          </cell>
          <cell r="G2509" t="str">
            <v>Jaqueline Mishel Zetino Culan</v>
          </cell>
        </row>
        <row r="2510">
          <cell r="F2510">
            <v>313663</v>
          </cell>
          <cell r="G2510" t="str">
            <v>Jaqueline Mishell Perez Sanic</v>
          </cell>
        </row>
        <row r="2511">
          <cell r="F2511">
            <v>314697</v>
          </cell>
          <cell r="G2511" t="str">
            <v>Jaqueline Noemi Cojon Franco</v>
          </cell>
        </row>
        <row r="2512">
          <cell r="F2512">
            <v>314526</v>
          </cell>
          <cell r="G2512" t="str">
            <v>Jaqueline Sarai Reynoso Perez</v>
          </cell>
        </row>
        <row r="2513">
          <cell r="F2513">
            <v>314952</v>
          </cell>
          <cell r="G2513" t="str">
            <v>Jaqueline Stephanie Espinoza Espinoza</v>
          </cell>
        </row>
        <row r="2514">
          <cell r="F2514">
            <v>315467</v>
          </cell>
          <cell r="G2514" t="str">
            <v>Jaqueline Vanessa Cardona Del Cid</v>
          </cell>
        </row>
        <row r="2515">
          <cell r="F2515">
            <v>314066</v>
          </cell>
          <cell r="G2515" t="str">
            <v>Jaquelyn Marleny Fernandez</v>
          </cell>
        </row>
        <row r="2516">
          <cell r="F2516">
            <v>314639</v>
          </cell>
          <cell r="G2516" t="str">
            <v>Jarod Emanuel Prado Sanchez</v>
          </cell>
        </row>
        <row r="2517">
          <cell r="F2517">
            <v>311320</v>
          </cell>
          <cell r="G2517" t="str">
            <v>Jasly Elisama Escobar Mayen</v>
          </cell>
        </row>
        <row r="2518">
          <cell r="F2518">
            <v>304531</v>
          </cell>
          <cell r="G2518" t="str">
            <v>Jasmin Cristabel Rosales</v>
          </cell>
        </row>
        <row r="2519">
          <cell r="F2519">
            <v>315500</v>
          </cell>
          <cell r="G2519" t="str">
            <v>Jasson Daniel Morales Garcia</v>
          </cell>
        </row>
        <row r="2520">
          <cell r="F2520">
            <v>315383</v>
          </cell>
          <cell r="G2520" t="str">
            <v>Javier Estuardo Calderon Caceres</v>
          </cell>
        </row>
        <row r="2521">
          <cell r="F2521">
            <v>307598</v>
          </cell>
          <cell r="G2521" t="str">
            <v>Javier Ignacio Monzon Leon</v>
          </cell>
        </row>
        <row r="2522">
          <cell r="F2522">
            <v>312743</v>
          </cell>
          <cell r="G2522" t="str">
            <v>Jayro Vinicio Alvarado Rodriguez</v>
          </cell>
        </row>
        <row r="2523">
          <cell r="F2523">
            <v>313435</v>
          </cell>
          <cell r="G2523" t="str">
            <v>Jefferson Marvin Baudilio Aldana Lozano</v>
          </cell>
        </row>
        <row r="2524">
          <cell r="F2524">
            <v>310987</v>
          </cell>
          <cell r="G2524" t="str">
            <v>Jeffrey Donely Alvarez Garcia</v>
          </cell>
        </row>
        <row r="2525">
          <cell r="F2525">
            <v>315307</v>
          </cell>
          <cell r="G2525" t="str">
            <v>Jeicob Manrique Argueta Ovalle</v>
          </cell>
        </row>
        <row r="2526">
          <cell r="F2526">
            <v>313167</v>
          </cell>
          <cell r="G2526" t="str">
            <v>Jency Julissa Chavarria Garcia</v>
          </cell>
        </row>
        <row r="2527">
          <cell r="F2527">
            <v>309592</v>
          </cell>
          <cell r="G2527" t="str">
            <v>Jenifer Estrella Alvarez Cruz</v>
          </cell>
        </row>
        <row r="2528">
          <cell r="F2528">
            <v>308871</v>
          </cell>
          <cell r="G2528" t="str">
            <v>Jenifer Lisset Chicol Solis</v>
          </cell>
        </row>
        <row r="2529">
          <cell r="F2529">
            <v>310744</v>
          </cell>
          <cell r="G2529" t="str">
            <v>Jenifer Lucrecia Herrera Gonzalez</v>
          </cell>
        </row>
        <row r="2530">
          <cell r="F2530">
            <v>312022</v>
          </cell>
          <cell r="G2530" t="str">
            <v>Jenifer Maria Lopez Jimenez</v>
          </cell>
        </row>
        <row r="2531">
          <cell r="F2531">
            <v>311998</v>
          </cell>
          <cell r="G2531" t="str">
            <v>Jenifer Patricia Ruano Camo</v>
          </cell>
        </row>
        <row r="2532">
          <cell r="F2532">
            <v>314393</v>
          </cell>
          <cell r="G2532" t="str">
            <v>Jeniffer Yadaris Villegas Montepeque</v>
          </cell>
        </row>
        <row r="2533">
          <cell r="F2533">
            <v>312144</v>
          </cell>
          <cell r="G2533" t="str">
            <v>Jennie Beatriz Aguilar Gonzalez</v>
          </cell>
        </row>
        <row r="2534">
          <cell r="F2534">
            <v>310751</v>
          </cell>
          <cell r="G2534" t="str">
            <v>Jennifer Alejandra Escobar De Leon</v>
          </cell>
        </row>
        <row r="2535">
          <cell r="F2535">
            <v>311804</v>
          </cell>
          <cell r="G2535" t="str">
            <v>Jennifer Carolina Xitimul Aguilar</v>
          </cell>
        </row>
        <row r="2536">
          <cell r="F2536">
            <v>315185</v>
          </cell>
          <cell r="G2536" t="str">
            <v>Jennifer Estefany Argueta De Leon</v>
          </cell>
        </row>
        <row r="2537">
          <cell r="F2537">
            <v>313611</v>
          </cell>
          <cell r="G2537" t="str">
            <v>Jennifer Mishel Reyes Solis</v>
          </cell>
        </row>
        <row r="2538">
          <cell r="F2538">
            <v>314306</v>
          </cell>
          <cell r="G2538" t="str">
            <v>Jennifer Noemi Soch Castro</v>
          </cell>
        </row>
        <row r="2539">
          <cell r="F2539">
            <v>312876</v>
          </cell>
          <cell r="G2539" t="str">
            <v>Jennifer Pahola Calderon Lopez</v>
          </cell>
        </row>
        <row r="2540">
          <cell r="F2540">
            <v>311421</v>
          </cell>
          <cell r="G2540" t="str">
            <v>Jennifer Scarlett Garcia Perez</v>
          </cell>
        </row>
        <row r="2541">
          <cell r="F2541">
            <v>312270</v>
          </cell>
          <cell r="G2541" t="str">
            <v>Jennifer Vanessa Rodriguez Hernandez</v>
          </cell>
        </row>
        <row r="2542">
          <cell r="F2542">
            <v>313387</v>
          </cell>
          <cell r="G2542" t="str">
            <v>Jennifer Waleska Arévalo Barrios</v>
          </cell>
        </row>
        <row r="2543">
          <cell r="F2543">
            <v>312117</v>
          </cell>
          <cell r="G2543" t="str">
            <v>Jenniffer Jazmin Ramos Madriles</v>
          </cell>
        </row>
        <row r="2544">
          <cell r="F2544">
            <v>310238</v>
          </cell>
          <cell r="G2544" t="str">
            <v>Jennyfer Cristina Zamora Rosales</v>
          </cell>
        </row>
        <row r="2545">
          <cell r="F2545">
            <v>312732</v>
          </cell>
          <cell r="G2545" t="str">
            <v>Jerson Herminio Melchor Vasquez</v>
          </cell>
        </row>
        <row r="2546">
          <cell r="F2546">
            <v>314962</v>
          </cell>
          <cell r="G2546" t="str">
            <v>Jessica Alejandra Castillo Alvarado</v>
          </cell>
        </row>
        <row r="2547">
          <cell r="F2547">
            <v>314100</v>
          </cell>
          <cell r="G2547" t="str">
            <v>Jessica Elizabeth Perez Noriega</v>
          </cell>
        </row>
        <row r="2548">
          <cell r="F2548">
            <v>311601</v>
          </cell>
          <cell r="G2548" t="str">
            <v>Jessica Haydee Garcia Cuyuche</v>
          </cell>
        </row>
        <row r="2549">
          <cell r="F2549">
            <v>314620</v>
          </cell>
          <cell r="G2549" t="str">
            <v>Jessica Jasmin Baltazar Fuentes</v>
          </cell>
        </row>
        <row r="2550">
          <cell r="F2550">
            <v>302841</v>
          </cell>
          <cell r="G2550" t="str">
            <v>Jessica Maria Jose Santizo Guzman</v>
          </cell>
        </row>
        <row r="2551">
          <cell r="F2551">
            <v>306420</v>
          </cell>
          <cell r="G2551" t="str">
            <v>Jessica Paola Espinoza Solares</v>
          </cell>
        </row>
        <row r="2552">
          <cell r="F2552">
            <v>313826</v>
          </cell>
          <cell r="G2552" t="str">
            <v>Jesus Alberto Vasquez</v>
          </cell>
        </row>
        <row r="2553">
          <cell r="F2553">
            <v>314641</v>
          </cell>
          <cell r="G2553" t="str">
            <v>Jesus Emanuel Ramos Perez</v>
          </cell>
        </row>
        <row r="2554">
          <cell r="F2554">
            <v>314554</v>
          </cell>
          <cell r="G2554" t="str">
            <v>Jhonatan Alexis Ramos Tecun</v>
          </cell>
        </row>
        <row r="2555">
          <cell r="F2555">
            <v>309115</v>
          </cell>
          <cell r="G2555" t="str">
            <v>Jhony Ivan Perez Castillo</v>
          </cell>
        </row>
        <row r="2556">
          <cell r="F2556">
            <v>311171</v>
          </cell>
          <cell r="G2556" t="str">
            <v>Jhoselyn Guadalupe Aquino Maldonado</v>
          </cell>
        </row>
        <row r="2557">
          <cell r="F2557">
            <v>311987</v>
          </cell>
          <cell r="G2557" t="str">
            <v>Jhosseline Stefanie Zermeño Ayala</v>
          </cell>
        </row>
        <row r="2558">
          <cell r="F2558">
            <v>315116</v>
          </cell>
          <cell r="G2558" t="str">
            <v>Jocelyn Fabiola Negro Vasquez</v>
          </cell>
        </row>
        <row r="2559">
          <cell r="F2559">
            <v>314644</v>
          </cell>
          <cell r="G2559" t="str">
            <v>Joel Bernardino Pu Vicente</v>
          </cell>
        </row>
        <row r="2560">
          <cell r="F2560">
            <v>314368</v>
          </cell>
          <cell r="G2560" t="str">
            <v>Johanna Cecilia Hernandez Ixtecoc</v>
          </cell>
        </row>
        <row r="2561">
          <cell r="F2561">
            <v>314339</v>
          </cell>
          <cell r="G2561" t="str">
            <v>Jonatan Estuardo Lopez Gonzalez</v>
          </cell>
        </row>
        <row r="2562">
          <cell r="F2562">
            <v>313157</v>
          </cell>
          <cell r="G2562" t="str">
            <v>Jonatan Guillermo Soto Urbina</v>
          </cell>
        </row>
        <row r="2563">
          <cell r="F2563">
            <v>315492</v>
          </cell>
          <cell r="G2563" t="str">
            <v>Jonathan Daniel Perez Marroquin</v>
          </cell>
        </row>
        <row r="2564">
          <cell r="F2564">
            <v>315156</v>
          </cell>
          <cell r="G2564" t="str">
            <v>Jonathan Donely Sandoval Soch</v>
          </cell>
        </row>
        <row r="2565">
          <cell r="F2565">
            <v>315451</v>
          </cell>
          <cell r="G2565" t="str">
            <v>Jonathan Estuardo Boteo Hernandez</v>
          </cell>
        </row>
        <row r="2566">
          <cell r="F2566">
            <v>314228</v>
          </cell>
          <cell r="G2566" t="str">
            <v>Jordi Alexander Yuman Ramos</v>
          </cell>
        </row>
        <row r="2567">
          <cell r="F2567">
            <v>305955</v>
          </cell>
          <cell r="G2567" t="str">
            <v>Jorge Alfredo Gutierrez Rodriguez</v>
          </cell>
        </row>
        <row r="2568">
          <cell r="F2568">
            <v>309695</v>
          </cell>
          <cell r="G2568" t="str">
            <v>Jorge Andres Sunum Sacul</v>
          </cell>
        </row>
        <row r="2569">
          <cell r="F2569">
            <v>310641</v>
          </cell>
          <cell r="G2569" t="str">
            <v>Jorge Antonio Ramirez Sicay</v>
          </cell>
        </row>
        <row r="2570">
          <cell r="F2570">
            <v>300150</v>
          </cell>
          <cell r="G2570" t="str">
            <v>Jorge Ckristian Murga</v>
          </cell>
        </row>
        <row r="2571">
          <cell r="F2571">
            <v>315114</v>
          </cell>
          <cell r="G2571" t="str">
            <v>Jorge Enrique Tzic Cruz</v>
          </cell>
        </row>
        <row r="2572">
          <cell r="F2572">
            <v>300590</v>
          </cell>
          <cell r="G2572" t="str">
            <v>Jorge Luis Hernandez Corado</v>
          </cell>
        </row>
        <row r="2573">
          <cell r="F2573">
            <v>315173</v>
          </cell>
          <cell r="G2573" t="str">
            <v>Jorge Luis Morales Lopez</v>
          </cell>
        </row>
        <row r="2574">
          <cell r="F2574">
            <v>315067</v>
          </cell>
          <cell r="G2574" t="str">
            <v>Jorge Luis Rizo Melgar</v>
          </cell>
        </row>
        <row r="2575">
          <cell r="F2575">
            <v>309498</v>
          </cell>
          <cell r="G2575" t="str">
            <v>Jorge Ramiro Ixpec Tinti</v>
          </cell>
        </row>
        <row r="2576">
          <cell r="F2576">
            <v>313405</v>
          </cell>
          <cell r="G2576" t="str">
            <v>Josabet Anai Paz Lobos</v>
          </cell>
        </row>
        <row r="2577">
          <cell r="F2577">
            <v>315268</v>
          </cell>
          <cell r="G2577" t="str">
            <v>Jose Alberto Alveno Chacon</v>
          </cell>
        </row>
        <row r="2578">
          <cell r="F2578">
            <v>312319</v>
          </cell>
          <cell r="G2578" t="str">
            <v>Jose Alberto Sosa</v>
          </cell>
        </row>
        <row r="2579">
          <cell r="F2579">
            <v>315039</v>
          </cell>
          <cell r="G2579" t="str">
            <v>Jose Alejandro Hernandez Escobar</v>
          </cell>
        </row>
        <row r="2580">
          <cell r="F2580">
            <v>310674</v>
          </cell>
          <cell r="G2580" t="str">
            <v>Jose Armando Bamaca De Leon</v>
          </cell>
        </row>
        <row r="2581">
          <cell r="F2581">
            <v>313612</v>
          </cell>
          <cell r="G2581" t="str">
            <v>Jose Baldemar Galicia Muñoz</v>
          </cell>
        </row>
        <row r="2582">
          <cell r="F2582">
            <v>314216</v>
          </cell>
          <cell r="G2582" t="str">
            <v>Jose Bernardo Yax Pop</v>
          </cell>
        </row>
        <row r="2583">
          <cell r="F2583">
            <v>314504</v>
          </cell>
          <cell r="G2583" t="str">
            <v>Jose Carlos Lopez Santisteban</v>
          </cell>
        </row>
        <row r="2584">
          <cell r="F2584">
            <v>310673</v>
          </cell>
          <cell r="G2584" t="str">
            <v>Jose Carlos Orozco Lopez</v>
          </cell>
        </row>
        <row r="2585">
          <cell r="F2585">
            <v>308982</v>
          </cell>
          <cell r="G2585" t="str">
            <v>Jose Daniel Sosa Torres</v>
          </cell>
        </row>
        <row r="2586">
          <cell r="F2586">
            <v>314510</v>
          </cell>
          <cell r="G2586" t="str">
            <v>Jose David Flores Enriquez</v>
          </cell>
        </row>
        <row r="2587">
          <cell r="F2587">
            <v>315261</v>
          </cell>
          <cell r="G2587" t="str">
            <v>Jose Emmanuel Ixcajo Higueros</v>
          </cell>
        </row>
        <row r="2588">
          <cell r="F2588">
            <v>313766</v>
          </cell>
          <cell r="G2588" t="str">
            <v>Jose Francisco Aquino Monterroso</v>
          </cell>
        </row>
        <row r="2589">
          <cell r="F2589">
            <v>315415</v>
          </cell>
          <cell r="G2589" t="str">
            <v>Jose Guillermo Marroquin Alvarado</v>
          </cell>
        </row>
        <row r="2590">
          <cell r="F2590">
            <v>306915</v>
          </cell>
          <cell r="G2590" t="str">
            <v>Jose Luis Chinchilla</v>
          </cell>
        </row>
        <row r="2591">
          <cell r="F2591">
            <v>309765</v>
          </cell>
          <cell r="G2591" t="str">
            <v>Jose Luis Velasquez Miche</v>
          </cell>
        </row>
        <row r="2592">
          <cell r="F2592">
            <v>314262</v>
          </cell>
          <cell r="G2592" t="str">
            <v>Jose Manuel Carreto Lopez</v>
          </cell>
        </row>
        <row r="2593">
          <cell r="F2593">
            <v>315487</v>
          </cell>
          <cell r="G2593" t="str">
            <v>Jose Manuel Vasquez Osoy</v>
          </cell>
        </row>
        <row r="2594">
          <cell r="F2594">
            <v>304892</v>
          </cell>
          <cell r="G2594" t="str">
            <v>Jose Mario Alberto Ordoñez Quiñonez</v>
          </cell>
        </row>
        <row r="2595">
          <cell r="F2595">
            <v>313023</v>
          </cell>
          <cell r="G2595" t="str">
            <v>Jose Miguel Angel Noj Aguilar</v>
          </cell>
        </row>
        <row r="2596">
          <cell r="F2596">
            <v>312573</v>
          </cell>
          <cell r="G2596" t="str">
            <v>Jose Miguel Santos Roca</v>
          </cell>
        </row>
        <row r="2597">
          <cell r="F2597">
            <v>311802</v>
          </cell>
          <cell r="G2597" t="str">
            <v>Jose Roberto Samayoa Bernal</v>
          </cell>
        </row>
        <row r="2598">
          <cell r="F2598">
            <v>314614</v>
          </cell>
          <cell r="G2598" t="str">
            <v>Jose Rodrigo Choc Turcios</v>
          </cell>
        </row>
        <row r="2599">
          <cell r="F2599">
            <v>314729</v>
          </cell>
          <cell r="G2599" t="str">
            <v>Joselin Rocio Galicia Mendez</v>
          </cell>
        </row>
        <row r="2600">
          <cell r="F2600">
            <v>315496</v>
          </cell>
          <cell r="G2600" t="str">
            <v>Joseline Otilia Lorenzana Obando</v>
          </cell>
        </row>
        <row r="2601">
          <cell r="F2601">
            <v>310302</v>
          </cell>
          <cell r="G2601" t="str">
            <v>Joselyn Amparo Jolon Arenas</v>
          </cell>
        </row>
        <row r="2602">
          <cell r="F2602">
            <v>315573</v>
          </cell>
          <cell r="G2602" t="str">
            <v>Joselyn Marilu Lima Hernandez</v>
          </cell>
        </row>
        <row r="2603">
          <cell r="F2603">
            <v>313361</v>
          </cell>
          <cell r="G2603" t="str">
            <v>Joselyne Elizabeth Sanchez Rodriguez</v>
          </cell>
        </row>
        <row r="2604">
          <cell r="F2604">
            <v>309870</v>
          </cell>
          <cell r="G2604" t="str">
            <v>Joselyne Gabriela Ruiz Serra</v>
          </cell>
        </row>
        <row r="2605">
          <cell r="F2605">
            <v>311407</v>
          </cell>
          <cell r="G2605" t="str">
            <v>Joshelyn Andrea Ozuna Rosales</v>
          </cell>
        </row>
        <row r="2606">
          <cell r="F2606">
            <v>315066</v>
          </cell>
          <cell r="G2606" t="str">
            <v>Joshua Leonel Pardo Carrera</v>
          </cell>
        </row>
        <row r="2607">
          <cell r="F2607">
            <v>314433</v>
          </cell>
          <cell r="G2607" t="str">
            <v>Josselin Azucena Cortez Hernandez</v>
          </cell>
        </row>
        <row r="2608">
          <cell r="F2608">
            <v>315560</v>
          </cell>
          <cell r="G2608" t="str">
            <v>Josseline Maribel Sarceno Guerra</v>
          </cell>
        </row>
        <row r="2609">
          <cell r="F2609">
            <v>314268</v>
          </cell>
          <cell r="G2609" t="str">
            <v>Josseline Mishel Flores Baren</v>
          </cell>
        </row>
        <row r="2610">
          <cell r="F2610">
            <v>313034</v>
          </cell>
          <cell r="G2610" t="str">
            <v>Josselyn Raab Morales Arana</v>
          </cell>
        </row>
        <row r="2611">
          <cell r="F2611">
            <v>314989</v>
          </cell>
          <cell r="G2611" t="str">
            <v>Josue Adrian Gutierrez Garcia</v>
          </cell>
        </row>
        <row r="2612">
          <cell r="F2612">
            <v>308461</v>
          </cell>
          <cell r="G2612" t="str">
            <v>Josue Gamaliel Rivera</v>
          </cell>
        </row>
        <row r="2613">
          <cell r="F2613">
            <v>315155</v>
          </cell>
          <cell r="G2613" t="str">
            <v>Josue Helaman Delgado Rivera</v>
          </cell>
        </row>
        <row r="2614">
          <cell r="F2614">
            <v>315011</v>
          </cell>
          <cell r="G2614" t="str">
            <v>Josue Ivan Escobar De Leon</v>
          </cell>
        </row>
        <row r="2615">
          <cell r="F2615">
            <v>313389</v>
          </cell>
          <cell r="G2615" t="str">
            <v>Josue Leonel Hernandez Diaz</v>
          </cell>
        </row>
        <row r="2616">
          <cell r="F2616">
            <v>301059</v>
          </cell>
          <cell r="G2616" t="str">
            <v>Jovita Vasquez Cuestas</v>
          </cell>
        </row>
        <row r="2617">
          <cell r="F2617">
            <v>314492</v>
          </cell>
          <cell r="G2617" t="str">
            <v>Juan Antonio Alvarez Paniagua</v>
          </cell>
        </row>
        <row r="2618">
          <cell r="F2618">
            <v>313594</v>
          </cell>
          <cell r="G2618" t="str">
            <v>Juan Carlos Enrique Molina Ramirez</v>
          </cell>
        </row>
        <row r="2619">
          <cell r="F2619">
            <v>314452</v>
          </cell>
          <cell r="G2619" t="str">
            <v>Juan Carlos Ivan Garcia Garcia</v>
          </cell>
        </row>
        <row r="2620">
          <cell r="F2620">
            <v>307279</v>
          </cell>
          <cell r="G2620" t="str">
            <v>Juan Carlos Perez Cahueque</v>
          </cell>
        </row>
        <row r="2621">
          <cell r="F2621">
            <v>315455</v>
          </cell>
          <cell r="G2621" t="str">
            <v>Juan Daniel Davila Juarez</v>
          </cell>
        </row>
        <row r="2622">
          <cell r="F2622">
            <v>312318</v>
          </cell>
          <cell r="G2622" t="str">
            <v>Juan Enrique Garcia</v>
          </cell>
        </row>
        <row r="2623">
          <cell r="F2623">
            <v>314669</v>
          </cell>
          <cell r="G2623" t="str">
            <v>Juan Enrique Jul Coc</v>
          </cell>
        </row>
        <row r="2624">
          <cell r="F2624">
            <v>311223</v>
          </cell>
          <cell r="G2624" t="str">
            <v>Juan Francisco Gudiel Castillo</v>
          </cell>
        </row>
        <row r="2625">
          <cell r="F2625">
            <v>313343</v>
          </cell>
          <cell r="G2625" t="str">
            <v>Juan Francisco Lopez Salic</v>
          </cell>
        </row>
        <row r="2626">
          <cell r="F2626">
            <v>300401</v>
          </cell>
          <cell r="G2626" t="str">
            <v>Juan Gabriel Mendoza Alvarez</v>
          </cell>
        </row>
        <row r="2627">
          <cell r="F2627">
            <v>313617</v>
          </cell>
          <cell r="G2627" t="str">
            <v>Juan Isael Amador</v>
          </cell>
        </row>
        <row r="2628">
          <cell r="F2628">
            <v>314961</v>
          </cell>
          <cell r="G2628" t="str">
            <v>Juan Jose Cifuentes Chavez</v>
          </cell>
        </row>
        <row r="2629">
          <cell r="F2629">
            <v>300919</v>
          </cell>
          <cell r="G2629" t="str">
            <v>Juan Jose Rodriguez Catu</v>
          </cell>
        </row>
        <row r="2630">
          <cell r="F2630">
            <v>313044</v>
          </cell>
          <cell r="G2630" t="str">
            <v>Juan Luis Ajcet Xicay</v>
          </cell>
        </row>
        <row r="2631">
          <cell r="F2631">
            <v>314665</v>
          </cell>
          <cell r="G2631" t="str">
            <v>Juan Manuel Lopez Hernandez</v>
          </cell>
        </row>
        <row r="2632">
          <cell r="F2632">
            <v>315275</v>
          </cell>
          <cell r="G2632" t="str">
            <v>Juana Del Carmen Arias Lopez</v>
          </cell>
        </row>
        <row r="2633">
          <cell r="F2633">
            <v>314557</v>
          </cell>
          <cell r="G2633" t="str">
            <v>Juana Ester Alvarez Tuluxan</v>
          </cell>
        </row>
        <row r="2634">
          <cell r="F2634">
            <v>313604</v>
          </cell>
          <cell r="G2634" t="str">
            <v>Julia Damaris Raquel Ramirez Torres</v>
          </cell>
        </row>
        <row r="2635">
          <cell r="F2635">
            <v>315411</v>
          </cell>
          <cell r="G2635" t="str">
            <v>Julio Alberto Guerra Jacinto</v>
          </cell>
        </row>
        <row r="2636">
          <cell r="F2636">
            <v>306242</v>
          </cell>
          <cell r="G2636" t="str">
            <v>Julio Amilcar Oswaldo Ico Rey</v>
          </cell>
        </row>
        <row r="2637">
          <cell r="F2637">
            <v>310693</v>
          </cell>
          <cell r="G2637" t="str">
            <v>Julio Antonio Gonzalez Izaguirre</v>
          </cell>
        </row>
        <row r="2638">
          <cell r="F2638">
            <v>302559</v>
          </cell>
          <cell r="G2638" t="str">
            <v>Julio Belarmino Mendez Camey</v>
          </cell>
        </row>
        <row r="2639">
          <cell r="F2639">
            <v>314740</v>
          </cell>
          <cell r="G2639" t="str">
            <v>Julio Cesar Cuellar Revolorio</v>
          </cell>
        </row>
        <row r="2640">
          <cell r="F2640">
            <v>308266</v>
          </cell>
          <cell r="G2640" t="str">
            <v>Julio Cesar De Leon Huinac</v>
          </cell>
        </row>
        <row r="2641">
          <cell r="F2641">
            <v>311388</v>
          </cell>
          <cell r="G2641" t="str">
            <v>Julio David Ambrosio Hernandez</v>
          </cell>
        </row>
        <row r="2642">
          <cell r="F2642">
            <v>313493</v>
          </cell>
          <cell r="G2642" t="str">
            <v>Julio Rene Medina Mendez</v>
          </cell>
        </row>
        <row r="2643">
          <cell r="F2643">
            <v>314194</v>
          </cell>
          <cell r="G2643" t="str">
            <v>Junior Stiven Gonzalez Fuentes</v>
          </cell>
        </row>
        <row r="2644">
          <cell r="F2644">
            <v>308411</v>
          </cell>
          <cell r="G2644" t="str">
            <v>Karen Alejandra Cotoc Valdes</v>
          </cell>
        </row>
        <row r="2645">
          <cell r="F2645">
            <v>313225</v>
          </cell>
          <cell r="G2645" t="str">
            <v>Karen Deniss Lucas Chavez</v>
          </cell>
        </row>
        <row r="2646">
          <cell r="F2646">
            <v>311553</v>
          </cell>
          <cell r="G2646" t="str">
            <v>Karen Elizabeth Racancoj Tin</v>
          </cell>
        </row>
        <row r="2647">
          <cell r="F2647">
            <v>312029</v>
          </cell>
          <cell r="G2647" t="str">
            <v>Karen Faviola Lutin Sanchez</v>
          </cell>
        </row>
        <row r="2648">
          <cell r="F2648">
            <v>314954</v>
          </cell>
          <cell r="G2648" t="str">
            <v>Karen Jeanet Pacheco Gomez</v>
          </cell>
        </row>
        <row r="2649">
          <cell r="F2649">
            <v>305618</v>
          </cell>
          <cell r="G2649" t="str">
            <v>Karen Julisa Fernandez Vides</v>
          </cell>
        </row>
        <row r="2650">
          <cell r="F2650">
            <v>308561</v>
          </cell>
          <cell r="G2650" t="str">
            <v>Karen Leticia Vasquez Castañeda</v>
          </cell>
        </row>
        <row r="2651">
          <cell r="F2651">
            <v>313722</v>
          </cell>
          <cell r="G2651" t="str">
            <v>Karen Marilu Chavez Suchite</v>
          </cell>
        </row>
        <row r="2652">
          <cell r="F2652">
            <v>315110</v>
          </cell>
          <cell r="G2652" t="str">
            <v>Karen Marleny Perez Fuentes</v>
          </cell>
        </row>
        <row r="2653">
          <cell r="F2653">
            <v>311616</v>
          </cell>
          <cell r="G2653" t="str">
            <v>Karen Meliza Saavedra Morataya</v>
          </cell>
        </row>
        <row r="2654">
          <cell r="F2654">
            <v>309014</v>
          </cell>
          <cell r="G2654" t="str">
            <v>Karen Mishelle Chavez Segura</v>
          </cell>
        </row>
        <row r="2655">
          <cell r="F2655">
            <v>314217</v>
          </cell>
          <cell r="G2655" t="str">
            <v>Karen Nohemi Perez Santos</v>
          </cell>
        </row>
        <row r="2656">
          <cell r="F2656">
            <v>315274</v>
          </cell>
          <cell r="G2656" t="str">
            <v>Karen Rubi Perez Calderon</v>
          </cell>
        </row>
        <row r="2657">
          <cell r="F2657">
            <v>308426</v>
          </cell>
          <cell r="G2657" t="str">
            <v>Karen Susana Marcos Yupe</v>
          </cell>
        </row>
        <row r="2658">
          <cell r="F2658">
            <v>311722</v>
          </cell>
          <cell r="G2658" t="str">
            <v>Karen Verali Sagastume Oliveros</v>
          </cell>
        </row>
        <row r="2659">
          <cell r="F2659">
            <v>308244</v>
          </cell>
          <cell r="G2659" t="str">
            <v>Karen Yamileth Rosales Alarcon</v>
          </cell>
        </row>
        <row r="2660">
          <cell r="F2660">
            <v>312215</v>
          </cell>
          <cell r="G2660" t="str">
            <v>Karin Liseth Son Chonay</v>
          </cell>
        </row>
        <row r="2661">
          <cell r="F2661">
            <v>301583</v>
          </cell>
          <cell r="G2661" t="str">
            <v>Karin Yesenia Nova Posadas</v>
          </cell>
        </row>
        <row r="2662">
          <cell r="F2662">
            <v>313918</v>
          </cell>
          <cell r="G2662" t="str">
            <v>Karina Lizeth Pineda Ortiz</v>
          </cell>
        </row>
        <row r="2663">
          <cell r="F2663">
            <v>312403</v>
          </cell>
          <cell r="G2663" t="str">
            <v>Karla Elizabeth Lopez Tupul</v>
          </cell>
        </row>
        <row r="2664">
          <cell r="F2664">
            <v>304664</v>
          </cell>
          <cell r="G2664" t="str">
            <v>Karla Eunice Godinez Mendoza</v>
          </cell>
        </row>
        <row r="2665">
          <cell r="F2665">
            <v>315490</v>
          </cell>
          <cell r="G2665" t="str">
            <v>Karla Jasmin Pelen Rafael</v>
          </cell>
        </row>
        <row r="2666">
          <cell r="F2666">
            <v>314673</v>
          </cell>
          <cell r="G2666" t="str">
            <v>Karla Maria Montejo Martinez</v>
          </cell>
        </row>
        <row r="2667">
          <cell r="F2667">
            <v>313079</v>
          </cell>
          <cell r="G2667" t="str">
            <v>Karla Mariela Lopez Salguero</v>
          </cell>
        </row>
        <row r="2668">
          <cell r="F2668">
            <v>314464</v>
          </cell>
          <cell r="G2668" t="str">
            <v>Karla Melisa Trejo Lopez</v>
          </cell>
        </row>
        <row r="2669">
          <cell r="F2669">
            <v>314206</v>
          </cell>
          <cell r="G2669" t="str">
            <v>Karla Nineth Guzman Carrera De Velasquez</v>
          </cell>
        </row>
        <row r="2670">
          <cell r="F2670">
            <v>314831</v>
          </cell>
          <cell r="G2670" t="str">
            <v>Karla Paola Solorzano Monroy</v>
          </cell>
        </row>
        <row r="2671">
          <cell r="F2671">
            <v>309957</v>
          </cell>
          <cell r="G2671" t="str">
            <v>Karla Veronica Zepeda Moran</v>
          </cell>
        </row>
        <row r="2672">
          <cell r="F2672">
            <v>310487</v>
          </cell>
          <cell r="G2672" t="str">
            <v>Karla Yaneth Vasquez Gomez</v>
          </cell>
        </row>
        <row r="2673">
          <cell r="F2673">
            <v>314444</v>
          </cell>
          <cell r="G2673" t="str">
            <v>Karla Yanira Francisco Morales</v>
          </cell>
        </row>
        <row r="2674">
          <cell r="F2674">
            <v>305608</v>
          </cell>
          <cell r="G2674" t="str">
            <v>Karla Yanira Franco Perez</v>
          </cell>
        </row>
        <row r="2675">
          <cell r="F2675">
            <v>312982</v>
          </cell>
          <cell r="G2675" t="str">
            <v>Karla Yessenia Garcia Lopez</v>
          </cell>
        </row>
        <row r="2676">
          <cell r="F2676">
            <v>314044</v>
          </cell>
          <cell r="G2676" t="str">
            <v>Karol Liset Reyes Alvarez</v>
          </cell>
        </row>
        <row r="2677">
          <cell r="F2677">
            <v>311039</v>
          </cell>
          <cell r="G2677" t="str">
            <v>Karolyn Gisselle Palma Ramirez</v>
          </cell>
        </row>
        <row r="2678">
          <cell r="F2678">
            <v>309255</v>
          </cell>
          <cell r="G2678" t="str">
            <v>Katerin Mariela Miranda Perez</v>
          </cell>
        </row>
        <row r="2679">
          <cell r="F2679">
            <v>308909</v>
          </cell>
          <cell r="G2679" t="str">
            <v>Katerine Andrea Mansilla Vasquez</v>
          </cell>
        </row>
        <row r="2680">
          <cell r="F2680">
            <v>314344</v>
          </cell>
          <cell r="G2680" t="str">
            <v>Katherin Maria Del Rosario Curiales Catalan</v>
          </cell>
        </row>
        <row r="2681">
          <cell r="F2681">
            <v>311930</v>
          </cell>
          <cell r="G2681" t="str">
            <v>Katherine Andreina Rodriguez Flores</v>
          </cell>
        </row>
        <row r="2682">
          <cell r="F2682">
            <v>314987</v>
          </cell>
          <cell r="G2682" t="str">
            <v>Katherine Dayana Sinay Colindres</v>
          </cell>
        </row>
        <row r="2683">
          <cell r="F2683">
            <v>313018</v>
          </cell>
          <cell r="G2683" t="str">
            <v>Katherine Guissele Camey Gonzalez</v>
          </cell>
        </row>
        <row r="2684">
          <cell r="F2684">
            <v>305303</v>
          </cell>
          <cell r="G2684" t="str">
            <v>Katherine Stephani Cazanga Giron</v>
          </cell>
        </row>
        <row r="2685">
          <cell r="F2685">
            <v>310764</v>
          </cell>
          <cell r="G2685" t="str">
            <v>Katherine Yorleny Montepeque Echeverria</v>
          </cell>
        </row>
        <row r="2686">
          <cell r="F2686">
            <v>312313</v>
          </cell>
          <cell r="G2686" t="str">
            <v>Katherinne Marleny Ruano Vasquez</v>
          </cell>
        </row>
        <row r="2687">
          <cell r="F2687">
            <v>312966</v>
          </cell>
          <cell r="G2687" t="str">
            <v>Katheryn Nohemi Pineda Sun</v>
          </cell>
        </row>
        <row r="2688">
          <cell r="F2688">
            <v>314949</v>
          </cell>
          <cell r="G2688" t="str">
            <v>Kathleen Yadira Martinez Salazar</v>
          </cell>
        </row>
        <row r="2689">
          <cell r="F2689">
            <v>307014</v>
          </cell>
          <cell r="G2689" t="str">
            <v>Keila Abigail Lopez Argueta</v>
          </cell>
        </row>
        <row r="2690">
          <cell r="F2690">
            <v>315508</v>
          </cell>
          <cell r="G2690" t="str">
            <v>Keila Betsaida Mendoza Pineda</v>
          </cell>
        </row>
        <row r="2691">
          <cell r="F2691">
            <v>315062</v>
          </cell>
          <cell r="G2691" t="str">
            <v>Keili Yanira Arceno Solano</v>
          </cell>
        </row>
        <row r="2692">
          <cell r="F2692">
            <v>314165</v>
          </cell>
          <cell r="G2692" t="str">
            <v>Kelly Dayanna Patzan Giron</v>
          </cell>
        </row>
        <row r="2693">
          <cell r="F2693">
            <v>315570</v>
          </cell>
          <cell r="G2693" t="str">
            <v>Kemberly Del Rosario Zecena Ramos</v>
          </cell>
        </row>
        <row r="2694">
          <cell r="F2694">
            <v>314804</v>
          </cell>
          <cell r="G2694" t="str">
            <v>Kendy Daniela Ramirez Lopez</v>
          </cell>
        </row>
        <row r="2695">
          <cell r="F2695">
            <v>313433</v>
          </cell>
          <cell r="G2695" t="str">
            <v>Kenia Estefania Mateo Castro</v>
          </cell>
        </row>
        <row r="2696">
          <cell r="F2696">
            <v>314991</v>
          </cell>
          <cell r="G2696" t="str">
            <v>Kevin Alberto Castillo Matias</v>
          </cell>
        </row>
        <row r="2697">
          <cell r="F2697">
            <v>314026</v>
          </cell>
          <cell r="G2697" t="str">
            <v>Kevin Alberto Lopez Ortiz</v>
          </cell>
        </row>
        <row r="2698">
          <cell r="F2698">
            <v>315246</v>
          </cell>
          <cell r="G2698" t="str">
            <v>Kevin Alexander Escobar Cante</v>
          </cell>
        </row>
        <row r="2699">
          <cell r="F2699">
            <v>312218</v>
          </cell>
          <cell r="G2699" t="str">
            <v>Kevin Amilcar Cor Guzman</v>
          </cell>
        </row>
        <row r="2700">
          <cell r="F2700">
            <v>311369</v>
          </cell>
          <cell r="G2700" t="str">
            <v>Kevin Antonio Perez Gonzalez</v>
          </cell>
        </row>
        <row r="2701">
          <cell r="F2701">
            <v>314627</v>
          </cell>
          <cell r="G2701" t="str">
            <v>Kevin Daniel Chonay Perez</v>
          </cell>
        </row>
        <row r="2702">
          <cell r="F2702">
            <v>311228</v>
          </cell>
          <cell r="G2702" t="str">
            <v>Kevin Doley Alexander Gomez Lopez</v>
          </cell>
        </row>
        <row r="2703">
          <cell r="F2703">
            <v>309148</v>
          </cell>
          <cell r="G2703" t="str">
            <v>Kevin Estuardo Yac Garcia</v>
          </cell>
        </row>
        <row r="2704">
          <cell r="F2704">
            <v>311643</v>
          </cell>
          <cell r="G2704" t="str">
            <v>Kevin Javier Ortiz Gonzalez</v>
          </cell>
        </row>
        <row r="2705">
          <cell r="F2705">
            <v>311034</v>
          </cell>
          <cell r="G2705" t="str">
            <v>Kevin Jordano Barrios Chin</v>
          </cell>
        </row>
        <row r="2706">
          <cell r="F2706">
            <v>314011</v>
          </cell>
          <cell r="G2706" t="str">
            <v>Kevin Jose Mijangos Vasquez</v>
          </cell>
        </row>
        <row r="2707">
          <cell r="F2707">
            <v>314743</v>
          </cell>
          <cell r="G2707" t="str">
            <v>Kevin Josue Sevilla Nieto</v>
          </cell>
        </row>
        <row r="2708">
          <cell r="F2708">
            <v>311639</v>
          </cell>
          <cell r="G2708" t="str">
            <v>Kevin Omar Ortiz Contreras</v>
          </cell>
        </row>
        <row r="2709">
          <cell r="F2709">
            <v>310538</v>
          </cell>
          <cell r="G2709" t="str">
            <v>Kevin Orlando Ventura Lopez</v>
          </cell>
        </row>
        <row r="2710">
          <cell r="F2710">
            <v>311932</v>
          </cell>
          <cell r="G2710" t="str">
            <v>Kevin Rene Medrano Sarceño</v>
          </cell>
        </row>
        <row r="2711">
          <cell r="F2711">
            <v>308269</v>
          </cell>
          <cell r="G2711" t="str">
            <v>Kevin Ruben Perez Lopez</v>
          </cell>
        </row>
        <row r="2712">
          <cell r="F2712">
            <v>313566</v>
          </cell>
          <cell r="G2712" t="str">
            <v>Kevin Saul Rodriguez Vasquez</v>
          </cell>
        </row>
        <row r="2713">
          <cell r="F2713">
            <v>313520</v>
          </cell>
          <cell r="G2713" t="str">
            <v>Kevin Winston Chavez Alvarez</v>
          </cell>
        </row>
        <row r="2714">
          <cell r="F2714">
            <v>312178</v>
          </cell>
          <cell r="G2714" t="str">
            <v>Keyla Cristy Dubon Pernillo</v>
          </cell>
        </row>
        <row r="2715">
          <cell r="F2715">
            <v>305666</v>
          </cell>
          <cell r="G2715" t="str">
            <v>Kezmi Romani Garcia Mendez</v>
          </cell>
        </row>
        <row r="2716">
          <cell r="F2716">
            <v>314754</v>
          </cell>
          <cell r="G2716" t="str">
            <v>Kimberly Anayanci Tello Morales</v>
          </cell>
        </row>
        <row r="2717">
          <cell r="F2717">
            <v>314051</v>
          </cell>
          <cell r="G2717" t="str">
            <v>Kimberly Dayanna Herrera Marroquin</v>
          </cell>
        </row>
        <row r="2718">
          <cell r="F2718">
            <v>313302</v>
          </cell>
          <cell r="G2718" t="str">
            <v>Kimberly Guadalupe Mulul Pelico</v>
          </cell>
        </row>
        <row r="2719">
          <cell r="F2719">
            <v>314218</v>
          </cell>
          <cell r="G2719" t="str">
            <v>Kimberly Guadalupe Soto</v>
          </cell>
        </row>
        <row r="2720">
          <cell r="F2720">
            <v>305285</v>
          </cell>
          <cell r="G2720" t="str">
            <v>Kimberly Judith Lopez Amaya</v>
          </cell>
        </row>
        <row r="2721">
          <cell r="F2721">
            <v>309753</v>
          </cell>
          <cell r="G2721" t="str">
            <v>Kimberly Melissa Juarez Ramirez</v>
          </cell>
        </row>
        <row r="2722">
          <cell r="F2722">
            <v>312174</v>
          </cell>
          <cell r="G2722" t="str">
            <v>Kimberly Mishel Merida Cortez</v>
          </cell>
        </row>
        <row r="2723">
          <cell r="F2723">
            <v>310926</v>
          </cell>
          <cell r="G2723" t="str">
            <v>Kimberly Nohemi Alvarado Toj</v>
          </cell>
        </row>
        <row r="2724">
          <cell r="F2724">
            <v>315095</v>
          </cell>
          <cell r="G2724" t="str">
            <v>Kimberly Suseli Ibarra Barahona</v>
          </cell>
        </row>
        <row r="2725">
          <cell r="F2725">
            <v>313601</v>
          </cell>
          <cell r="G2725" t="str">
            <v>Kimberly Yasmin Alvarado Veliz</v>
          </cell>
        </row>
        <row r="2726">
          <cell r="F2726">
            <v>310820</v>
          </cell>
          <cell r="G2726" t="str">
            <v>Kleidy Smaily Lopez Lopez De Vicente</v>
          </cell>
        </row>
        <row r="2727">
          <cell r="F2727">
            <v>315345</v>
          </cell>
          <cell r="G2727" t="str">
            <v>Klisman Julio Rolando Lopez Garcia</v>
          </cell>
        </row>
        <row r="2728">
          <cell r="F2728">
            <v>315369</v>
          </cell>
          <cell r="G2728" t="str">
            <v>Krisla Mayte Madrigales Palencia</v>
          </cell>
        </row>
        <row r="2729">
          <cell r="F2729">
            <v>314417</v>
          </cell>
          <cell r="G2729" t="str">
            <v>Krisley Mary Dayana Mazariegos Vega</v>
          </cell>
        </row>
        <row r="2730">
          <cell r="F2730">
            <v>311096</v>
          </cell>
          <cell r="G2730" t="str">
            <v>Larry Noel Gomez Cuellar</v>
          </cell>
        </row>
        <row r="2731">
          <cell r="F2731">
            <v>315400</v>
          </cell>
          <cell r="G2731" t="str">
            <v>Laura Cecilia De Leon Zapeta</v>
          </cell>
        </row>
        <row r="2732">
          <cell r="F2732">
            <v>312722</v>
          </cell>
          <cell r="G2732" t="str">
            <v>Laura Dairis Analy Zeceña Minera</v>
          </cell>
        </row>
        <row r="2733">
          <cell r="F2733">
            <v>314274</v>
          </cell>
          <cell r="G2733" t="str">
            <v>Laura Estefania Cardona Mateo</v>
          </cell>
        </row>
        <row r="2734">
          <cell r="F2734">
            <v>309643</v>
          </cell>
          <cell r="G2734" t="str">
            <v>Laura Gabriela Hernandez Merida</v>
          </cell>
        </row>
        <row r="2735">
          <cell r="F2735">
            <v>312253</v>
          </cell>
          <cell r="G2735" t="str">
            <v>Laura Jajairy Ramirez Veron</v>
          </cell>
        </row>
        <row r="2736">
          <cell r="F2736">
            <v>315183</v>
          </cell>
          <cell r="G2736" t="str">
            <v>Laura Lisbeth Gonzalez Ajin</v>
          </cell>
        </row>
        <row r="2737">
          <cell r="F2737">
            <v>315144</v>
          </cell>
          <cell r="G2737" t="str">
            <v>Lazaro Castro Cajanti</v>
          </cell>
        </row>
        <row r="2738">
          <cell r="F2738">
            <v>314220</v>
          </cell>
          <cell r="G2738" t="str">
            <v>Lea Maria Lopez Agustin</v>
          </cell>
        </row>
        <row r="2739">
          <cell r="F2739">
            <v>303284</v>
          </cell>
          <cell r="G2739" t="str">
            <v>Legbi Evangelina Martinez Vicente</v>
          </cell>
        </row>
        <row r="2740">
          <cell r="F2740">
            <v>304200</v>
          </cell>
          <cell r="G2740" t="str">
            <v>Legna Magali Juarez Aroche</v>
          </cell>
        </row>
        <row r="2741">
          <cell r="F2741">
            <v>310692</v>
          </cell>
          <cell r="G2741" t="str">
            <v>Leidy Ana Deisy Macz Valey</v>
          </cell>
        </row>
        <row r="2742">
          <cell r="F2742">
            <v>303971</v>
          </cell>
          <cell r="G2742" t="str">
            <v>Leidy Marisol Perez Arias</v>
          </cell>
        </row>
        <row r="2743">
          <cell r="F2743">
            <v>312969</v>
          </cell>
          <cell r="G2743" t="str">
            <v>Lely Herrera Molina</v>
          </cell>
        </row>
        <row r="2744">
          <cell r="F2744">
            <v>315278</v>
          </cell>
          <cell r="G2744" t="str">
            <v>Leon Vicente Estuardo Ical Chub</v>
          </cell>
        </row>
        <row r="2745">
          <cell r="F2745">
            <v>306895</v>
          </cell>
          <cell r="G2745" t="str">
            <v>Leonardo Bocel Lopez</v>
          </cell>
        </row>
        <row r="2746">
          <cell r="F2746">
            <v>315257</v>
          </cell>
          <cell r="G2746" t="str">
            <v>Lesli Carolina Iquique Chamale</v>
          </cell>
        </row>
        <row r="2747">
          <cell r="F2747">
            <v>310605</v>
          </cell>
          <cell r="G2747" t="str">
            <v>Lesli Paola Mendez Palencia</v>
          </cell>
        </row>
        <row r="2748">
          <cell r="F2748">
            <v>307367</v>
          </cell>
          <cell r="G2748" t="str">
            <v>Lesli Paola Vasquez Villalta</v>
          </cell>
        </row>
        <row r="2749">
          <cell r="F2749">
            <v>314870</v>
          </cell>
          <cell r="G2749" t="str">
            <v>Leslie Karina Peliz Garcia</v>
          </cell>
        </row>
        <row r="2750">
          <cell r="F2750">
            <v>314382</v>
          </cell>
          <cell r="G2750" t="str">
            <v>Leslie Veronica Varela Echeverria</v>
          </cell>
        </row>
        <row r="2751">
          <cell r="F2751">
            <v>310067</v>
          </cell>
          <cell r="G2751" t="str">
            <v>Lesly Alejandra Estrada Chacon</v>
          </cell>
        </row>
        <row r="2752">
          <cell r="F2752">
            <v>307352</v>
          </cell>
          <cell r="G2752" t="str">
            <v>Lesly Anali Monterroso Ramirez</v>
          </cell>
        </row>
        <row r="2753">
          <cell r="F2753">
            <v>310143</v>
          </cell>
          <cell r="G2753" t="str">
            <v>Lesly Aurora Hernandez Godoy</v>
          </cell>
        </row>
        <row r="2754">
          <cell r="F2754">
            <v>312833</v>
          </cell>
          <cell r="G2754" t="str">
            <v>Lesly Fabiola Solorzano Garcia</v>
          </cell>
        </row>
        <row r="2755">
          <cell r="F2755">
            <v>315132</v>
          </cell>
          <cell r="G2755" t="str">
            <v>Lesly Lisseth Ligorria Torres</v>
          </cell>
        </row>
        <row r="2756">
          <cell r="F2756">
            <v>309366</v>
          </cell>
          <cell r="G2756" t="str">
            <v>Lesly Maribel Hidalgo Barrios</v>
          </cell>
        </row>
        <row r="2757">
          <cell r="F2757">
            <v>314328</v>
          </cell>
          <cell r="G2757" t="str">
            <v>Lesly Marileny De Leon De Leon</v>
          </cell>
        </row>
        <row r="2758">
          <cell r="F2758">
            <v>315317</v>
          </cell>
          <cell r="G2758" t="str">
            <v>Lesly Nereyda Ixquiac Vidaurre</v>
          </cell>
        </row>
        <row r="2759">
          <cell r="F2759">
            <v>313889</v>
          </cell>
          <cell r="G2759" t="str">
            <v>Lesly Noemi Morales Molina</v>
          </cell>
        </row>
        <row r="2760">
          <cell r="F2760">
            <v>310261</v>
          </cell>
          <cell r="G2760" t="str">
            <v>Lesly Rosibel Asencio Estrada</v>
          </cell>
        </row>
        <row r="2761">
          <cell r="F2761">
            <v>311985</v>
          </cell>
          <cell r="G2761" t="str">
            <v>Lesly Vanessa Jerez Herrera</v>
          </cell>
        </row>
        <row r="2762">
          <cell r="F2762">
            <v>307718</v>
          </cell>
          <cell r="G2762" t="str">
            <v>Lesly Yohanna Ramirez Sarceño</v>
          </cell>
        </row>
        <row r="2763">
          <cell r="F2763">
            <v>307269</v>
          </cell>
          <cell r="G2763" t="str">
            <v>Lester Alexander Rodriguez Arevalo</v>
          </cell>
        </row>
        <row r="2764">
          <cell r="F2764">
            <v>102070</v>
          </cell>
          <cell r="G2764" t="str">
            <v>Lester Giovanni Barrios Gonzalez</v>
          </cell>
        </row>
        <row r="2765">
          <cell r="F2765">
            <v>313030</v>
          </cell>
          <cell r="G2765" t="str">
            <v>Lester Ottoniel Martinez Gonzalez</v>
          </cell>
        </row>
        <row r="2766">
          <cell r="F2766">
            <v>314628</v>
          </cell>
          <cell r="G2766" t="str">
            <v>Levy Jhafreth Molina Castellanos</v>
          </cell>
        </row>
        <row r="2767">
          <cell r="F2767">
            <v>315074</v>
          </cell>
          <cell r="G2767" t="str">
            <v>Leyvis Anihela Melendez Garcia</v>
          </cell>
        </row>
        <row r="2768">
          <cell r="F2768">
            <v>310347</v>
          </cell>
          <cell r="G2768" t="str">
            <v>Lidia Sarahi Rodriguez Zamora</v>
          </cell>
        </row>
        <row r="2769">
          <cell r="F2769">
            <v>313802</v>
          </cell>
          <cell r="G2769" t="str">
            <v>Ligia Delfina Caal Coy</v>
          </cell>
        </row>
        <row r="2770">
          <cell r="F2770">
            <v>303594</v>
          </cell>
          <cell r="G2770" t="str">
            <v>Ligia Iveth Marroquin Lechuga</v>
          </cell>
        </row>
        <row r="2771">
          <cell r="F2771">
            <v>311440</v>
          </cell>
          <cell r="G2771" t="str">
            <v>Lili Azucena Perez Yantuch</v>
          </cell>
        </row>
        <row r="2772">
          <cell r="F2772">
            <v>310148</v>
          </cell>
          <cell r="G2772" t="str">
            <v>Lilian Carolina Quiñonez Garcia</v>
          </cell>
        </row>
        <row r="2773">
          <cell r="F2773">
            <v>300280</v>
          </cell>
          <cell r="G2773" t="str">
            <v>Lilian Del Carmen Franco Curin</v>
          </cell>
        </row>
        <row r="2774">
          <cell r="F2774">
            <v>306962</v>
          </cell>
          <cell r="G2774" t="str">
            <v>Lilian Elizabeth Diaz Rivera</v>
          </cell>
        </row>
        <row r="2775">
          <cell r="F2775">
            <v>314279</v>
          </cell>
          <cell r="G2775" t="str">
            <v>Lilian Evelyn Sajbochol Garcia</v>
          </cell>
        </row>
        <row r="2776">
          <cell r="F2776">
            <v>305035</v>
          </cell>
          <cell r="G2776" t="str">
            <v>Lilian Nohemi Santos Bailon</v>
          </cell>
        </row>
        <row r="2777">
          <cell r="F2777">
            <v>314899</v>
          </cell>
          <cell r="G2777" t="str">
            <v>Lilian Vanessa Tezó Monterroso</v>
          </cell>
        </row>
        <row r="2778">
          <cell r="F2778">
            <v>314728</v>
          </cell>
          <cell r="G2778" t="str">
            <v>Lilian Yomara Perez Ajxup</v>
          </cell>
        </row>
        <row r="2779">
          <cell r="F2779">
            <v>313768</v>
          </cell>
          <cell r="G2779" t="str">
            <v>Liliana Marisela Chamorro Tax</v>
          </cell>
        </row>
        <row r="2780">
          <cell r="F2780">
            <v>314091</v>
          </cell>
          <cell r="G2780" t="str">
            <v>Linda Gineli Segura Perez</v>
          </cell>
        </row>
        <row r="2781">
          <cell r="F2781">
            <v>310198</v>
          </cell>
          <cell r="G2781" t="str">
            <v>Linsi Mishell Batz Marroquin</v>
          </cell>
        </row>
        <row r="2782">
          <cell r="F2782">
            <v>309262</v>
          </cell>
          <cell r="G2782" t="str">
            <v>Lisbeth Carolina Hernandez Urrutia</v>
          </cell>
        </row>
        <row r="2783">
          <cell r="F2783">
            <v>315486</v>
          </cell>
          <cell r="G2783" t="str">
            <v>Lisbeth Jeaneth Sucup</v>
          </cell>
        </row>
        <row r="2784">
          <cell r="F2784">
            <v>311492</v>
          </cell>
          <cell r="G2784" t="str">
            <v>Liseth Aldai De La Cruz Lopez</v>
          </cell>
        </row>
        <row r="2785">
          <cell r="F2785">
            <v>315403</v>
          </cell>
          <cell r="G2785" t="str">
            <v>Lizbeth Liliana Peren Velasquez</v>
          </cell>
        </row>
        <row r="2786">
          <cell r="F2786">
            <v>312792</v>
          </cell>
          <cell r="G2786" t="str">
            <v>Llori Eriselda Zuñiga Gomez</v>
          </cell>
        </row>
        <row r="2787">
          <cell r="F2787">
            <v>314774</v>
          </cell>
          <cell r="G2787" t="str">
            <v>Loida Eunice Celada Panjoj</v>
          </cell>
        </row>
        <row r="2788">
          <cell r="F2788">
            <v>310872</v>
          </cell>
          <cell r="G2788" t="str">
            <v>Loida Raquel Juarez Ixpata</v>
          </cell>
        </row>
        <row r="2789">
          <cell r="F2789">
            <v>312765</v>
          </cell>
          <cell r="G2789" t="str">
            <v>Londy Yazmin Gonzalez Ramirez</v>
          </cell>
        </row>
        <row r="2790">
          <cell r="F2790">
            <v>303967</v>
          </cell>
          <cell r="G2790" t="str">
            <v>Loren Alejandra Gutierrez Perez</v>
          </cell>
        </row>
        <row r="2791">
          <cell r="F2791">
            <v>311367</v>
          </cell>
          <cell r="G2791" t="str">
            <v>Lorena Elisbeth Gomez Ajanel</v>
          </cell>
        </row>
        <row r="2792">
          <cell r="F2792">
            <v>310502</v>
          </cell>
          <cell r="G2792" t="str">
            <v>Lourdes Cristina Flores Tahuite</v>
          </cell>
        </row>
        <row r="2793">
          <cell r="F2793">
            <v>315124</v>
          </cell>
          <cell r="G2793" t="str">
            <v>Lourdes Guadalupe Solorzano Herrera</v>
          </cell>
        </row>
        <row r="2794">
          <cell r="F2794">
            <v>313529</v>
          </cell>
          <cell r="G2794" t="str">
            <v>Lucia Adali Alvarado Juarez</v>
          </cell>
        </row>
        <row r="2795">
          <cell r="F2795">
            <v>314022</v>
          </cell>
          <cell r="G2795" t="str">
            <v>Lucinda Nova Garcia</v>
          </cell>
        </row>
        <row r="2796">
          <cell r="F2796">
            <v>309747</v>
          </cell>
          <cell r="G2796" t="str">
            <v>Ludwin Enrique Pineda Soto</v>
          </cell>
        </row>
        <row r="2797">
          <cell r="F2797">
            <v>315489</v>
          </cell>
          <cell r="G2797" t="str">
            <v>Ludwyn Alejandro Estrada Giron</v>
          </cell>
        </row>
        <row r="2798">
          <cell r="F2798">
            <v>313595</v>
          </cell>
          <cell r="G2798" t="str">
            <v>Luis Alan Caceros Chub</v>
          </cell>
        </row>
        <row r="2799">
          <cell r="F2799">
            <v>311207</v>
          </cell>
          <cell r="G2799" t="str">
            <v>Luis Alberto Figueroa Vasquez</v>
          </cell>
        </row>
        <row r="2800">
          <cell r="F2800">
            <v>304473</v>
          </cell>
          <cell r="G2800" t="str">
            <v>Luis Alberto Najera Solis</v>
          </cell>
        </row>
        <row r="2801">
          <cell r="F2801">
            <v>314202</v>
          </cell>
          <cell r="G2801" t="str">
            <v>Luis Antonio Cotzajay Quelex</v>
          </cell>
        </row>
        <row r="2802">
          <cell r="F2802">
            <v>302484</v>
          </cell>
          <cell r="G2802" t="str">
            <v>Luis Armando Ramirez De Leon</v>
          </cell>
        </row>
        <row r="2803">
          <cell r="F2803">
            <v>315385</v>
          </cell>
          <cell r="G2803" t="str">
            <v>Luis Carlos Xitimul Ramirez</v>
          </cell>
        </row>
        <row r="2804">
          <cell r="F2804">
            <v>308614</v>
          </cell>
          <cell r="G2804" t="str">
            <v>Luis De Jesus Julian Lopez</v>
          </cell>
        </row>
        <row r="2805">
          <cell r="F2805">
            <v>315222</v>
          </cell>
          <cell r="G2805" t="str">
            <v>Luis Diego Figueroa Coronado</v>
          </cell>
        </row>
        <row r="2806">
          <cell r="F2806">
            <v>306213</v>
          </cell>
          <cell r="G2806" t="str">
            <v>Luis Eduardo Corado Lara</v>
          </cell>
        </row>
        <row r="2807">
          <cell r="F2807">
            <v>315363</v>
          </cell>
          <cell r="G2807" t="str">
            <v>Luis Eduardo Fuentes Flores</v>
          </cell>
        </row>
        <row r="2808">
          <cell r="F2808">
            <v>314162</v>
          </cell>
          <cell r="G2808" t="str">
            <v>Luis Eduardo Gonzalez Arriaza</v>
          </cell>
        </row>
        <row r="2809">
          <cell r="F2809">
            <v>311975</v>
          </cell>
          <cell r="G2809" t="str">
            <v>Luis Eduardo Ramirez Arriaza</v>
          </cell>
        </row>
        <row r="2810">
          <cell r="F2810">
            <v>300922</v>
          </cell>
          <cell r="G2810" t="str">
            <v>Luis Ernesto Medrano Chajon</v>
          </cell>
        </row>
        <row r="2811">
          <cell r="F2811">
            <v>308519</v>
          </cell>
          <cell r="G2811" t="str">
            <v>Luis Felipe Cuzal Gomez</v>
          </cell>
        </row>
        <row r="2812">
          <cell r="F2812">
            <v>314812</v>
          </cell>
          <cell r="G2812" t="str">
            <v>Luis Fernando Alvarado Tocay</v>
          </cell>
        </row>
        <row r="2813">
          <cell r="F2813">
            <v>304509</v>
          </cell>
          <cell r="G2813" t="str">
            <v>Luis Fernando Jerez Perez</v>
          </cell>
        </row>
        <row r="2814">
          <cell r="F2814">
            <v>313479</v>
          </cell>
          <cell r="G2814" t="str">
            <v>Luis Fernando Lopez Lopez</v>
          </cell>
        </row>
        <row r="2815">
          <cell r="F2815">
            <v>310923</v>
          </cell>
          <cell r="G2815" t="str">
            <v>Luis Fernando Lopez Lopez</v>
          </cell>
        </row>
        <row r="2816">
          <cell r="F2816">
            <v>307904</v>
          </cell>
          <cell r="G2816" t="str">
            <v>Luis Fernando Martin Mateo</v>
          </cell>
        </row>
        <row r="2817">
          <cell r="F2817">
            <v>312303</v>
          </cell>
          <cell r="G2817" t="str">
            <v>Luis Fernando Morales Chocoy</v>
          </cell>
        </row>
        <row r="2818">
          <cell r="F2818">
            <v>314124</v>
          </cell>
          <cell r="G2818" t="str">
            <v>Luis Fernando Perez Torres</v>
          </cell>
        </row>
        <row r="2819">
          <cell r="F2819">
            <v>306713</v>
          </cell>
          <cell r="G2819" t="str">
            <v>Luis Fernando Santos Aguilar</v>
          </cell>
        </row>
        <row r="2820">
          <cell r="F2820">
            <v>315342</v>
          </cell>
          <cell r="G2820" t="str">
            <v>Luis Fernando Valle Cuyun</v>
          </cell>
        </row>
        <row r="2821">
          <cell r="F2821">
            <v>312257</v>
          </cell>
          <cell r="G2821" t="str">
            <v>Luis Giovanni Coronado Vasquez</v>
          </cell>
        </row>
        <row r="2822">
          <cell r="F2822">
            <v>307113</v>
          </cell>
          <cell r="G2822" t="str">
            <v>Luis Pedro Herrera España</v>
          </cell>
        </row>
        <row r="2823">
          <cell r="F2823">
            <v>303961</v>
          </cell>
          <cell r="G2823" t="str">
            <v>Luis Rene Morales Lopez</v>
          </cell>
        </row>
        <row r="2824">
          <cell r="F2824">
            <v>308796</v>
          </cell>
          <cell r="G2824" t="str">
            <v>Luis Tito Rene Esquivel Yancor</v>
          </cell>
        </row>
        <row r="2825">
          <cell r="F2825">
            <v>307862</v>
          </cell>
          <cell r="G2825" t="str">
            <v>Luisa Fernanda Castro Garcia</v>
          </cell>
        </row>
        <row r="2826">
          <cell r="F2826">
            <v>310734</v>
          </cell>
          <cell r="G2826" t="str">
            <v>Lupita Genesis Samanta Granados Valenzuela</v>
          </cell>
        </row>
        <row r="2827">
          <cell r="F2827">
            <v>309761</v>
          </cell>
          <cell r="G2827" t="str">
            <v>Lusi Angelica Coyoy Hernandez</v>
          </cell>
        </row>
        <row r="2828">
          <cell r="F2828">
            <v>310867</v>
          </cell>
          <cell r="G2828" t="str">
            <v>Madelin Raquel Garcia Punay</v>
          </cell>
        </row>
        <row r="2829">
          <cell r="F2829">
            <v>310796</v>
          </cell>
          <cell r="G2829" t="str">
            <v>Madelyn Estefany Vega Velasquez</v>
          </cell>
        </row>
        <row r="2830">
          <cell r="F2830">
            <v>314563</v>
          </cell>
          <cell r="G2830" t="str">
            <v>Madelyn Siomara Mazul De Leon</v>
          </cell>
        </row>
        <row r="2831">
          <cell r="F2831">
            <v>304658</v>
          </cell>
          <cell r="G2831" t="str">
            <v>Madelyn Virginia Lopez Ortega</v>
          </cell>
        </row>
        <row r="2832">
          <cell r="F2832">
            <v>315181</v>
          </cell>
          <cell r="G2832" t="str">
            <v>Magda Beatriz Galvez Fernandez</v>
          </cell>
        </row>
        <row r="2833">
          <cell r="F2833">
            <v>311615</v>
          </cell>
          <cell r="G2833" t="str">
            <v>Magda Corina Gutierrez Yool</v>
          </cell>
        </row>
        <row r="2834">
          <cell r="F2834">
            <v>312044</v>
          </cell>
          <cell r="G2834" t="str">
            <v>Magda Danira Catalan Paz</v>
          </cell>
        </row>
        <row r="2835">
          <cell r="F2835">
            <v>307582</v>
          </cell>
          <cell r="G2835" t="str">
            <v>Mahely Elva Maria Franco Gualim</v>
          </cell>
        </row>
        <row r="2836">
          <cell r="F2836">
            <v>301669</v>
          </cell>
          <cell r="G2836" t="str">
            <v>Manfredo Alexander Castillo Quex</v>
          </cell>
        </row>
        <row r="2837">
          <cell r="F2837">
            <v>309811</v>
          </cell>
          <cell r="G2837" t="str">
            <v>Manfredo Isaias Orozco Perez</v>
          </cell>
        </row>
        <row r="2838">
          <cell r="F2838">
            <v>314136</v>
          </cell>
          <cell r="G2838" t="str">
            <v>Manlio Alcides Godinez Yanez</v>
          </cell>
        </row>
        <row r="2839">
          <cell r="F2839">
            <v>315094</v>
          </cell>
          <cell r="G2839" t="str">
            <v>Manuel Enrique Espinoza Cermeño</v>
          </cell>
        </row>
        <row r="2840">
          <cell r="F2840">
            <v>312835</v>
          </cell>
          <cell r="G2840" t="str">
            <v>Manuel Estuardo Arriaga Garcia</v>
          </cell>
        </row>
        <row r="2841">
          <cell r="F2841">
            <v>314608</v>
          </cell>
          <cell r="G2841" t="str">
            <v>Marbin Yobani Calderon Vicente</v>
          </cell>
        </row>
        <row r="2842">
          <cell r="F2842">
            <v>314041</v>
          </cell>
          <cell r="G2842" t="str">
            <v>Marcela Isabel Medrano Ajquiy</v>
          </cell>
        </row>
        <row r="2843">
          <cell r="F2843">
            <v>308478</v>
          </cell>
          <cell r="G2843" t="str">
            <v>Marco Antonio Tejada Herrera</v>
          </cell>
        </row>
        <row r="2844">
          <cell r="F2844">
            <v>315216</v>
          </cell>
          <cell r="G2844" t="str">
            <v>Marcos Avilio Santizo Roman</v>
          </cell>
        </row>
        <row r="2845">
          <cell r="F2845">
            <v>312919</v>
          </cell>
          <cell r="G2845" t="str">
            <v>Marcos Daniel Miranda Ordoñez</v>
          </cell>
        </row>
        <row r="2846">
          <cell r="F2846">
            <v>306192</v>
          </cell>
          <cell r="G2846" t="str">
            <v>Marenda Mishel Galeano Lopez</v>
          </cell>
        </row>
        <row r="2847">
          <cell r="F2847">
            <v>311597</v>
          </cell>
          <cell r="G2847" t="str">
            <v>Maria Alejandra Estrada Morales</v>
          </cell>
        </row>
        <row r="2848">
          <cell r="F2848">
            <v>315488</v>
          </cell>
          <cell r="G2848" t="str">
            <v>Maria Alejandra Lanuza Perez</v>
          </cell>
        </row>
        <row r="2849">
          <cell r="F2849">
            <v>315414</v>
          </cell>
          <cell r="G2849" t="str">
            <v>Maria Alejandra Perez Martinez</v>
          </cell>
        </row>
        <row r="2850">
          <cell r="F2850">
            <v>314383</v>
          </cell>
          <cell r="G2850" t="str">
            <v>Maria De La Luz Masaya Moreno</v>
          </cell>
        </row>
        <row r="2851">
          <cell r="F2851">
            <v>314419</v>
          </cell>
          <cell r="G2851" t="str">
            <v>Maria De Los Angeles Hernandez Oliva</v>
          </cell>
        </row>
        <row r="2852">
          <cell r="F2852">
            <v>309455</v>
          </cell>
          <cell r="G2852" t="str">
            <v>Maria Del Rosario De Leon Puac</v>
          </cell>
        </row>
        <row r="2853">
          <cell r="F2853">
            <v>310240</v>
          </cell>
          <cell r="G2853" t="str">
            <v>Maria Del Rosario Sion Calel</v>
          </cell>
        </row>
        <row r="2854">
          <cell r="F2854">
            <v>311583</v>
          </cell>
          <cell r="G2854" t="str">
            <v>Maria Elizabeth Recinos Villagran</v>
          </cell>
        </row>
        <row r="2855">
          <cell r="F2855">
            <v>315128</v>
          </cell>
          <cell r="G2855" t="str">
            <v>Maria Eugenia Alvarez Lopez</v>
          </cell>
        </row>
        <row r="2856">
          <cell r="F2856">
            <v>309571</v>
          </cell>
          <cell r="G2856" t="str">
            <v>Maria Fernanda Aldana Fernandez</v>
          </cell>
        </row>
        <row r="2857">
          <cell r="F2857">
            <v>305630</v>
          </cell>
          <cell r="G2857" t="str">
            <v>Maria Fernanda Duran Barrera De De De Leon</v>
          </cell>
        </row>
        <row r="2858">
          <cell r="F2858">
            <v>315325</v>
          </cell>
          <cell r="G2858" t="str">
            <v>Maria Fernanda García Patzán</v>
          </cell>
        </row>
        <row r="2859">
          <cell r="F2859">
            <v>315310</v>
          </cell>
          <cell r="G2859" t="str">
            <v>Maria Fernanda Reyes Trinidad</v>
          </cell>
        </row>
        <row r="2860">
          <cell r="F2860">
            <v>314265</v>
          </cell>
          <cell r="G2860" t="str">
            <v>Maria Fernanda Sanches Yoc</v>
          </cell>
        </row>
        <row r="2861">
          <cell r="F2861">
            <v>313724</v>
          </cell>
          <cell r="G2861" t="str">
            <v>Maria Fernanda Tomas</v>
          </cell>
        </row>
        <row r="2862">
          <cell r="F2862">
            <v>315252</v>
          </cell>
          <cell r="G2862" t="str">
            <v>Maria Gabriela Giron De Leon</v>
          </cell>
        </row>
        <row r="2863">
          <cell r="F2863">
            <v>309515</v>
          </cell>
          <cell r="G2863" t="str">
            <v>Maria Guadalupe Marroquin Camargo</v>
          </cell>
        </row>
        <row r="2864">
          <cell r="F2864">
            <v>313732</v>
          </cell>
          <cell r="G2864" t="str">
            <v>Maria Isabel Martinez</v>
          </cell>
        </row>
        <row r="2865">
          <cell r="F2865">
            <v>314027</v>
          </cell>
          <cell r="G2865" t="str">
            <v>Maria Isabel Reyes Aguirre</v>
          </cell>
        </row>
        <row r="2866">
          <cell r="F2866">
            <v>311474</v>
          </cell>
          <cell r="G2866" t="str">
            <v>Maria Jose Alvarado Lopez De Barrientos</v>
          </cell>
        </row>
        <row r="2867">
          <cell r="F2867">
            <v>312356</v>
          </cell>
          <cell r="G2867" t="str">
            <v>Maria Jose Fernandez Melendez</v>
          </cell>
        </row>
        <row r="2868">
          <cell r="F2868">
            <v>313800</v>
          </cell>
          <cell r="G2868" t="str">
            <v>Maria Jose Flores Alvarez</v>
          </cell>
        </row>
        <row r="2869">
          <cell r="F2869">
            <v>314566</v>
          </cell>
          <cell r="G2869" t="str">
            <v>Maria Jose Gonzalez Orellana</v>
          </cell>
        </row>
        <row r="2870">
          <cell r="F2870">
            <v>311569</v>
          </cell>
          <cell r="G2870" t="str">
            <v>Maria Jose Gramajo Garcia De Monzon</v>
          </cell>
        </row>
        <row r="2871">
          <cell r="F2871">
            <v>313095</v>
          </cell>
          <cell r="G2871" t="str">
            <v>Maria Jose Meza De Leon</v>
          </cell>
        </row>
        <row r="2872">
          <cell r="F2872">
            <v>300191</v>
          </cell>
          <cell r="G2872" t="str">
            <v>Maria Jose Salazar Rueda</v>
          </cell>
        </row>
        <row r="2873">
          <cell r="F2873">
            <v>314226</v>
          </cell>
          <cell r="G2873" t="str">
            <v>Maria Josee Morales Vaides</v>
          </cell>
        </row>
        <row r="2874">
          <cell r="F2874">
            <v>315362</v>
          </cell>
          <cell r="G2874" t="str">
            <v>Maria Lourdes Ajpuz Julajuj</v>
          </cell>
        </row>
        <row r="2875">
          <cell r="F2875">
            <v>306697</v>
          </cell>
          <cell r="G2875" t="str">
            <v>Maria Luisa Ramos Lopez</v>
          </cell>
        </row>
        <row r="2876">
          <cell r="F2876">
            <v>314180</v>
          </cell>
          <cell r="G2876" t="str">
            <v>Maria Ruby Tzamol Pacay</v>
          </cell>
        </row>
        <row r="2877">
          <cell r="F2877">
            <v>311686</v>
          </cell>
          <cell r="G2877" t="str">
            <v>Maria Teresa Recinos Estrada</v>
          </cell>
        </row>
        <row r="2878">
          <cell r="F2878">
            <v>315351</v>
          </cell>
          <cell r="G2878" t="str">
            <v>Maria Vicenta Lopez Mancilla</v>
          </cell>
        </row>
        <row r="2879">
          <cell r="F2879">
            <v>311755</v>
          </cell>
          <cell r="G2879" t="str">
            <v>Marian Rebeca Gallardo Alvarez</v>
          </cell>
        </row>
        <row r="2880">
          <cell r="F2880">
            <v>313660</v>
          </cell>
          <cell r="G2880" t="str">
            <v>Mariana Del Rosario Escobar Sanchez</v>
          </cell>
        </row>
        <row r="2881">
          <cell r="F2881">
            <v>314169</v>
          </cell>
          <cell r="G2881" t="str">
            <v>Mariano Jose Lopez Cojon</v>
          </cell>
        </row>
        <row r="2882">
          <cell r="F2882">
            <v>314341</v>
          </cell>
          <cell r="G2882" t="str">
            <v>Mariano Jose Trujillo Baldizon</v>
          </cell>
        </row>
        <row r="2883">
          <cell r="F2883">
            <v>314050</v>
          </cell>
          <cell r="G2883" t="str">
            <v>Mariela Alejandra Batz De Leon</v>
          </cell>
        </row>
        <row r="2884">
          <cell r="F2884">
            <v>311273</v>
          </cell>
          <cell r="G2884" t="str">
            <v>Marili Cecilia Ramirez Cardona</v>
          </cell>
        </row>
        <row r="2885">
          <cell r="F2885">
            <v>312576</v>
          </cell>
          <cell r="G2885" t="str">
            <v>Marilin Melisa Lopez Yoc</v>
          </cell>
        </row>
        <row r="2886">
          <cell r="F2886">
            <v>314530</v>
          </cell>
          <cell r="G2886" t="str">
            <v>Marilyn Alexandra Davila Chavez</v>
          </cell>
        </row>
        <row r="2887">
          <cell r="F2887">
            <v>315099</v>
          </cell>
          <cell r="G2887" t="str">
            <v>Marilyn Yulissa Alvarez Toscano</v>
          </cell>
        </row>
        <row r="2888">
          <cell r="F2888">
            <v>311405</v>
          </cell>
          <cell r="G2888" t="str">
            <v>Marina Elena Giron Roldan</v>
          </cell>
        </row>
        <row r="2889">
          <cell r="F2889">
            <v>314803</v>
          </cell>
          <cell r="G2889" t="str">
            <v>Mario David Quilo Hernandez</v>
          </cell>
        </row>
        <row r="2890">
          <cell r="F2890">
            <v>306487</v>
          </cell>
          <cell r="G2890" t="str">
            <v>Mario Estuardo Chavez Zelada</v>
          </cell>
        </row>
        <row r="2891">
          <cell r="F2891">
            <v>315445</v>
          </cell>
          <cell r="G2891" t="str">
            <v>Mario Guberlindo Gonzalez Velasquez</v>
          </cell>
        </row>
        <row r="2892">
          <cell r="F2892">
            <v>313107</v>
          </cell>
          <cell r="G2892" t="str">
            <v>Mario Jose Mejia Escobar</v>
          </cell>
        </row>
        <row r="2893">
          <cell r="F2893">
            <v>314737</v>
          </cell>
          <cell r="G2893" t="str">
            <v>Mario Rene Lopez Gudiel</v>
          </cell>
        </row>
        <row r="2894">
          <cell r="F2894">
            <v>309842</v>
          </cell>
          <cell r="G2894" t="str">
            <v>Maritza Morales Tzoc</v>
          </cell>
        </row>
        <row r="2895">
          <cell r="F2895">
            <v>312996</v>
          </cell>
          <cell r="G2895" t="str">
            <v>Marlen Aida Pelaez Ramirez</v>
          </cell>
        </row>
        <row r="2896">
          <cell r="F2896">
            <v>310203</v>
          </cell>
          <cell r="G2896" t="str">
            <v>Marlen Brigitt Rosales De Leon</v>
          </cell>
        </row>
        <row r="2897">
          <cell r="F2897">
            <v>314089</v>
          </cell>
          <cell r="G2897" t="str">
            <v>Marlin Yesenia Chacon Garcia</v>
          </cell>
        </row>
        <row r="2898">
          <cell r="F2898">
            <v>314054</v>
          </cell>
          <cell r="G2898" t="str">
            <v>Marlon Eduardo Arreaga Escobar</v>
          </cell>
        </row>
        <row r="2899">
          <cell r="F2899">
            <v>315505</v>
          </cell>
          <cell r="G2899" t="str">
            <v>Marlon Eduardo Medrano Sandoval</v>
          </cell>
        </row>
        <row r="2900">
          <cell r="F2900">
            <v>310727</v>
          </cell>
          <cell r="G2900" t="str">
            <v>Marlon Ivan Dardon Hernandez</v>
          </cell>
        </row>
        <row r="2901">
          <cell r="F2901">
            <v>315341</v>
          </cell>
          <cell r="G2901" t="str">
            <v>Marlon Miguelangel Morales Jerez</v>
          </cell>
        </row>
        <row r="2902">
          <cell r="F2902">
            <v>311604</v>
          </cell>
          <cell r="G2902" t="str">
            <v>Marolet Patricia Palacios Argueta</v>
          </cell>
        </row>
        <row r="2903">
          <cell r="F2903">
            <v>310466</v>
          </cell>
          <cell r="G2903" t="str">
            <v>Marta Emilia Moran Lopez</v>
          </cell>
        </row>
        <row r="2904">
          <cell r="F2904">
            <v>314611</v>
          </cell>
          <cell r="G2904" t="str">
            <v>Marta Iris Martinez Sete</v>
          </cell>
        </row>
        <row r="2905">
          <cell r="F2905">
            <v>312109</v>
          </cell>
          <cell r="G2905" t="str">
            <v>Martha Julia Shar Velasquez</v>
          </cell>
        </row>
        <row r="2906">
          <cell r="F2906">
            <v>315103</v>
          </cell>
          <cell r="G2906" t="str">
            <v>Martin Aroldo Lorenzana Flores</v>
          </cell>
        </row>
        <row r="2907">
          <cell r="F2907">
            <v>315481</v>
          </cell>
          <cell r="G2907" t="str">
            <v>Marvin Alejandro Puac Mulul</v>
          </cell>
        </row>
        <row r="2908">
          <cell r="F2908">
            <v>306655</v>
          </cell>
          <cell r="G2908" t="str">
            <v>Marvin Alexander Choguix Chex</v>
          </cell>
        </row>
        <row r="2909">
          <cell r="F2909">
            <v>311176</v>
          </cell>
          <cell r="G2909" t="str">
            <v>Marvin Andolfo Garcia De Leon</v>
          </cell>
        </row>
        <row r="2910">
          <cell r="F2910">
            <v>315475</v>
          </cell>
          <cell r="G2910" t="str">
            <v>Marvin Eduardo Coxaj Sanic</v>
          </cell>
        </row>
        <row r="2911">
          <cell r="F2911">
            <v>312374</v>
          </cell>
          <cell r="G2911" t="str">
            <v>Marvin Eleazar Sunun Acuta</v>
          </cell>
        </row>
        <row r="2912">
          <cell r="F2912">
            <v>310680</v>
          </cell>
          <cell r="G2912" t="str">
            <v>Marvin Estuardo Xiloj De Leon</v>
          </cell>
        </row>
        <row r="2913">
          <cell r="F2913">
            <v>315460</v>
          </cell>
          <cell r="G2913" t="str">
            <v>Marvin Leonel Hernandez Alvarez</v>
          </cell>
        </row>
        <row r="2914">
          <cell r="F2914">
            <v>307409</v>
          </cell>
          <cell r="G2914" t="str">
            <v>Marvin Rodolfo Santizo Rosales</v>
          </cell>
        </row>
        <row r="2915">
          <cell r="F2915">
            <v>313194</v>
          </cell>
          <cell r="G2915" t="str">
            <v>Mary Isabel Xiloj Tajiboy</v>
          </cell>
        </row>
        <row r="2916">
          <cell r="F2916">
            <v>314092</v>
          </cell>
          <cell r="G2916" t="str">
            <v>Maryory Marilu Ramos Reyes</v>
          </cell>
        </row>
        <row r="2917">
          <cell r="F2917">
            <v>314207</v>
          </cell>
          <cell r="G2917" t="str">
            <v>Maryury Yasmin Suret Mejia</v>
          </cell>
        </row>
        <row r="2918">
          <cell r="F2918">
            <v>314618</v>
          </cell>
          <cell r="G2918" t="str">
            <v>Mauro Gilberto Rax Suc</v>
          </cell>
        </row>
        <row r="2919">
          <cell r="F2919">
            <v>304166</v>
          </cell>
          <cell r="G2919" t="str">
            <v>Maviela Bibianeth Castillo Avila</v>
          </cell>
        </row>
        <row r="2920">
          <cell r="F2920">
            <v>309285</v>
          </cell>
          <cell r="G2920" t="str">
            <v>Mavilin Griselda Jacome Molina</v>
          </cell>
        </row>
        <row r="2921">
          <cell r="F2921">
            <v>315042</v>
          </cell>
          <cell r="G2921" t="str">
            <v>Mayki Waleska Alvarez Guzman</v>
          </cell>
        </row>
        <row r="2922">
          <cell r="F2922">
            <v>314691</v>
          </cell>
          <cell r="G2922" t="str">
            <v>Maylin Fernanda Cifuentes Guevara</v>
          </cell>
        </row>
        <row r="2923">
          <cell r="F2923">
            <v>314857</v>
          </cell>
          <cell r="G2923" t="str">
            <v>Maynor Alexander Chen Franco</v>
          </cell>
        </row>
        <row r="2924">
          <cell r="F2924">
            <v>315320</v>
          </cell>
          <cell r="G2924" t="str">
            <v>Maynor David Montufar De La Cruz</v>
          </cell>
        </row>
        <row r="2925">
          <cell r="F2925">
            <v>314784</v>
          </cell>
          <cell r="G2925" t="str">
            <v>Mayra Alejandra Perez Cordero</v>
          </cell>
        </row>
        <row r="2926">
          <cell r="F2926">
            <v>307616</v>
          </cell>
          <cell r="G2926" t="str">
            <v>Mayra Ester Lopez Gonzalez</v>
          </cell>
        </row>
        <row r="2927">
          <cell r="F2927">
            <v>304234</v>
          </cell>
          <cell r="G2927" t="str">
            <v>Mayra Julieta Sincal Coy</v>
          </cell>
        </row>
        <row r="2928">
          <cell r="F2928">
            <v>314324</v>
          </cell>
          <cell r="G2928" t="str">
            <v>Mayra Karina Soc Ovalle</v>
          </cell>
        </row>
        <row r="2929">
          <cell r="F2929">
            <v>313096</v>
          </cell>
          <cell r="G2929" t="str">
            <v>Mayra Noemi Godoy Carrera</v>
          </cell>
        </row>
        <row r="2930">
          <cell r="F2930">
            <v>315528</v>
          </cell>
          <cell r="G2930" t="str">
            <v>Melanie Azucena Choc Garcia</v>
          </cell>
        </row>
        <row r="2931">
          <cell r="F2931">
            <v>309903</v>
          </cell>
          <cell r="G2931" t="str">
            <v>Melanie Vanessa Chacon Godoy</v>
          </cell>
        </row>
        <row r="2932">
          <cell r="F2932">
            <v>301165</v>
          </cell>
          <cell r="G2932" t="str">
            <v>Melissa Lissette Recinos Massella</v>
          </cell>
        </row>
        <row r="2933">
          <cell r="F2933">
            <v>314782</v>
          </cell>
          <cell r="G2933" t="str">
            <v>Melissandra Ruiz Ramirez</v>
          </cell>
        </row>
        <row r="2934">
          <cell r="F2934">
            <v>314053</v>
          </cell>
          <cell r="G2934" t="str">
            <v>Melody Arelis Elvira Monterroso</v>
          </cell>
        </row>
        <row r="2935">
          <cell r="F2935">
            <v>314777</v>
          </cell>
          <cell r="G2935" t="str">
            <v>Melvin Antonio Hernandez Gutierrez</v>
          </cell>
        </row>
        <row r="2936">
          <cell r="F2936">
            <v>315452</v>
          </cell>
          <cell r="G2936" t="str">
            <v>Melvin Everardo Morales Navas</v>
          </cell>
        </row>
        <row r="2937">
          <cell r="F2937">
            <v>315416</v>
          </cell>
          <cell r="G2937" t="str">
            <v>Melvin Hermenegildo Yagut Monterroso</v>
          </cell>
        </row>
        <row r="2938">
          <cell r="F2938">
            <v>315107</v>
          </cell>
          <cell r="G2938" t="str">
            <v>Merari Abigail Orantes Gonzalez</v>
          </cell>
        </row>
        <row r="2939">
          <cell r="F2939">
            <v>304528</v>
          </cell>
          <cell r="G2939" t="str">
            <v>Merari Abigail Veliz Samayoa</v>
          </cell>
        </row>
        <row r="2940">
          <cell r="F2940">
            <v>311310</v>
          </cell>
          <cell r="G2940" t="str">
            <v>Merari Madai Arana Erazo</v>
          </cell>
        </row>
        <row r="2941">
          <cell r="F2941">
            <v>314447</v>
          </cell>
          <cell r="G2941" t="str">
            <v>Mercy Roxana Galvez Canales</v>
          </cell>
        </row>
        <row r="2942">
          <cell r="F2942">
            <v>314610</v>
          </cell>
          <cell r="G2942" t="str">
            <v>Merly Carolina Lopez Laynez</v>
          </cell>
        </row>
        <row r="2943">
          <cell r="F2943">
            <v>315402</v>
          </cell>
          <cell r="G2943" t="str">
            <v>Merly Sorayda Ramirez Mendez</v>
          </cell>
        </row>
        <row r="2944">
          <cell r="F2944">
            <v>315499</v>
          </cell>
          <cell r="G2944" t="str">
            <v>Miguel Angel Arias Maquin</v>
          </cell>
        </row>
        <row r="2945">
          <cell r="F2945">
            <v>302368</v>
          </cell>
          <cell r="G2945" t="str">
            <v>Miguel Angel Moya Cabnal</v>
          </cell>
        </row>
        <row r="2946">
          <cell r="F2946">
            <v>307315</v>
          </cell>
          <cell r="G2946" t="str">
            <v>Miguel Angel Vicente Morales</v>
          </cell>
        </row>
        <row r="2947">
          <cell r="F2947">
            <v>307063</v>
          </cell>
          <cell r="G2947" t="str">
            <v>Miguel Omar Zuleta Solorzano</v>
          </cell>
        </row>
        <row r="2948">
          <cell r="F2948">
            <v>311165</v>
          </cell>
          <cell r="G2948" t="str">
            <v>Miguel Orlando Sebastian Juchan</v>
          </cell>
        </row>
        <row r="2949">
          <cell r="F2949">
            <v>310954</v>
          </cell>
          <cell r="G2949" t="str">
            <v>Mildre Fabiola Gomez Barillas</v>
          </cell>
        </row>
        <row r="2950">
          <cell r="F2950">
            <v>315346</v>
          </cell>
          <cell r="G2950" t="str">
            <v>Mildred Elizabeth Solis Quevedo</v>
          </cell>
        </row>
        <row r="2951">
          <cell r="F2951">
            <v>314330</v>
          </cell>
          <cell r="G2951" t="str">
            <v>Mildred Magaly Ortega Pac</v>
          </cell>
        </row>
        <row r="2952">
          <cell r="F2952">
            <v>314985</v>
          </cell>
          <cell r="G2952" t="str">
            <v>Mildred Magaly Sul Lopez</v>
          </cell>
        </row>
        <row r="2953">
          <cell r="F2953">
            <v>309503</v>
          </cell>
          <cell r="G2953" t="str">
            <v>Mildred Yaneth Figueroa Garcia</v>
          </cell>
        </row>
        <row r="2954">
          <cell r="F2954">
            <v>301826</v>
          </cell>
          <cell r="G2954" t="str">
            <v>Mildred Yanett Cruz Alvarez</v>
          </cell>
        </row>
        <row r="2955">
          <cell r="F2955">
            <v>313864</v>
          </cell>
          <cell r="G2955" t="str">
            <v>Milena Maria Mendez Cheguen</v>
          </cell>
        </row>
        <row r="2956">
          <cell r="F2956">
            <v>314919</v>
          </cell>
          <cell r="G2956" t="str">
            <v>Milton Enrique Yax Sosa</v>
          </cell>
        </row>
        <row r="2957">
          <cell r="F2957">
            <v>312699</v>
          </cell>
          <cell r="G2957" t="str">
            <v>Milton Rene Estrada Coc</v>
          </cell>
        </row>
        <row r="2958">
          <cell r="F2958">
            <v>310468</v>
          </cell>
          <cell r="G2958" t="str">
            <v>Milton Roberto Juarez Lemus</v>
          </cell>
        </row>
        <row r="2959">
          <cell r="F2959">
            <v>313534</v>
          </cell>
          <cell r="G2959" t="str">
            <v>Milver Moises Maldonado Pelico</v>
          </cell>
        </row>
        <row r="2960">
          <cell r="F2960">
            <v>314555</v>
          </cell>
          <cell r="G2960" t="str">
            <v>Milvia Fernanda Talento Urbina</v>
          </cell>
        </row>
        <row r="2961">
          <cell r="F2961">
            <v>301347</v>
          </cell>
          <cell r="G2961" t="str">
            <v>Miriam Betsabe Rodas Perez</v>
          </cell>
        </row>
        <row r="2962">
          <cell r="F2962">
            <v>313439</v>
          </cell>
          <cell r="G2962" t="str">
            <v>Miriam Elizabeth Pérez Guerra</v>
          </cell>
        </row>
        <row r="2963">
          <cell r="F2963">
            <v>307748</v>
          </cell>
          <cell r="G2963" t="str">
            <v>Miriam Judith Cermeño Cetino</v>
          </cell>
        </row>
        <row r="2964">
          <cell r="F2964">
            <v>313772</v>
          </cell>
          <cell r="G2964" t="str">
            <v>Miriam Mineidy Moscoso Mayen</v>
          </cell>
        </row>
        <row r="2965">
          <cell r="F2965">
            <v>306649</v>
          </cell>
          <cell r="G2965" t="str">
            <v>Miriam Stefanie Hernandez Subuyuj</v>
          </cell>
        </row>
        <row r="2966">
          <cell r="F2966">
            <v>201909</v>
          </cell>
          <cell r="G2966" t="str">
            <v>Mirian Del Carmen Guzman Maldonado</v>
          </cell>
        </row>
        <row r="2967">
          <cell r="F2967">
            <v>314023</v>
          </cell>
          <cell r="G2967" t="str">
            <v>Mirna Consuelo Muñoz Ordoñez</v>
          </cell>
        </row>
        <row r="2968">
          <cell r="F2968">
            <v>315506</v>
          </cell>
          <cell r="G2968" t="str">
            <v>Mirna Elizabeth Zolote Patzan</v>
          </cell>
        </row>
        <row r="2969">
          <cell r="F2969">
            <v>101866</v>
          </cell>
          <cell r="G2969" t="str">
            <v>Mirna Violeta Carrillo Gonzalez</v>
          </cell>
        </row>
        <row r="2970">
          <cell r="F2970">
            <v>310687</v>
          </cell>
          <cell r="G2970" t="str">
            <v>Mirna Yesenia Umaña Ramos</v>
          </cell>
        </row>
        <row r="2971">
          <cell r="F2971">
            <v>313842</v>
          </cell>
          <cell r="G2971" t="str">
            <v>Mirza Johana Cosigua Rabinal</v>
          </cell>
        </row>
        <row r="2972">
          <cell r="F2972">
            <v>313441</v>
          </cell>
          <cell r="G2972" t="str">
            <v>Moises Dario Flores Amaya</v>
          </cell>
        </row>
        <row r="2973">
          <cell r="F2973">
            <v>313480</v>
          </cell>
          <cell r="G2973" t="str">
            <v>Monica Cecilia Perez Lopez</v>
          </cell>
        </row>
        <row r="2974">
          <cell r="F2974">
            <v>313674</v>
          </cell>
          <cell r="G2974" t="str">
            <v>Monica Gabriela Canizales Santos</v>
          </cell>
        </row>
        <row r="2975">
          <cell r="F2975">
            <v>307706</v>
          </cell>
          <cell r="G2975" t="str">
            <v>Monica Guadalupe Garcia Rivera</v>
          </cell>
        </row>
        <row r="2976">
          <cell r="F2976">
            <v>314918</v>
          </cell>
          <cell r="G2976" t="str">
            <v>Monica Isabel Castillo Avila</v>
          </cell>
        </row>
        <row r="2977">
          <cell r="F2977">
            <v>313553</v>
          </cell>
          <cell r="G2977" t="str">
            <v>Monica Laj De La Cruz</v>
          </cell>
        </row>
        <row r="2978">
          <cell r="F2978">
            <v>308910</v>
          </cell>
          <cell r="G2978" t="str">
            <v>Monica Lisseth Marroquin Salazar</v>
          </cell>
        </row>
        <row r="2979">
          <cell r="F2979">
            <v>302232</v>
          </cell>
          <cell r="G2979" t="str">
            <v>Monica Lizbeth Franco Chacon</v>
          </cell>
        </row>
        <row r="2980">
          <cell r="F2980">
            <v>311945</v>
          </cell>
          <cell r="G2980" t="str">
            <v>Monica Michelle Diaz De Leon De Baltazar</v>
          </cell>
        </row>
        <row r="2981">
          <cell r="F2981">
            <v>315559</v>
          </cell>
          <cell r="G2981" t="str">
            <v>Monica Mishell Perez Ballesteros</v>
          </cell>
        </row>
        <row r="2982">
          <cell r="F2982">
            <v>313346</v>
          </cell>
          <cell r="G2982" t="str">
            <v>Monica Mishell Rendon Gamboa</v>
          </cell>
        </row>
        <row r="2983">
          <cell r="F2983">
            <v>314616</v>
          </cell>
          <cell r="G2983" t="str">
            <v>Monica Raquel Palacios Piedrasanta</v>
          </cell>
        </row>
        <row r="2984">
          <cell r="F2984">
            <v>314653</v>
          </cell>
          <cell r="G2984" t="str">
            <v>Monica Yulissa Sun Pacay</v>
          </cell>
        </row>
        <row r="2985">
          <cell r="F2985">
            <v>311311</v>
          </cell>
          <cell r="G2985" t="str">
            <v>Monica Yulissa Vicente Velasquez</v>
          </cell>
        </row>
        <row r="2986">
          <cell r="F2986">
            <v>313427</v>
          </cell>
          <cell r="G2986" t="str">
            <v>Mynor Genaro Salazar Merida</v>
          </cell>
        </row>
        <row r="2987">
          <cell r="F2987">
            <v>201518</v>
          </cell>
          <cell r="G2987" t="str">
            <v>Myriam Aracely Rivera Gonzalez</v>
          </cell>
        </row>
        <row r="2988">
          <cell r="F2988">
            <v>315266</v>
          </cell>
          <cell r="G2988" t="str">
            <v>Myrka Jessel Rivera Camo</v>
          </cell>
        </row>
        <row r="2989">
          <cell r="F2989">
            <v>314223</v>
          </cell>
          <cell r="G2989" t="str">
            <v>Nadia Estefania Gramajo Archila</v>
          </cell>
        </row>
        <row r="2990">
          <cell r="F2990">
            <v>314959</v>
          </cell>
          <cell r="G2990" t="str">
            <v>Nanci Magali Noj Santos</v>
          </cell>
        </row>
        <row r="2991">
          <cell r="F2991">
            <v>302592</v>
          </cell>
          <cell r="G2991" t="str">
            <v>Nanci Paola Con Morales</v>
          </cell>
        </row>
        <row r="2992">
          <cell r="F2992">
            <v>301700</v>
          </cell>
          <cell r="G2992" t="str">
            <v>Nanci Yanira Navas Garcia</v>
          </cell>
        </row>
        <row r="2993">
          <cell r="F2993">
            <v>312111</v>
          </cell>
          <cell r="G2993" t="str">
            <v>Nancy Corina Quiñonez Rodriguez</v>
          </cell>
        </row>
        <row r="2994">
          <cell r="F2994">
            <v>303538</v>
          </cell>
          <cell r="G2994" t="str">
            <v>Nancy Magaly Izaguirre Galicia</v>
          </cell>
        </row>
        <row r="2995">
          <cell r="F2995">
            <v>305223</v>
          </cell>
          <cell r="G2995" t="str">
            <v>Nancy Pahola De Leon Patzan</v>
          </cell>
        </row>
        <row r="2996">
          <cell r="F2996">
            <v>311423</v>
          </cell>
          <cell r="G2996" t="str">
            <v>Nancy Paola Jimenez Pamal</v>
          </cell>
        </row>
        <row r="2997">
          <cell r="F2997">
            <v>310510</v>
          </cell>
          <cell r="G2997" t="str">
            <v>Nancy Paola Morales Rodriguez</v>
          </cell>
        </row>
        <row r="2998">
          <cell r="F2998">
            <v>312587</v>
          </cell>
          <cell r="G2998" t="str">
            <v>Nancy Roxana Chuy Ponce</v>
          </cell>
        </row>
        <row r="2999">
          <cell r="F2999">
            <v>314745</v>
          </cell>
          <cell r="G2999" t="str">
            <v>Nancy Yaneth Vasquez Chiguichon</v>
          </cell>
        </row>
        <row r="3000">
          <cell r="F3000">
            <v>309809</v>
          </cell>
          <cell r="G3000" t="str">
            <v>Nancy Yessenia Set Iquite</v>
          </cell>
        </row>
        <row r="3001">
          <cell r="F3001">
            <v>311261</v>
          </cell>
          <cell r="G3001" t="str">
            <v>Nasly Abigail Cazian Lopez</v>
          </cell>
        </row>
        <row r="3002">
          <cell r="F3002">
            <v>312545</v>
          </cell>
          <cell r="G3002" t="str">
            <v>Nataly Pamela Fransheska Aguilar Escobar</v>
          </cell>
        </row>
        <row r="3003">
          <cell r="F3003">
            <v>314192</v>
          </cell>
          <cell r="G3003" t="str">
            <v>Neftaly Eliseo Aguilar Hernandez</v>
          </cell>
        </row>
        <row r="3004">
          <cell r="F3004">
            <v>314024</v>
          </cell>
          <cell r="G3004" t="str">
            <v>Nelson Aurelio Portillo Martinez</v>
          </cell>
        </row>
        <row r="3005">
          <cell r="F3005">
            <v>314913</v>
          </cell>
          <cell r="G3005" t="str">
            <v>Nelson Humberto Caal Güe</v>
          </cell>
        </row>
        <row r="3006">
          <cell r="F3006">
            <v>314631</v>
          </cell>
          <cell r="G3006" t="str">
            <v>Nelsy Adali Nova Vivar</v>
          </cell>
        </row>
        <row r="3007">
          <cell r="F3007">
            <v>309216</v>
          </cell>
          <cell r="G3007" t="str">
            <v>Nery Daniel Chipin Lindo</v>
          </cell>
        </row>
        <row r="3008">
          <cell r="F3008">
            <v>313499</v>
          </cell>
          <cell r="G3008" t="str">
            <v>Nestor Donaldo Xiloj Quiej</v>
          </cell>
        </row>
        <row r="3009">
          <cell r="F3009">
            <v>312176</v>
          </cell>
          <cell r="G3009" t="str">
            <v>Nestor Edgardo Gutierrez Lazaro</v>
          </cell>
        </row>
        <row r="3010">
          <cell r="F3010">
            <v>309178</v>
          </cell>
          <cell r="G3010" t="str">
            <v>Nestor Enmanuel Retana Castellanos</v>
          </cell>
        </row>
        <row r="3011">
          <cell r="F3011">
            <v>313878</v>
          </cell>
          <cell r="G3011" t="str">
            <v>Nestor Orlando Aguilar Santos</v>
          </cell>
        </row>
        <row r="3012">
          <cell r="F3012">
            <v>305532</v>
          </cell>
          <cell r="G3012" t="str">
            <v>Nicolas Ajiquichi Ibate</v>
          </cell>
        </row>
        <row r="3013">
          <cell r="F3013">
            <v>312763</v>
          </cell>
          <cell r="G3013" t="str">
            <v>Nicolas Walter Toma Zacarias</v>
          </cell>
        </row>
        <row r="3014">
          <cell r="F3014">
            <v>315413</v>
          </cell>
          <cell r="G3014" t="str">
            <v>Nicomedes Israel Echeverria Pacheco</v>
          </cell>
        </row>
        <row r="3015">
          <cell r="F3015">
            <v>310907</v>
          </cell>
          <cell r="G3015" t="str">
            <v>Nidia Dalila Bantes Segura De Manchame</v>
          </cell>
        </row>
        <row r="3016">
          <cell r="F3016">
            <v>314818</v>
          </cell>
          <cell r="G3016" t="str">
            <v>Nidia Lucy Herrera Lopez</v>
          </cell>
        </row>
        <row r="3017">
          <cell r="F3017">
            <v>301486</v>
          </cell>
          <cell r="G3017" t="str">
            <v>Nidia Maribel Carpio Roca</v>
          </cell>
        </row>
        <row r="3018">
          <cell r="F3018">
            <v>306850</v>
          </cell>
          <cell r="G3018" t="str">
            <v>Nilda Julieta Boror Xuya</v>
          </cell>
        </row>
        <row r="3019">
          <cell r="F3019">
            <v>311624</v>
          </cell>
          <cell r="G3019" t="str">
            <v>Noe Amos Marroquin Sicajol</v>
          </cell>
        </row>
        <row r="3020">
          <cell r="F3020">
            <v>309912</v>
          </cell>
          <cell r="G3020" t="str">
            <v>Noelia Azucena Garcia Mazariegos</v>
          </cell>
        </row>
        <row r="3021">
          <cell r="F3021">
            <v>102045</v>
          </cell>
          <cell r="G3021" t="str">
            <v>Noemi Ruth Hernandez Urrutia</v>
          </cell>
        </row>
        <row r="3022">
          <cell r="F3022">
            <v>310375</v>
          </cell>
          <cell r="G3022" t="str">
            <v>Nora Lisseth Lam Sanchez</v>
          </cell>
        </row>
        <row r="3023">
          <cell r="F3023">
            <v>313429</v>
          </cell>
          <cell r="G3023" t="str">
            <v>Norman Alessandro Madrid Garcia</v>
          </cell>
        </row>
        <row r="3024">
          <cell r="F3024">
            <v>309744</v>
          </cell>
          <cell r="G3024" t="str">
            <v>Odalis Ruby Garcia Siquina</v>
          </cell>
        </row>
        <row r="3025">
          <cell r="F3025">
            <v>315554</v>
          </cell>
          <cell r="G3025" t="str">
            <v>Odalys Faviola Reyes Rivera</v>
          </cell>
        </row>
        <row r="3026">
          <cell r="F3026">
            <v>315037</v>
          </cell>
          <cell r="G3026" t="str">
            <v>Odiel Armando Guerra Aguirre</v>
          </cell>
        </row>
        <row r="3027">
          <cell r="F3027">
            <v>307511</v>
          </cell>
          <cell r="G3027" t="str">
            <v>Odra Arcadia Barduel Sarat</v>
          </cell>
        </row>
        <row r="3028">
          <cell r="F3028">
            <v>310763</v>
          </cell>
          <cell r="G3028" t="str">
            <v>Olga Gabriela Lopez Tzic</v>
          </cell>
        </row>
        <row r="3029">
          <cell r="F3029">
            <v>309989</v>
          </cell>
          <cell r="G3029" t="str">
            <v>Olga Maricela Guarcas Tol</v>
          </cell>
        </row>
        <row r="3030">
          <cell r="F3030">
            <v>315281</v>
          </cell>
          <cell r="G3030" t="str">
            <v>Olinda Juarez Figueno</v>
          </cell>
        </row>
        <row r="3031">
          <cell r="F3031">
            <v>312972</v>
          </cell>
          <cell r="G3031" t="str">
            <v>Omar Anibal Barreda Valenzuela</v>
          </cell>
        </row>
        <row r="3032">
          <cell r="F3032">
            <v>302263</v>
          </cell>
          <cell r="G3032" t="str">
            <v>Oneida Del Carmen Corzo Morales</v>
          </cell>
        </row>
        <row r="3033">
          <cell r="F3033">
            <v>308263</v>
          </cell>
          <cell r="G3033" t="str">
            <v>Oscar Eduardo Xoyon Gomez</v>
          </cell>
        </row>
        <row r="3034">
          <cell r="F3034">
            <v>314104</v>
          </cell>
          <cell r="G3034" t="str">
            <v>Oscar Emilio Gomez Orozco</v>
          </cell>
        </row>
        <row r="3035">
          <cell r="F3035">
            <v>314270</v>
          </cell>
          <cell r="G3035" t="str">
            <v>Oscar Enrique Garcia Gualip</v>
          </cell>
        </row>
        <row r="3036">
          <cell r="F3036">
            <v>315507</v>
          </cell>
          <cell r="G3036" t="str">
            <v>Oscar Estuardo Mancilla Najarro</v>
          </cell>
        </row>
        <row r="3037">
          <cell r="F3037">
            <v>314914</v>
          </cell>
          <cell r="G3037" t="str">
            <v>Oscar Geovany Patzan Patzan</v>
          </cell>
        </row>
        <row r="3038">
          <cell r="F3038">
            <v>308805</v>
          </cell>
          <cell r="G3038" t="str">
            <v>Oscar Israel Thiel Hidalgo</v>
          </cell>
        </row>
        <row r="3039">
          <cell r="F3039">
            <v>315115</v>
          </cell>
          <cell r="G3039" t="str">
            <v>Osman Amilcar Zarate Ixcoy</v>
          </cell>
        </row>
        <row r="3040">
          <cell r="F3040">
            <v>315497</v>
          </cell>
          <cell r="G3040" t="str">
            <v>Osman Ivan Boanerges Coc Coronado</v>
          </cell>
        </row>
        <row r="3041">
          <cell r="F3041">
            <v>310031</v>
          </cell>
          <cell r="G3041" t="str">
            <v>Osvin Daniel Gomez Gonzalez</v>
          </cell>
        </row>
        <row r="3042">
          <cell r="F3042">
            <v>307209</v>
          </cell>
          <cell r="G3042" t="str">
            <v>Oswaldo Marcelino Huix Gomez</v>
          </cell>
        </row>
        <row r="3043">
          <cell r="F3043">
            <v>309656</v>
          </cell>
          <cell r="G3043" t="str">
            <v>Otto Alejandro Barahona Lopez</v>
          </cell>
        </row>
        <row r="3044">
          <cell r="F3044">
            <v>312335</v>
          </cell>
          <cell r="G3044" t="str">
            <v>Otto Leonel Zavala Rodas</v>
          </cell>
        </row>
        <row r="3045">
          <cell r="F3045">
            <v>314894</v>
          </cell>
          <cell r="G3045" t="str">
            <v>Ottoniel Amilcar Gomez Rodriguez</v>
          </cell>
        </row>
        <row r="3046">
          <cell r="F3046">
            <v>315122</v>
          </cell>
          <cell r="G3046" t="str">
            <v>Ottoniel De Jesus Castellanos Ordoñez</v>
          </cell>
        </row>
        <row r="3047">
          <cell r="F3047">
            <v>315454</v>
          </cell>
          <cell r="G3047" t="str">
            <v>Pablo Jose Barillas Sobalvarro</v>
          </cell>
        </row>
        <row r="3048">
          <cell r="F3048">
            <v>314010</v>
          </cell>
          <cell r="G3048" t="str">
            <v>Pablo Raul Calimayor</v>
          </cell>
        </row>
        <row r="3049">
          <cell r="F3049">
            <v>313530</v>
          </cell>
          <cell r="G3049" t="str">
            <v>Paola Veronica Cardenas Toscano</v>
          </cell>
        </row>
        <row r="3050">
          <cell r="F3050">
            <v>314884</v>
          </cell>
          <cell r="G3050" t="str">
            <v>Paula Eliza Santos Corado</v>
          </cell>
        </row>
        <row r="3051">
          <cell r="F3051">
            <v>309035</v>
          </cell>
          <cell r="G3051" t="str">
            <v>Pedro Alexander Sazo Machac</v>
          </cell>
        </row>
        <row r="3052">
          <cell r="F3052">
            <v>308158</v>
          </cell>
          <cell r="G3052" t="str">
            <v>Pedro David Ixcoy Chiquin</v>
          </cell>
        </row>
        <row r="3053">
          <cell r="F3053">
            <v>314694</v>
          </cell>
          <cell r="G3053" t="str">
            <v>Pedro Karol Gomez Lopez</v>
          </cell>
        </row>
        <row r="3054">
          <cell r="F3054">
            <v>311221</v>
          </cell>
          <cell r="G3054" t="str">
            <v>Pedro Natanahel Caxaj Rodriguez</v>
          </cell>
        </row>
        <row r="3055">
          <cell r="F3055">
            <v>314951</v>
          </cell>
          <cell r="G3055" t="str">
            <v>Pedro Rene Ramirez Guzman</v>
          </cell>
        </row>
        <row r="3056">
          <cell r="F3056">
            <v>306911</v>
          </cell>
          <cell r="G3056" t="str">
            <v>Perla Michelle Giron Galdamez</v>
          </cell>
        </row>
        <row r="3057">
          <cell r="F3057">
            <v>303664</v>
          </cell>
          <cell r="G3057" t="str">
            <v>Priscila Merari Sosa Sanabria</v>
          </cell>
        </row>
        <row r="3058">
          <cell r="F3058">
            <v>314450</v>
          </cell>
          <cell r="G3058" t="str">
            <v>Rafael Anibal Sut Tucubal</v>
          </cell>
        </row>
        <row r="3059">
          <cell r="F3059">
            <v>315367</v>
          </cell>
          <cell r="G3059" t="str">
            <v>Raul Adrian Priego Castellanos</v>
          </cell>
        </row>
        <row r="3060">
          <cell r="F3060">
            <v>311720</v>
          </cell>
          <cell r="G3060" t="str">
            <v>Raul Estuardo Roquel Suyuc</v>
          </cell>
        </row>
        <row r="3061">
          <cell r="F3061">
            <v>313341</v>
          </cell>
          <cell r="G3061" t="str">
            <v>Raul Geovanny Garcia Fuentes</v>
          </cell>
        </row>
        <row r="3062">
          <cell r="F3062">
            <v>309191</v>
          </cell>
          <cell r="G3062" t="str">
            <v>Raul Matias Matias</v>
          </cell>
        </row>
        <row r="3063">
          <cell r="F3063">
            <v>315321</v>
          </cell>
          <cell r="G3063" t="str">
            <v>Reina Lorena Canán</v>
          </cell>
        </row>
        <row r="3064">
          <cell r="F3064">
            <v>312312</v>
          </cell>
          <cell r="G3064" t="str">
            <v>Remigio Alexander Gonzalez Suchite</v>
          </cell>
        </row>
        <row r="3065">
          <cell r="F3065">
            <v>306619</v>
          </cell>
          <cell r="G3065" t="str">
            <v>Reyna Angelica Ba Vega</v>
          </cell>
        </row>
        <row r="3066">
          <cell r="F3066">
            <v>315347</v>
          </cell>
          <cell r="G3066" t="str">
            <v>Reyna Floridalma Donis Marroquin</v>
          </cell>
        </row>
        <row r="3067">
          <cell r="F3067">
            <v>314960</v>
          </cell>
          <cell r="G3067" t="str">
            <v>Reyna Sebastiana Reyes Zurdo</v>
          </cell>
        </row>
        <row r="3068">
          <cell r="F3068">
            <v>315170</v>
          </cell>
          <cell r="G3068" t="str">
            <v>Ricardo Alexander Morales Moran</v>
          </cell>
        </row>
        <row r="3069">
          <cell r="F3069">
            <v>315179</v>
          </cell>
          <cell r="G3069" t="str">
            <v>Ricardo Alfonso Chan Lopez</v>
          </cell>
        </row>
        <row r="3070">
          <cell r="F3070">
            <v>311846</v>
          </cell>
          <cell r="G3070" t="str">
            <v>Ricardo Antonio Vasquez Meza</v>
          </cell>
        </row>
        <row r="3071">
          <cell r="F3071">
            <v>314666</v>
          </cell>
          <cell r="G3071" t="str">
            <v>Ricardo Esau Hernandez Baten</v>
          </cell>
        </row>
        <row r="3072">
          <cell r="F3072">
            <v>310610</v>
          </cell>
          <cell r="G3072" t="str">
            <v>Ricky Edson Lux Cassia</v>
          </cell>
        </row>
        <row r="3073">
          <cell r="F3073">
            <v>314813</v>
          </cell>
          <cell r="G3073" t="str">
            <v>Roberto Ardon Ramos</v>
          </cell>
        </row>
        <row r="3074">
          <cell r="F3074">
            <v>312901</v>
          </cell>
          <cell r="G3074" t="str">
            <v>Roberto Augusto Silva Hernandez</v>
          </cell>
        </row>
        <row r="3075">
          <cell r="F3075">
            <v>308852</v>
          </cell>
          <cell r="G3075" t="str">
            <v>Roberto Caal Sente</v>
          </cell>
        </row>
        <row r="3076">
          <cell r="F3076">
            <v>306098</v>
          </cell>
          <cell r="G3076" t="str">
            <v>Roderico Simeon Lopez Lopez</v>
          </cell>
        </row>
        <row r="3077">
          <cell r="F3077">
            <v>313517</v>
          </cell>
          <cell r="G3077" t="str">
            <v>Rogelio Waldemar Aldana Turcios</v>
          </cell>
        </row>
        <row r="3078">
          <cell r="F3078">
            <v>314945</v>
          </cell>
          <cell r="G3078" t="str">
            <v>Rolando Esau Solis Santos</v>
          </cell>
        </row>
        <row r="3079">
          <cell r="F3079">
            <v>313403</v>
          </cell>
          <cell r="G3079" t="str">
            <v>Rolman Eliseo Bautista Mazariegos</v>
          </cell>
        </row>
        <row r="3080">
          <cell r="F3080">
            <v>314776</v>
          </cell>
          <cell r="G3080" t="str">
            <v>Romario Humberto Perez Us</v>
          </cell>
        </row>
        <row r="3081">
          <cell r="F3081">
            <v>315539</v>
          </cell>
          <cell r="G3081" t="str">
            <v>Ronald Arturo Sanchez Mijangos</v>
          </cell>
        </row>
        <row r="3082">
          <cell r="F3082">
            <v>314096</v>
          </cell>
          <cell r="G3082" t="str">
            <v>Ronald Erickson Hernandez Bamac</v>
          </cell>
        </row>
        <row r="3083">
          <cell r="F3083">
            <v>307943</v>
          </cell>
          <cell r="G3083" t="str">
            <v>Ronald Guillermo Garcia</v>
          </cell>
        </row>
        <row r="3084">
          <cell r="F3084">
            <v>315118</v>
          </cell>
          <cell r="G3084" t="str">
            <v>Ronald Ottoniel Ramos Argueta</v>
          </cell>
        </row>
        <row r="3085">
          <cell r="F3085">
            <v>315165</v>
          </cell>
          <cell r="G3085" t="str">
            <v>Ronie Ernesto Gonzalez Alvarado</v>
          </cell>
        </row>
        <row r="3086">
          <cell r="F3086">
            <v>312877</v>
          </cell>
          <cell r="G3086" t="str">
            <v>Rony David Ruano Vasquez</v>
          </cell>
        </row>
        <row r="3087">
          <cell r="F3087">
            <v>310267</v>
          </cell>
          <cell r="G3087" t="str">
            <v>Rony Josue Giron Roca</v>
          </cell>
        </row>
        <row r="3088">
          <cell r="F3088">
            <v>314930</v>
          </cell>
          <cell r="G3088" t="str">
            <v>Rony Oswaldo Gonzalez Lemus</v>
          </cell>
        </row>
        <row r="3089">
          <cell r="F3089">
            <v>315305</v>
          </cell>
          <cell r="G3089" t="str">
            <v>Rosa Isabel Garcia Menchu De Itzep</v>
          </cell>
        </row>
        <row r="3090">
          <cell r="F3090">
            <v>305255</v>
          </cell>
          <cell r="G3090" t="str">
            <v>Rosa Maria Raxtun Estrada</v>
          </cell>
        </row>
        <row r="3091">
          <cell r="F3091">
            <v>313771</v>
          </cell>
          <cell r="G3091" t="str">
            <v>Rosa Maribel Par Gutierrez De Parada</v>
          </cell>
        </row>
        <row r="3092">
          <cell r="F3092">
            <v>315353</v>
          </cell>
          <cell r="G3092" t="str">
            <v>Rosa Mariela Muñoz Samayoa</v>
          </cell>
        </row>
        <row r="3093">
          <cell r="F3093">
            <v>301835</v>
          </cell>
          <cell r="G3093" t="str">
            <v>Rosa Melia Isales Reyes</v>
          </cell>
        </row>
        <row r="3094">
          <cell r="F3094">
            <v>315389</v>
          </cell>
          <cell r="G3094" t="str">
            <v>Rosa Yadira Salguero Ceballos</v>
          </cell>
        </row>
        <row r="3095">
          <cell r="F3095">
            <v>312729</v>
          </cell>
          <cell r="G3095" t="str">
            <v>Rosalbina Magdali Alvarado Ramirez</v>
          </cell>
        </row>
        <row r="3096">
          <cell r="F3096">
            <v>300594</v>
          </cell>
          <cell r="G3096" t="str">
            <v>Rosaura Grisleny Perez Rios</v>
          </cell>
        </row>
        <row r="3097">
          <cell r="F3097">
            <v>303901</v>
          </cell>
          <cell r="G3097" t="str">
            <v>Rosmery Ana Lee Cojom Rodriguez</v>
          </cell>
        </row>
        <row r="3098">
          <cell r="F3098">
            <v>312040</v>
          </cell>
          <cell r="G3098" t="str">
            <v>Rosmery Figueroa Ramirez</v>
          </cell>
        </row>
        <row r="3099">
          <cell r="F3099">
            <v>313606</v>
          </cell>
          <cell r="G3099" t="str">
            <v>Rossana Alejandra Rodas Salguero</v>
          </cell>
        </row>
        <row r="3100">
          <cell r="F3100">
            <v>310534</v>
          </cell>
          <cell r="G3100" t="str">
            <v>Rossel Jose Hernandez Oliva</v>
          </cell>
        </row>
        <row r="3101">
          <cell r="F3101">
            <v>315045</v>
          </cell>
          <cell r="G3101" t="str">
            <v>Roxana Leticia Avila Villatoro</v>
          </cell>
        </row>
        <row r="3102">
          <cell r="F3102">
            <v>314308</v>
          </cell>
          <cell r="G3102" t="str">
            <v>Ruben Dario Peñate Aquino</v>
          </cell>
        </row>
        <row r="3103">
          <cell r="F3103">
            <v>311511</v>
          </cell>
          <cell r="G3103" t="str">
            <v>Ruby Alejandra Merida Rivas</v>
          </cell>
        </row>
        <row r="3104">
          <cell r="F3104">
            <v>312888</v>
          </cell>
          <cell r="G3104" t="str">
            <v>Rudy Alexander Gramajo Reyes</v>
          </cell>
        </row>
        <row r="3105">
          <cell r="F3105">
            <v>314814</v>
          </cell>
          <cell r="G3105" t="str">
            <v>Rudy Fernando Lopez Ajcabal</v>
          </cell>
        </row>
        <row r="3106">
          <cell r="F3106">
            <v>311551</v>
          </cell>
          <cell r="G3106" t="str">
            <v>Ruth Betsabe Campos Vargas</v>
          </cell>
        </row>
        <row r="3107">
          <cell r="F3107">
            <v>312546</v>
          </cell>
          <cell r="G3107" t="str">
            <v>Ruth Hermelinda Cardona Blanco</v>
          </cell>
        </row>
        <row r="3108">
          <cell r="F3108">
            <v>313599</v>
          </cell>
          <cell r="G3108" t="str">
            <v>Ruth Noemi Solis Contreras</v>
          </cell>
        </row>
        <row r="3109">
          <cell r="F3109">
            <v>301658</v>
          </cell>
          <cell r="G3109" t="str">
            <v>Ruth Nohemi Contreras Hernandez</v>
          </cell>
        </row>
        <row r="3110">
          <cell r="F3110">
            <v>301786</v>
          </cell>
          <cell r="G3110" t="str">
            <v>Ruth Nohemi Perez Esteban</v>
          </cell>
        </row>
        <row r="3111">
          <cell r="F3111">
            <v>314606</v>
          </cell>
          <cell r="G3111" t="str">
            <v>Saida Yasmin Garcia Xot</v>
          </cell>
        </row>
        <row r="3112">
          <cell r="F3112">
            <v>312383</v>
          </cell>
          <cell r="G3112" t="str">
            <v>Samuel Everardo Garcia Lemus</v>
          </cell>
        </row>
        <row r="3113">
          <cell r="F3113">
            <v>313592</v>
          </cell>
          <cell r="G3113" t="str">
            <v>Samuel Nehemias Nuñez Michicoj</v>
          </cell>
        </row>
        <row r="3114">
          <cell r="F3114">
            <v>305099</v>
          </cell>
          <cell r="G3114" t="str">
            <v>Sandi Anavela Mejia Alvarado</v>
          </cell>
        </row>
        <row r="3115">
          <cell r="F3115">
            <v>312923</v>
          </cell>
          <cell r="G3115" t="str">
            <v>Sandra Esmeralda Martinez Baeza</v>
          </cell>
        </row>
        <row r="3116">
          <cell r="F3116">
            <v>314420</v>
          </cell>
          <cell r="G3116" t="str">
            <v>Sandra Jeaneth Ajcuc Garcia</v>
          </cell>
        </row>
        <row r="3117">
          <cell r="F3117">
            <v>301460</v>
          </cell>
          <cell r="G3117" t="str">
            <v>Sandra Judith Vasquez Fernandez</v>
          </cell>
        </row>
        <row r="3118">
          <cell r="F3118">
            <v>312012</v>
          </cell>
          <cell r="G3118" t="str">
            <v>Sandra Lucrecia Hernandez Aceituno</v>
          </cell>
        </row>
        <row r="3119">
          <cell r="F3119">
            <v>200872</v>
          </cell>
          <cell r="G3119" t="str">
            <v>Sandra Maritza Mus Chaman</v>
          </cell>
        </row>
        <row r="3120">
          <cell r="F3120">
            <v>314820</v>
          </cell>
          <cell r="G3120" t="str">
            <v>Sandra Mishell Amarilis Gutierrez Palma</v>
          </cell>
        </row>
        <row r="3121">
          <cell r="F3121">
            <v>313875</v>
          </cell>
          <cell r="G3121" t="str">
            <v>Sandra Patricia Mejia Raguex</v>
          </cell>
        </row>
        <row r="3122">
          <cell r="F3122">
            <v>311092</v>
          </cell>
          <cell r="G3122" t="str">
            <v>Sandra Patricia Ochoa Sanchez</v>
          </cell>
        </row>
        <row r="3123">
          <cell r="F3123">
            <v>306416</v>
          </cell>
          <cell r="G3123" t="str">
            <v>Sandy Claribel Barrientos Caal</v>
          </cell>
        </row>
        <row r="3124">
          <cell r="F3124">
            <v>315024</v>
          </cell>
          <cell r="G3124" t="str">
            <v>Sandy Jasmyn Gonzalez Catun</v>
          </cell>
        </row>
        <row r="3125">
          <cell r="F3125">
            <v>312908</v>
          </cell>
          <cell r="G3125" t="str">
            <v>Sandy Maria Flores</v>
          </cell>
        </row>
        <row r="3126">
          <cell r="F3126">
            <v>313078</v>
          </cell>
          <cell r="G3126" t="str">
            <v>Sandy Maribel Herrera Mazariegos</v>
          </cell>
        </row>
        <row r="3127">
          <cell r="F3127">
            <v>301438</v>
          </cell>
          <cell r="G3127" t="str">
            <v>Sandy Mariela Batres Orozco</v>
          </cell>
        </row>
        <row r="3128">
          <cell r="F3128">
            <v>313622</v>
          </cell>
          <cell r="G3128" t="str">
            <v>Sandy Nohemy Sontay Agueda</v>
          </cell>
        </row>
        <row r="3129">
          <cell r="F3129">
            <v>315408</v>
          </cell>
          <cell r="G3129" t="str">
            <v>Sandy Suset Morales Barrientos</v>
          </cell>
        </row>
        <row r="3130">
          <cell r="F3130">
            <v>307105</v>
          </cell>
          <cell r="G3130" t="str">
            <v>Santiago Isaias Barreno Rosales</v>
          </cell>
        </row>
        <row r="3131">
          <cell r="F3131">
            <v>315254</v>
          </cell>
          <cell r="G3131" t="str">
            <v>Santos Ismael Najera Culajay</v>
          </cell>
        </row>
        <row r="3132">
          <cell r="F3132">
            <v>313402</v>
          </cell>
          <cell r="G3132" t="str">
            <v>Santos Valentin Coroy Ruyan</v>
          </cell>
        </row>
        <row r="3133">
          <cell r="F3133">
            <v>312501</v>
          </cell>
          <cell r="G3133" t="str">
            <v>Sara Elizabeth Guzman Linares</v>
          </cell>
        </row>
        <row r="3134">
          <cell r="F3134">
            <v>313492</v>
          </cell>
          <cell r="G3134" t="str">
            <v>Sarvia Bitia Orellana Ortiz</v>
          </cell>
        </row>
        <row r="3135">
          <cell r="F3135">
            <v>309816</v>
          </cell>
          <cell r="G3135" t="str">
            <v>Sayra Elizabeth Reyes Zuñiga</v>
          </cell>
        </row>
        <row r="3136">
          <cell r="F3136">
            <v>314956</v>
          </cell>
          <cell r="G3136" t="str">
            <v>Sebastian Geovanny Calel Ixtuc</v>
          </cell>
        </row>
        <row r="3137">
          <cell r="F3137">
            <v>314855</v>
          </cell>
          <cell r="G3137" t="str">
            <v>Selvin Adan Garcia Portillo</v>
          </cell>
        </row>
        <row r="3138">
          <cell r="F3138">
            <v>312294</v>
          </cell>
          <cell r="G3138" t="str">
            <v>Selvin Geronimo Aguilar</v>
          </cell>
        </row>
        <row r="3139">
          <cell r="F3139">
            <v>302278</v>
          </cell>
          <cell r="G3139" t="str">
            <v>Selvin Manolo Montepeque Merida</v>
          </cell>
        </row>
        <row r="3140">
          <cell r="F3140">
            <v>314266</v>
          </cell>
          <cell r="G3140" t="str">
            <v>Selvin Rodolfo De La Cruz Contreras</v>
          </cell>
        </row>
        <row r="3141">
          <cell r="F3141">
            <v>301308</v>
          </cell>
          <cell r="G3141" t="str">
            <v>Selvyn Ivan Sierra Ramirez</v>
          </cell>
        </row>
        <row r="3142">
          <cell r="F3142">
            <v>312346</v>
          </cell>
          <cell r="G3142" t="str">
            <v>Sendy Vanessa Villagran Garcia</v>
          </cell>
        </row>
        <row r="3143">
          <cell r="F3143">
            <v>314559</v>
          </cell>
          <cell r="G3143" t="str">
            <v>Sergio Alejandro Aguilar Perez</v>
          </cell>
        </row>
        <row r="3144">
          <cell r="F3144">
            <v>101896</v>
          </cell>
          <cell r="G3144" t="str">
            <v>Sergio Estuardo Mejia Lopez</v>
          </cell>
        </row>
        <row r="3145">
          <cell r="F3145">
            <v>315294</v>
          </cell>
          <cell r="G3145" t="str">
            <v>Sergio Obdulio Chali Chocojay</v>
          </cell>
        </row>
        <row r="3146">
          <cell r="F3146">
            <v>314079</v>
          </cell>
          <cell r="G3146" t="str">
            <v>Sharon Klarivel Santis Najarro</v>
          </cell>
        </row>
        <row r="3147">
          <cell r="F3147">
            <v>311147</v>
          </cell>
          <cell r="G3147" t="str">
            <v>Shaury Jazmeny Garcia Arias</v>
          </cell>
        </row>
        <row r="3148">
          <cell r="F3148">
            <v>310599</v>
          </cell>
          <cell r="G3148" t="str">
            <v>Sheila Nineth Mendez Lopez</v>
          </cell>
        </row>
        <row r="3149">
          <cell r="F3149">
            <v>315541</v>
          </cell>
          <cell r="G3149" t="str">
            <v>Sheily Nahomy Oliva Morales</v>
          </cell>
        </row>
        <row r="3150">
          <cell r="F3150">
            <v>304805</v>
          </cell>
          <cell r="G3150" t="str">
            <v>Sheily Raquel Angel Arreaga</v>
          </cell>
        </row>
        <row r="3151">
          <cell r="F3151">
            <v>312357</v>
          </cell>
          <cell r="G3151" t="str">
            <v>Shirley Andrea Lopez Lopez</v>
          </cell>
        </row>
        <row r="3152">
          <cell r="F3152">
            <v>311646</v>
          </cell>
          <cell r="G3152" t="str">
            <v>Shirley Leticia Lissette Lopez Guzman</v>
          </cell>
        </row>
        <row r="3153">
          <cell r="F3153">
            <v>312096</v>
          </cell>
          <cell r="G3153" t="str">
            <v>Silvia Edelmira Garcia Donis</v>
          </cell>
        </row>
        <row r="3154">
          <cell r="F3154">
            <v>301371</v>
          </cell>
          <cell r="G3154" t="str">
            <v>Silvia Gabriela Gonzalez Siliezar</v>
          </cell>
        </row>
        <row r="3155">
          <cell r="F3155">
            <v>313328</v>
          </cell>
          <cell r="G3155" t="str">
            <v>Silvia Leticia Morales Perez</v>
          </cell>
        </row>
        <row r="3156">
          <cell r="F3156">
            <v>309948</v>
          </cell>
          <cell r="G3156" t="str">
            <v>Silvia Lucrecia Gonzalez Char</v>
          </cell>
        </row>
        <row r="3157">
          <cell r="F3157">
            <v>305230</v>
          </cell>
          <cell r="G3157" t="str">
            <v>Silvia Marleni Rac Yoc</v>
          </cell>
        </row>
        <row r="3158">
          <cell r="F3158">
            <v>305427</v>
          </cell>
          <cell r="G3158" t="str">
            <v>Silvia Noemi Calderon</v>
          </cell>
        </row>
        <row r="3159">
          <cell r="F3159">
            <v>306034</v>
          </cell>
          <cell r="G3159" t="str">
            <v>Silvia Patricia Gonzalez Hernandez</v>
          </cell>
        </row>
        <row r="3160">
          <cell r="F3160">
            <v>310105</v>
          </cell>
          <cell r="G3160" t="str">
            <v>Simeon Valentin Gomez Flores</v>
          </cell>
        </row>
        <row r="3161">
          <cell r="F3161">
            <v>313981</v>
          </cell>
          <cell r="G3161" t="str">
            <v>Sindy Beatriz Perez Sanchez</v>
          </cell>
        </row>
        <row r="3162">
          <cell r="F3162">
            <v>314976</v>
          </cell>
          <cell r="G3162" t="str">
            <v>Sindy Carolina Ramirez Pur</v>
          </cell>
        </row>
        <row r="3163">
          <cell r="F3163">
            <v>312881</v>
          </cell>
          <cell r="G3163" t="str">
            <v>Sindy Karina Ramirez Lopez</v>
          </cell>
        </row>
        <row r="3164">
          <cell r="F3164">
            <v>310066</v>
          </cell>
          <cell r="G3164" t="str">
            <v>Sindy Paola Vargas Calderon</v>
          </cell>
        </row>
        <row r="3165">
          <cell r="F3165">
            <v>315466</v>
          </cell>
          <cell r="G3165" t="str">
            <v>Siomara Victoria Valle Sac</v>
          </cell>
        </row>
        <row r="3166">
          <cell r="F3166">
            <v>313593</v>
          </cell>
          <cell r="G3166" t="str">
            <v>Slayker Andony Santiago Natareno</v>
          </cell>
        </row>
        <row r="3167">
          <cell r="F3167">
            <v>315439</v>
          </cell>
          <cell r="G3167" t="str">
            <v>Smaylin Sarita Villatoro Angel</v>
          </cell>
        </row>
        <row r="3168">
          <cell r="F3168">
            <v>310731</v>
          </cell>
          <cell r="G3168" t="str">
            <v>Sofia Etelvina Lopez Perez</v>
          </cell>
        </row>
        <row r="3169">
          <cell r="F3169">
            <v>314735</v>
          </cell>
          <cell r="G3169" t="str">
            <v>Sofia Ines Bermudez Avila</v>
          </cell>
        </row>
        <row r="3170">
          <cell r="F3170">
            <v>315340</v>
          </cell>
          <cell r="G3170" t="str">
            <v>Stefanny Manuela Azaneth Garcia Garcia</v>
          </cell>
        </row>
        <row r="3171">
          <cell r="F3171">
            <v>308054</v>
          </cell>
          <cell r="G3171" t="str">
            <v>Stephanie Abigail De Los Angeles Villalta</v>
          </cell>
        </row>
        <row r="3172">
          <cell r="F3172">
            <v>303382</v>
          </cell>
          <cell r="G3172" t="str">
            <v>Sucely Abigail Nerios Rodriguez</v>
          </cell>
        </row>
        <row r="3173">
          <cell r="F3173">
            <v>314787</v>
          </cell>
          <cell r="G3173" t="str">
            <v>Sucely Analy Arias Paredes</v>
          </cell>
        </row>
        <row r="3174">
          <cell r="F3174">
            <v>310671</v>
          </cell>
          <cell r="G3174" t="str">
            <v>Sucely Paola Godinez Gomez De Perez</v>
          </cell>
        </row>
        <row r="3175">
          <cell r="F3175">
            <v>315386</v>
          </cell>
          <cell r="G3175" t="str">
            <v>Sulibeth Estela Ortega Mendez</v>
          </cell>
        </row>
        <row r="3176">
          <cell r="F3176">
            <v>314347</v>
          </cell>
          <cell r="G3176" t="str">
            <v>Suri Mireidy Perez Estrada</v>
          </cell>
        </row>
        <row r="3177">
          <cell r="F3177">
            <v>313630</v>
          </cell>
          <cell r="G3177" t="str">
            <v>Susan Andrea Perez Lima</v>
          </cell>
        </row>
        <row r="3178">
          <cell r="F3178">
            <v>313395</v>
          </cell>
          <cell r="G3178" t="str">
            <v>Susan Maria Jose Rodas Carranza</v>
          </cell>
        </row>
        <row r="3179">
          <cell r="F3179">
            <v>309883</v>
          </cell>
          <cell r="G3179" t="str">
            <v>Susana Alvarado Gonzalez</v>
          </cell>
        </row>
        <row r="3180">
          <cell r="F3180">
            <v>307664</v>
          </cell>
          <cell r="G3180" t="str">
            <v>Susana Jeanneth Lemus Pineda</v>
          </cell>
        </row>
        <row r="3181">
          <cell r="F3181">
            <v>315313</v>
          </cell>
          <cell r="G3181" t="str">
            <v>Tayme Gabriela Uzu Ramirez</v>
          </cell>
        </row>
        <row r="3182">
          <cell r="F3182">
            <v>314575</v>
          </cell>
          <cell r="G3182" t="str">
            <v>Telma Esperanza Santos Orantes</v>
          </cell>
        </row>
        <row r="3183">
          <cell r="F3183">
            <v>302658</v>
          </cell>
          <cell r="G3183" t="str">
            <v>Telma Sucely Solis Merida</v>
          </cell>
        </row>
        <row r="3184">
          <cell r="F3184">
            <v>315048</v>
          </cell>
          <cell r="G3184" t="str">
            <v>Thania Lucia Romero Garcia</v>
          </cell>
        </row>
        <row r="3185">
          <cell r="F3185">
            <v>302332</v>
          </cell>
          <cell r="G3185" t="str">
            <v>Thelma Patricia Mena Melchor</v>
          </cell>
        </row>
        <row r="3186">
          <cell r="F3186">
            <v>314108</v>
          </cell>
          <cell r="G3186" t="str">
            <v>Thelma Yolanda De Candelaria Garcia Sanchez</v>
          </cell>
        </row>
        <row r="3187">
          <cell r="F3187">
            <v>315049</v>
          </cell>
          <cell r="G3187" t="str">
            <v>Tomas Amador Manuel Martin</v>
          </cell>
        </row>
        <row r="3188">
          <cell r="F3188">
            <v>315373</v>
          </cell>
          <cell r="G3188" t="str">
            <v>Tomas Xiloj Mejia</v>
          </cell>
        </row>
        <row r="3189">
          <cell r="F3189">
            <v>311866</v>
          </cell>
          <cell r="G3189" t="str">
            <v>Treisy Lisbeth Orozco Orozco</v>
          </cell>
        </row>
        <row r="3190">
          <cell r="F3190">
            <v>310220</v>
          </cell>
          <cell r="G3190" t="str">
            <v>Urias Samuel Velasquez Ardeano</v>
          </cell>
        </row>
        <row r="3191">
          <cell r="F3191">
            <v>305903</v>
          </cell>
          <cell r="G3191" t="str">
            <v>Valeska Paola Rivas Gomez</v>
          </cell>
        </row>
        <row r="3192">
          <cell r="F3192">
            <v>314544</v>
          </cell>
          <cell r="G3192" t="str">
            <v>Velvet Sofia Estrada Ruiz</v>
          </cell>
        </row>
        <row r="3193">
          <cell r="F3193">
            <v>314405</v>
          </cell>
          <cell r="G3193" t="str">
            <v>Veronica Alejandra Barahona Santa Cruz</v>
          </cell>
        </row>
        <row r="3194">
          <cell r="F3194">
            <v>311048</v>
          </cell>
          <cell r="G3194" t="str">
            <v>Veronica Dalila Barrios Hernandez</v>
          </cell>
        </row>
        <row r="3195">
          <cell r="F3195">
            <v>311005</v>
          </cell>
          <cell r="G3195" t="str">
            <v>Veronica Sierra Xo</v>
          </cell>
        </row>
        <row r="3196">
          <cell r="F3196">
            <v>304024</v>
          </cell>
          <cell r="G3196" t="str">
            <v>Vicky Roxana Lopez Hernandez</v>
          </cell>
        </row>
        <row r="3197">
          <cell r="F3197">
            <v>300999</v>
          </cell>
          <cell r="G3197" t="str">
            <v>Victor Adolfo Barrios Monzon</v>
          </cell>
        </row>
        <row r="3198">
          <cell r="F3198">
            <v>309689</v>
          </cell>
          <cell r="G3198" t="str">
            <v>Victor Demecio Leon Villeda</v>
          </cell>
        </row>
        <row r="3199">
          <cell r="F3199">
            <v>311258</v>
          </cell>
          <cell r="G3199" t="str">
            <v>Victor Otoniel Sebastian Cardona</v>
          </cell>
        </row>
        <row r="3200">
          <cell r="F3200">
            <v>314367</v>
          </cell>
          <cell r="G3200" t="str">
            <v>Victoria Maria Llamas Perez</v>
          </cell>
        </row>
        <row r="3201">
          <cell r="F3201">
            <v>315399</v>
          </cell>
          <cell r="G3201" t="str">
            <v>Vilma Rossibel Mendez Vasquez</v>
          </cell>
        </row>
        <row r="3202">
          <cell r="F3202">
            <v>312875</v>
          </cell>
          <cell r="G3202" t="str">
            <v>Virginia Nohemi Perez Ajtum</v>
          </cell>
        </row>
        <row r="3203">
          <cell r="F3203">
            <v>313671</v>
          </cell>
          <cell r="G3203" t="str">
            <v>Virginia Yesenia Merida Lopez De Lopez</v>
          </cell>
        </row>
        <row r="3204">
          <cell r="F3204">
            <v>315529</v>
          </cell>
          <cell r="G3204" t="str">
            <v>Vivian Alejandra Ramirez Samayoa</v>
          </cell>
        </row>
        <row r="3205">
          <cell r="F3205">
            <v>310009</v>
          </cell>
          <cell r="G3205" t="str">
            <v>Vivian Celeste De Leon Rian</v>
          </cell>
        </row>
        <row r="3206">
          <cell r="F3206">
            <v>308693</v>
          </cell>
          <cell r="G3206" t="str">
            <v>Vivian Dinora Fuentes Carrillo</v>
          </cell>
        </row>
        <row r="3207">
          <cell r="F3207">
            <v>300347</v>
          </cell>
          <cell r="G3207" t="str">
            <v>Vivian Roxana Piedrasanta Rodriguez</v>
          </cell>
        </row>
        <row r="3208">
          <cell r="F3208">
            <v>306597</v>
          </cell>
          <cell r="G3208" t="str">
            <v>Vivian Samara Sanchez Lopez</v>
          </cell>
        </row>
        <row r="3209">
          <cell r="F3209">
            <v>312772</v>
          </cell>
          <cell r="G3209" t="str">
            <v>Viviana Isabet Machic Tiño</v>
          </cell>
        </row>
        <row r="3210">
          <cell r="F3210">
            <v>314636</v>
          </cell>
          <cell r="G3210" t="str">
            <v>Walkiria Anais Herrera Castillo</v>
          </cell>
        </row>
        <row r="3211">
          <cell r="F3211">
            <v>301033</v>
          </cell>
          <cell r="G3211" t="str">
            <v>Walter Daniel Perea Flores</v>
          </cell>
        </row>
        <row r="3212">
          <cell r="F3212">
            <v>305935</v>
          </cell>
          <cell r="G3212" t="str">
            <v>Walter David De Leon Gomez</v>
          </cell>
        </row>
        <row r="3213">
          <cell r="F3213">
            <v>315324</v>
          </cell>
          <cell r="G3213" t="str">
            <v>Walter Estuardo Guerra López</v>
          </cell>
        </row>
        <row r="3214">
          <cell r="F3214">
            <v>310994</v>
          </cell>
          <cell r="G3214" t="str">
            <v>Walter Geovany Hernandez Hernandez</v>
          </cell>
        </row>
        <row r="3215">
          <cell r="F3215">
            <v>315577</v>
          </cell>
          <cell r="G3215" t="str">
            <v>Walter Yovany Sequec Lopic</v>
          </cell>
        </row>
        <row r="3216">
          <cell r="F3216">
            <v>312305</v>
          </cell>
          <cell r="G3216" t="str">
            <v>Wanda Marisol Cabrera Lemus</v>
          </cell>
        </row>
        <row r="3217">
          <cell r="F3217">
            <v>313388</v>
          </cell>
          <cell r="G3217" t="str">
            <v>Wander Andres Grijlava Porras</v>
          </cell>
        </row>
        <row r="3218">
          <cell r="F3218">
            <v>312738</v>
          </cell>
          <cell r="G3218" t="str">
            <v>Wendoly Beatriz Morales Cornel</v>
          </cell>
        </row>
        <row r="3219">
          <cell r="F3219">
            <v>304802</v>
          </cell>
          <cell r="G3219" t="str">
            <v>Wendy Alejandra Cuyan Alvarez</v>
          </cell>
        </row>
        <row r="3220">
          <cell r="F3220">
            <v>315438</v>
          </cell>
          <cell r="G3220" t="str">
            <v>Wendy Alejandra Monzon Lopez</v>
          </cell>
        </row>
        <row r="3221">
          <cell r="F3221">
            <v>309177</v>
          </cell>
          <cell r="G3221" t="str">
            <v>Wendy Carolina Lopez Alvizuriz</v>
          </cell>
        </row>
        <row r="3222">
          <cell r="F3222">
            <v>315364</v>
          </cell>
          <cell r="G3222" t="str">
            <v>Wendy Corina Najera Vasquez</v>
          </cell>
        </row>
        <row r="3223">
          <cell r="F3223">
            <v>308431</v>
          </cell>
          <cell r="G3223" t="str">
            <v>Wendy Jessenia Arredondo Lopez</v>
          </cell>
        </row>
        <row r="3224">
          <cell r="F3224">
            <v>315096</v>
          </cell>
          <cell r="G3224" t="str">
            <v>Wendy Mariela Diaz Hernandez</v>
          </cell>
        </row>
        <row r="3225">
          <cell r="F3225">
            <v>314551</v>
          </cell>
          <cell r="G3225" t="str">
            <v>Wendy Nineth Perez Roque</v>
          </cell>
        </row>
        <row r="3226">
          <cell r="F3226">
            <v>312886</v>
          </cell>
          <cell r="G3226" t="str">
            <v>Wendy Paola Baquiax Cu</v>
          </cell>
        </row>
        <row r="3227">
          <cell r="F3227">
            <v>306851</v>
          </cell>
          <cell r="G3227" t="str">
            <v>Wendy Paola De Paz Prado</v>
          </cell>
        </row>
        <row r="3228">
          <cell r="F3228">
            <v>313707</v>
          </cell>
          <cell r="G3228" t="str">
            <v>Wendy Paola Rodriguez Gonzalez</v>
          </cell>
        </row>
        <row r="3229">
          <cell r="F3229">
            <v>314055</v>
          </cell>
          <cell r="G3229" t="str">
            <v>Wendy Patricia Lopez Gonzalez</v>
          </cell>
        </row>
        <row r="3230">
          <cell r="F3230">
            <v>310388</v>
          </cell>
          <cell r="G3230" t="str">
            <v>Wendy Susana Chinchilla Cotill</v>
          </cell>
        </row>
        <row r="3231">
          <cell r="F3231">
            <v>315106</v>
          </cell>
          <cell r="G3231" t="str">
            <v>Wendy Victoria Rodriguez Chacon</v>
          </cell>
        </row>
        <row r="3232">
          <cell r="F3232">
            <v>314063</v>
          </cell>
          <cell r="G3232" t="str">
            <v>Wensler David Obando Polanco</v>
          </cell>
        </row>
        <row r="3233">
          <cell r="F3233">
            <v>308069</v>
          </cell>
          <cell r="G3233" t="str">
            <v>Wilda Yohandra Atz Cruz</v>
          </cell>
        </row>
        <row r="3234">
          <cell r="F3234">
            <v>313300</v>
          </cell>
          <cell r="G3234" t="str">
            <v>Wilfido Abraham Cardona Garcia</v>
          </cell>
        </row>
        <row r="3235">
          <cell r="F3235">
            <v>309284</v>
          </cell>
          <cell r="G3235" t="str">
            <v>Wilian Aroldo Lucero Cardona</v>
          </cell>
        </row>
        <row r="3236">
          <cell r="F3236">
            <v>314821</v>
          </cell>
          <cell r="G3236" t="str">
            <v>William Alexander Tobias Gomez</v>
          </cell>
        </row>
        <row r="3237">
          <cell r="F3237">
            <v>314881</v>
          </cell>
          <cell r="G3237" t="str">
            <v>William Eduardo Velasquez Castillo</v>
          </cell>
        </row>
        <row r="3238">
          <cell r="F3238">
            <v>313027</v>
          </cell>
          <cell r="G3238" t="str">
            <v>William Rodolfo Yool Tucux</v>
          </cell>
        </row>
        <row r="3239">
          <cell r="F3239">
            <v>314221</v>
          </cell>
          <cell r="G3239" t="str">
            <v>Willian Baldemar Castillo Ramirez</v>
          </cell>
        </row>
        <row r="3240">
          <cell r="F3240">
            <v>314947</v>
          </cell>
          <cell r="G3240" t="str">
            <v>Wilmer Arnoldo Diaz Martinez</v>
          </cell>
        </row>
        <row r="3241">
          <cell r="F3241">
            <v>306656</v>
          </cell>
          <cell r="G3241" t="str">
            <v>Wilmer Benjamin Vasquez Puac</v>
          </cell>
        </row>
        <row r="3242">
          <cell r="F3242">
            <v>314391</v>
          </cell>
          <cell r="G3242" t="str">
            <v>Wilmer Esteban Lopez Hernandez</v>
          </cell>
        </row>
        <row r="3243">
          <cell r="F3243">
            <v>308506</v>
          </cell>
          <cell r="G3243" t="str">
            <v>Wilmer Estuardo Salama Golon</v>
          </cell>
        </row>
        <row r="3244">
          <cell r="F3244">
            <v>308686</v>
          </cell>
          <cell r="G3244" t="str">
            <v>Wilson Arnoldo Lopez Revolorio</v>
          </cell>
        </row>
        <row r="3245">
          <cell r="F3245">
            <v>312770</v>
          </cell>
          <cell r="G3245" t="str">
            <v>Wilson Manuel Zuñiga Perez</v>
          </cell>
        </row>
        <row r="3246">
          <cell r="F3246">
            <v>300978</v>
          </cell>
          <cell r="G3246" t="str">
            <v>Wuangler Geovane Cal Sucup</v>
          </cell>
        </row>
        <row r="3247">
          <cell r="F3247">
            <v>305989</v>
          </cell>
          <cell r="G3247" t="str">
            <v>Wuilson Ottoniel Hernandez Alonzo</v>
          </cell>
        </row>
        <row r="3248">
          <cell r="F3248">
            <v>314819</v>
          </cell>
          <cell r="G3248" t="str">
            <v>Xiomara Karina Rendon Peinado</v>
          </cell>
        </row>
        <row r="3249">
          <cell r="F3249">
            <v>306493</v>
          </cell>
          <cell r="G3249" t="str">
            <v>Yackelin Maribel Zamora Medina</v>
          </cell>
        </row>
        <row r="3250">
          <cell r="F3250">
            <v>309963</v>
          </cell>
          <cell r="G3250" t="str">
            <v>Yajaira Emiliana Reyes Zapet</v>
          </cell>
        </row>
        <row r="3251">
          <cell r="F3251">
            <v>312248</v>
          </cell>
          <cell r="G3251" t="str">
            <v>Yakelin Consuelo Zapeta Perez</v>
          </cell>
        </row>
        <row r="3252">
          <cell r="F3252">
            <v>310159</v>
          </cell>
          <cell r="G3252" t="str">
            <v>Yaquelin Dinora Xicara Mejia</v>
          </cell>
        </row>
        <row r="3253">
          <cell r="F3253">
            <v>309920</v>
          </cell>
          <cell r="G3253" t="str">
            <v>Yaquelin Karina Virula Patzan</v>
          </cell>
        </row>
        <row r="3254">
          <cell r="F3254">
            <v>312505</v>
          </cell>
          <cell r="G3254" t="str">
            <v>Yaquelin Yessenia Sapon Gonzalez</v>
          </cell>
        </row>
        <row r="3255">
          <cell r="F3255">
            <v>309463</v>
          </cell>
          <cell r="G3255" t="str">
            <v>Yasmin Paola Sicay Marroquin</v>
          </cell>
        </row>
        <row r="3256">
          <cell r="F3256">
            <v>313857</v>
          </cell>
          <cell r="G3256" t="str">
            <v>Yefersson Zabala Aviles</v>
          </cell>
        </row>
        <row r="3257">
          <cell r="F3257">
            <v>313628</v>
          </cell>
          <cell r="G3257" t="str">
            <v>Yefry Jesus Soto</v>
          </cell>
        </row>
        <row r="3258">
          <cell r="F3258">
            <v>310318</v>
          </cell>
          <cell r="G3258" t="str">
            <v>Yeimi Yareli Moscoso Guzman</v>
          </cell>
        </row>
        <row r="3259">
          <cell r="F3259">
            <v>313558</v>
          </cell>
          <cell r="G3259" t="str">
            <v>Yener Catarino Chilel Velasquez</v>
          </cell>
        </row>
        <row r="3260">
          <cell r="F3260">
            <v>303083</v>
          </cell>
          <cell r="G3260" t="str">
            <v>Yeni Elizabeth Carrillo Barrios</v>
          </cell>
        </row>
        <row r="3261">
          <cell r="F3261">
            <v>313221</v>
          </cell>
          <cell r="G3261" t="str">
            <v>Yeni Jannet Morales Sintud</v>
          </cell>
        </row>
        <row r="3262">
          <cell r="F3262">
            <v>315374</v>
          </cell>
          <cell r="G3262" t="str">
            <v>Yeni Sabrina Ordonez Gonzalez De Chicas</v>
          </cell>
        </row>
        <row r="3263">
          <cell r="F3263">
            <v>314613</v>
          </cell>
          <cell r="G3263" t="str">
            <v>Yenifer Alicia Yessenia Tzib Lemus</v>
          </cell>
        </row>
        <row r="3264">
          <cell r="F3264">
            <v>308434</v>
          </cell>
          <cell r="G3264" t="str">
            <v>Yenifer Antonieta Borja Aragon</v>
          </cell>
        </row>
        <row r="3265">
          <cell r="F3265">
            <v>313725</v>
          </cell>
          <cell r="G3265" t="str">
            <v>Yenner Antonio Perez Castro</v>
          </cell>
        </row>
        <row r="3266">
          <cell r="F3266">
            <v>314562</v>
          </cell>
          <cell r="G3266" t="str">
            <v>Yesenia Noemi Gutierrez Argueta</v>
          </cell>
        </row>
        <row r="3267">
          <cell r="F3267">
            <v>311581</v>
          </cell>
          <cell r="G3267" t="str">
            <v>Yesi Lisbet Fuentes Velarde</v>
          </cell>
        </row>
        <row r="3268">
          <cell r="F3268">
            <v>312579</v>
          </cell>
          <cell r="G3268" t="str">
            <v>Yesica Elizabet Marroquin Vielman</v>
          </cell>
        </row>
        <row r="3269">
          <cell r="F3269">
            <v>315433</v>
          </cell>
          <cell r="G3269" t="str">
            <v>Yessica Paola Perez Poma</v>
          </cell>
        </row>
        <row r="3270">
          <cell r="F3270">
            <v>311486</v>
          </cell>
          <cell r="G3270" t="str">
            <v>Yolisma Yaneth Vasquez Najera</v>
          </cell>
        </row>
        <row r="3271">
          <cell r="F3271">
            <v>315060</v>
          </cell>
          <cell r="G3271" t="str">
            <v>Yonatan Alexander Perez Scott</v>
          </cell>
        </row>
        <row r="3272">
          <cell r="F3272">
            <v>312632</v>
          </cell>
          <cell r="G3272" t="str">
            <v>Yonatan Nazareth Zapeta Gomez</v>
          </cell>
        </row>
        <row r="3273">
          <cell r="F3273">
            <v>312988</v>
          </cell>
          <cell r="G3273" t="str">
            <v>Yonathan Neftali Moran Velasquez</v>
          </cell>
        </row>
        <row r="3274">
          <cell r="F3274">
            <v>305872</v>
          </cell>
          <cell r="G3274" t="str">
            <v>Yoni Adan Gutierrez Veliz</v>
          </cell>
        </row>
        <row r="3275">
          <cell r="F3275">
            <v>312087</v>
          </cell>
          <cell r="G3275" t="str">
            <v>Yoni Yosuen Rodriguez Sosa</v>
          </cell>
        </row>
        <row r="3276">
          <cell r="F3276">
            <v>312317</v>
          </cell>
          <cell r="G3276" t="str">
            <v>Yoselin Alejandra Barrios Reyes</v>
          </cell>
        </row>
        <row r="3277">
          <cell r="F3277">
            <v>313057</v>
          </cell>
          <cell r="G3277" t="str">
            <v>Yoselin Alejandra Moran Burgos</v>
          </cell>
        </row>
        <row r="3278">
          <cell r="F3278">
            <v>314700</v>
          </cell>
          <cell r="G3278" t="str">
            <v>Yoselin Andrea Cipriano Garcia</v>
          </cell>
        </row>
        <row r="3279">
          <cell r="F3279">
            <v>314280</v>
          </cell>
          <cell r="G3279" t="str">
            <v>Yoselin Ninet Lopez Quibaja</v>
          </cell>
        </row>
        <row r="3280">
          <cell r="F3280">
            <v>314388</v>
          </cell>
          <cell r="G3280" t="str">
            <v>Yubithza Azucena Gamez Agustin De Cordova</v>
          </cell>
        </row>
        <row r="3281">
          <cell r="F3281">
            <v>310717</v>
          </cell>
          <cell r="G3281" t="str">
            <v>Yuliana Elizabeth Hernandez Lopez</v>
          </cell>
        </row>
        <row r="3282">
          <cell r="F3282">
            <v>314472</v>
          </cell>
          <cell r="G3282" t="str">
            <v>Yuri Madali Cabrera Garcia</v>
          </cell>
        </row>
        <row r="3283">
          <cell r="F3283">
            <v>310871</v>
          </cell>
          <cell r="G3283" t="str">
            <v>Yuri Vanessa Bac Caal</v>
          </cell>
        </row>
        <row r="3284">
          <cell r="F3284">
            <v>302802</v>
          </cell>
          <cell r="G3284" t="str">
            <v>Yuri Yesenia Beza Ramirez</v>
          </cell>
        </row>
        <row r="3285">
          <cell r="F3285">
            <v>310778</v>
          </cell>
          <cell r="G3285" t="str">
            <v>Zacarias Rigoberto Cuc Tiul</v>
          </cell>
        </row>
        <row r="3286">
          <cell r="F3286">
            <v>309651</v>
          </cell>
          <cell r="G3286" t="str">
            <v>Zaira Eloiza Orantes Ramirez</v>
          </cell>
        </row>
        <row r="3287">
          <cell r="F3287">
            <v>315308</v>
          </cell>
          <cell r="G3287" t="str">
            <v>Zalma Esmeralda Flores Tojin</v>
          </cell>
        </row>
        <row r="3288">
          <cell r="F3288">
            <v>306856</v>
          </cell>
          <cell r="G3288" t="str">
            <v>Zoraida Marisol Martinez Perez</v>
          </cell>
        </row>
        <row r="3289">
          <cell r="F3289">
            <v>313411</v>
          </cell>
          <cell r="G3289" t="str">
            <v>Zulema Noemy Aristondo Lopez</v>
          </cell>
        </row>
        <row r="3290">
          <cell r="F3290">
            <v>312665</v>
          </cell>
          <cell r="G3290" t="str">
            <v>Zulma Damaris Menchu Mendez</v>
          </cell>
        </row>
        <row r="3291">
          <cell r="F3291">
            <v>314042</v>
          </cell>
          <cell r="G3291" t="str">
            <v>Zulmy Paola Mateo Salazar</v>
          </cell>
        </row>
        <row r="3292">
          <cell r="F3292">
            <v>313161</v>
          </cell>
          <cell r="G3292" t="str">
            <v>Zuly Beatriz De Jesus Lopez Martinez</v>
          </cell>
        </row>
        <row r="3293">
          <cell r="F3293">
            <v>314783</v>
          </cell>
          <cell r="G3293" t="str">
            <v>Jency Noeli Estrada Paredes</v>
          </cell>
        </row>
        <row r="3294">
          <cell r="F3294">
            <v>311880</v>
          </cell>
          <cell r="G3294" t="str">
            <v>Patricia Alejandra Ramos Velasquez</v>
          </cell>
        </row>
        <row r="3295">
          <cell r="F3295">
            <v>313031</v>
          </cell>
          <cell r="G3295" t="str">
            <v>Lesly Sucely Ramirez Maxin</v>
          </cell>
        </row>
        <row r="3296">
          <cell r="F3296">
            <v>313155</v>
          </cell>
          <cell r="G3296" t="str">
            <v>Aylin Jiceli Romero Cruz</v>
          </cell>
        </row>
        <row r="3297">
          <cell r="F3297">
            <v>314858</v>
          </cell>
          <cell r="G3297" t="str">
            <v>Henry De Jesus Mujo Garcia</v>
          </cell>
        </row>
        <row r="3298">
          <cell r="F3298">
            <v>315188</v>
          </cell>
          <cell r="G3298" t="str">
            <v>Zoila Edmunda Pirir Tezen</v>
          </cell>
        </row>
        <row r="3299">
          <cell r="F3299">
            <v>314690</v>
          </cell>
          <cell r="G3299" t="str">
            <v>Scarlet Iveth Rosales Rivera</v>
          </cell>
        </row>
        <row r="3300">
          <cell r="F3300">
            <v>309417</v>
          </cell>
          <cell r="G3300" t="str">
            <v>Lisbeth Sarai Gutierrez Oscal</v>
          </cell>
        </row>
        <row r="3301">
          <cell r="F3301">
            <v>314284</v>
          </cell>
          <cell r="G3301" t="str">
            <v>William Alexander Gonzalez Mendoza</v>
          </cell>
        </row>
        <row r="3302">
          <cell r="F3302">
            <v>312424</v>
          </cell>
          <cell r="G3302" t="str">
            <v>Andrea Fernanda Martin Flores</v>
          </cell>
        </row>
        <row r="3303">
          <cell r="F3303">
            <v>313081</v>
          </cell>
          <cell r="G3303" t="str">
            <v>Alba Mariana Higueros Micheo</v>
          </cell>
        </row>
        <row r="3304">
          <cell r="F3304">
            <v>315184</v>
          </cell>
          <cell r="G3304" t="str">
            <v>Leysly Rubi Panchoy Rivera</v>
          </cell>
        </row>
        <row r="3305">
          <cell r="F3305">
            <v>315248</v>
          </cell>
          <cell r="G3305" t="str">
            <v>Claudia Marissa Chuquiej Granados</v>
          </cell>
        </row>
        <row r="3306">
          <cell r="F3306">
            <v>314982</v>
          </cell>
          <cell r="G3306" t="str">
            <v>Alvin David Cush Roman</v>
          </cell>
        </row>
        <row r="3307">
          <cell r="F3307">
            <v>312859</v>
          </cell>
          <cell r="G3307" t="str">
            <v>Wilson Eli Pineda Argueta</v>
          </cell>
        </row>
        <row r="3308">
          <cell r="F3308">
            <v>315040</v>
          </cell>
          <cell r="G3308" t="str">
            <v>Renny Camilo Ixcopal Ramirez</v>
          </cell>
        </row>
        <row r="3309">
          <cell r="F3309">
            <v>315061</v>
          </cell>
          <cell r="G3309" t="str">
            <v>Durvin Dayanara Mejicanos Ramos</v>
          </cell>
        </row>
        <row r="3310">
          <cell r="F3310">
            <v>314923</v>
          </cell>
          <cell r="G3310" t="str">
            <v>Sergio Alexander Urizar Godínez</v>
          </cell>
        </row>
        <row r="3311">
          <cell r="F3311">
            <v>314511</v>
          </cell>
          <cell r="G3311" t="str">
            <v>Dulce Maria Fajardo Ramos</v>
          </cell>
        </row>
        <row r="3312">
          <cell r="F3312">
            <v>315316</v>
          </cell>
          <cell r="G3312" t="str">
            <v>Axel Alexander Lemus Ovando</v>
          </cell>
        </row>
        <row r="3313">
          <cell r="F3313">
            <v>314538</v>
          </cell>
          <cell r="G3313" t="str">
            <v>Cristofer Melgar Ortega</v>
          </cell>
        </row>
        <row r="3314">
          <cell r="F3314">
            <v>315046</v>
          </cell>
          <cell r="G3314" t="str">
            <v>Maria Damaris Noemi Asig Cu</v>
          </cell>
        </row>
        <row r="3315">
          <cell r="F3315">
            <v>314652</v>
          </cell>
          <cell r="G3315" t="str">
            <v>Leyvi Diana Morales Garrido</v>
          </cell>
        </row>
        <row r="3316">
          <cell r="F3316">
            <v>314440</v>
          </cell>
          <cell r="G3316" t="str">
            <v>Luis Alexsander Barco Ramirez</v>
          </cell>
        </row>
        <row r="3317">
          <cell r="F3317">
            <v>315249</v>
          </cell>
          <cell r="G3317" t="str">
            <v>Estuardo Rocael Chivalan Caal</v>
          </cell>
        </row>
        <row r="3318">
          <cell r="F3318">
            <v>315301</v>
          </cell>
          <cell r="G3318" t="str">
            <v>Carlos Edmundo Hernandez Miranda</v>
          </cell>
        </row>
        <row r="3319">
          <cell r="F3319">
            <v>313008</v>
          </cell>
          <cell r="G3319" t="str">
            <v>Jose Guillermo Ixen Queche</v>
          </cell>
        </row>
        <row r="3320">
          <cell r="F3320">
            <v>309110</v>
          </cell>
          <cell r="G3320" t="str">
            <v>Josselyn Fabiola Xunic Taquiej</v>
          </cell>
        </row>
        <row r="3321">
          <cell r="F3321">
            <v>312944</v>
          </cell>
          <cell r="G3321" t="str">
            <v>Lesly Araceli Mendez Gonzalez</v>
          </cell>
        </row>
        <row r="3322">
          <cell r="F3322">
            <v>314043</v>
          </cell>
          <cell r="G3322" t="str">
            <v>Luis Miguel Camaja Recinos</v>
          </cell>
        </row>
        <row r="3323">
          <cell r="F3323">
            <v>308753</v>
          </cell>
          <cell r="G3323" t="str">
            <v>Wilson Estuardo Vicente Tzun</v>
          </cell>
        </row>
        <row r="3324">
          <cell r="F3324">
            <v>312219</v>
          </cell>
          <cell r="G3324" t="str">
            <v>Yenifer Magali Arana Tezen</v>
          </cell>
        </row>
        <row r="3325">
          <cell r="F3325">
            <v>314664</v>
          </cell>
          <cell r="G3325" t="str">
            <v>Favio Juan Manuel Citalan Gomez</v>
          </cell>
        </row>
        <row r="3326">
          <cell r="F3326">
            <v>315314</v>
          </cell>
          <cell r="G3326" t="str">
            <v>Katherine Maria Pereira Estacuy</v>
          </cell>
        </row>
        <row r="3327">
          <cell r="F3327">
            <v>309750</v>
          </cell>
          <cell r="G3327" t="str">
            <v>Maria Teresa Hom Guit</v>
          </cell>
        </row>
        <row r="3328">
          <cell r="F3328">
            <v>307867</v>
          </cell>
          <cell r="G3328" t="str">
            <v>Alex Jose Bamaca Baltazar</v>
          </cell>
        </row>
        <row r="3329">
          <cell r="F3329">
            <v>313410</v>
          </cell>
          <cell r="G3329" t="str">
            <v>Esmeralda Claribel Velasquez Hernandez</v>
          </cell>
        </row>
        <row r="3330">
          <cell r="F3330">
            <v>315157</v>
          </cell>
          <cell r="G3330" t="str">
            <v>Nancy Rocio Maldonado Lopez</v>
          </cell>
        </row>
        <row r="3331">
          <cell r="F3331">
            <v>303878</v>
          </cell>
          <cell r="G3331" t="str">
            <v>Milka Patricia Merida Muñoz</v>
          </cell>
        </row>
        <row r="3332">
          <cell r="F3332">
            <v>315187</v>
          </cell>
          <cell r="G3332" t="str">
            <v>Luis Fernando Ramos Reynoso</v>
          </cell>
        </row>
        <row r="3333">
          <cell r="F3333">
            <v>310537</v>
          </cell>
          <cell r="G3333" t="str">
            <v>Astrid Anybeth Ochoa Sac</v>
          </cell>
        </row>
        <row r="3334">
          <cell r="F3334">
            <v>314578</v>
          </cell>
          <cell r="G3334" t="str">
            <v>Ana Gabriela Garcia Ajanel</v>
          </cell>
        </row>
        <row r="3335">
          <cell r="F3335">
            <v>315331</v>
          </cell>
          <cell r="G3335" t="str">
            <v>Dallynn Eunice Perez Herrera</v>
          </cell>
        </row>
        <row r="3336">
          <cell r="F3336">
            <v>314950</v>
          </cell>
          <cell r="G3336" t="str">
            <v>Saul Rodrigo Monterroso Belteton</v>
          </cell>
        </row>
        <row r="3337">
          <cell r="F3337">
            <v>312575</v>
          </cell>
          <cell r="G3337" t="str">
            <v>Sugey Alejandrina Ramirez Zepeda</v>
          </cell>
        </row>
        <row r="3338">
          <cell r="F3338">
            <v>309102</v>
          </cell>
          <cell r="G3338" t="str">
            <v>Josselyn Jasmin Asencio Revolorio De Lopez</v>
          </cell>
        </row>
        <row r="3339">
          <cell r="F3339">
            <v>313516</v>
          </cell>
          <cell r="G3339" t="str">
            <v>Mayra Leticia Diaz Armas</v>
          </cell>
        </row>
        <row r="3340">
          <cell r="F3340">
            <v>314786</v>
          </cell>
          <cell r="G3340" t="str">
            <v>Andrea Stephany Villeda Bran</v>
          </cell>
        </row>
        <row r="3341">
          <cell r="F3341">
            <v>313482</v>
          </cell>
          <cell r="G3341" t="str">
            <v>Alexandra Stefania Estrada Flores</v>
          </cell>
        </row>
        <row r="3342">
          <cell r="F3342">
            <v>313642</v>
          </cell>
          <cell r="G3342" t="str">
            <v>Jose Luis Landaverry Arana</v>
          </cell>
        </row>
        <row r="3343">
          <cell r="F3343">
            <v>314734</v>
          </cell>
          <cell r="G3343" t="str">
            <v>Maria Teresa Barrientos Perdomo</v>
          </cell>
        </row>
        <row r="3344">
          <cell r="F3344">
            <v>312551</v>
          </cell>
          <cell r="G3344" t="str">
            <v>Zenia Estefania Alvarado Alvarado</v>
          </cell>
        </row>
        <row r="3345">
          <cell r="F3345">
            <v>311524</v>
          </cell>
          <cell r="G3345" t="str">
            <v>Iris Marleny Alvarado Barrios</v>
          </cell>
        </row>
        <row r="3346">
          <cell r="F3346">
            <v>309360</v>
          </cell>
          <cell r="G3346" t="str">
            <v>Diana Violeta Yaguas Carin</v>
          </cell>
        </row>
        <row r="3347">
          <cell r="F3347">
            <v>309560</v>
          </cell>
          <cell r="G3347" t="str">
            <v>Astrid Gabriela Carin Castillo</v>
          </cell>
        </row>
        <row r="3348">
          <cell r="F3348">
            <v>313834</v>
          </cell>
          <cell r="G3348" t="str">
            <v>Luis Fernando Cuque Marquez</v>
          </cell>
        </row>
        <row r="3349">
          <cell r="F3349">
            <v>312983</v>
          </cell>
          <cell r="G3349" t="str">
            <v>Jennifer Jeaneth Patzan Urizar</v>
          </cell>
        </row>
        <row r="3350">
          <cell r="F3350">
            <v>313043</v>
          </cell>
          <cell r="G3350" t="str">
            <v>Saul Alexander Sicay Ramirez</v>
          </cell>
        </row>
        <row r="3351">
          <cell r="F3351">
            <v>315052</v>
          </cell>
          <cell r="G3351" t="str">
            <v>Ana Ruth Garcia Garcia</v>
          </cell>
        </row>
        <row r="3352">
          <cell r="F3352">
            <v>311322</v>
          </cell>
          <cell r="G3352" t="str">
            <v>Valerie Andrea Rivas Del Valle</v>
          </cell>
        </row>
        <row r="3353">
          <cell r="F3353">
            <v>313852</v>
          </cell>
          <cell r="G3353" t="str">
            <v>Brandon Steven Quiñonez Garcia</v>
          </cell>
        </row>
        <row r="3354">
          <cell r="F3354">
            <v>310326</v>
          </cell>
          <cell r="G3354" t="str">
            <v>Bryan Daniel Donado Ortiz</v>
          </cell>
        </row>
        <row r="3355">
          <cell r="F3355">
            <v>312039</v>
          </cell>
          <cell r="G3355" t="str">
            <v>Lourdes Yamileth Escobar Recinos</v>
          </cell>
        </row>
        <row r="3356">
          <cell r="F3356">
            <v>315030</v>
          </cell>
          <cell r="G3356" t="str">
            <v>Daniel Antonio Gonzalez Del Cid</v>
          </cell>
        </row>
        <row r="3357">
          <cell r="F3357">
            <v>314898</v>
          </cell>
          <cell r="G3357" t="str">
            <v>Jose Danilo Chacar Saguach</v>
          </cell>
        </row>
        <row r="3358">
          <cell r="F3358">
            <v>315306</v>
          </cell>
          <cell r="G3358" t="str">
            <v>Karen Melissa Munoz Guevara</v>
          </cell>
        </row>
        <row r="3359">
          <cell r="F3359">
            <v>315370</v>
          </cell>
          <cell r="G3359" t="str">
            <v>Mario Eduardo Reyes Argueta</v>
          </cell>
        </row>
        <row r="3360">
          <cell r="F3360">
            <v>315354</v>
          </cell>
          <cell r="G3360" t="str">
            <v>Diego Rodrigo Morales Camacho</v>
          </cell>
        </row>
        <row r="3361">
          <cell r="F3361">
            <v>314676</v>
          </cell>
          <cell r="G3361" t="str">
            <v>Irvin Lizardo Miranda Guzman</v>
          </cell>
        </row>
        <row r="3362">
          <cell r="F3362">
            <v>314069</v>
          </cell>
          <cell r="G3362" t="str">
            <v>Yesenia Nataly Alvarado Sarpec</v>
          </cell>
        </row>
        <row r="3363">
          <cell r="F3363">
            <v>315328</v>
          </cell>
          <cell r="G3363" t="str">
            <v xml:space="preserve">Ludwin Oscar David Chavez </v>
          </cell>
        </row>
        <row r="3364">
          <cell r="F3364">
            <v>314629</v>
          </cell>
          <cell r="G3364" t="str">
            <v>Heidy Azucena Martinez Garcia</v>
          </cell>
        </row>
        <row r="3365">
          <cell r="F3365">
            <v>314358</v>
          </cell>
          <cell r="G3365" t="str">
            <v>Manuel Eduardo Garcia Diaz</v>
          </cell>
        </row>
        <row r="3366">
          <cell r="F3366">
            <v>314090</v>
          </cell>
          <cell r="G3366" t="str">
            <v>Dayana Mishell Mazariegos Gomez</v>
          </cell>
        </row>
        <row r="3367">
          <cell r="F3367">
            <v>311202</v>
          </cell>
          <cell r="G3367" t="str">
            <v>Vilma Lizeth Caal Yantuche</v>
          </cell>
        </row>
        <row r="3368">
          <cell r="F3368">
            <v>314693</v>
          </cell>
          <cell r="G3368" t="str">
            <v>Oscar Javier Veliz Galvez</v>
          </cell>
        </row>
        <row r="3369">
          <cell r="F3369">
            <v>307008</v>
          </cell>
          <cell r="G3369" t="str">
            <v>Evelyn Rebeca Lopez Socoy</v>
          </cell>
        </row>
        <row r="3370">
          <cell r="F3370">
            <v>313003</v>
          </cell>
          <cell r="G3370" t="str">
            <v>Jonathan Renato Chete Urias</v>
          </cell>
        </row>
        <row r="3371">
          <cell r="F3371">
            <v>315224</v>
          </cell>
          <cell r="G3371" t="str">
            <v>Dina Nohemi Solano Juarez</v>
          </cell>
        </row>
        <row r="3372">
          <cell r="F3372">
            <v>315178</v>
          </cell>
          <cell r="G3372" t="str">
            <v>Melany Nohemi Velasquez Solorzano</v>
          </cell>
        </row>
        <row r="3373">
          <cell r="F3373">
            <v>314040</v>
          </cell>
          <cell r="G3373" t="str">
            <v>Cindy Abigail Patzan Perez</v>
          </cell>
        </row>
        <row r="3374">
          <cell r="F3374">
            <v>315172</v>
          </cell>
          <cell r="G3374" t="str">
            <v>Merlyn Esther Pérez Girón</v>
          </cell>
        </row>
        <row r="3375">
          <cell r="F3375">
            <v>314726</v>
          </cell>
          <cell r="G3375" t="str">
            <v>Bryan Roberto Sanchez Echeverria</v>
          </cell>
        </row>
        <row r="3376">
          <cell r="F3376">
            <v>306350</v>
          </cell>
          <cell r="G3376" t="str">
            <v>Andrea Eunice Velasquez Mazariegos</v>
          </cell>
        </row>
        <row r="3377">
          <cell r="F3377">
            <v>314282</v>
          </cell>
          <cell r="G3377" t="str">
            <v>Yolanda Genoveva Lopez Bamaca</v>
          </cell>
        </row>
        <row r="3378">
          <cell r="F3378">
            <v>314675</v>
          </cell>
          <cell r="G3378" t="str">
            <v>Edson Romeo Maldonado Reyes</v>
          </cell>
        </row>
        <row r="3379">
          <cell r="F3379">
            <v>313056</v>
          </cell>
          <cell r="G3379" t="str">
            <v>Suceli Isamar Orozco Fuentes</v>
          </cell>
        </row>
        <row r="3380">
          <cell r="F3380">
            <v>311573</v>
          </cell>
          <cell r="G3380" t="str">
            <v>Karen Gabriela Uz Shalix</v>
          </cell>
        </row>
        <row r="3381">
          <cell r="F3381">
            <v>313661</v>
          </cell>
          <cell r="G3381" t="str">
            <v>Mario Jose Herrera De Leon</v>
          </cell>
        </row>
        <row r="3382">
          <cell r="F3382">
            <v>314134</v>
          </cell>
          <cell r="G3382" t="str">
            <v>Rogelia Emperatriz Ortiz Alcantara</v>
          </cell>
        </row>
        <row r="3383">
          <cell r="F3383">
            <v>315207</v>
          </cell>
          <cell r="G3383" t="str">
            <v>Yeison Lemuel Lopez Vasquez</v>
          </cell>
        </row>
        <row r="3384">
          <cell r="F3384">
            <v>312659</v>
          </cell>
          <cell r="G3384" t="str">
            <v>Danny Johana Perez Reyes</v>
          </cell>
        </row>
        <row r="3385">
          <cell r="F3385">
            <v>315587</v>
          </cell>
          <cell r="G3385" t="str">
            <v>Pedro Jose Castañeda Velasquez</v>
          </cell>
        </row>
        <row r="3386">
          <cell r="F3386">
            <v>315590</v>
          </cell>
          <cell r="G3386" t="str">
            <v>Jamileth Andreina Arreaga Quin</v>
          </cell>
        </row>
        <row r="3387">
          <cell r="F3387">
            <v>315602</v>
          </cell>
          <cell r="G3387" t="str">
            <v>Ventura Rivera, Rhode Esperanza</v>
          </cell>
        </row>
        <row r="3388">
          <cell r="F3388">
            <v>315607</v>
          </cell>
          <cell r="G3388" t="str">
            <v>Ruiz Castillo, Maria Antonia</v>
          </cell>
        </row>
        <row r="3389">
          <cell r="F3389">
            <v>315611</v>
          </cell>
          <cell r="G3389" t="str">
            <v>Cordova Newbery, Allison Alejandra</v>
          </cell>
        </row>
        <row r="3390">
          <cell r="F3390">
            <v>315612</v>
          </cell>
          <cell r="G3390" t="str">
            <v>Castanon Lopez, Brandon Eliberto</v>
          </cell>
        </row>
        <row r="3391">
          <cell r="F3391">
            <v>315616</v>
          </cell>
          <cell r="G3391" t="str">
            <v>Diaz Calderon, Josue Noe</v>
          </cell>
        </row>
        <row r="3392">
          <cell r="F3392">
            <v>315629</v>
          </cell>
          <cell r="G3392" t="str">
            <v>Rucuch Choguaj, Miguel</v>
          </cell>
        </row>
        <row r="3393">
          <cell r="F3393">
            <v>315630</v>
          </cell>
          <cell r="G3393" t="str">
            <v>Zavala Soto, Alisson Yisel</v>
          </cell>
        </row>
        <row r="3394">
          <cell r="F3394">
            <v>309658</v>
          </cell>
          <cell r="G3394" t="str">
            <v xml:space="preserve">Otto Alejandro Barahona López </v>
          </cell>
        </row>
        <row r="3395">
          <cell r="F3395">
            <v>301291</v>
          </cell>
          <cell r="G3395" t="str">
            <v>Alexandra Carolina Valdez Vasquez</v>
          </cell>
        </row>
        <row r="3396">
          <cell r="F3396">
            <v>307550</v>
          </cell>
          <cell r="G3396" t="str">
            <v>Aura Marleny Perez Ventura</v>
          </cell>
        </row>
        <row r="3397">
          <cell r="F3397">
            <v>312210</v>
          </cell>
          <cell r="G3397" t="str">
            <v>Carlos Enrique Saenz Cardona</v>
          </cell>
        </row>
        <row r="3398">
          <cell r="F3398">
            <v>304801</v>
          </cell>
          <cell r="G3398" t="str">
            <v>Celeste Azucena Estrada Salvador De Estrada</v>
          </cell>
        </row>
        <row r="3399">
          <cell r="F3399">
            <v>314684</v>
          </cell>
          <cell r="G3399" t="str">
            <v>Escarlet Liliana Molina Herrera De Bolaños</v>
          </cell>
        </row>
        <row r="3400">
          <cell r="F3400">
            <v>309956</v>
          </cell>
          <cell r="G3400" t="str">
            <v>Heidy Celeste San Jose Diaz</v>
          </cell>
        </row>
        <row r="3401">
          <cell r="F3401">
            <v>314978</v>
          </cell>
          <cell r="G3401" t="str">
            <v>Jhoseline Esmeralda Medina Rivas</v>
          </cell>
        </row>
        <row r="3402">
          <cell r="F3402">
            <v>302674</v>
          </cell>
          <cell r="G3402" t="str">
            <v>Karen Elizabeth Roman Castellanos</v>
          </cell>
        </row>
        <row r="3403">
          <cell r="F3403">
            <v>315147</v>
          </cell>
          <cell r="G3403" t="str">
            <v>Karin Zulema Molina Fonseca</v>
          </cell>
        </row>
        <row r="3404">
          <cell r="F3404">
            <v>312838</v>
          </cell>
          <cell r="G3404" t="str">
            <v>Katherine Lucia Carranza Ortega</v>
          </cell>
        </row>
        <row r="3405">
          <cell r="F3405">
            <v>305064</v>
          </cell>
          <cell r="G3405" t="str">
            <v>Lilian Jose Lopez Quevedo</v>
          </cell>
        </row>
        <row r="3406">
          <cell r="F3406">
            <v>308754</v>
          </cell>
          <cell r="G3406" t="str">
            <v>Luis Alberto Perez Barrios</v>
          </cell>
        </row>
        <row r="3407">
          <cell r="F3407">
            <v>313396</v>
          </cell>
          <cell r="G3407" t="str">
            <v>Luz Mariela Donis Gonzalez</v>
          </cell>
        </row>
        <row r="3408">
          <cell r="F3408">
            <v>306330</v>
          </cell>
          <cell r="G3408" t="str">
            <v>Maria Andree Gonzalez</v>
          </cell>
        </row>
        <row r="3409">
          <cell r="F3409">
            <v>307198</v>
          </cell>
          <cell r="G3409" t="str">
            <v>Maria Gabriela Coloma Morales</v>
          </cell>
        </row>
        <row r="3410">
          <cell r="F3410">
            <v>307786</v>
          </cell>
          <cell r="G3410" t="str">
            <v>Marvin Alfredo Asturias Mendez</v>
          </cell>
        </row>
        <row r="3411">
          <cell r="F3411">
            <v>300268</v>
          </cell>
          <cell r="G3411" t="str">
            <v>Monica Carolina Pappa Dominguez</v>
          </cell>
        </row>
        <row r="3412">
          <cell r="F3412">
            <v>313636</v>
          </cell>
          <cell r="G3412" t="str">
            <v>Pablo Cesar Oliva Lopez</v>
          </cell>
        </row>
        <row r="3413">
          <cell r="F3413">
            <v>307702</v>
          </cell>
          <cell r="G3413" t="str">
            <v>Rosmeri Elizabeth Alvarez Lopez De Corado</v>
          </cell>
        </row>
        <row r="3414">
          <cell r="F3414">
            <v>314648</v>
          </cell>
          <cell r="G3414" t="str">
            <v>Sergio Vinicio Natareno Paredes</v>
          </cell>
        </row>
        <row r="3415">
          <cell r="F3415">
            <v>309567</v>
          </cell>
          <cell r="G3415" t="str">
            <v>Sindy Elizabeth Chavez Guzman</v>
          </cell>
        </row>
        <row r="3416">
          <cell r="F3416">
            <v>313649</v>
          </cell>
          <cell r="G3416" t="str">
            <v>Victor Hugo Turriz Flores</v>
          </cell>
        </row>
        <row r="3417">
          <cell r="F3417">
            <v>302684</v>
          </cell>
          <cell r="G3417" t="str">
            <v>Ana Melisa Giron Gonzalez</v>
          </cell>
        </row>
        <row r="3418">
          <cell r="F3418">
            <v>302866</v>
          </cell>
          <cell r="G3418" t="str">
            <v>Maria Magdalena Solis Carrera</v>
          </cell>
        </row>
        <row r="3419">
          <cell r="F3419">
            <v>313111</v>
          </cell>
          <cell r="G3419" t="str">
            <v>Mynor Arturo Barrios Reyes</v>
          </cell>
        </row>
        <row r="3420">
          <cell r="F3420">
            <v>313203</v>
          </cell>
          <cell r="G3420" t="str">
            <v>Marvin Alejandro Lopez Solis</v>
          </cell>
        </row>
        <row r="3421">
          <cell r="F3421">
            <v>302596</v>
          </cell>
          <cell r="G3421" t="str">
            <v>Victor Alfonso Ortega Torres</v>
          </cell>
        </row>
        <row r="3422">
          <cell r="F3422">
            <v>310241</v>
          </cell>
          <cell r="G3422" t="str">
            <v>Heidi Marleny Fajardo Ortiz De Cojon</v>
          </cell>
        </row>
        <row r="3423">
          <cell r="F3423">
            <v>313342</v>
          </cell>
          <cell r="G3423" t="str">
            <v>Magda Karina Mendoza Hernandez</v>
          </cell>
        </row>
        <row r="3424">
          <cell r="F3424">
            <v>301234</v>
          </cell>
          <cell r="G3424" t="str">
            <v>Ana Bertha Guzman Yaggi</v>
          </cell>
        </row>
        <row r="3425">
          <cell r="F3425">
            <v>307154</v>
          </cell>
          <cell r="G3425" t="str">
            <v>Evelin Gicela Burgos Franco</v>
          </cell>
        </row>
        <row r="3426">
          <cell r="F3426">
            <v>305181</v>
          </cell>
          <cell r="G3426" t="str">
            <v>Jose Luis Chay Machic</v>
          </cell>
        </row>
        <row r="3427">
          <cell r="F3427">
            <v>303552</v>
          </cell>
          <cell r="G3427" t="str">
            <v>Liliam Lisseth Santizo Mejia De Cordova</v>
          </cell>
        </row>
        <row r="3428">
          <cell r="F3428">
            <v>303704</v>
          </cell>
          <cell r="G3428" t="str">
            <v>Lisbeth Noemi Hernandez Giron</v>
          </cell>
        </row>
        <row r="3429">
          <cell r="F3429">
            <v>102171</v>
          </cell>
          <cell r="G3429" t="str">
            <v>Maritza Isabel Hernandez Cruz</v>
          </cell>
        </row>
        <row r="3430">
          <cell r="F3430">
            <v>310126</v>
          </cell>
          <cell r="G3430" t="str">
            <v>Jony Estuardo Gamarro Chinchilla</v>
          </cell>
        </row>
        <row r="3431">
          <cell r="F3431">
            <v>307812</v>
          </cell>
          <cell r="G3431" t="str">
            <v>Kevin Josue Moscoso Espino</v>
          </cell>
        </row>
        <row r="3432">
          <cell r="F3432">
            <v>308137</v>
          </cell>
          <cell r="G3432" t="str">
            <v>Oscar Rene Zacarias Jordan</v>
          </cell>
        </row>
        <row r="3433">
          <cell r="F3433">
            <v>311466</v>
          </cell>
          <cell r="G3433" t="str">
            <v>Edgar Estuardo Guerra Romero</v>
          </cell>
        </row>
        <row r="3434">
          <cell r="F3434">
            <v>301374</v>
          </cell>
          <cell r="G3434" t="str">
            <v>Karla Paola Martinez Salazar</v>
          </cell>
        </row>
        <row r="3435">
          <cell r="F3435">
            <v>313446</v>
          </cell>
          <cell r="G3435" t="str">
            <v>Ursula Deyanira Molina Mendoza</v>
          </cell>
        </row>
        <row r="3436">
          <cell r="F3436">
            <v>313780</v>
          </cell>
          <cell r="G3436" t="str">
            <v>Habraham Cesar Torres Alfaro</v>
          </cell>
        </row>
        <row r="3437">
          <cell r="F3437">
            <v>313576</v>
          </cell>
          <cell r="G3437" t="str">
            <v>Hilda Janina Diaz</v>
          </cell>
        </row>
        <row r="3438">
          <cell r="F3438">
            <v>314171</v>
          </cell>
          <cell r="G3438" t="str">
            <v>Jose Alejandro Carrera Tecun</v>
          </cell>
        </row>
        <row r="3439">
          <cell r="F3439">
            <v>313022</v>
          </cell>
          <cell r="G3439" t="str">
            <v>Karim Yaneth Mendez Hidalgo</v>
          </cell>
        </row>
        <row r="3440">
          <cell r="F3440">
            <v>313141</v>
          </cell>
          <cell r="G3440" t="str">
            <v>Edith Carolina Rojas Moreno</v>
          </cell>
        </row>
        <row r="3441">
          <cell r="F3441">
            <v>312615</v>
          </cell>
          <cell r="G3441" t="str">
            <v>Juan Jose Sarceño Siquiej</v>
          </cell>
        </row>
        <row r="3442">
          <cell r="F3442">
            <v>312858</v>
          </cell>
          <cell r="G3442" t="str">
            <v>Juan Pablo Marroquin Franco</v>
          </cell>
        </row>
        <row r="3443">
          <cell r="F3443">
            <v>314739</v>
          </cell>
          <cell r="G3443" t="str">
            <v>Elmer Josue Chinchilla Mendoza</v>
          </cell>
        </row>
        <row r="3444">
          <cell r="F3444">
            <v>315299</v>
          </cell>
          <cell r="G3444" t="str">
            <v>Luis Rodrigo Polanco Marroquin</v>
          </cell>
        </row>
        <row r="3445">
          <cell r="F3445">
            <v>315357</v>
          </cell>
          <cell r="G3445" t="str">
            <v>Linda Garcia          </v>
          </cell>
        </row>
        <row r="3446">
          <cell r="F3446">
            <v>315315</v>
          </cell>
          <cell r="G3446" t="str">
            <v xml:space="preserve">Shirley Guadalupe Munguia Gil </v>
          </cell>
        </row>
        <row r="3447">
          <cell r="F3447">
            <v>315477</v>
          </cell>
          <cell r="G3447" t="str">
            <v xml:space="preserve">Yesenia Guadalupe Ajcu Castillo </v>
          </cell>
        </row>
        <row r="3448">
          <cell r="F3448">
            <v>314170</v>
          </cell>
          <cell r="G3448" t="str">
            <v>Herman Gabriel Mendez Castellanos</v>
          </cell>
        </row>
        <row r="3449">
          <cell r="F3449">
            <v>312053</v>
          </cell>
          <cell r="G3449" t="str">
            <v xml:space="preserve"> Erick Estuardo Gonzalez Culajay</v>
          </cell>
        </row>
        <row r="3450">
          <cell r="F3450">
            <v>309795</v>
          </cell>
          <cell r="G3450" t="str">
            <v xml:space="preserve"> Evelin Johana Perez Fajardo De Estayul</v>
          </cell>
        </row>
        <row r="3451">
          <cell r="F3451">
            <v>308490</v>
          </cell>
          <cell r="G3451" t="str">
            <v xml:space="preserve"> Gabriela Poitan Ordoñez De Garcia</v>
          </cell>
        </row>
        <row r="3452">
          <cell r="F3452">
            <v>311663</v>
          </cell>
          <cell r="G3452" t="str">
            <v xml:space="preserve"> Jenny Betzabel Solis De Hernandez</v>
          </cell>
        </row>
        <row r="3453">
          <cell r="F3453">
            <v>300878</v>
          </cell>
          <cell r="G3453" t="str">
            <v xml:space="preserve"> Juan Francisco Lara Villavicencio</v>
          </cell>
        </row>
        <row r="3454">
          <cell r="F3454">
            <v>311195</v>
          </cell>
          <cell r="G3454" t="str">
            <v xml:space="preserve"> Julia Mariela Lourdette Gonzalez Rosales</v>
          </cell>
        </row>
        <row r="3455">
          <cell r="F3455">
            <v>311073</v>
          </cell>
          <cell r="G3455" t="str">
            <v xml:space="preserve"> Julio Roberto Castellanos Ordoñez</v>
          </cell>
        </row>
        <row r="3456">
          <cell r="F3456">
            <v>309602</v>
          </cell>
          <cell r="G3456" t="str">
            <v xml:space="preserve"> Linda Aracely Garcia Beteta De Cuxulic</v>
          </cell>
        </row>
        <row r="3457">
          <cell r="F3457">
            <v>311706</v>
          </cell>
          <cell r="G3457" t="str">
            <v xml:space="preserve"> Mailyn Anely Chavez Gonzalez</v>
          </cell>
        </row>
        <row r="3458">
          <cell r="F3458">
            <v>311347</v>
          </cell>
          <cell r="G3458" t="str">
            <v xml:space="preserve"> Mario Adolfo Telon Pedroza</v>
          </cell>
        </row>
        <row r="3459">
          <cell r="F3459">
            <v>311236</v>
          </cell>
          <cell r="G3459" t="str">
            <v xml:space="preserve"> Marlon Aroldo De Leon Juarez</v>
          </cell>
        </row>
        <row r="3460">
          <cell r="F3460">
            <v>304620</v>
          </cell>
          <cell r="G3460" t="str">
            <v xml:space="preserve"> Mayra Judith Marroquin Guevara De Melendez</v>
          </cell>
        </row>
        <row r="3461">
          <cell r="F3461">
            <v>311196</v>
          </cell>
          <cell r="G3461" t="str">
            <v xml:space="preserve"> Nancy Mariela Estrada Calel De Samayoa</v>
          </cell>
        </row>
        <row r="3462">
          <cell r="F3462">
            <v>309398</v>
          </cell>
          <cell r="G3462" t="str">
            <v xml:space="preserve"> Sindy Yesenia Fuentes Alvarez De Flores</v>
          </cell>
        </row>
        <row r="3463">
          <cell r="F3463">
            <v>311588</v>
          </cell>
          <cell r="G3463" t="str">
            <v xml:space="preserve"> Wendy Carolina Flores Garcia</v>
          </cell>
        </row>
        <row r="3464">
          <cell r="F3464">
            <v>313885</v>
          </cell>
          <cell r="G3464" t="str">
            <v>Adrian Emanuel Turcios Azurdia</v>
          </cell>
        </row>
        <row r="3465">
          <cell r="F3465">
            <v>314224</v>
          </cell>
          <cell r="G3465" t="str">
            <v>Ana Ruth Wong Mejia</v>
          </cell>
        </row>
        <row r="3466">
          <cell r="F3466">
            <v>314304</v>
          </cell>
          <cell r="G3466" t="str">
            <v>Brenda Yaneth Perez Lucas</v>
          </cell>
        </row>
        <row r="3467">
          <cell r="F3467">
            <v>313839</v>
          </cell>
          <cell r="G3467" t="str">
            <v>Carlos Enrique Dighero Lopez</v>
          </cell>
        </row>
        <row r="3468">
          <cell r="F3468">
            <v>311901</v>
          </cell>
          <cell r="G3468" t="str">
            <v>Edith Veranice Palacios</v>
          </cell>
        </row>
        <row r="3469">
          <cell r="F3469">
            <v>314439</v>
          </cell>
          <cell r="G3469" t="str">
            <v>Hersson Eduardo Leal Garcia</v>
          </cell>
        </row>
        <row r="3470">
          <cell r="F3470">
            <v>313884</v>
          </cell>
          <cell r="G3470" t="str">
            <v>Jasminia Sarai Cotzajay Peñate</v>
          </cell>
        </row>
        <row r="3471">
          <cell r="F3471">
            <v>309852</v>
          </cell>
          <cell r="G3471" t="str">
            <v>Jonathan Rene Villavicencio Soto</v>
          </cell>
        </row>
        <row r="3472">
          <cell r="F3472">
            <v>312709</v>
          </cell>
          <cell r="G3472" t="str">
            <v>Jorge Alfonso Hernandez Chinchilla</v>
          </cell>
        </row>
        <row r="3473">
          <cell r="F3473">
            <v>314436</v>
          </cell>
          <cell r="G3473" t="str">
            <v xml:space="preserve">Jorge Francisco Saban Lopez </v>
          </cell>
        </row>
        <row r="3474">
          <cell r="F3474">
            <v>313114</v>
          </cell>
          <cell r="G3474" t="str">
            <v xml:space="preserve">Jose Albino Albeño Galicia </v>
          </cell>
        </row>
        <row r="3475">
          <cell r="F3475">
            <v>308558</v>
          </cell>
          <cell r="G3475" t="str">
            <v>Jose Emilio Yuman Roche</v>
          </cell>
        </row>
        <row r="3476">
          <cell r="F3476">
            <v>313233</v>
          </cell>
          <cell r="G3476" t="str">
            <v>Jose Miguel Silva Contreras</v>
          </cell>
        </row>
        <row r="3477">
          <cell r="F3477">
            <v>313739</v>
          </cell>
          <cell r="G3477" t="str">
            <v>Lester Onelio Lopez Rosales</v>
          </cell>
        </row>
        <row r="3478">
          <cell r="F3478">
            <v>315361</v>
          </cell>
          <cell r="G3478" t="str">
            <v>Luis Fernando Roche Valenzuela</v>
          </cell>
        </row>
        <row r="3479">
          <cell r="F3479">
            <v>314103</v>
          </cell>
          <cell r="G3479" t="str">
            <v>Luisa Fernanda Marroquin Tiguila</v>
          </cell>
        </row>
        <row r="3480">
          <cell r="F3480">
            <v>313680</v>
          </cell>
          <cell r="G3480" t="str">
            <v>Marco Antonio Salazar Alinzo</v>
          </cell>
        </row>
        <row r="3481">
          <cell r="F3481">
            <v>314359</v>
          </cell>
          <cell r="G3481" t="str">
            <v>Maynor Alexander Perez Surque</v>
          </cell>
        </row>
        <row r="3482">
          <cell r="F3482">
            <v>309332</v>
          </cell>
          <cell r="G3482" t="str">
            <v>Melani Mishell Vasquez Castillo</v>
          </cell>
        </row>
        <row r="3483">
          <cell r="F3483">
            <v>314547</v>
          </cell>
          <cell r="G3483" t="str">
            <v>Nancy Elizabeth Lopez Perez</v>
          </cell>
        </row>
        <row r="3484">
          <cell r="F3484">
            <v>314370</v>
          </cell>
          <cell r="G3484" t="str">
            <v>Olga Roxana Gomez</v>
          </cell>
        </row>
        <row r="3485">
          <cell r="F3485">
            <v>315419</v>
          </cell>
          <cell r="G3485" t="str">
            <v>Rubeldi Ajaniel Roblero Gonzales</v>
          </cell>
        </row>
        <row r="3486">
          <cell r="F3486">
            <v>314769</v>
          </cell>
          <cell r="G3486" t="str">
            <v>Abel Eduardo Lopez Lopez</v>
          </cell>
        </row>
        <row r="3487">
          <cell r="F3487">
            <v>314839</v>
          </cell>
          <cell r="G3487" t="str">
            <v>Ana Gabriela Samayoa Lopez</v>
          </cell>
        </row>
        <row r="3488">
          <cell r="F3488">
            <v>315422</v>
          </cell>
          <cell r="G3488" t="str">
            <v xml:space="preserve">Carlos Alberto Roque </v>
          </cell>
        </row>
        <row r="3489">
          <cell r="F3489">
            <v>314836</v>
          </cell>
          <cell r="G3489" t="str">
            <v xml:space="preserve">Carlos David Ajmac </v>
          </cell>
        </row>
        <row r="3490">
          <cell r="F3490">
            <v>314759</v>
          </cell>
          <cell r="G3490" t="str">
            <v>Carlos Roberto Hernandez Gonzalez</v>
          </cell>
        </row>
        <row r="3491">
          <cell r="F3491">
            <v>314757</v>
          </cell>
          <cell r="G3491" t="str">
            <v>Cristal Estephania Juarroz Muñoz</v>
          </cell>
        </row>
        <row r="3492">
          <cell r="F3492">
            <v>314817</v>
          </cell>
          <cell r="G3492" t="str">
            <v>Cristian Orlando Monzon De Leon</v>
          </cell>
        </row>
        <row r="3493">
          <cell r="F3493">
            <v>314815</v>
          </cell>
          <cell r="G3493" t="str">
            <v>Gabriela Elizabeth Alvarez Mix</v>
          </cell>
        </row>
        <row r="3494">
          <cell r="F3494">
            <v>315421</v>
          </cell>
          <cell r="G3494" t="str">
            <v xml:space="preserve">Gladis Morales Cutzal </v>
          </cell>
        </row>
        <row r="3495">
          <cell r="F3495">
            <v>314794</v>
          </cell>
          <cell r="G3495" t="str">
            <v>Herbert Wellington Rodriguez Ramirez</v>
          </cell>
        </row>
        <row r="3496">
          <cell r="F3496">
            <v>314760</v>
          </cell>
          <cell r="G3496" t="str">
            <v>Jadurani Devi Dasi Archila Lool</v>
          </cell>
        </row>
        <row r="3497">
          <cell r="F3497">
            <v>314838</v>
          </cell>
          <cell r="G3497" t="str">
            <v>Jenifer Lucerito Sique Mayorga</v>
          </cell>
        </row>
        <row r="3498">
          <cell r="F3498">
            <v>314790</v>
          </cell>
          <cell r="G3498" t="str">
            <v>Johana Vidalia Chach Ixcoy</v>
          </cell>
        </row>
        <row r="3499">
          <cell r="F3499">
            <v>314846</v>
          </cell>
          <cell r="G3499" t="str">
            <v>Jonnathan Josue Rodas Florian</v>
          </cell>
        </row>
        <row r="3500">
          <cell r="F3500">
            <v>314761</v>
          </cell>
          <cell r="G3500" t="str">
            <v>Jorge Eduardo Fonseca Palacios</v>
          </cell>
        </row>
        <row r="3501">
          <cell r="F3501">
            <v>314842</v>
          </cell>
          <cell r="G3501" t="str">
            <v>Jose Geovanni Castañeda Galindo</v>
          </cell>
        </row>
        <row r="3502">
          <cell r="F3502">
            <v>314756</v>
          </cell>
          <cell r="G3502" t="str">
            <v>Juan Manuel Gomez Sampuel</v>
          </cell>
        </row>
        <row r="3503">
          <cell r="F3503">
            <v>315366</v>
          </cell>
          <cell r="G3503" t="str">
            <v xml:space="preserve">Mario Enrique Morales Escobar </v>
          </cell>
        </row>
        <row r="3504">
          <cell r="F3504">
            <v>315392</v>
          </cell>
          <cell r="G3504" t="str">
            <v xml:space="preserve">Mijail Erick Joaquín Morales Ortiz </v>
          </cell>
        </row>
        <row r="3505">
          <cell r="F3505">
            <v>314843</v>
          </cell>
          <cell r="G3505" t="str">
            <v>Nancy Pahola Arevalo Yuman</v>
          </cell>
        </row>
        <row r="3506">
          <cell r="F3506">
            <v>314791</v>
          </cell>
          <cell r="G3506" t="str">
            <v>Norman Scott Castillo Rivera</v>
          </cell>
        </row>
        <row r="3507">
          <cell r="F3507">
            <v>314799</v>
          </cell>
          <cell r="G3507" t="str">
            <v>Rusbelindo  Miguel Lopez</v>
          </cell>
        </row>
        <row r="3508">
          <cell r="F3508">
            <v>314751</v>
          </cell>
          <cell r="G3508" t="str">
            <v>Ana Lucia Veliz Solares</v>
          </cell>
        </row>
        <row r="3509">
          <cell r="F3509">
            <v>315169</v>
          </cell>
          <cell r="G3509" t="str">
            <v>Andy Oswaldo Pineda Arriola</v>
          </cell>
        </row>
        <row r="3510">
          <cell r="F3510">
            <v>314903</v>
          </cell>
          <cell r="G3510" t="str">
            <v>Cindy Julissa Herrera</v>
          </cell>
        </row>
        <row r="3511">
          <cell r="F3511">
            <v>314800</v>
          </cell>
          <cell r="G3511" t="str">
            <v>Elmer Eduardo Castillo</v>
          </cell>
        </row>
        <row r="3512">
          <cell r="F3512">
            <v>314748</v>
          </cell>
          <cell r="G3512" t="str">
            <v>Freddy Reynaldo Velarde Valenzuela</v>
          </cell>
        </row>
        <row r="3513">
          <cell r="F3513">
            <v>314795</v>
          </cell>
          <cell r="G3513" t="str">
            <v>Gustavo Ernesto Altan Gonzalez</v>
          </cell>
        </row>
        <row r="3514">
          <cell r="F3514">
            <v>315148</v>
          </cell>
          <cell r="G3514" t="str">
            <v>Irene Beatriz Pena Orellana</v>
          </cell>
        </row>
        <row r="3515">
          <cell r="F3515">
            <v>314906</v>
          </cell>
          <cell r="G3515" t="str">
            <v>Juan Pedro Tiney Cax</v>
          </cell>
        </row>
        <row r="3516">
          <cell r="F3516">
            <v>315322</v>
          </cell>
          <cell r="G3516" t="str">
            <v>Lester Juan Jose Arevalo Reynoso</v>
          </cell>
        </row>
        <row r="3517">
          <cell r="F3517">
            <v>315368</v>
          </cell>
          <cell r="G3517" t="str">
            <v>Marlon Enrique Del Cid Roque</v>
          </cell>
        </row>
        <row r="3518">
          <cell r="F3518">
            <v>315093</v>
          </cell>
          <cell r="G3518" t="str">
            <v>Miriam Eugenia Santizo Montenegro</v>
          </cell>
        </row>
        <row r="3519">
          <cell r="F3519">
            <v>314902</v>
          </cell>
          <cell r="G3519" t="str">
            <v>Roberto Alejandro Alvarez Abularach</v>
          </cell>
        </row>
        <row r="3520">
          <cell r="F3520">
            <v>314755</v>
          </cell>
          <cell r="G3520" t="str">
            <v>Sergio David Gonzalez Perez</v>
          </cell>
        </row>
        <row r="3521">
          <cell r="F3521">
            <v>314967</v>
          </cell>
          <cell r="G3521" t="str">
            <v>Sergio Javier Cortez Tunchez</v>
          </cell>
        </row>
        <row r="3522">
          <cell r="F3522">
            <v>314968</v>
          </cell>
          <cell r="G3522" t="str">
            <v>Sharon Dayana Ninoshka López Márquez</v>
          </cell>
        </row>
        <row r="3523">
          <cell r="F3523">
            <v>311961</v>
          </cell>
          <cell r="G3523" t="str">
            <v xml:space="preserve"> Abner Eli Gonzalez Gonzalez</v>
          </cell>
        </row>
        <row r="3524">
          <cell r="F3524">
            <v>311188</v>
          </cell>
          <cell r="G3524" t="str">
            <v xml:space="preserve"> Ana Ester Cuyan Aguilar De Dominguez</v>
          </cell>
        </row>
        <row r="3525">
          <cell r="F3525">
            <v>311894</v>
          </cell>
          <cell r="G3525" t="str">
            <v xml:space="preserve"> Christyan Stuardo Ronquillo Saravia</v>
          </cell>
        </row>
        <row r="3526">
          <cell r="F3526">
            <v>308901</v>
          </cell>
          <cell r="G3526" t="str">
            <v xml:space="preserve"> David Estuardo Rosales Corado</v>
          </cell>
        </row>
        <row r="3527">
          <cell r="F3527">
            <v>312069</v>
          </cell>
          <cell r="G3527" t="str">
            <v xml:space="preserve"> De Leon Cach Roberto Carlos</v>
          </cell>
        </row>
        <row r="3528">
          <cell r="F3528">
            <v>310331</v>
          </cell>
          <cell r="G3528" t="str">
            <v xml:space="preserve"> Elda Luzbina Valdez Guerra De Fuentes</v>
          </cell>
        </row>
        <row r="3529">
          <cell r="F3529">
            <v>310822</v>
          </cell>
          <cell r="G3529" t="str">
            <v xml:space="preserve"> Jennifer Leticia Gonzalez Pineda</v>
          </cell>
        </row>
        <row r="3530">
          <cell r="F3530">
            <v>308012</v>
          </cell>
          <cell r="G3530" t="str">
            <v xml:space="preserve"> Jocelyn Sucel Yantuche Chin</v>
          </cell>
        </row>
        <row r="3531">
          <cell r="F3531">
            <v>312160</v>
          </cell>
          <cell r="G3531" t="str">
            <v xml:space="preserve"> Jose Rigoberto Osorio Abarca</v>
          </cell>
        </row>
        <row r="3532">
          <cell r="F3532">
            <v>311465</v>
          </cell>
          <cell r="G3532" t="str">
            <v xml:space="preserve"> Kevin Alejandro Corado Estrada</v>
          </cell>
        </row>
        <row r="3533">
          <cell r="F3533">
            <v>311294</v>
          </cell>
          <cell r="G3533" t="str">
            <v xml:space="preserve"> Lotar Robson Araujo Perez</v>
          </cell>
        </row>
        <row r="3534">
          <cell r="F3534">
            <v>310910</v>
          </cell>
          <cell r="G3534" t="str">
            <v xml:space="preserve"> Luis Fernando Lopez Vasquez</v>
          </cell>
        </row>
        <row r="3535">
          <cell r="F3535">
            <v>304279</v>
          </cell>
          <cell r="G3535" t="str">
            <v xml:space="preserve"> Marlon Estuardo Hernandez</v>
          </cell>
        </row>
        <row r="3536">
          <cell r="F3536">
            <v>308911</v>
          </cell>
          <cell r="G3536" t="str">
            <v xml:space="preserve"> Rudy Fernando Orozco Tejeda</v>
          </cell>
        </row>
        <row r="3537">
          <cell r="F3537">
            <v>310214</v>
          </cell>
          <cell r="G3537" t="str">
            <v xml:space="preserve"> Vivian Pamela Rodas Lopez</v>
          </cell>
        </row>
        <row r="3538">
          <cell r="F3538">
            <v>314928</v>
          </cell>
          <cell r="G3538" t="str">
            <v xml:space="preserve">
Brandon Steve Juarez Arrazola </v>
          </cell>
        </row>
        <row r="3539">
          <cell r="F3539">
            <v>313239</v>
          </cell>
          <cell r="G3539" t="str">
            <v>Addy Aida Cifuentes Coronado</v>
          </cell>
        </row>
        <row r="3540">
          <cell r="F3540">
            <v>313694</v>
          </cell>
          <cell r="G3540" t="str">
            <v>Alex Humberto Montezuma</v>
          </cell>
        </row>
        <row r="3541">
          <cell r="F3541">
            <v>313241</v>
          </cell>
          <cell r="G3541" t="str">
            <v>Angel Arturo Mauricio Ayapan</v>
          </cell>
        </row>
        <row r="3542">
          <cell r="F3542">
            <v>314323</v>
          </cell>
          <cell r="G3542" t="str">
            <v>Angel Arturo Mauricio Ayapan</v>
          </cell>
        </row>
        <row r="3543">
          <cell r="F3543">
            <v>312327</v>
          </cell>
          <cell r="G3543" t="str">
            <v>Armando Andree Quiñonez Flores</v>
          </cell>
        </row>
        <row r="3544">
          <cell r="F3544">
            <v>313749</v>
          </cell>
          <cell r="G3544" t="str">
            <v>Cesar Haroldo Ixcayau Castro</v>
          </cell>
        </row>
        <row r="3545">
          <cell r="F3545">
            <v>313840</v>
          </cell>
          <cell r="G3545" t="str">
            <v>Claudia Maria Orozco Garcia</v>
          </cell>
        </row>
        <row r="3546">
          <cell r="F3546">
            <v>314119</v>
          </cell>
          <cell r="G3546" t="str">
            <v>Cristian David Urizar Canteo</v>
          </cell>
        </row>
        <row r="3547">
          <cell r="F3547">
            <v>313242</v>
          </cell>
          <cell r="G3547" t="str">
            <v>Guillermo Alejandro Pirir</v>
          </cell>
        </row>
        <row r="3548">
          <cell r="F3548">
            <v>313539</v>
          </cell>
          <cell r="G3548" t="str">
            <v>Joaquin Alonso Murillo Perez</v>
          </cell>
        </row>
        <row r="3549">
          <cell r="F3549">
            <v>314082</v>
          </cell>
          <cell r="G3549" t="str">
            <v>Johanna Amarilis Hernandez Perez</v>
          </cell>
        </row>
        <row r="3550">
          <cell r="F3550">
            <v>313983</v>
          </cell>
          <cell r="G3550" t="str">
            <v>Jose Anibal Reyes Sandoval</v>
          </cell>
        </row>
        <row r="3551">
          <cell r="F3551">
            <v>308875</v>
          </cell>
          <cell r="G3551" t="str">
            <v>Joselyn Manuela Sandoval De Leon</v>
          </cell>
        </row>
        <row r="3552">
          <cell r="F3552">
            <v>313240</v>
          </cell>
          <cell r="G3552" t="str">
            <v>Karen Jamara Luna Menendez</v>
          </cell>
        </row>
        <row r="3553">
          <cell r="F3553">
            <v>314083</v>
          </cell>
          <cell r="G3553" t="str">
            <v>Luis Alfredo Ruben Castillo Mejia</v>
          </cell>
        </row>
        <row r="3554">
          <cell r="F3554">
            <v>312489</v>
          </cell>
          <cell r="G3554" t="str">
            <v>Marliz Irene Bonifaz Lopez</v>
          </cell>
        </row>
        <row r="3555">
          <cell r="F3555">
            <v>313823</v>
          </cell>
          <cell r="G3555" t="str">
            <v>Mildred Mazciel Almazan Lemus Codigo</v>
          </cell>
        </row>
        <row r="3556">
          <cell r="F3556">
            <v>313289</v>
          </cell>
          <cell r="G3556" t="str">
            <v>Orellana Alvarez, Nestor Giovanni</v>
          </cell>
        </row>
        <row r="3557">
          <cell r="F3557">
            <v>312476</v>
          </cell>
          <cell r="G3557" t="str">
            <v>Oscar Oswaldo Ramirez Tahuite</v>
          </cell>
        </row>
        <row r="3558">
          <cell r="F3558">
            <v>313392</v>
          </cell>
          <cell r="G3558" t="str">
            <v>Sandra Marisol Ramirez Solis</v>
          </cell>
        </row>
        <row r="3559">
          <cell r="F3559">
            <v>315101</v>
          </cell>
          <cell r="G3559" t="str">
            <v>Alvaro Oswaldo De La Rosa Hernandez</v>
          </cell>
        </row>
        <row r="3560">
          <cell r="F3560">
            <v>314905</v>
          </cell>
          <cell r="G3560" t="str">
            <v>Antonio Carlos Alvarenga Diaz</v>
          </cell>
        </row>
        <row r="3561">
          <cell r="F3561">
            <v>314885</v>
          </cell>
          <cell r="G3561" t="str">
            <v>Edi Ibander Osoy Lopez</v>
          </cell>
        </row>
        <row r="3562">
          <cell r="F3562">
            <v>314750</v>
          </cell>
          <cell r="G3562" t="str">
            <v>Eswin Leonel Fernandez Diaz</v>
          </cell>
        </row>
        <row r="3563">
          <cell r="F3563">
            <v>314753</v>
          </cell>
          <cell r="G3563" t="str">
            <v>Gabriel Antonio Mucur Arriaga</v>
          </cell>
        </row>
        <row r="3564">
          <cell r="F3564">
            <v>315318</v>
          </cell>
          <cell r="G3564" t="str">
            <v>Gabriela Melissa Arias Ovando</v>
          </cell>
        </row>
        <row r="3565">
          <cell r="F3565">
            <v>315164</v>
          </cell>
          <cell r="G3565" t="str">
            <v>Hernan Antonio Castro Guzman</v>
          </cell>
        </row>
        <row r="3566">
          <cell r="F3566">
            <v>315149</v>
          </cell>
          <cell r="G3566" t="str">
            <v>Jennifer Karla Maria De Leon Yoc</v>
          </cell>
        </row>
        <row r="3567">
          <cell r="F3567">
            <v>315065</v>
          </cell>
          <cell r="G3567" t="str">
            <v>Jennifer Veronica Flores Pineda</v>
          </cell>
        </row>
        <row r="3568">
          <cell r="F3568">
            <v>314797</v>
          </cell>
          <cell r="G3568" t="str">
            <v>Jimmy Alfredo Coronado Cabrera</v>
          </cell>
        </row>
        <row r="3569">
          <cell r="F3569">
            <v>314746</v>
          </cell>
          <cell r="G3569" t="str">
            <v>Jose Luis Quisquinay Inay</v>
          </cell>
        </row>
        <row r="3570">
          <cell r="F3570">
            <v>315231</v>
          </cell>
          <cell r="G3570" t="str">
            <v>Juan Fernando Alvarez Argueta</v>
          </cell>
        </row>
        <row r="3571">
          <cell r="F3571">
            <v>314752</v>
          </cell>
          <cell r="G3571" t="str">
            <v>Luis Arturo Fuentes Jerez</v>
          </cell>
        </row>
        <row r="3572">
          <cell r="F3572">
            <v>314990</v>
          </cell>
          <cell r="G3572" t="str">
            <v>Maria Fernanda Ambrocio Reyes</v>
          </cell>
        </row>
        <row r="3573">
          <cell r="F3573">
            <v>314966</v>
          </cell>
          <cell r="G3573" t="str">
            <v>Marlin Argelia Herrera Claveria</v>
          </cell>
        </row>
        <row r="3574">
          <cell r="F3574">
            <v>314904</v>
          </cell>
          <cell r="G3574" t="str">
            <v>Miguel Estuardo Marín</v>
          </cell>
        </row>
        <row r="3575">
          <cell r="F3575">
            <v>314796</v>
          </cell>
          <cell r="G3575" t="str">
            <v>Ricardo Antonio Ruiz Orozco</v>
          </cell>
        </row>
        <row r="3576">
          <cell r="F3576">
            <v>315365</v>
          </cell>
          <cell r="G3576" t="str">
            <v>Ruth Liliana Reyes Rivas</v>
          </cell>
        </row>
        <row r="3577">
          <cell r="F3577">
            <v>314758</v>
          </cell>
          <cell r="G3577" t="str">
            <v>Sergio Alejandro Estrada Velasco</v>
          </cell>
        </row>
        <row r="3578">
          <cell r="F3578">
            <v>312045</v>
          </cell>
          <cell r="G3578" t="str">
            <v xml:space="preserve"> Edgar Marco Tulio Sanchez Ochoa</v>
          </cell>
        </row>
        <row r="3579">
          <cell r="F3579">
            <v>309496</v>
          </cell>
          <cell r="G3579" t="str">
            <v xml:space="preserve"> Elcira Livduvina Perez Lopez De Merlos</v>
          </cell>
        </row>
        <row r="3580">
          <cell r="F3580">
            <v>311750</v>
          </cell>
          <cell r="G3580" t="str">
            <v xml:space="preserve"> Juan Toma Torrez</v>
          </cell>
        </row>
        <row r="3581">
          <cell r="F3581">
            <v>311539</v>
          </cell>
          <cell r="G3581" t="str">
            <v xml:space="preserve"> Luis Eduardo Garcia Gomez</v>
          </cell>
        </row>
        <row r="3582">
          <cell r="F3582">
            <v>311898</v>
          </cell>
          <cell r="G3582" t="str">
            <v xml:space="preserve"> Nori Liseth Bautista</v>
          </cell>
        </row>
        <row r="3583">
          <cell r="F3583">
            <v>312283</v>
          </cell>
          <cell r="G3583" t="str">
            <v xml:space="preserve"> Oscar Javier Galvez</v>
          </cell>
        </row>
        <row r="3584">
          <cell r="F3584">
            <v>311190</v>
          </cell>
          <cell r="G3584" t="str">
            <v xml:space="preserve"> Pedro Chas Morales</v>
          </cell>
        </row>
        <row r="3585">
          <cell r="F3585">
            <v>311632</v>
          </cell>
          <cell r="G3585" t="str">
            <v>Virginia Del Rosario Matilde Garcia Ico</v>
          </cell>
        </row>
        <row r="3586">
          <cell r="F3586">
            <v>311906</v>
          </cell>
          <cell r="G3586" t="str">
            <v xml:space="preserve"> Yenifer Alejandra Ordoñez</v>
          </cell>
        </row>
        <row r="3587">
          <cell r="F3587">
            <v>314705</v>
          </cell>
          <cell r="G3587" t="str">
            <v>Alex Eduardo Gil Paniagua</v>
          </cell>
        </row>
        <row r="3588">
          <cell r="F3588">
            <v>313182</v>
          </cell>
          <cell r="G3588" t="str">
            <v>Allan Kenneth Chiguichon Solis</v>
          </cell>
        </row>
        <row r="3589">
          <cell r="F3589">
            <v>314363</v>
          </cell>
          <cell r="G3589" t="str">
            <v xml:space="preserve">Anderson Noe Chunix Morales </v>
          </cell>
        </row>
        <row r="3590">
          <cell r="F3590">
            <v>314241</v>
          </cell>
          <cell r="G3590" t="str">
            <v>Andres Simon Sunun</v>
          </cell>
        </row>
        <row r="3591">
          <cell r="F3591">
            <v>309341</v>
          </cell>
          <cell r="G3591" t="str">
            <v>Angel Estuardo Perez Veliz</v>
          </cell>
        </row>
        <row r="3592">
          <cell r="F3592">
            <v>312093</v>
          </cell>
          <cell r="G3592" t="str">
            <v xml:space="preserve">Bobadilla Romero Alan Gonzalo </v>
          </cell>
        </row>
        <row r="3593">
          <cell r="F3593">
            <v>314080</v>
          </cell>
          <cell r="G3593" t="str">
            <v>Bryan Leonardo Lopez</v>
          </cell>
        </row>
        <row r="3594">
          <cell r="F3594">
            <v>314704</v>
          </cell>
          <cell r="G3594" t="str">
            <v xml:space="preserve">Cindy Damaris Villagran Castellano </v>
          </cell>
        </row>
        <row r="3595">
          <cell r="F3595">
            <v>314085</v>
          </cell>
          <cell r="G3595" t="str">
            <v>Cristian Ottoniel Lopez Alvarado</v>
          </cell>
        </row>
        <row r="3596">
          <cell r="F3596">
            <v>314364</v>
          </cell>
          <cell r="G3596" t="str">
            <v xml:space="preserve">Donel Omar Landaverry Solis </v>
          </cell>
        </row>
        <row r="3597">
          <cell r="F3597">
            <v>313373</v>
          </cell>
          <cell r="G3597" t="str">
            <v>Edgar Francisco Yanes Carrera</v>
          </cell>
        </row>
        <row r="3598">
          <cell r="F3598">
            <v>315056</v>
          </cell>
          <cell r="G3598" t="str">
            <v>Esvin David De Jesus Calanche</v>
          </cell>
        </row>
        <row r="3599">
          <cell r="F3599">
            <v>314118</v>
          </cell>
          <cell r="G3599" t="str">
            <v>Ginni Andrea Gramajo Lucas</v>
          </cell>
        </row>
        <row r="3600">
          <cell r="F3600">
            <v>313049</v>
          </cell>
          <cell r="G3600" t="str">
            <v>Herberth Ivan Garcia Davila</v>
          </cell>
        </row>
        <row r="3601">
          <cell r="F3601">
            <v>312162</v>
          </cell>
          <cell r="G3601" t="str">
            <v xml:space="preserve">Hernandez Andrea Yoselin Cristina </v>
          </cell>
        </row>
        <row r="3602">
          <cell r="F3602">
            <v>313692</v>
          </cell>
          <cell r="G3602" t="str">
            <v xml:space="preserve">Ingrid Leticia Paredes Pulido    </v>
          </cell>
        </row>
        <row r="3603">
          <cell r="F3603">
            <v>314500</v>
          </cell>
          <cell r="G3603" t="str">
            <v xml:space="preserve">Jairo Noel Linarez Gomez </v>
          </cell>
        </row>
        <row r="3604">
          <cell r="F3604">
            <v>312369</v>
          </cell>
          <cell r="G3604" t="str">
            <v>Jorge Luis Hernandez Juarez</v>
          </cell>
        </row>
        <row r="3605">
          <cell r="F3605">
            <v>314039</v>
          </cell>
          <cell r="G3605" t="str">
            <v>Juan Humberto Barrios Escobar</v>
          </cell>
        </row>
        <row r="3606">
          <cell r="F3606">
            <v>313540</v>
          </cell>
          <cell r="G3606" t="str">
            <v xml:space="preserve">Juan Manuel Macario Reyna </v>
          </cell>
        </row>
        <row r="3607">
          <cell r="F3607">
            <v>314355</v>
          </cell>
          <cell r="G3607" t="str">
            <v>Kevin Samuel Guamuch Guardado</v>
          </cell>
        </row>
        <row r="3608">
          <cell r="F3608">
            <v>314299</v>
          </cell>
          <cell r="G3608" t="str">
            <v>Lopez Morales, Andrea Lucia</v>
          </cell>
        </row>
        <row r="3609">
          <cell r="F3609">
            <v>314747</v>
          </cell>
          <cell r="G3609" t="str">
            <v>Mayra Azucena Perez Guzman</v>
          </cell>
        </row>
        <row r="3610">
          <cell r="F3610">
            <v>313572</v>
          </cell>
          <cell r="G3610" t="str">
            <v xml:space="preserve">Milton Hardany Dominguez Martinez </v>
          </cell>
        </row>
        <row r="3611">
          <cell r="F3611">
            <v>313541</v>
          </cell>
          <cell r="G3611" t="str">
            <v xml:space="preserve">Mirna Lorena Argueta Ayala </v>
          </cell>
        </row>
        <row r="3612">
          <cell r="F3612">
            <v>315319</v>
          </cell>
          <cell r="G3612" t="str">
            <v xml:space="preserve">Noe Rubell Garcia Cerna </v>
          </cell>
        </row>
        <row r="3613">
          <cell r="F3613">
            <v>314502</v>
          </cell>
          <cell r="G3613" t="str">
            <v>Reyna Elizabeth Panadero</v>
          </cell>
        </row>
        <row r="3614">
          <cell r="F3614">
            <v>313284</v>
          </cell>
          <cell r="G3614" t="str">
            <v>Sebastian Quino Morales</v>
          </cell>
        </row>
        <row r="3615">
          <cell r="F3615">
            <v>311460</v>
          </cell>
          <cell r="G3615" t="str">
            <v xml:space="preserve"> Ana Vilma Bamaca Cardona</v>
          </cell>
        </row>
        <row r="3616">
          <cell r="F3616">
            <v>306579</v>
          </cell>
          <cell r="G3616" t="str">
            <v xml:space="preserve"> Angel Emilio De Jesus Morales Ramirez</v>
          </cell>
        </row>
        <row r="3617">
          <cell r="F3617">
            <v>311234</v>
          </cell>
          <cell r="G3617" t="str">
            <v xml:space="preserve"> Astrid Marlene Diaz</v>
          </cell>
        </row>
        <row r="3618">
          <cell r="F3618">
            <v>308361</v>
          </cell>
          <cell r="G3618" t="str">
            <v xml:space="preserve"> Brenda Maribel Orozco Mendoza</v>
          </cell>
        </row>
        <row r="3619">
          <cell r="F3619">
            <v>311060</v>
          </cell>
          <cell r="G3619" t="str">
            <v xml:space="preserve"> Dora Lissette Higueros Trejo</v>
          </cell>
        </row>
        <row r="3620">
          <cell r="F3620">
            <v>305555</v>
          </cell>
          <cell r="G3620" t="str">
            <v xml:space="preserve"> Heber Antonio Olivares Alvarado</v>
          </cell>
        </row>
        <row r="3621">
          <cell r="F3621">
            <v>308210</v>
          </cell>
          <cell r="G3621" t="str">
            <v xml:space="preserve"> Isaias Ramirez Jimenez</v>
          </cell>
        </row>
        <row r="3622">
          <cell r="F3622">
            <v>310790</v>
          </cell>
          <cell r="G3622" t="str">
            <v xml:space="preserve"> Karina Del Rosario Castro Lopez De Guzman</v>
          </cell>
        </row>
        <row r="3623">
          <cell r="F3623">
            <v>309544</v>
          </cell>
          <cell r="G3623" t="str">
            <v xml:space="preserve"> Lorena Alexandra Lopez Yax</v>
          </cell>
        </row>
        <row r="3624">
          <cell r="F3624">
            <v>308493</v>
          </cell>
          <cell r="G3624" t="str">
            <v xml:space="preserve"> Sandra Beatriz Ardiano De Leon</v>
          </cell>
        </row>
        <row r="3625">
          <cell r="F3625">
            <v>312483</v>
          </cell>
          <cell r="G3625" t="str">
            <v>Berta Elizabeth Rodas Rosales</v>
          </cell>
        </row>
        <row r="3626">
          <cell r="F3626">
            <v>314431</v>
          </cell>
          <cell r="G3626" t="str">
            <v>Cristian Rene Contreras Sales</v>
          </cell>
        </row>
        <row r="3627">
          <cell r="F3627">
            <v>307394</v>
          </cell>
          <cell r="G3627" t="str">
            <v>Damaris Judith Rivas Benitez</v>
          </cell>
        </row>
        <row r="3628">
          <cell r="F3628">
            <v>311082</v>
          </cell>
          <cell r="G3628" t="str">
            <v>Janz Vincent Tunche</v>
          </cell>
        </row>
        <row r="3629">
          <cell r="F3629">
            <v>314301</v>
          </cell>
          <cell r="G3629" t="str">
            <v>Jose Carlos Puluc</v>
          </cell>
        </row>
        <row r="3630">
          <cell r="F3630">
            <v>308405</v>
          </cell>
          <cell r="G3630" t="str">
            <v>Juan Aquino Rac</v>
          </cell>
        </row>
        <row r="3631">
          <cell r="F3631">
            <v>312485</v>
          </cell>
          <cell r="G3631" t="str">
            <v>Juan Ramon Guerra Martinez</v>
          </cell>
        </row>
        <row r="3632">
          <cell r="F3632">
            <v>314527</v>
          </cell>
          <cell r="G3632" t="str">
            <v>Luis Fernando Rodas Pineda</v>
          </cell>
        </row>
        <row r="3633">
          <cell r="F3633">
            <v>312481</v>
          </cell>
          <cell r="G3633" t="str">
            <v>Magdalena Noemi Leonardo Ventura</v>
          </cell>
        </row>
        <row r="3634">
          <cell r="F3634">
            <v>312482</v>
          </cell>
          <cell r="G3634" t="str">
            <v>Mildred Elizabeth Rivera Tenas</v>
          </cell>
        </row>
        <row r="3635">
          <cell r="F3635">
            <v>307005</v>
          </cell>
          <cell r="G3635" t="str">
            <v>Miriam Leticia Romero Torres</v>
          </cell>
        </row>
        <row r="3636">
          <cell r="F3636">
            <v>314227</v>
          </cell>
          <cell r="G3636" t="str">
            <v xml:space="preserve">Mirna Janeth Ordoñez </v>
          </cell>
        </row>
        <row r="3637">
          <cell r="F3637">
            <v>308474</v>
          </cell>
          <cell r="G3637" t="str">
            <v>Victor Abraham Alvarado De La Cruz</v>
          </cell>
        </row>
        <row r="3638">
          <cell r="F3638">
            <v>312480</v>
          </cell>
          <cell r="G3638" t="str">
            <v>Wilson Moises Carias Santos</v>
          </cell>
        </row>
        <row r="3639">
          <cell r="F3639">
            <v>305051</v>
          </cell>
          <cell r="G3639" t="str">
            <v xml:space="preserve"> Amalia Cifuentes Gramajo</v>
          </cell>
        </row>
        <row r="3640">
          <cell r="F3640">
            <v>308201</v>
          </cell>
          <cell r="G3640" t="str">
            <v xml:space="preserve"> Amparo Janet Cardona Linares</v>
          </cell>
        </row>
        <row r="3641">
          <cell r="F3641">
            <v>311232</v>
          </cell>
          <cell r="G3641" t="str">
            <v xml:space="preserve"> Carlos Alberto Roque Galicia</v>
          </cell>
        </row>
        <row r="3642">
          <cell r="F3642">
            <v>310382</v>
          </cell>
          <cell r="G3642" t="str">
            <v xml:space="preserve"> David Gilberto Perez Mayorga</v>
          </cell>
        </row>
        <row r="3643">
          <cell r="F3643">
            <v>305796</v>
          </cell>
          <cell r="G3643" t="str">
            <v xml:space="preserve"> Elias Perez Sequen</v>
          </cell>
        </row>
        <row r="3644">
          <cell r="F3644">
            <v>310823</v>
          </cell>
          <cell r="G3644" t="str">
            <v xml:space="preserve"> Francisca Yesenia Aceytuno Quevedo</v>
          </cell>
        </row>
        <row r="3645">
          <cell r="F3645">
            <v>311152</v>
          </cell>
          <cell r="G3645" t="str">
            <v xml:space="preserve"> Heidi Natali Chacon De La Rosa De Diaz</v>
          </cell>
        </row>
        <row r="3646">
          <cell r="F3646">
            <v>309785</v>
          </cell>
          <cell r="G3646" t="str">
            <v xml:space="preserve"> Jose Esteban Diaz Montufar</v>
          </cell>
        </row>
        <row r="3647">
          <cell r="F3647">
            <v>310787</v>
          </cell>
          <cell r="G3647" t="str">
            <v xml:space="preserve"> Marilin Janeth Sanchez De Rodriguez</v>
          </cell>
        </row>
        <row r="3648">
          <cell r="F3648">
            <v>305520</v>
          </cell>
          <cell r="G3648" t="str">
            <v xml:space="preserve"> Milton Orlando Lopez</v>
          </cell>
        </row>
        <row r="3649">
          <cell r="F3649">
            <v>308978</v>
          </cell>
          <cell r="G3649" t="str">
            <v xml:space="preserve"> Oscar Amilcar Najera Segura</v>
          </cell>
        </row>
        <row r="3650">
          <cell r="F3650">
            <v>311776</v>
          </cell>
          <cell r="G3650" t="str">
            <v xml:space="preserve"> Susan Jackelinne Cristal Sanchez</v>
          </cell>
        </row>
        <row r="3651">
          <cell r="F3651">
            <v>309732</v>
          </cell>
          <cell r="G3651" t="str">
            <v xml:space="preserve"> Wilfredo Noe Tobar Valenzuela</v>
          </cell>
        </row>
        <row r="3652">
          <cell r="F3652">
            <v>314741</v>
          </cell>
          <cell r="G3652" t="str">
            <v>Angelica Lorena Garcia Gonzalez</v>
          </cell>
        </row>
        <row r="3653">
          <cell r="F3653">
            <v>314546</v>
          </cell>
          <cell r="G3653" t="str">
            <v xml:space="preserve">Cinthia Irene Paz Caal   </v>
          </cell>
        </row>
        <row r="3654">
          <cell r="F3654">
            <v>313746</v>
          </cell>
          <cell r="G3654" t="str">
            <v>Cristian Omar Cruz Mata</v>
          </cell>
        </row>
        <row r="3655">
          <cell r="F3655">
            <v>315327</v>
          </cell>
          <cell r="G3655" t="str">
            <v>Daninyer Alfonso Orellana Madrid</v>
          </cell>
        </row>
        <row r="3656">
          <cell r="F3656">
            <v>314084</v>
          </cell>
          <cell r="G3656" t="str">
            <v>Edgar Emilio Gomez Bobadilla</v>
          </cell>
        </row>
        <row r="3657">
          <cell r="F3657">
            <v>313195</v>
          </cell>
          <cell r="G3657" t="str">
            <v>Edna Helenin Benitez Guzman De Altan</v>
          </cell>
        </row>
        <row r="3658">
          <cell r="F3658">
            <v>313259</v>
          </cell>
          <cell r="G3658" t="str">
            <v>Edvin Orlando Tuis Guerra</v>
          </cell>
        </row>
        <row r="3659">
          <cell r="F3659">
            <v>314524</v>
          </cell>
          <cell r="G3659" t="str">
            <v>Francisco Antonio Davila Morales</v>
          </cell>
        </row>
        <row r="3660">
          <cell r="F3660">
            <v>314329</v>
          </cell>
          <cell r="G3660" t="str">
            <v>Fredy Joel Lopez Santiago</v>
          </cell>
        </row>
        <row r="3661">
          <cell r="F3661">
            <v>314305</v>
          </cell>
          <cell r="G3661" t="str">
            <v>Henry Gustavo Vasquez Robledo</v>
          </cell>
        </row>
        <row r="3662">
          <cell r="F3662">
            <v>311962</v>
          </cell>
          <cell r="G3662" t="str">
            <v>Hugo David Monroy Pichola</v>
          </cell>
        </row>
        <row r="3663">
          <cell r="F3663">
            <v>311075</v>
          </cell>
          <cell r="G3663" t="str">
            <v>Jorge Alberto Buch Patzan</v>
          </cell>
        </row>
        <row r="3664">
          <cell r="F3664">
            <v>311233</v>
          </cell>
          <cell r="G3664" t="str">
            <v>Maria Fernanda Del Rosario Orellana Lima De Orellana</v>
          </cell>
        </row>
        <row r="3665">
          <cell r="F3665">
            <v>314811</v>
          </cell>
          <cell r="G3665" t="str">
            <v>Marlon Estuardo Hernandez Moreira</v>
          </cell>
        </row>
        <row r="3666">
          <cell r="F3666">
            <v>313745</v>
          </cell>
          <cell r="G3666" t="str">
            <v>Milvia Alejandra Lopez Marroquin</v>
          </cell>
        </row>
        <row r="3667">
          <cell r="F3667">
            <v>312288</v>
          </cell>
          <cell r="G3667" t="str">
            <v>Miriam Marilisa Herrera Perez</v>
          </cell>
        </row>
        <row r="3668">
          <cell r="F3668">
            <v>312474</v>
          </cell>
          <cell r="G3668" t="str">
            <v>Nancy Paola Ramirez Garcia</v>
          </cell>
        </row>
        <row r="3669">
          <cell r="F3669">
            <v>313756</v>
          </cell>
          <cell r="G3669" t="str">
            <v>Walter Josue Corona Barrera</v>
          </cell>
        </row>
        <row r="3670">
          <cell r="F3670">
            <v>312284</v>
          </cell>
          <cell r="G3670" t="str">
            <v xml:space="preserve"> Arnoldo Coque Hernandez</v>
          </cell>
        </row>
        <row r="3671">
          <cell r="F3671">
            <v>312015</v>
          </cell>
          <cell r="G3671" t="str">
            <v xml:space="preserve"> Carlos Alfredo Cuc Cuxe</v>
          </cell>
        </row>
        <row r="3672">
          <cell r="F3672">
            <v>310710</v>
          </cell>
          <cell r="G3672" t="str">
            <v xml:space="preserve"> Edgar Enrique Garcia Cortave</v>
          </cell>
        </row>
        <row r="3673">
          <cell r="F3673">
            <v>311459</v>
          </cell>
          <cell r="G3673" t="str">
            <v xml:space="preserve"> Gandy Baygesus Sanchez Estrada</v>
          </cell>
        </row>
        <row r="3674">
          <cell r="F3674">
            <v>303585</v>
          </cell>
          <cell r="G3674" t="str">
            <v xml:space="preserve"> Gerber Estuardo Albizures Archila</v>
          </cell>
        </row>
        <row r="3675">
          <cell r="F3675">
            <v>310704</v>
          </cell>
          <cell r="G3675" t="str">
            <v xml:space="preserve"> Henry Samuel De Leon Menchu</v>
          </cell>
        </row>
        <row r="3676">
          <cell r="F3676">
            <v>311359</v>
          </cell>
          <cell r="G3676" t="str">
            <v xml:space="preserve"> Jania Nataly De Leon Ramirez De Suret</v>
          </cell>
        </row>
        <row r="3677">
          <cell r="F3677">
            <v>306643</v>
          </cell>
          <cell r="G3677" t="str">
            <v xml:space="preserve"> Marvin Saul Sical Ventura</v>
          </cell>
        </row>
        <row r="3678">
          <cell r="F3678">
            <v>307846</v>
          </cell>
          <cell r="G3678" t="str">
            <v xml:space="preserve"> Sandra Patricia Baran Avila</v>
          </cell>
        </row>
        <row r="3679">
          <cell r="F3679">
            <v>307962</v>
          </cell>
          <cell r="G3679" t="str">
            <v xml:space="preserve"> Selvyn David Payola Ayala</v>
          </cell>
        </row>
        <row r="3680">
          <cell r="F3680">
            <v>307891</v>
          </cell>
          <cell r="G3680" t="str">
            <v xml:space="preserve"> Susana Rodriguez Cordova</v>
          </cell>
        </row>
        <row r="3681">
          <cell r="F3681">
            <v>314936</v>
          </cell>
          <cell r="G3681" t="str">
            <v>Alex Fernando Garcia De Leon</v>
          </cell>
        </row>
        <row r="3682">
          <cell r="F3682">
            <v>313295</v>
          </cell>
          <cell r="G3682" t="str">
            <v>Amed Carlos Eduardo Matheu Cabrera</v>
          </cell>
        </row>
        <row r="3683">
          <cell r="F3683">
            <v>314413</v>
          </cell>
          <cell r="G3683" t="str">
            <v>Carmen Arely Perez Escobar</v>
          </cell>
        </row>
        <row r="3684">
          <cell r="F3684">
            <v>315237</v>
          </cell>
          <cell r="G3684" t="str">
            <v>Celia Mariela Castillo Beteta</v>
          </cell>
        </row>
        <row r="3685">
          <cell r="F3685">
            <v>311345</v>
          </cell>
          <cell r="G3685" t="str">
            <v>Darwin Ruben Martinez Ramirez</v>
          </cell>
        </row>
        <row r="3686">
          <cell r="F3686">
            <v>314250</v>
          </cell>
          <cell r="G3686" t="str">
            <v>Diego Armando Contreras Flores</v>
          </cell>
        </row>
        <row r="3687">
          <cell r="F3687">
            <v>314281</v>
          </cell>
          <cell r="G3687" t="str">
            <v>Edward Josue Cortez Belloso</v>
          </cell>
        </row>
        <row r="3688">
          <cell r="F3688">
            <v>313451</v>
          </cell>
          <cell r="G3688" t="str">
            <v>Erick Dionicio Alvarez Flores</v>
          </cell>
        </row>
        <row r="3689">
          <cell r="F3689">
            <v>313497</v>
          </cell>
          <cell r="G3689" t="str">
            <v>Francisco Roman Aceytuno Ramos</v>
          </cell>
        </row>
        <row r="3690">
          <cell r="F3690">
            <v>314013</v>
          </cell>
          <cell r="G3690" t="str">
            <v>Jose Orlando Lopez Matzar</v>
          </cell>
        </row>
        <row r="3691">
          <cell r="F3691">
            <v>313262</v>
          </cell>
          <cell r="G3691" t="str">
            <v>Juan Luis Soyos Tzoy</v>
          </cell>
        </row>
        <row r="3692">
          <cell r="F3692">
            <v>313583</v>
          </cell>
          <cell r="G3692" t="str">
            <v>Laiza Marleny Gomez Garcia De Gomez</v>
          </cell>
        </row>
        <row r="3693">
          <cell r="F3693">
            <v>314762</v>
          </cell>
          <cell r="G3693" t="str">
            <v>Mario Ernesto Alvarado Molina</v>
          </cell>
        </row>
        <row r="3694">
          <cell r="F3694">
            <v>311902</v>
          </cell>
          <cell r="G3694" t="str">
            <v>Mario Raul Monroy Monroy</v>
          </cell>
        </row>
        <row r="3695">
          <cell r="F3695">
            <v>313251</v>
          </cell>
          <cell r="G3695" t="str">
            <v>Mario Ricardo Gabriel Monterroso</v>
          </cell>
        </row>
        <row r="3696">
          <cell r="F3696">
            <v>312564</v>
          </cell>
          <cell r="G3696" t="str">
            <v xml:space="preserve">Marlyn Carolina Hernandez Escobar De Dubon </v>
          </cell>
        </row>
        <row r="3697">
          <cell r="F3697">
            <v>313011</v>
          </cell>
          <cell r="G3697" t="str">
            <v>Miguel David Boch Cifuentes</v>
          </cell>
        </row>
        <row r="3698">
          <cell r="F3698">
            <v>313750</v>
          </cell>
          <cell r="G3698" t="str">
            <v xml:space="preserve">Mildred Alejandra Sapon Ruano   </v>
          </cell>
        </row>
        <row r="3699">
          <cell r="F3699">
            <v>313212</v>
          </cell>
          <cell r="G3699" t="str">
            <v>Shirley Mariana Lopez Natarengo</v>
          </cell>
        </row>
        <row r="3700">
          <cell r="F3700">
            <v>313261</v>
          </cell>
          <cell r="G3700" t="str">
            <v>Viviana Maribel Ortiz Barrios</v>
          </cell>
        </row>
        <row r="3701">
          <cell r="F3701">
            <v>309678</v>
          </cell>
          <cell r="G3701" t="str">
            <v xml:space="preserve"> Carla Noemi Irias Alvarez</v>
          </cell>
        </row>
        <row r="3702">
          <cell r="F3702">
            <v>311704</v>
          </cell>
          <cell r="G3702" t="str">
            <v xml:space="preserve"> Celedonia Isabel Chan Batz De Iscaya</v>
          </cell>
        </row>
        <row r="3703">
          <cell r="F3703">
            <v>308464</v>
          </cell>
          <cell r="G3703" t="str">
            <v xml:space="preserve"> Enmanuel Antonio Ochoa Hernandez</v>
          </cell>
        </row>
        <row r="3704">
          <cell r="F3704">
            <v>311964</v>
          </cell>
          <cell r="G3704" t="str">
            <v xml:space="preserve"> Estephanie Michelle Mendez Cano De Rivera</v>
          </cell>
        </row>
        <row r="3705">
          <cell r="F3705">
            <v>311963</v>
          </cell>
          <cell r="G3705" t="str">
            <v xml:space="preserve"> Giovanni Noel Valdez Rodriguez</v>
          </cell>
        </row>
        <row r="3706">
          <cell r="F3706">
            <v>308771</v>
          </cell>
          <cell r="G3706" t="str">
            <v xml:space="preserve"> Gloria Estefanilla Espinoza Garcia</v>
          </cell>
        </row>
        <row r="3707">
          <cell r="F3707">
            <v>311530</v>
          </cell>
          <cell r="G3707" t="str">
            <v xml:space="preserve"> Laura Ninoshka Mogollon Galvez De Ortiz</v>
          </cell>
        </row>
        <row r="3708">
          <cell r="F3708">
            <v>309348</v>
          </cell>
          <cell r="G3708" t="str">
            <v xml:space="preserve"> Ludbind Alexander Noriega Chavez</v>
          </cell>
        </row>
        <row r="3709">
          <cell r="F3709">
            <v>303093</v>
          </cell>
          <cell r="G3709" t="str">
            <v xml:space="preserve"> Rony Armando Choche Perez</v>
          </cell>
        </row>
        <row r="3710">
          <cell r="F3710">
            <v>311838</v>
          </cell>
          <cell r="G3710" t="str">
            <v xml:space="preserve"> Sarah Noemy Sandoval Poggio</v>
          </cell>
        </row>
        <row r="3711">
          <cell r="F3711">
            <v>310071</v>
          </cell>
          <cell r="G3711" t="str">
            <v xml:space="preserve"> Victoria Aracely Gomez Ochoa</v>
          </cell>
        </row>
        <row r="3712">
          <cell r="F3712">
            <v>315129</v>
          </cell>
          <cell r="G3712" t="str">
            <v xml:space="preserve">Angel Israel Perez Perez </v>
          </cell>
        </row>
        <row r="3713">
          <cell r="F3713">
            <v>314522</v>
          </cell>
          <cell r="G3713" t="str">
            <v>Argentina Frisdy Juarez Lopez</v>
          </cell>
        </row>
        <row r="3714">
          <cell r="F3714">
            <v>311595</v>
          </cell>
          <cell r="G3714" t="str">
            <v>Billy Giovanny Avalos Castillo</v>
          </cell>
        </row>
        <row r="3715">
          <cell r="F3715">
            <v>312457</v>
          </cell>
          <cell r="G3715" t="str">
            <v>Edgar Estuardo Moran Lopez</v>
          </cell>
        </row>
        <row r="3716">
          <cell r="F3716">
            <v>313314</v>
          </cell>
          <cell r="G3716" t="str">
            <v>Elida Bertilia Donis Aguilar</v>
          </cell>
        </row>
        <row r="3717">
          <cell r="F3717">
            <v>313108</v>
          </cell>
          <cell r="G3717" t="str">
            <v>Evelyn Karina Lorenzana Gomez</v>
          </cell>
        </row>
        <row r="3718">
          <cell r="F3718">
            <v>313313</v>
          </cell>
          <cell r="G3718" t="str">
            <v>Francisco Roberto Contreras Bernardino</v>
          </cell>
        </row>
        <row r="3719">
          <cell r="F3719">
            <v>313757</v>
          </cell>
          <cell r="G3719" t="str">
            <v>Geydi Yanira Roque Esquivel</v>
          </cell>
        </row>
        <row r="3720">
          <cell r="F3720">
            <v>309122</v>
          </cell>
          <cell r="G3720" t="str">
            <v>Greyci Yulissa Aliñado Rodriguez</v>
          </cell>
        </row>
        <row r="3721">
          <cell r="F3721">
            <v>314362</v>
          </cell>
          <cell r="G3721" t="str">
            <v>Heber Adiel Dardon Batres</v>
          </cell>
        </row>
        <row r="3722">
          <cell r="F3722">
            <v>315073</v>
          </cell>
          <cell r="G3722" t="str">
            <v xml:space="preserve">Jose Manuel Molina Gaitan </v>
          </cell>
        </row>
        <row r="3723">
          <cell r="F3723">
            <v>314490</v>
          </cell>
          <cell r="G3723" t="str">
            <v xml:space="preserve">Josue Omar Rosas Vasquez </v>
          </cell>
        </row>
        <row r="3724">
          <cell r="F3724">
            <v>311662</v>
          </cell>
          <cell r="G3724" t="str">
            <v>Juan Antonio Juarez Recinos</v>
          </cell>
        </row>
        <row r="3725">
          <cell r="F3725">
            <v>312848</v>
          </cell>
          <cell r="G3725" t="str">
            <v>Juan Humberto Castillo Garcia</v>
          </cell>
        </row>
        <row r="3726">
          <cell r="F3726">
            <v>313196</v>
          </cell>
          <cell r="G3726" t="str">
            <v>Maria Fernanda Palencia Campo</v>
          </cell>
        </row>
        <row r="3727">
          <cell r="F3727">
            <v>315406</v>
          </cell>
          <cell r="G3727" t="str">
            <v>Maria Fernandez Perez Rangel</v>
          </cell>
        </row>
        <row r="3728">
          <cell r="F3728">
            <v>314302</v>
          </cell>
          <cell r="G3728" t="str">
            <v>Mario Rene Garcia Paredes</v>
          </cell>
        </row>
        <row r="3729">
          <cell r="F3729">
            <v>313758</v>
          </cell>
          <cell r="G3729" t="str">
            <v>Melani Andrea Salcedo Acevedo</v>
          </cell>
        </row>
        <row r="3730">
          <cell r="F3730">
            <v>314656</v>
          </cell>
          <cell r="G3730" t="str">
            <v>Nancy Johana Flores Barrera</v>
          </cell>
        </row>
        <row r="3731">
          <cell r="F3731">
            <v>313835</v>
          </cell>
          <cell r="G3731" t="str">
            <v>Rainer Daniel Melgar Chajon</v>
          </cell>
        </row>
        <row r="3732">
          <cell r="F3732">
            <v>312478</v>
          </cell>
          <cell r="G3732" t="str">
            <v>Walter Josue Ampudia Martinez</v>
          </cell>
        </row>
        <row r="3733">
          <cell r="F3733">
            <v>315200</v>
          </cell>
          <cell r="G3733" t="str">
            <v xml:space="preserve">Yeni Amarilis Ruano </v>
          </cell>
        </row>
        <row r="3734">
          <cell r="F3734">
            <v>315029</v>
          </cell>
          <cell r="G3734" t="str">
            <v>Camelia Bocel Tun</v>
          </cell>
        </row>
        <row r="3735">
          <cell r="F3735">
            <v>314847</v>
          </cell>
          <cell r="G3735" t="str">
            <v>Donald Jacshon Abac Velasquez</v>
          </cell>
        </row>
        <row r="3736">
          <cell r="F3736">
            <v>314911</v>
          </cell>
          <cell r="G3736" t="str">
            <v>Jose Armando Valdez Juarez</v>
          </cell>
        </row>
        <row r="3737">
          <cell r="F3737">
            <v>314907</v>
          </cell>
          <cell r="G3737" t="str">
            <v>Jose Gabriel Armas Sandoval</v>
          </cell>
        </row>
        <row r="3738">
          <cell r="F3738">
            <v>315190</v>
          </cell>
          <cell r="G3738" t="str">
            <v xml:space="preserve">Edy Alexander Gonzalez Ramos </v>
          </cell>
        </row>
        <row r="3739">
          <cell r="F3739">
            <v>315176</v>
          </cell>
          <cell r="G3739" t="str">
            <v xml:space="preserve">Etson Samuel Villatoro Saballos </v>
          </cell>
        </row>
        <row r="3740">
          <cell r="F3740">
            <v>315080</v>
          </cell>
          <cell r="G3740" t="str">
            <v>Horacio Rafael Molina Avila</v>
          </cell>
        </row>
        <row r="3741">
          <cell r="F3741">
            <v>315177</v>
          </cell>
          <cell r="G3741" t="str">
            <v xml:space="preserve">Keitlin Anahi Martinez Castillo </v>
          </cell>
        </row>
        <row r="3742">
          <cell r="F3742">
            <v>315189</v>
          </cell>
          <cell r="G3742" t="str">
            <v xml:space="preserve">Milthon Yobany Castillo Martinez </v>
          </cell>
        </row>
        <row r="3743">
          <cell r="F3743">
            <v>315469</v>
          </cell>
          <cell r="G3743" t="str">
            <v xml:space="preserve">Milvia Fabiola Velasquez </v>
          </cell>
        </row>
        <row r="3744">
          <cell r="F3744">
            <v>315360</v>
          </cell>
          <cell r="G3744" t="str">
            <v>Eneas Valdez Colop</v>
          </cell>
        </row>
        <row r="3745">
          <cell r="F3745">
            <v>315461</v>
          </cell>
          <cell r="G3745" t="str">
            <v>Teylor Cuyuch</v>
          </cell>
        </row>
        <row r="3746">
          <cell r="F3746">
            <v>315390</v>
          </cell>
          <cell r="G3746" t="str">
            <v>Jose Carlos Morales</v>
          </cell>
        </row>
        <row r="3747">
          <cell r="F3747">
            <v>315464</v>
          </cell>
          <cell r="G3747" t="str">
            <v>Maria Alejandra Mazariegos</v>
          </cell>
        </row>
        <row r="3748">
          <cell r="F3748">
            <v>315574</v>
          </cell>
          <cell r="G3748" t="str">
            <v>Maryury De Los Angeles Garcia Romero</v>
          </cell>
        </row>
        <row r="3749">
          <cell r="F3749">
            <v>315596</v>
          </cell>
          <cell r="G3749" t="str">
            <v>Etson Eduardo Hernandez Campos</v>
          </cell>
        </row>
        <row r="3750">
          <cell r="F3750">
            <v>315593</v>
          </cell>
          <cell r="G3750" t="str">
            <v>Flora Anabella Yaxcal Fernandez</v>
          </cell>
        </row>
        <row r="3751">
          <cell r="F3751">
            <v>315595</v>
          </cell>
          <cell r="G3751" t="str">
            <v xml:space="preserve">Jaqueline Paola Santizo Roman </v>
          </cell>
        </row>
        <row r="3752">
          <cell r="F3752">
            <v>315292</v>
          </cell>
          <cell r="G3752" t="str">
            <v>Mijail Erick Joaquin Morales Ortiz</v>
          </cell>
        </row>
        <row r="3753">
          <cell r="F3753">
            <v>860486</v>
          </cell>
          <cell r="G3753" t="str">
            <v>Brenda Lucrecia Velasquez Cifuentes</v>
          </cell>
        </row>
        <row r="3754">
          <cell r="F3754">
            <v>860236</v>
          </cell>
          <cell r="G3754" t="str">
            <v>Emmanuel Gonzalez</v>
          </cell>
        </row>
        <row r="3755">
          <cell r="F3755" t="str">
            <v>UN</v>
          </cell>
          <cell r="G3755" t="str">
            <v>UN</v>
          </cell>
        </row>
        <row r="3756">
          <cell r="F3756">
            <v>315625</v>
          </cell>
          <cell r="G3756" t="str">
            <v>CLAUDIA ELIZABETH CARRERA MARROQUIN</v>
          </cell>
        </row>
        <row r="3757">
          <cell r="F3757">
            <v>315666</v>
          </cell>
          <cell r="G3757" t="str">
            <v>SINDY AMARILIS SANCHEZ MONTERROSO</v>
          </cell>
        </row>
        <row r="3758">
          <cell r="F3758">
            <v>315691</v>
          </cell>
          <cell r="G3758" t="str">
            <v>JAIME RENE JUAREZ SANCHEZ</v>
          </cell>
        </row>
        <row r="3759">
          <cell r="F3759">
            <v>315750</v>
          </cell>
          <cell r="G3759" t="str">
            <v>KEILA PAOLA CALDERON LOPEZ</v>
          </cell>
        </row>
        <row r="3760">
          <cell r="F3760">
            <v>315721</v>
          </cell>
          <cell r="G3760" t="str">
            <v>HECTOR LEONEL MEJICANOS CRUZ</v>
          </cell>
        </row>
        <row r="3761">
          <cell r="F3761">
            <v>315847</v>
          </cell>
          <cell r="G3761" t="str">
            <v>YEFRI ESTUARDO LOPEZ VELASQUEZ</v>
          </cell>
        </row>
        <row r="3762">
          <cell r="F3762">
            <v>315833</v>
          </cell>
          <cell r="G3762" t="str">
            <v>MARIA DE LOS ANGELES MURALLES MURALLES</v>
          </cell>
        </row>
        <row r="3763">
          <cell r="F3763">
            <v>315621</v>
          </cell>
          <cell r="G3763" t="str">
            <v>SAYDA ROCIO JUAREZ SANJAY</v>
          </cell>
        </row>
        <row r="3764">
          <cell r="F3764">
            <v>315816</v>
          </cell>
          <cell r="G3764" t="str">
            <v>RANDALL  AREVALO RUIZ</v>
          </cell>
        </row>
        <row r="3765">
          <cell r="F3765">
            <v>315692</v>
          </cell>
          <cell r="G3765" t="str">
            <v>Jose David Jimenez Valle</v>
          </cell>
        </row>
        <row r="3766">
          <cell r="F3766">
            <v>315801</v>
          </cell>
          <cell r="G3766" t="str">
            <v>YENIFFER GUADALUPE CHIQUIN CARBONELL</v>
          </cell>
        </row>
        <row r="3767">
          <cell r="F3767">
            <v>315649</v>
          </cell>
          <cell r="G3767" t="str">
            <v>JOSE LEON CHOGUAJ TOJIN</v>
          </cell>
        </row>
        <row r="3768">
          <cell r="F3768">
            <v>315986</v>
          </cell>
          <cell r="G3768" t="str">
            <v>KELVYN AMERICO SOSA OCHOA</v>
          </cell>
        </row>
        <row r="3769">
          <cell r="F3769">
            <v>315693</v>
          </cell>
          <cell r="G3769" t="str">
            <v>barbara asibinac</v>
          </cell>
        </row>
        <row r="3770">
          <cell r="F3770">
            <v>315974</v>
          </cell>
          <cell r="G3770" t="str">
            <v>Ana Victoria Noj Galindo</v>
          </cell>
        </row>
        <row r="3771">
          <cell r="F3771">
            <v>316040</v>
          </cell>
          <cell r="G3771" t="str">
            <v>Douglas Armando Flores Mendoza</v>
          </cell>
        </row>
        <row r="3772">
          <cell r="F3772">
            <v>315825</v>
          </cell>
          <cell r="G3772" t="str">
            <v>Reina Elizabeth Chacon Vasquez</v>
          </cell>
        </row>
        <row r="3773">
          <cell r="F3773">
            <v>315597</v>
          </cell>
          <cell r="G3773" t="str">
            <v>Edgar Jhonatan Contreras Garcia</v>
          </cell>
        </row>
        <row r="3774">
          <cell r="F3774">
            <v>316083</v>
          </cell>
          <cell r="G3774" t="str">
            <v>Marlen Erendida Rivas Gonzalez</v>
          </cell>
        </row>
        <row r="3775">
          <cell r="F3775">
            <v>315665</v>
          </cell>
          <cell r="G3775" t="str">
            <v>jefferson jose antonio interano solis</v>
          </cell>
        </row>
        <row r="3776">
          <cell r="F3776">
            <v>315913</v>
          </cell>
          <cell r="G3776" t="str">
            <v>HERLY SARAI GONZALEZ VELASQUEZ</v>
          </cell>
        </row>
        <row r="3777">
          <cell r="F3777">
            <v>315765</v>
          </cell>
          <cell r="G3777" t="str">
            <v>JACQUELINE ESTER PATZAN TZUNUN</v>
          </cell>
        </row>
        <row r="3778">
          <cell r="F3778">
            <v>316051</v>
          </cell>
          <cell r="G3778" t="str">
            <v>CHRISTIN ANDREA CASTILLO CALDERON</v>
          </cell>
        </row>
        <row r="3779">
          <cell r="F3779">
            <v>315939</v>
          </cell>
          <cell r="G3779" t="str">
            <v>JOSE DAVID BAMACA</v>
          </cell>
        </row>
        <row r="3780">
          <cell r="F3780">
            <v>315744</v>
          </cell>
          <cell r="G3780" t="str">
            <v>JACKELINE SUSANA HERRARTE BOCHE</v>
          </cell>
        </row>
        <row r="3781">
          <cell r="F3781">
            <v>316187</v>
          </cell>
          <cell r="G3781" t="str">
            <v xml:space="preserve">ADY MICHELLE LOPEZ QUEL </v>
          </cell>
        </row>
        <row r="3782">
          <cell r="F3782">
            <v>315786</v>
          </cell>
          <cell r="G3782" t="str">
            <v>EDUARDO ISAIAS HERNANDEZ AMBROCIO</v>
          </cell>
        </row>
        <row r="3783">
          <cell r="F3783">
            <v>315803</v>
          </cell>
          <cell r="G3783" t="str">
            <v>DEYVID SAUL OSORIO COLIN</v>
          </cell>
        </row>
        <row r="3784">
          <cell r="F3784">
            <v>315893</v>
          </cell>
          <cell r="G3784" t="str">
            <v xml:space="preserve">BRYAN ALEXANDER LAINES MARROQUIN </v>
          </cell>
        </row>
        <row r="3785">
          <cell r="F3785">
            <v>315890</v>
          </cell>
          <cell r="G3785" t="str">
            <v>ERICK JOSUE PINEDA CACEROS</v>
          </cell>
        </row>
        <row r="3786">
          <cell r="F3786">
            <v>316190</v>
          </cell>
          <cell r="G3786" t="str">
            <v>JOSE MANUEL MELLADO ESQUIBEL</v>
          </cell>
        </row>
        <row r="3787">
          <cell r="F3787">
            <v>315843</v>
          </cell>
          <cell r="G3787" t="str">
            <v xml:space="preserve">JENNIFER YESSENIA PEREZ MORALES </v>
          </cell>
        </row>
        <row r="3788">
          <cell r="F3788">
            <v>315840</v>
          </cell>
          <cell r="G3788" t="str">
            <v>Cesar David Perez Garrido</v>
          </cell>
        </row>
        <row r="3789">
          <cell r="F3789">
            <v>315697</v>
          </cell>
          <cell r="G3789" t="str">
            <v xml:space="preserve">Karen Dayana Xiquin Sanchez </v>
          </cell>
        </row>
        <row r="3790">
          <cell r="F3790">
            <v>315946</v>
          </cell>
          <cell r="G3790" t="str">
            <v xml:space="preserve"> MANUEL ADAN SURUY JIMENEZ</v>
          </cell>
        </row>
        <row r="3791">
          <cell r="F3791">
            <v>315784</v>
          </cell>
          <cell r="G3791" t="str">
            <v xml:space="preserve">JORGE MARIO SIC </v>
          </cell>
        </row>
        <row r="3792">
          <cell r="F3792">
            <v>316001</v>
          </cell>
          <cell r="G3792" t="str">
            <v>WENDY DANIELA CAMEY MATEO</v>
          </cell>
        </row>
        <row r="3793">
          <cell r="F3793">
            <v>315777</v>
          </cell>
          <cell r="G3793" t="str">
            <v>Jonatan Mauricio Padilla Marroquin</v>
          </cell>
        </row>
        <row r="3794">
          <cell r="F3794">
            <v>315699</v>
          </cell>
          <cell r="G3794" t="str">
            <v>Gualfer Orlando Dieguez Ibanez</v>
          </cell>
        </row>
        <row r="3795">
          <cell r="F3795">
            <v>315994</v>
          </cell>
          <cell r="G3795" t="str">
            <v>Edwin Wilfredo Pineda Giron</v>
          </cell>
        </row>
        <row r="3796">
          <cell r="F3796">
            <v>315766</v>
          </cell>
          <cell r="G3796" t="str">
            <v>Edgar Omar de Jesus Andrade Monterroso</v>
          </cell>
        </row>
        <row r="3797">
          <cell r="F3797">
            <v>315987</v>
          </cell>
          <cell r="G3797" t="str">
            <v>FRANCISCO DANIEL ARGUETA RAMIREZ</v>
          </cell>
        </row>
        <row r="3798">
          <cell r="F3798">
            <v>316208</v>
          </cell>
          <cell r="G3798" t="str">
            <v>LEYCER ULICES CANA ANDRADE</v>
          </cell>
        </row>
        <row r="3799">
          <cell r="F3799">
            <v>316193</v>
          </cell>
          <cell r="G3799" t="str">
            <v>Maria de Lourdes Leb Nij</v>
          </cell>
        </row>
        <row r="3800">
          <cell r="F3800">
            <v>316176</v>
          </cell>
          <cell r="G3800" t="str">
            <v>ROSA ANGELICA ZURDO GONZALEZ</v>
          </cell>
        </row>
        <row r="3801">
          <cell r="F3801">
            <v>316293</v>
          </cell>
          <cell r="G3801" t="str">
            <v>LUCIO MOISES CHAVEZ CHAVEZ</v>
          </cell>
        </row>
        <row r="3802">
          <cell r="F3802">
            <v>316090</v>
          </cell>
          <cell r="G3802" t="str">
            <v>ASTRID SUCELY VELIZ CAAL</v>
          </cell>
        </row>
        <row r="3803">
          <cell r="F3803">
            <v>316057</v>
          </cell>
          <cell r="G3803" t="str">
            <v>ROGELIO ARMANDO ACEITUNO HERRERA</v>
          </cell>
        </row>
        <row r="3804">
          <cell r="F3804">
            <v>315962</v>
          </cell>
          <cell r="G3804" t="str">
            <v>Jennifer Celeste Delgado Garcia</v>
          </cell>
        </row>
        <row r="3805">
          <cell r="F3805">
            <v>316237</v>
          </cell>
          <cell r="G3805" t="str">
            <v>MARIA DEL ROSARIO ESPINOZA CRUZ</v>
          </cell>
        </row>
        <row r="3806">
          <cell r="F3806">
            <v>316054</v>
          </cell>
          <cell r="G3806" t="str">
            <v>Kevin Steve Barrera Galicia</v>
          </cell>
        </row>
        <row r="3807">
          <cell r="F3807">
            <v>315734</v>
          </cell>
          <cell r="G3807" t="str">
            <v>DULCE MARINA LOPEZ SOLIS</v>
          </cell>
        </row>
        <row r="3808">
          <cell r="F3808">
            <v>316098</v>
          </cell>
          <cell r="G3808" t="str">
            <v>KARLA ALEJANDRA CHAVEZ PEÑA</v>
          </cell>
        </row>
        <row r="3809">
          <cell r="F3809">
            <v>315679</v>
          </cell>
          <cell r="G3809" t="str">
            <v>ANGELA XIOMARA PONCIANO GONZALEZ</v>
          </cell>
        </row>
        <row r="3810">
          <cell r="F3810">
            <v>315769</v>
          </cell>
          <cell r="G3810" t="str">
            <v>URIAS VENANCIO LOPEZ COTON</v>
          </cell>
        </row>
        <row r="3811">
          <cell r="F3811">
            <v>316174</v>
          </cell>
          <cell r="G3811" t="str">
            <v>ENRIQUE ALFONSO LOPEZ RAMREZ</v>
          </cell>
        </row>
        <row r="3812">
          <cell r="F3812">
            <v>316152</v>
          </cell>
          <cell r="G3812" t="str">
            <v>Yenica Limni López Sebastian</v>
          </cell>
        </row>
        <row r="3813">
          <cell r="F3813">
            <v>315882</v>
          </cell>
          <cell r="G3813" t="str">
            <v>RUTH ANAI GOMEZ RAMIREZ</v>
          </cell>
        </row>
        <row r="3814">
          <cell r="F3814">
            <v>316241</v>
          </cell>
          <cell r="G3814" t="str">
            <v>ALLAN ESMAYLIN CABRERA PEREZ</v>
          </cell>
        </row>
        <row r="3815">
          <cell r="F3815">
            <v>315651</v>
          </cell>
          <cell r="G3815" t="str">
            <v>WALTER EDUARDO RODAS RIOS</v>
          </cell>
        </row>
        <row r="3816">
          <cell r="F3816">
            <v>316011</v>
          </cell>
          <cell r="G3816" t="str">
            <v>KEVIN MAUEL PEREZ OROZCO</v>
          </cell>
        </row>
        <row r="3817">
          <cell r="F3817">
            <v>316263</v>
          </cell>
          <cell r="G3817" t="str">
            <v>LUIS FERNANDO LOPEZ VASQUEZ</v>
          </cell>
        </row>
        <row r="3818">
          <cell r="F3818">
            <v>315661</v>
          </cell>
          <cell r="G3818" t="str">
            <v>MIGUEL ANGEL MENDEZ JUAREZ</v>
          </cell>
        </row>
        <row r="3819">
          <cell r="F3819">
            <v>316060</v>
          </cell>
          <cell r="G3819" t="str">
            <v>CARLOS ENRIQUE SOSA HERNANDEZ</v>
          </cell>
        </row>
        <row r="3820">
          <cell r="F3820">
            <v>315992</v>
          </cell>
          <cell r="G3820" t="str">
            <v>LISBETH VICTORIA GARCIA</v>
          </cell>
        </row>
        <row r="3821">
          <cell r="F3821">
            <v>316191</v>
          </cell>
          <cell r="G3821" t="str">
            <v>Katerin Mishel Acosta Lobos</v>
          </cell>
        </row>
        <row r="3822">
          <cell r="F3822">
            <v>316294</v>
          </cell>
          <cell r="G3822" t="str">
            <v>Carmen Fernanda Ramos Jimenez</v>
          </cell>
        </row>
        <row r="3823">
          <cell r="F3823">
            <v>90012428</v>
          </cell>
          <cell r="G3823" t="str">
            <v>Lesly Alejandra Urbina Chojolan</v>
          </cell>
        </row>
        <row r="3824">
          <cell r="F3824">
            <v>90013944</v>
          </cell>
          <cell r="G3824" t="str">
            <v>KARLA ROSARIO MARTINEZ SOTO</v>
          </cell>
        </row>
        <row r="3825">
          <cell r="F3825">
            <v>316240</v>
          </cell>
          <cell r="G3825" t="str">
            <v>WILMER GUILLERMO PEREZ CHAY</v>
          </cell>
        </row>
        <row r="3826">
          <cell r="F3826">
            <v>90014151</v>
          </cell>
          <cell r="G3826" t="str">
            <v>ANDERSON NOE MORALES MARROQUIN</v>
          </cell>
        </row>
        <row r="3827">
          <cell r="F3827">
            <v>90013720</v>
          </cell>
          <cell r="G3827" t="str">
            <v>OBED DANIEL RAMIREZ FUENTES</v>
          </cell>
        </row>
        <row r="3828">
          <cell r="F3828">
            <v>90012315</v>
          </cell>
          <cell r="G3828" t="str">
            <v>Lorenzo Antonio Herrera Tobar</v>
          </cell>
        </row>
        <row r="3829">
          <cell r="F3829">
            <v>90013833</v>
          </cell>
          <cell r="G3829" t="str">
            <v>Melane Alejandra Contreras Sicajan</v>
          </cell>
        </row>
        <row r="3830">
          <cell r="F3830">
            <v>90018997</v>
          </cell>
          <cell r="G3830" t="str">
            <v>Daniel Uvaldo Barreno Meneses</v>
          </cell>
        </row>
        <row r="3831">
          <cell r="F3831">
            <v>90014269</v>
          </cell>
          <cell r="G3831" t="str">
            <v>Lusvin Ariel Villacinda Flores</v>
          </cell>
        </row>
        <row r="3832">
          <cell r="F3832" t="str">
            <v>N/A</v>
          </cell>
          <cell r="G3832" t="str">
            <v>N/A</v>
          </cell>
        </row>
        <row r="3833">
          <cell r="F3833">
            <v>90014281</v>
          </cell>
          <cell r="G3833" t="str">
            <v>MARIO EMANUEL DE JESUS MENDOZA</v>
          </cell>
        </row>
        <row r="3834">
          <cell r="F3834">
            <v>316053</v>
          </cell>
          <cell r="G3834" t="str">
            <v>ANA LETICIA PAAU OXOM</v>
          </cell>
        </row>
        <row r="3835">
          <cell r="F3835">
            <v>315985</v>
          </cell>
          <cell r="G3835" t="str">
            <v>PEDRO ELIAS POP CAAL</v>
          </cell>
        </row>
        <row r="3836">
          <cell r="F3836">
            <v>90009270</v>
          </cell>
          <cell r="G3836" t="str">
            <v>Laura Yessenia Trabanino Interiano</v>
          </cell>
        </row>
        <row r="3837">
          <cell r="F3837">
            <v>315809</v>
          </cell>
          <cell r="G3837" t="str">
            <v>MARIA DOLORES VICTORIA TZOC BEB</v>
          </cell>
        </row>
        <row r="3838">
          <cell r="F3838">
            <v>90009269</v>
          </cell>
          <cell r="G3838" t="str">
            <v>WENDY MISHEL CONTRERAS MARTINEZ</v>
          </cell>
        </row>
        <row r="3839">
          <cell r="F3839">
            <v>90013521</v>
          </cell>
          <cell r="G3839" t="str">
            <v>CAREN ANTONIA SOTO JIMENEZ</v>
          </cell>
        </row>
        <row r="3840">
          <cell r="F3840">
            <v>316124</v>
          </cell>
          <cell r="G3840" t="str">
            <v>HENRY DAVID CORONADO GOMEZ</v>
          </cell>
        </row>
        <row r="3841">
          <cell r="F3841">
            <v>90009271</v>
          </cell>
          <cell r="G3841" t="str">
            <v>SENDER YANEZ</v>
          </cell>
        </row>
        <row r="3842">
          <cell r="F3842">
            <v>316000</v>
          </cell>
          <cell r="G3842" t="str">
            <v>MARLON SAUL CAAL GIRON</v>
          </cell>
        </row>
        <row r="3843">
          <cell r="F3843">
            <v>316423</v>
          </cell>
          <cell r="G3843" t="str">
            <v>JUAN CARLOS EMANUEL CRUZ CO</v>
          </cell>
        </row>
        <row r="3844">
          <cell r="F3844">
            <v>316273</v>
          </cell>
          <cell r="G3844" t="str">
            <v>FEDERICO ANTONIO COC CHOC</v>
          </cell>
        </row>
        <row r="3845">
          <cell r="F3845">
            <v>90014168</v>
          </cell>
          <cell r="G3845" t="str">
            <v>MIGUEL EUDILIO SABAN LOPEZ</v>
          </cell>
        </row>
        <row r="3846">
          <cell r="F3846">
            <v>316424</v>
          </cell>
          <cell r="G3846" t="str">
            <v>HENRY DAVID CORONADO GOMEZ</v>
          </cell>
        </row>
        <row r="3847">
          <cell r="F3847">
            <v>90013726</v>
          </cell>
          <cell r="G3847" t="str">
            <v>EUFEMIA MAZARIEGOS SANCHEZ</v>
          </cell>
        </row>
        <row r="3848">
          <cell r="F3848">
            <v>900015498</v>
          </cell>
          <cell r="G3848" t="str">
            <v>RODOLFO ANTONIO CHIQUIN REYES</v>
          </cell>
        </row>
        <row r="3849">
          <cell r="F3849">
            <v>90009264</v>
          </cell>
          <cell r="G3849" t="str">
            <v>RANDY ALEXIS TUT CUNIL</v>
          </cell>
        </row>
        <row r="3850">
          <cell r="F3850">
            <v>90014229</v>
          </cell>
          <cell r="G3850" t="str">
            <v>Candy Mayerli Salazar Rodriguez</v>
          </cell>
        </row>
        <row r="3851">
          <cell r="F3851">
            <v>90012459</v>
          </cell>
          <cell r="G3851" t="str">
            <v>Gewerson Josias Caal Coc</v>
          </cell>
        </row>
        <row r="3852">
          <cell r="F3852">
            <v>90010411</v>
          </cell>
          <cell r="G3852" t="str">
            <v>Claudia Liliana Munoz Jimenez</v>
          </cell>
        </row>
        <row r="3853">
          <cell r="F3853">
            <v>315812</v>
          </cell>
          <cell r="G3853" t="str">
            <v>JOSUE FELIPE LOPEZ TOJIN</v>
          </cell>
        </row>
        <row r="3854">
          <cell r="F3854">
            <v>316379</v>
          </cell>
          <cell r="G3854" t="str">
            <v>LOURDES MAYARI RAMIREZ RAMIREZ</v>
          </cell>
        </row>
        <row r="3855">
          <cell r="F3855">
            <v>315619</v>
          </cell>
          <cell r="G3855" t="str">
            <v>VIVIAN RODRIGUEZ</v>
          </cell>
        </row>
        <row r="3856">
          <cell r="F3856">
            <v>90009268</v>
          </cell>
          <cell r="G3856" t="str">
            <v>Yosselin Baleska Garcia Valdez</v>
          </cell>
        </row>
        <row r="3857">
          <cell r="F3857">
            <v>315862</v>
          </cell>
          <cell r="G3857" t="str">
            <v xml:space="preserve">KARLA LISBETT REYES PEREZ </v>
          </cell>
        </row>
        <row r="3858">
          <cell r="F3858">
            <v>316320</v>
          </cell>
          <cell r="G3858" t="str">
            <v>GONZALO PEREZ MIGUEL</v>
          </cell>
        </row>
        <row r="3859">
          <cell r="F3859">
            <v>316225</v>
          </cell>
          <cell r="G3859" t="str">
            <v xml:space="preserve">JACKELINE NAYELI MIGUEL DIAZ </v>
          </cell>
        </row>
        <row r="3860">
          <cell r="F3860">
            <v>316096</v>
          </cell>
          <cell r="G3860" t="str">
            <v>YENIFER DEL CARMEN PEREZ ALDANA</v>
          </cell>
        </row>
        <row r="3861">
          <cell r="F3861">
            <v>316218</v>
          </cell>
          <cell r="G3861" t="str">
            <v>HEILYN EUNICE RAMIREZ FLORIAN</v>
          </cell>
        </row>
        <row r="3862">
          <cell r="F3862">
            <v>316255</v>
          </cell>
          <cell r="G3862" t="str">
            <v>ANGELICA ISABELVELASQUEZ QUINTANILLA</v>
          </cell>
        </row>
        <row r="3863">
          <cell r="F3863">
            <v>315855</v>
          </cell>
          <cell r="G3863" t="str">
            <v>JASON RODOLFO JUAREZ BARRERA</v>
          </cell>
        </row>
        <row r="3864">
          <cell r="F3864">
            <v>315877</v>
          </cell>
          <cell r="G3864" t="str">
            <v>AURA CECILIA GREGORIO ASENCIO</v>
          </cell>
        </row>
        <row r="3865">
          <cell r="F3865">
            <v>90009267</v>
          </cell>
          <cell r="G3865" t="str">
            <v xml:space="preserve">DANIEL HUMBERTO MORALES CERVANTES </v>
          </cell>
        </row>
        <row r="3866">
          <cell r="F3866">
            <v>316304</v>
          </cell>
          <cell r="G3866" t="str">
            <v>VICTOR MANUEL DE LA CRUZ XITUMUL</v>
          </cell>
        </row>
        <row r="3867">
          <cell r="F3867">
            <v>90015498</v>
          </cell>
          <cell r="G3867" t="str">
            <v>RODOLFO ANTONIO CHIQUIN REYES</v>
          </cell>
        </row>
        <row r="3868">
          <cell r="F3868">
            <v>90018946</v>
          </cell>
          <cell r="G3868" t="str">
            <v xml:space="preserve">MARVELI BEBERLIN LOPEZ PEREZ </v>
          </cell>
        </row>
        <row r="3869">
          <cell r="F3869">
            <v>90015826</v>
          </cell>
          <cell r="G3869" t="str">
            <v>VIDALIA VANESSA MORALES PLEITEZ</v>
          </cell>
        </row>
        <row r="3870">
          <cell r="F3870">
            <v>315810</v>
          </cell>
          <cell r="G3870" t="str">
            <v>MAGDA MO</v>
          </cell>
        </row>
        <row r="3871">
          <cell r="F3871">
            <v>315799</v>
          </cell>
          <cell r="G3871" t="str">
            <v>YOSELIN PAOLA CASTILLO GUE</v>
          </cell>
        </row>
        <row r="3872">
          <cell r="F3872">
            <v>315975</v>
          </cell>
          <cell r="G3872" t="str">
            <v>ELIAS ISAAC GUEVARA HERNANDEZ</v>
          </cell>
        </row>
        <row r="3873">
          <cell r="F3873">
            <v>316151</v>
          </cell>
          <cell r="G3873" t="str">
            <v xml:space="preserve">KAROL MELINA MONTERROSO MARTIN </v>
          </cell>
        </row>
        <row r="3874">
          <cell r="F3874">
            <v>315617</v>
          </cell>
          <cell r="G3874" t="str">
            <v>LESTER MAURICIO PEREZ MARTINEZ</v>
          </cell>
        </row>
        <row r="3875">
          <cell r="F3875">
            <v>315859</v>
          </cell>
          <cell r="G3875" t="str">
            <v>CLAUDIA ROXANA BEB AC</v>
          </cell>
        </row>
        <row r="3876">
          <cell r="F3876">
            <v>316316</v>
          </cell>
          <cell r="G3876" t="str">
            <v>ALIDA ELIZABETH CAJ AMALEM</v>
          </cell>
        </row>
        <row r="3877">
          <cell r="F3877">
            <v>90009273</v>
          </cell>
          <cell r="G3877" t="str">
            <v>SILVIA ARACELY TZIU POP</v>
          </cell>
        </row>
        <row r="3878">
          <cell r="F3878">
            <v>316140</v>
          </cell>
          <cell r="G3878" t="str">
            <v>Daniel Alberto Alaya Guzman</v>
          </cell>
        </row>
        <row r="3879">
          <cell r="F3879">
            <v>90024066</v>
          </cell>
          <cell r="G3879" t="str">
            <v>Andrea Georgina Orellana Oliva</v>
          </cell>
        </row>
        <row r="3880">
          <cell r="F3880">
            <v>316360</v>
          </cell>
          <cell r="G3880" t="str">
            <v xml:space="preserve">IRMA MICHEL TOBAR NAJARRO </v>
          </cell>
        </row>
        <row r="3881">
          <cell r="F3881">
            <v>90024501</v>
          </cell>
          <cell r="G3881" t="str">
            <v xml:space="preserve">EDVIN ESTUARDO REVOLORIO MARROQUIN </v>
          </cell>
        </row>
        <row r="3882">
          <cell r="F3882">
            <v>90023865</v>
          </cell>
          <cell r="G3882" t="str">
            <v>BENITO ABAD JIMENEZ CARRILLO</v>
          </cell>
        </row>
        <row r="3883">
          <cell r="F3883">
            <v>90024074</v>
          </cell>
          <cell r="G3883" t="str">
            <v>KATHERINE MARIA JOSE ECHEVERRIA ERAZO</v>
          </cell>
        </row>
        <row r="3884">
          <cell r="F3884">
            <v>90023754</v>
          </cell>
          <cell r="G3884" t="str">
            <v>ABNER ELIAS PEC ICAL</v>
          </cell>
        </row>
        <row r="3885">
          <cell r="F3885">
            <v>90016326</v>
          </cell>
          <cell r="G3885" t="str">
            <v>BRENDA YESENIA MONROY AMADO</v>
          </cell>
        </row>
        <row r="3886">
          <cell r="F3886">
            <v>90024328</v>
          </cell>
          <cell r="G3886" t="str">
            <v>GABRIELA FERNANDA RUIZ CERVANTES</v>
          </cell>
        </row>
        <row r="3887">
          <cell r="F3887">
            <v>90024495</v>
          </cell>
          <cell r="G3887" t="str">
            <v>JAZMIN ESTEFANIE RIOS FLORES</v>
          </cell>
        </row>
        <row r="3888">
          <cell r="F3888">
            <v>90025188</v>
          </cell>
          <cell r="G3888" t="str">
            <v>SINDY GABRIELA RIVAS OCHOA</v>
          </cell>
        </row>
        <row r="3889">
          <cell r="F3889">
            <v>90023754</v>
          </cell>
          <cell r="G3889" t="str">
            <v>ABNER ELIAS PEC ICAL</v>
          </cell>
        </row>
        <row r="3890">
          <cell r="F3890">
            <v>90028655</v>
          </cell>
          <cell r="G3890" t="str">
            <v xml:space="preserve">INGRID JENIFER RECINOS RAMIREZ </v>
          </cell>
        </row>
        <row r="3891">
          <cell r="F3891">
            <v>90024122</v>
          </cell>
          <cell r="G3891" t="str">
            <v>ONEIDA MARISELA REYES CUC</v>
          </cell>
        </row>
        <row r="3892">
          <cell r="F3892">
            <v>315709</v>
          </cell>
          <cell r="G3892" t="str">
            <v>ROBIN DANIEL NIMACACHI TERET</v>
          </cell>
        </row>
        <row r="3893">
          <cell r="F3893">
            <v>90025190</v>
          </cell>
          <cell r="G3893" t="str">
            <v>JOSE LEONEL ABAC ORELLANA</v>
          </cell>
        </row>
        <row r="3894">
          <cell r="F3894">
            <v>90027833</v>
          </cell>
          <cell r="G3894" t="str">
            <v>Dulce Flor Jor Rax</v>
          </cell>
        </row>
        <row r="3895">
          <cell r="F3895">
            <v>90024412</v>
          </cell>
          <cell r="G3895" t="str">
            <v>ANGEL ALFONSO PEREZ VELASQUEZ</v>
          </cell>
        </row>
        <row r="3896">
          <cell r="F3896">
            <v>90028954</v>
          </cell>
          <cell r="G3896" t="str">
            <v xml:space="preserve">JONATAN MAREL GUERRA GUERRA </v>
          </cell>
        </row>
        <row r="3897">
          <cell r="F3897">
            <v>90025533</v>
          </cell>
          <cell r="G3897" t="str">
            <v xml:space="preserve">DENIS RAFAEL TUT CUCUL </v>
          </cell>
        </row>
        <row r="3898">
          <cell r="F3898">
            <v>90027823</v>
          </cell>
          <cell r="G3898" t="str">
            <v xml:space="preserve">FRANCISCO MIGUEL JORDAN LOPEZ </v>
          </cell>
        </row>
        <row r="3899">
          <cell r="F3899">
            <v>90027821</v>
          </cell>
          <cell r="G3899" t="str">
            <v>Merlin Areli Gomez Sagastume</v>
          </cell>
        </row>
        <row r="3900">
          <cell r="F3900">
            <v>90033087</v>
          </cell>
          <cell r="G3900" t="str">
            <v xml:space="preserve">LEIDY NATALIA HERNANDEZ LOPEZ </v>
          </cell>
        </row>
        <row r="3901">
          <cell r="F3901">
            <v>90034086</v>
          </cell>
          <cell r="G3901" t="str">
            <v>MIGDAEL JOSUE LOPEZ PINTO</v>
          </cell>
        </row>
        <row r="3902">
          <cell r="F3902">
            <v>90033088</v>
          </cell>
          <cell r="G3902" t="str">
            <v>Cinthia Andreina Valenzuela Lima</v>
          </cell>
        </row>
        <row r="3903">
          <cell r="F3903">
            <v>90033665</v>
          </cell>
          <cell r="G3903" t="str">
            <v>MAYLIN GUERRA</v>
          </cell>
        </row>
        <row r="3904">
          <cell r="F3904">
            <v>90034445</v>
          </cell>
          <cell r="G3904" t="str">
            <v>LESTER ALAIN ALVARADO MORALES</v>
          </cell>
        </row>
        <row r="3905">
          <cell r="F3905">
            <v>90033335</v>
          </cell>
          <cell r="G3905" t="str">
            <v>MARLENE RUBY SIERRA GONZALEZ</v>
          </cell>
        </row>
        <row r="3906">
          <cell r="F3906">
            <v>90033500</v>
          </cell>
          <cell r="G3906" t="str">
            <v>Vivian Vanessa Sintuj Giron</v>
          </cell>
        </row>
        <row r="3907">
          <cell r="F3907">
            <v>90034868</v>
          </cell>
          <cell r="G3907" t="str">
            <v>Marilyn Anayanci Gonzalez James</v>
          </cell>
        </row>
        <row r="3908">
          <cell r="F3908">
            <v>90033763</v>
          </cell>
          <cell r="G3908" t="str">
            <v>Estefany Melissa Gutierrez Franco</v>
          </cell>
        </row>
        <row r="3909">
          <cell r="F3909">
            <v>90028724</v>
          </cell>
          <cell r="G3909" t="str">
            <v>MARILYN AMELY CU QUIB</v>
          </cell>
        </row>
        <row r="3910">
          <cell r="F3910">
            <v>90038417</v>
          </cell>
          <cell r="G3910" t="str">
            <v>VANESSA MARIA LILI MIGUEL INTERIANO</v>
          </cell>
        </row>
        <row r="3911">
          <cell r="F3911">
            <v>90028367</v>
          </cell>
          <cell r="G3911" t="str">
            <v>MARIA DEL CARMEN ICAL PUTUL</v>
          </cell>
        </row>
        <row r="3912">
          <cell r="F3912">
            <v>90034140</v>
          </cell>
          <cell r="G3912" t="str">
            <v>OSVIN ARIEL RAMRIREZ COY</v>
          </cell>
        </row>
        <row r="3913">
          <cell r="F3913">
            <v>90038604</v>
          </cell>
          <cell r="G3913" t="str">
            <v>DAILY TATIANA GODOY AGUILAR</v>
          </cell>
        </row>
        <row r="3914">
          <cell r="F3914">
            <v>90033871</v>
          </cell>
          <cell r="G3914" t="str">
            <v>MORELIA ESPERANZA PAAU MELENDEZ</v>
          </cell>
        </row>
        <row r="3915">
          <cell r="F3915">
            <v>90034941</v>
          </cell>
          <cell r="G3915" t="str">
            <v>SANDRA MARISOL CASTRO ORTIZ</v>
          </cell>
        </row>
        <row r="3916">
          <cell r="F3916">
            <v>90034374</v>
          </cell>
          <cell r="G3916" t="str">
            <v>ZONIA ESPERANZA CHOC REYES</v>
          </cell>
        </row>
        <row r="3917">
          <cell r="F3917">
            <v>90033870</v>
          </cell>
          <cell r="G3917" t="str">
            <v>JOSELYN FABIOLA LUCERO VANEGAS</v>
          </cell>
        </row>
        <row r="3918">
          <cell r="F3918">
            <v>90033656</v>
          </cell>
          <cell r="G3918" t="str">
            <v xml:space="preserve">JORGE DANIEL NERIO REYES </v>
          </cell>
        </row>
        <row r="3919">
          <cell r="F3919">
            <v>90034026</v>
          </cell>
          <cell r="G3919" t="str">
            <v>ANDREA CAMILA MAYORGA MARTINEZ</v>
          </cell>
        </row>
        <row r="3920">
          <cell r="F3920">
            <v>90034447</v>
          </cell>
          <cell r="G3920" t="str">
            <v>PAOLA NOELI AX CU</v>
          </cell>
        </row>
        <row r="3921">
          <cell r="F3921">
            <v>90038946</v>
          </cell>
          <cell r="G3921" t="str">
            <v>ROSA EMILSI TEO SALAZAR</v>
          </cell>
        </row>
        <row r="3922">
          <cell r="F3922">
            <v>90040467</v>
          </cell>
          <cell r="G3922" t="str">
            <v xml:space="preserve">MONICA LAJ DE LA CRUZ </v>
          </cell>
        </row>
        <row r="3923">
          <cell r="F3923">
            <v>90039328</v>
          </cell>
          <cell r="G3923" t="str">
            <v>LIBNI MADAI LOPEZ GOMEZ</v>
          </cell>
        </row>
        <row r="3924">
          <cell r="F3924">
            <v>90034565</v>
          </cell>
          <cell r="G3924" t="str">
            <v>Emely Raquel Reyes Bremer</v>
          </cell>
        </row>
        <row r="3925">
          <cell r="F3925">
            <v>90040440</v>
          </cell>
          <cell r="G3925" t="str">
            <v>ERICKA CAROLINA DIAZ HERNANDEZ</v>
          </cell>
        </row>
        <row r="3926">
          <cell r="F3926">
            <v>90040435</v>
          </cell>
          <cell r="G3926" t="str">
            <v xml:space="preserve">DEILY NOELI RAMIREZ VILLELA </v>
          </cell>
        </row>
        <row r="3927">
          <cell r="F3927">
            <v>90038373</v>
          </cell>
          <cell r="G3927" t="str">
            <v>BRYAN SLEYTER COY TERCERO</v>
          </cell>
        </row>
        <row r="3928">
          <cell r="F3928">
            <v>316486</v>
          </cell>
          <cell r="G3928" t="str">
            <v>MIGUEL RODRIGO GONZALEZ RAMIREZ</v>
          </cell>
        </row>
        <row r="3929">
          <cell r="F3929">
            <v>90028608</v>
          </cell>
          <cell r="G3929" t="str">
            <v>Erlin Roberto Xec Angulo</v>
          </cell>
        </row>
        <row r="3930">
          <cell r="F3930">
            <v>90035174</v>
          </cell>
          <cell r="G3930" t="str">
            <v>VALERIA LUCIA ESCOBAR MAZARIEGOS</v>
          </cell>
        </row>
        <row r="3931">
          <cell r="F3931">
            <v>90028187</v>
          </cell>
          <cell r="G3931" t="str">
            <v>MIRELLI RAMIREZ</v>
          </cell>
        </row>
        <row r="3932">
          <cell r="F3932">
            <v>90028638</v>
          </cell>
          <cell r="G3932" t="str">
            <v>LUIS CARLOS ROBERTO MORALES LOPEZ</v>
          </cell>
        </row>
        <row r="3933">
          <cell r="F3933">
            <v>90013782</v>
          </cell>
          <cell r="G3933" t="str">
            <v>WILLIAMS JOSE GALVEZ JORDAN</v>
          </cell>
        </row>
        <row r="3934">
          <cell r="F3934">
            <v>90024235</v>
          </cell>
          <cell r="G3934" t="str">
            <v>JASON ALBERTO BOLAÑOS GUTIERREZ</v>
          </cell>
        </row>
        <row r="3935">
          <cell r="F3935">
            <v>315925</v>
          </cell>
          <cell r="G3935" t="str">
            <v>JOSTHYN RAUL PARDO OBREGON</v>
          </cell>
        </row>
        <row r="3936">
          <cell r="F3936">
            <v>90028638</v>
          </cell>
          <cell r="G3936" t="str">
            <v>LUIS CARLOS ROBERTO MORALES LOPEZ</v>
          </cell>
        </row>
        <row r="3937">
          <cell r="F3937">
            <v>90039021</v>
          </cell>
          <cell r="G3937" t="str">
            <v>NICOLAS CHUC GARCIA</v>
          </cell>
        </row>
        <row r="3938">
          <cell r="F3938">
            <v>90034859</v>
          </cell>
          <cell r="G3938" t="str">
            <v xml:space="preserve">LESLY JULISA CORDON MUJO </v>
          </cell>
        </row>
        <row r="3939">
          <cell r="F3939">
            <v>90025666</v>
          </cell>
          <cell r="G3939" t="str">
            <v>PAULY MARTINA TOJ</v>
          </cell>
        </row>
        <row r="3940">
          <cell r="F3940">
            <v>90019011</v>
          </cell>
          <cell r="G3940" t="str">
            <v xml:space="preserve">ANGEL JOEL CASTRO COSAJAY </v>
          </cell>
        </row>
        <row r="3941">
          <cell r="F3941">
            <v>90038408</v>
          </cell>
          <cell r="G3941" t="str">
            <v>RUBEN ESTUARDO DONIS CHACON</v>
          </cell>
        </row>
        <row r="3942">
          <cell r="F3942">
            <v>90018838</v>
          </cell>
          <cell r="G3942" t="str">
            <v>PERLA ESPERANZA ORDOÑEZ ZULETA</v>
          </cell>
        </row>
        <row r="3943">
          <cell r="F3943">
            <v>90040904</v>
          </cell>
          <cell r="G3943" t="str">
            <v>Stacy Guadalupe Ramirez Mendoza</v>
          </cell>
        </row>
        <row r="3944">
          <cell r="F3944">
            <v>90040813</v>
          </cell>
          <cell r="G3944" t="str">
            <v>MIRZA KARINA PALMA MARROQUIN</v>
          </cell>
        </row>
        <row r="3945">
          <cell r="F3945">
            <v>90009250</v>
          </cell>
          <cell r="G3945" t="str">
            <v>YOSELIN YESENIA PEREZ JIMENEZ</v>
          </cell>
        </row>
        <row r="3946">
          <cell r="F3946">
            <v>90024632</v>
          </cell>
          <cell r="G3946" t="str">
            <v xml:space="preserve">ERICKA ESPERANZA SANDOVAL HERNANDEZ </v>
          </cell>
        </row>
        <row r="3947">
          <cell r="F3947">
            <v>90028491</v>
          </cell>
          <cell r="G3947" t="str">
            <v>ADOLFO RAFAEL SEGOVIA QUEZADA</v>
          </cell>
        </row>
        <row r="3948">
          <cell r="F3948">
            <v>90013719</v>
          </cell>
          <cell r="G3948" t="str">
            <v xml:space="preserve">MÓNICA CAROLINA LIMA CIFUENTES </v>
          </cell>
        </row>
        <row r="3949">
          <cell r="F3949">
            <v>90039301</v>
          </cell>
          <cell r="G3949" t="str">
            <v>GABBY MARIETT PAMELA BAUTISTA BAUTISTA</v>
          </cell>
        </row>
        <row r="3950">
          <cell r="F3950">
            <v>90046255</v>
          </cell>
          <cell r="G3950" t="str">
            <v xml:space="preserve">VICTOR HUGO FUENTES ORTIZ </v>
          </cell>
        </row>
        <row r="3951">
          <cell r="F3951">
            <v>90024719</v>
          </cell>
          <cell r="G3951" t="str">
            <v>CRISTOPHER JOSUE CHANQUI FLORES</v>
          </cell>
        </row>
        <row r="3952">
          <cell r="F3952">
            <v>315841</v>
          </cell>
          <cell r="G3952" t="str">
            <v>LESBIA ROXANA ROJAS CASTRO</v>
          </cell>
        </row>
        <row r="3953">
          <cell r="F3953">
            <v>90039124</v>
          </cell>
          <cell r="G3953" t="str">
            <v>PABLO JAVIER REINOSA FUENTES</v>
          </cell>
        </row>
        <row r="3954">
          <cell r="F3954">
            <v>90039330</v>
          </cell>
          <cell r="G3954" t="str">
            <v>Diana Ivon Aguilar Gonzalez</v>
          </cell>
        </row>
        <row r="3955">
          <cell r="F3955">
            <v>315555</v>
          </cell>
          <cell r="G3955" t="str">
            <v>ELISEO CARRILLO MACARIO</v>
          </cell>
        </row>
        <row r="3956">
          <cell r="F3956">
            <v>90039321</v>
          </cell>
          <cell r="G3956" t="str">
            <v>ASHLEY MELISSA MEDINA RODRIGUEZ</v>
          </cell>
        </row>
        <row r="3957">
          <cell r="F3957">
            <v>90023868</v>
          </cell>
          <cell r="G3957" t="str">
            <v>FERNANDO RENE GIL DE LEON</v>
          </cell>
        </row>
        <row r="3958">
          <cell r="F3958">
            <v>315657</v>
          </cell>
          <cell r="G3958" t="str">
            <v>HUGO EZEQUIEL GUEVARA GÓMEZ</v>
          </cell>
        </row>
        <row r="3959">
          <cell r="F3959">
            <v>90012180</v>
          </cell>
          <cell r="G3959" t="str">
            <v xml:space="preserve">CINDY MAYROBY OSCAL QUIÑONEZ </v>
          </cell>
        </row>
        <row r="3960">
          <cell r="F3960">
            <v>90015631</v>
          </cell>
          <cell r="G3960" t="str">
            <v>JEISSY DARIELA CASTELLANOS HERNANDEZ</v>
          </cell>
        </row>
        <row r="3961">
          <cell r="F3961">
            <v>90040461</v>
          </cell>
          <cell r="G3961" t="str">
            <v>JONATHAN FERNANDO GOMEZ VILLATORO</v>
          </cell>
        </row>
        <row r="3962">
          <cell r="F3962">
            <v>90028732</v>
          </cell>
          <cell r="G3962" t="str">
            <v>XAVIER ALEJANDRO RAMIREZ DIAZ</v>
          </cell>
        </row>
        <row r="3963">
          <cell r="F3963">
            <v>90040627</v>
          </cell>
          <cell r="G3963" t="str">
            <v>JOSE LEON CHOGUAJ TOJIN</v>
          </cell>
        </row>
        <row r="3964">
          <cell r="F3964">
            <v>90034563</v>
          </cell>
          <cell r="G3964" t="str">
            <v>MARIA VICTORIA MONTENEGRO SARPEC</v>
          </cell>
        </row>
        <row r="3965">
          <cell r="F3965">
            <v>90015630</v>
          </cell>
          <cell r="G3965" t="str">
            <v>MAURICIO LEON RUANO</v>
          </cell>
        </row>
        <row r="3966">
          <cell r="F3966">
            <v>90035252</v>
          </cell>
          <cell r="G3966" t="str">
            <v>Antony Steven Cabrera Muñoz</v>
          </cell>
        </row>
        <row r="3967">
          <cell r="F3967">
            <v>90045911</v>
          </cell>
          <cell r="G3967" t="str">
            <v>Josue Antonio Avila Cuxe</v>
          </cell>
        </row>
        <row r="3968">
          <cell r="F3968">
            <v>90039162</v>
          </cell>
          <cell r="G3968" t="str">
            <v xml:space="preserve">ALICIA MICHELLE ESTRADA REVOLORIO </v>
          </cell>
        </row>
        <row r="3969">
          <cell r="F3969">
            <v>90046332</v>
          </cell>
          <cell r="G3969" t="str">
            <v>DULCE MISHELL ALVARADO TOVAR</v>
          </cell>
        </row>
        <row r="3970">
          <cell r="F3970">
            <v>90048446</v>
          </cell>
          <cell r="G3970" t="str">
            <v>JENNIE JULIECITA GONZALEZ SANCHEZ</v>
          </cell>
        </row>
        <row r="3971">
          <cell r="F3971">
            <v>90040567</v>
          </cell>
          <cell r="G3971" t="str">
            <v>Walter Alberto Gomez Ojot</v>
          </cell>
        </row>
        <row r="3972">
          <cell r="F3972">
            <v>90040767</v>
          </cell>
          <cell r="G3972" t="str">
            <v xml:space="preserve">JOSELIN GABRIELA VASQUEZ VIVAS </v>
          </cell>
        </row>
        <row r="3973">
          <cell r="F3973">
            <v>90049488</v>
          </cell>
          <cell r="G3973" t="str">
            <v>JOSE FERNANDO HERNANDEZ ELIAS</v>
          </cell>
        </row>
        <row r="3974">
          <cell r="F3974">
            <v>90046884</v>
          </cell>
          <cell r="G3974" t="str">
            <v>NORMAN ALEXANDER CHINCHILLA OLMEDO</v>
          </cell>
        </row>
        <row r="3975">
          <cell r="F3975">
            <v>90048444</v>
          </cell>
          <cell r="G3975" t="str">
            <v>KATHERYN ELIZABETH BLANCO ECHEVERRIA</v>
          </cell>
        </row>
        <row r="3976">
          <cell r="F3976">
            <v>90021357</v>
          </cell>
          <cell r="G3976" t="str">
            <v>SANDRA MARICELA HERNANDEZ AVAL</v>
          </cell>
        </row>
        <row r="3977">
          <cell r="F3977">
            <v>307506</v>
          </cell>
          <cell r="G3977" t="str">
            <v>AXEL JONATHAN CASH MENDEZ</v>
          </cell>
        </row>
        <row r="3978">
          <cell r="F3978">
            <v>90049421</v>
          </cell>
          <cell r="G3978" t="str">
            <v>MARVIN ROLANDO FUENTES AGUILAR</v>
          </cell>
        </row>
        <row r="3979">
          <cell r="F3979">
            <v>90051364</v>
          </cell>
          <cell r="G3979" t="str">
            <v>Doris Yanali Cancinos Mejia</v>
          </cell>
        </row>
        <row r="3980">
          <cell r="F3980">
            <v>90050054</v>
          </cell>
          <cell r="G3980" t="str">
            <v>ALEXIS FRANCISCO MARTINEZ QUEME</v>
          </cell>
        </row>
        <row r="3981">
          <cell r="F3981">
            <v>90049072</v>
          </cell>
          <cell r="G3981" t="str">
            <v>DAILY YAMILETH DEL CID VASQUEZ</v>
          </cell>
        </row>
        <row r="3982">
          <cell r="F3982">
            <v>90050146</v>
          </cell>
          <cell r="G3982" t="str">
            <v>WENDY ARACELY MARROQUIN ARIAS</v>
          </cell>
        </row>
        <row r="3983">
          <cell r="F3983">
            <v>90050413</v>
          </cell>
          <cell r="G3983" t="str">
            <v>KAREN JAZMIN RUBIO GALVEZ</v>
          </cell>
        </row>
        <row r="3984">
          <cell r="F3984">
            <v>90033288</v>
          </cell>
          <cell r="G3984" t="str">
            <v>SINTHIA SARAI ACEITUNO GUERRERO</v>
          </cell>
        </row>
        <row r="3985">
          <cell r="F3985">
            <v>90048461</v>
          </cell>
          <cell r="G3985" t="str">
            <v>EVELYN PAOLA ESTEBAN BENITO</v>
          </cell>
        </row>
        <row r="3986">
          <cell r="F3986">
            <v>90046994</v>
          </cell>
          <cell r="G3986" t="str">
            <v>AMANDA MAGALY MORALES PEREZ</v>
          </cell>
        </row>
        <row r="3987">
          <cell r="F3987">
            <v>90033492</v>
          </cell>
          <cell r="G3987" t="str">
            <v>YURI ELIZABETH GONON PRETZANZIN</v>
          </cell>
        </row>
        <row r="3988">
          <cell r="F3988">
            <v>90059958</v>
          </cell>
          <cell r="G3988" t="str">
            <v xml:space="preserve">DALIA RACHEL FIGUEROA ELIAS </v>
          </cell>
        </row>
        <row r="3989">
          <cell r="F3989">
            <v>90049807</v>
          </cell>
          <cell r="G3989" t="str">
            <v>KAREN CELESTE SILVA SALOMON</v>
          </cell>
        </row>
        <row r="3990">
          <cell r="F3990">
            <v>90049905</v>
          </cell>
          <cell r="G3990" t="str">
            <v>Rivaldo Tucubal Benites</v>
          </cell>
        </row>
        <row r="3991">
          <cell r="F3991">
            <v>315870</v>
          </cell>
          <cell r="G3991" t="str">
            <v>ADOLFO RONALDO ALFARO RIVERA</v>
          </cell>
        </row>
        <row r="3992">
          <cell r="F3992">
            <v>90060252</v>
          </cell>
          <cell r="G3992" t="str">
            <v>ANALLELY ALEXANDRA CAMPOS HERNANDEZ</v>
          </cell>
        </row>
        <row r="3993">
          <cell r="F3993">
            <v>90051367</v>
          </cell>
          <cell r="G3993" t="str">
            <v>JOSEFA PACAY RAMIREZ</v>
          </cell>
        </row>
        <row r="3994">
          <cell r="F3994">
            <v>90048797</v>
          </cell>
          <cell r="G3994" t="str">
            <v>Edson Fernando Segura Chocop</v>
          </cell>
        </row>
        <row r="3995">
          <cell r="F3995">
            <v>90049903</v>
          </cell>
          <cell r="G3995" t="str">
            <v>JOSE RAFAEL GARCIA RAMIREZ</v>
          </cell>
        </row>
        <row r="3996">
          <cell r="F3996">
            <v>90048711</v>
          </cell>
          <cell r="G3996" t="str">
            <v>MIRZA ROCIO GALICIA CASIMIRO</v>
          </cell>
        </row>
        <row r="3997">
          <cell r="F3997">
            <v>309415</v>
          </cell>
          <cell r="G3997" t="str">
            <v>ANGEL JOSE FIGUEROA GARCIA</v>
          </cell>
        </row>
        <row r="3998">
          <cell r="F3998">
            <v>90035128</v>
          </cell>
          <cell r="G3998" t="str">
            <v>PAOLA ALEJANDRA MONZON PANIAGUA</v>
          </cell>
        </row>
        <row r="3999">
          <cell r="F3999">
            <v>90062502</v>
          </cell>
          <cell r="G3999" t="str">
            <v>ILSY PAULINA CALDERON MAZARIEGOS</v>
          </cell>
        </row>
        <row r="4000">
          <cell r="F4000">
            <v>90063413</v>
          </cell>
          <cell r="G4000" t="str">
            <v>HECTOR ENRIQUE LAVARREDA VASQUEZ</v>
          </cell>
        </row>
        <row r="4001">
          <cell r="F4001">
            <v>90040281</v>
          </cell>
          <cell r="G4001" t="str">
            <v xml:space="preserve">CARLOS ANTONIO JUL COC </v>
          </cell>
        </row>
        <row r="4002">
          <cell r="F4002">
            <v>90038979</v>
          </cell>
          <cell r="G4002" t="str">
            <v>NESTOR RENE SAGASTUME RODAS</v>
          </cell>
        </row>
        <row r="4003">
          <cell r="F4003">
            <v>90062598</v>
          </cell>
          <cell r="G4003" t="str">
            <v>ERICKA NOEMI MAZARIEGOS PINEDA</v>
          </cell>
        </row>
        <row r="4004">
          <cell r="F4004">
            <v>90064536</v>
          </cell>
          <cell r="G4004" t="str">
            <v>ALEXIS ELIAZAR LUIS LOPEZ</v>
          </cell>
        </row>
        <row r="4005">
          <cell r="F4005">
            <v>90064214</v>
          </cell>
          <cell r="G4005" t="str">
            <v>Astrid Michelle Regil Peralta</v>
          </cell>
        </row>
        <row r="4006">
          <cell r="F4006">
            <v>90065920</v>
          </cell>
          <cell r="G4006" t="str">
            <v>ELDER FRANCISCO JIMENEZ MITA</v>
          </cell>
        </row>
        <row r="4007">
          <cell r="F4007">
            <v>90065921</v>
          </cell>
          <cell r="G4007" t="str">
            <v>MYNOR ADELSO AJBAC TOÑO</v>
          </cell>
        </row>
        <row r="4008">
          <cell r="F4008">
            <v>9006655</v>
          </cell>
          <cell r="G4008" t="str">
            <v>Kimberly Isabel Mazariegos González</v>
          </cell>
        </row>
        <row r="4009">
          <cell r="F4009">
            <v>90066518</v>
          </cell>
          <cell r="G4009" t="str">
            <v>Ashlin Alejandra de Leon Calderon</v>
          </cell>
        </row>
        <row r="4010">
          <cell r="F4010">
            <v>90066655</v>
          </cell>
          <cell r="G4010" t="str">
            <v>KIMBERLY ISABEL MAZARIEGOS GONZALEZ</v>
          </cell>
        </row>
        <row r="4011">
          <cell r="F4011">
            <v>90067339</v>
          </cell>
          <cell r="G4011" t="e">
            <v>#N/A</v>
          </cell>
        </row>
        <row r="4012">
          <cell r="F4012">
            <v>316359</v>
          </cell>
          <cell r="G4012" t="str">
            <v>JUAN CARLOS DIAZ ESTEBAN</v>
          </cell>
        </row>
        <row r="4013">
          <cell r="F4013">
            <v>316215</v>
          </cell>
          <cell r="G4013" t="str">
            <v>ANAYELI MARIBEL JIMENEZ GOMEZ</v>
          </cell>
        </row>
        <row r="4014">
          <cell r="F4014">
            <v>316292</v>
          </cell>
          <cell r="G4014" t="str">
            <v>KEVIN ANTONIO OROZCO RAMIREZ</v>
          </cell>
        </row>
        <row r="4015">
          <cell r="F4015">
            <v>90019118</v>
          </cell>
          <cell r="G4015" t="str">
            <v>ANGELA JOSEFINA RAMIREZ CHANJ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OVIEMBRE 2025"/>
      <sheetName val="Datos"/>
    </sheetNames>
    <sheetDataSet>
      <sheetData sheetId="0" refreshError="1"/>
      <sheetData sheetId="1">
        <row r="1">
          <cell r="F1" t="str">
            <v>Codigo Empleado</v>
          </cell>
          <cell r="G1" t="str">
            <v>Nombre Empleado</v>
          </cell>
        </row>
        <row r="2">
          <cell r="F2">
            <v>314692</v>
          </cell>
          <cell r="G2" t="str">
            <v>Abi Susana Santos Alvarado</v>
          </cell>
        </row>
        <row r="3">
          <cell r="F3">
            <v>313537</v>
          </cell>
          <cell r="G3" t="str">
            <v>Abigail Nohemi Letona Lopez</v>
          </cell>
        </row>
        <row r="4">
          <cell r="F4">
            <v>314163</v>
          </cell>
          <cell r="G4" t="str">
            <v>Abner Amilcar Miguel Pedro</v>
          </cell>
        </row>
        <row r="5">
          <cell r="F5">
            <v>300544</v>
          </cell>
          <cell r="G5" t="str">
            <v>Abner Enmanuel Perez Rodriguez</v>
          </cell>
        </row>
        <row r="6">
          <cell r="F6">
            <v>315208</v>
          </cell>
          <cell r="G6" t="str">
            <v>Abner Juan Alexander Menchu Tiu</v>
          </cell>
        </row>
        <row r="7">
          <cell r="F7">
            <v>315069</v>
          </cell>
          <cell r="G7" t="str">
            <v>Abner Rocael Sosa Escobar</v>
          </cell>
        </row>
        <row r="8">
          <cell r="F8">
            <v>310864</v>
          </cell>
          <cell r="G8" t="str">
            <v>Adelaida Garcia Hernandez</v>
          </cell>
        </row>
        <row r="9">
          <cell r="F9">
            <v>314604</v>
          </cell>
          <cell r="G9" t="str">
            <v>Adieny Moren Ramirez Gamboa</v>
          </cell>
        </row>
        <row r="10">
          <cell r="F10">
            <v>311687</v>
          </cell>
          <cell r="G10" t="str">
            <v>Aida Gabriela De Leon Carrascoza</v>
          </cell>
        </row>
        <row r="11">
          <cell r="F11">
            <v>315221</v>
          </cell>
          <cell r="G11" t="str">
            <v>Alan David Perez Muyus</v>
          </cell>
        </row>
        <row r="12">
          <cell r="F12">
            <v>311950</v>
          </cell>
          <cell r="G12" t="str">
            <v>Alan Javier Castillo Ordoñez</v>
          </cell>
        </row>
        <row r="13">
          <cell r="F13">
            <v>313765</v>
          </cell>
          <cell r="G13" t="str">
            <v>Alan Ricardo Flores Diaz</v>
          </cell>
        </row>
        <row r="14">
          <cell r="F14">
            <v>312686</v>
          </cell>
          <cell r="G14" t="str">
            <v>Alba Azucena Santeliz Marin</v>
          </cell>
        </row>
        <row r="15">
          <cell r="F15">
            <v>313531</v>
          </cell>
          <cell r="G15" t="str">
            <v>Alejandra Gramajo Marroquin</v>
          </cell>
        </row>
        <row r="16">
          <cell r="F16">
            <v>313714</v>
          </cell>
          <cell r="G16" t="str">
            <v>Alejandra Julissa Solis Aguilar</v>
          </cell>
        </row>
        <row r="17">
          <cell r="F17">
            <v>313994</v>
          </cell>
          <cell r="G17" t="str">
            <v>Alejandra Naime Muñoz Letona</v>
          </cell>
        </row>
        <row r="18">
          <cell r="F18">
            <v>314849</v>
          </cell>
          <cell r="G18" t="str">
            <v>Alejandro Enrique Mejicanos Ramos</v>
          </cell>
        </row>
        <row r="19">
          <cell r="F19">
            <v>315220</v>
          </cell>
          <cell r="G19" t="str">
            <v>Alejandro Jose Mont Diaz</v>
          </cell>
        </row>
        <row r="20">
          <cell r="F20">
            <v>311810</v>
          </cell>
          <cell r="G20" t="str">
            <v>Alexander Macario Gonzalez Monterroso</v>
          </cell>
        </row>
        <row r="21">
          <cell r="F21">
            <v>300907</v>
          </cell>
          <cell r="G21" t="str">
            <v>Alexangel Quan Urrutia</v>
          </cell>
        </row>
        <row r="22">
          <cell r="F22">
            <v>312962</v>
          </cell>
          <cell r="G22" t="str">
            <v>Alexia Paola Marroquin Lopez</v>
          </cell>
        </row>
        <row r="23">
          <cell r="F23">
            <v>314671</v>
          </cell>
          <cell r="G23" t="str">
            <v>Alexsandra Daniela Cano Garcia</v>
          </cell>
        </row>
        <row r="24">
          <cell r="F24">
            <v>311103</v>
          </cell>
          <cell r="G24" t="str">
            <v>Alfredo Chiyal Bocel</v>
          </cell>
        </row>
        <row r="25">
          <cell r="F25">
            <v>311576</v>
          </cell>
          <cell r="G25" t="str">
            <v>Alfredo Gomez Lancerio</v>
          </cell>
        </row>
        <row r="26">
          <cell r="F26">
            <v>313014</v>
          </cell>
          <cell r="G26" t="str">
            <v>Alfredo Monsanto Santos</v>
          </cell>
        </row>
        <row r="27">
          <cell r="F27">
            <v>315223</v>
          </cell>
          <cell r="G27" t="str">
            <v>Alicia Magaly Juarez Quiacain</v>
          </cell>
        </row>
        <row r="28">
          <cell r="F28">
            <v>314035</v>
          </cell>
          <cell r="G28" t="str">
            <v>Alisson Andrea Jacobo Castro</v>
          </cell>
        </row>
        <row r="29">
          <cell r="F29">
            <v>315214</v>
          </cell>
          <cell r="G29" t="str">
            <v>Allan David Galdamez De Leon</v>
          </cell>
        </row>
        <row r="30">
          <cell r="F30">
            <v>306902</v>
          </cell>
          <cell r="G30" t="str">
            <v>Allan Kalleb Garcia Cahuex</v>
          </cell>
        </row>
        <row r="31">
          <cell r="F31">
            <v>315434</v>
          </cell>
          <cell r="G31" t="str">
            <v>Alma Carolina Herrera Pirir</v>
          </cell>
        </row>
        <row r="32">
          <cell r="F32">
            <v>315280</v>
          </cell>
          <cell r="G32" t="str">
            <v>Alma Rosa Valle Blandon</v>
          </cell>
        </row>
        <row r="33">
          <cell r="F33">
            <v>302247</v>
          </cell>
          <cell r="G33" t="str">
            <v>Alma Yecenia Ramon Oroxon</v>
          </cell>
        </row>
        <row r="34">
          <cell r="F34">
            <v>310433</v>
          </cell>
          <cell r="G34" t="str">
            <v>Alma Zucely Sarceño Peralta</v>
          </cell>
        </row>
        <row r="35">
          <cell r="F35">
            <v>313286</v>
          </cell>
          <cell r="G35" t="str">
            <v>Alvaro Fernando Acte Mérida</v>
          </cell>
        </row>
        <row r="36">
          <cell r="F36">
            <v>313119</v>
          </cell>
          <cell r="G36" t="str">
            <v>Alvaro Luis Carias Gonzalez</v>
          </cell>
        </row>
        <row r="37">
          <cell r="F37">
            <v>313528</v>
          </cell>
          <cell r="G37" t="str">
            <v>Amairani Lilibeth Escobar Maquin</v>
          </cell>
        </row>
        <row r="38">
          <cell r="F38">
            <v>309338</v>
          </cell>
          <cell r="G38" t="str">
            <v>Amalia Rebeca Son Juarez</v>
          </cell>
        </row>
        <row r="39">
          <cell r="F39">
            <v>309664</v>
          </cell>
          <cell r="G39" t="str">
            <v>Amarilis Sarita Ajtun Lopez</v>
          </cell>
        </row>
        <row r="40">
          <cell r="F40">
            <v>309337</v>
          </cell>
          <cell r="G40" t="str">
            <v>Amauri Santillano Catalan</v>
          </cell>
        </row>
        <row r="41">
          <cell r="F41">
            <v>315553</v>
          </cell>
          <cell r="G41" t="str">
            <v>Amed Isram Rodas Garcia</v>
          </cell>
        </row>
        <row r="42">
          <cell r="F42">
            <v>301503</v>
          </cell>
          <cell r="G42" t="str">
            <v>America Romilia Martinez Ramirez</v>
          </cell>
        </row>
        <row r="43">
          <cell r="F43">
            <v>311055</v>
          </cell>
          <cell r="G43" t="str">
            <v>Amram Dodanim Lopez Cahuec</v>
          </cell>
        </row>
        <row r="44">
          <cell r="F44">
            <v>307790</v>
          </cell>
          <cell r="G44" t="str">
            <v>Ana Cecilia Navichoc Chiquival</v>
          </cell>
        </row>
        <row r="45">
          <cell r="F45">
            <v>315044</v>
          </cell>
          <cell r="G45" t="str">
            <v>Ana Celeste Garcia Garcia</v>
          </cell>
        </row>
        <row r="46">
          <cell r="F46">
            <v>309527</v>
          </cell>
          <cell r="G46" t="str">
            <v>Ana Gabriela Caal Cruz</v>
          </cell>
        </row>
        <row r="47">
          <cell r="F47">
            <v>313217</v>
          </cell>
          <cell r="G47" t="str">
            <v>Ana Gabriela Damian Ixbalan</v>
          </cell>
        </row>
        <row r="48">
          <cell r="F48">
            <v>305932</v>
          </cell>
          <cell r="G48" t="str">
            <v>Ana Gabriela De La Cruz Aguilar</v>
          </cell>
        </row>
        <row r="49">
          <cell r="F49">
            <v>314984</v>
          </cell>
          <cell r="G49" t="str">
            <v>Ana Gabriela Equite Diaz</v>
          </cell>
        </row>
        <row r="50">
          <cell r="F50">
            <v>307751</v>
          </cell>
          <cell r="G50" t="str">
            <v>Ana Gabriela Gonzalez Herrera</v>
          </cell>
        </row>
        <row r="51">
          <cell r="F51">
            <v>310329</v>
          </cell>
          <cell r="G51" t="str">
            <v>Ana Leticia Lux Say</v>
          </cell>
        </row>
        <row r="52">
          <cell r="F52">
            <v>311761</v>
          </cell>
          <cell r="G52" t="str">
            <v>Ana Lourdes Muñoz Pensamiento</v>
          </cell>
        </row>
        <row r="53">
          <cell r="F53">
            <v>311111</v>
          </cell>
          <cell r="G53" t="str">
            <v>Ana Lucia Donis Franco</v>
          </cell>
        </row>
        <row r="54">
          <cell r="F54">
            <v>313991</v>
          </cell>
          <cell r="G54" t="str">
            <v>Ana Lucia Gudiel Vasquez</v>
          </cell>
        </row>
        <row r="55">
          <cell r="F55">
            <v>307442</v>
          </cell>
          <cell r="G55" t="str">
            <v>Ana Lucia Ramirez Aquino</v>
          </cell>
        </row>
        <row r="56">
          <cell r="F56">
            <v>306767</v>
          </cell>
          <cell r="G56" t="str">
            <v>Ana Marcela Castillo Rodriguez</v>
          </cell>
        </row>
        <row r="57">
          <cell r="F57">
            <v>312249</v>
          </cell>
          <cell r="G57" t="str">
            <v>Ana Margarita Barrera Estrada</v>
          </cell>
        </row>
        <row r="58">
          <cell r="F58">
            <v>202795</v>
          </cell>
          <cell r="G58" t="str">
            <v>Ana Maria Barrios Alejos</v>
          </cell>
        </row>
        <row r="59">
          <cell r="F59">
            <v>315474</v>
          </cell>
          <cell r="G59" t="str">
            <v>Ana Merced Arriola Gomez</v>
          </cell>
        </row>
        <row r="60">
          <cell r="F60">
            <v>308129</v>
          </cell>
          <cell r="G60" t="str">
            <v>Ana Mercedes Tiul Caal</v>
          </cell>
        </row>
        <row r="61">
          <cell r="F61">
            <v>314191</v>
          </cell>
          <cell r="G61" t="str">
            <v>Ana Patricia Escobar Cardona</v>
          </cell>
        </row>
        <row r="62">
          <cell r="F62">
            <v>310191</v>
          </cell>
          <cell r="G62" t="str">
            <v>Ana Paulina Macario Del Cid</v>
          </cell>
        </row>
        <row r="63">
          <cell r="F63">
            <v>310728</v>
          </cell>
          <cell r="G63" t="str">
            <v>Ana Rita Morales Mata</v>
          </cell>
        </row>
        <row r="64">
          <cell r="F64">
            <v>314469</v>
          </cell>
          <cell r="G64" t="str">
            <v>Ana Sofia Castillo Armas</v>
          </cell>
        </row>
        <row r="65">
          <cell r="F65">
            <v>312945</v>
          </cell>
          <cell r="G65" t="str">
            <v>Ana Victoria Gonzalez Garcia</v>
          </cell>
        </row>
        <row r="66">
          <cell r="F66">
            <v>314019</v>
          </cell>
          <cell r="G66" t="str">
            <v>Anali Guadalupe Salazar Rodriguez</v>
          </cell>
        </row>
        <row r="67">
          <cell r="F67">
            <v>315372</v>
          </cell>
          <cell r="G67" t="str">
            <v>Andrea Ayalett Ochoa Lopez</v>
          </cell>
        </row>
        <row r="68">
          <cell r="F68">
            <v>311505</v>
          </cell>
          <cell r="G68" t="str">
            <v>Andrea Dayana Ordoñez Mendez</v>
          </cell>
        </row>
        <row r="69">
          <cell r="F69">
            <v>315215</v>
          </cell>
          <cell r="G69" t="str">
            <v>Andrea Fernanda Villela Hernandez</v>
          </cell>
        </row>
        <row r="70">
          <cell r="F70">
            <v>311380</v>
          </cell>
          <cell r="G70" t="str">
            <v>Andrea Lisbeth Ruiz Rodas</v>
          </cell>
        </row>
        <row r="71">
          <cell r="F71">
            <v>311137</v>
          </cell>
          <cell r="G71" t="str">
            <v>Andrea Lucia Lopez Ajin</v>
          </cell>
        </row>
        <row r="72">
          <cell r="F72">
            <v>303012</v>
          </cell>
          <cell r="G72" t="str">
            <v>Andrea Marbely Letran Juarez</v>
          </cell>
        </row>
        <row r="73">
          <cell r="F73">
            <v>315264</v>
          </cell>
          <cell r="G73" t="str">
            <v>Andrea Margarita Gomez Morales</v>
          </cell>
        </row>
        <row r="74">
          <cell r="F74">
            <v>302630</v>
          </cell>
          <cell r="G74" t="str">
            <v>Andrea Maria Alvarez Calderon</v>
          </cell>
        </row>
        <row r="75">
          <cell r="F75">
            <v>314057</v>
          </cell>
          <cell r="G75" t="str">
            <v>Andrea Michelle Urbina Solorzano</v>
          </cell>
        </row>
        <row r="76">
          <cell r="F76">
            <v>312310</v>
          </cell>
          <cell r="G76" t="str">
            <v>Andrea Paola Santisteban Per</v>
          </cell>
        </row>
        <row r="77">
          <cell r="F77">
            <v>311079</v>
          </cell>
          <cell r="G77" t="str">
            <v>Andrea Sucely Ortiz Villavicencio</v>
          </cell>
        </row>
        <row r="78">
          <cell r="F78">
            <v>311759</v>
          </cell>
          <cell r="G78" t="str">
            <v>Andrea Yesenia Carpio Ramirez</v>
          </cell>
        </row>
        <row r="79">
          <cell r="F79">
            <v>313301</v>
          </cell>
          <cell r="G79" t="str">
            <v>Andreina Antonieta Velasquez Fuentes</v>
          </cell>
        </row>
        <row r="80">
          <cell r="F80">
            <v>315450</v>
          </cell>
          <cell r="G80" t="str">
            <v>Andreina Nataly Canahui Ochoa</v>
          </cell>
        </row>
        <row r="81">
          <cell r="F81">
            <v>314933</v>
          </cell>
          <cell r="G81" t="str">
            <v>Angel Eliu Humberto Caal Lopez</v>
          </cell>
        </row>
        <row r="82">
          <cell r="F82">
            <v>306471</v>
          </cell>
          <cell r="G82" t="str">
            <v>Angel Enmanuel Quim Macz</v>
          </cell>
        </row>
        <row r="83">
          <cell r="F83">
            <v>309415</v>
          </cell>
          <cell r="G83" t="str">
            <v>Angel Jose Figueroa Garcia</v>
          </cell>
        </row>
        <row r="84">
          <cell r="F84">
            <v>315312</v>
          </cell>
          <cell r="G84" t="str">
            <v>Angel Josue Ortiz De Leon</v>
          </cell>
        </row>
        <row r="85">
          <cell r="F85">
            <v>305814</v>
          </cell>
          <cell r="G85" t="str">
            <v>Angel Josue Perez Rivera</v>
          </cell>
        </row>
        <row r="86">
          <cell r="F86">
            <v>314564</v>
          </cell>
          <cell r="G86" t="str">
            <v>Angel Raderyk Vasquez Ovando</v>
          </cell>
        </row>
        <row r="87">
          <cell r="F87">
            <v>312055</v>
          </cell>
          <cell r="G87" t="str">
            <v>Angela Daniela Mazariegos Herrera</v>
          </cell>
        </row>
        <row r="88">
          <cell r="F88">
            <v>311086</v>
          </cell>
          <cell r="G88" t="str">
            <v>Angela Esmeralda Reyes Arriaza</v>
          </cell>
        </row>
        <row r="89">
          <cell r="F89">
            <v>309859</v>
          </cell>
          <cell r="G89" t="str">
            <v>Angela Ester Gramajo Galicia</v>
          </cell>
        </row>
        <row r="90">
          <cell r="F90">
            <v>315026</v>
          </cell>
          <cell r="G90" t="str">
            <v>Angela Marizol Ramon Escobar</v>
          </cell>
        </row>
        <row r="91">
          <cell r="F91">
            <v>314696</v>
          </cell>
          <cell r="G91" t="str">
            <v>Angelica Sol Ortiz</v>
          </cell>
        </row>
        <row r="92">
          <cell r="F92">
            <v>311699</v>
          </cell>
          <cell r="G92" t="str">
            <v>Anika Beira Domingo Escobar</v>
          </cell>
        </row>
        <row r="93">
          <cell r="F93">
            <v>315556</v>
          </cell>
          <cell r="G93" t="str">
            <v>Anthony Enrique Castellanos Perez</v>
          </cell>
        </row>
        <row r="94">
          <cell r="F94">
            <v>315121</v>
          </cell>
          <cell r="G94" t="str">
            <v>Antoni Alexis Del Cid Sian</v>
          </cell>
        </row>
        <row r="95">
          <cell r="F95">
            <v>311557</v>
          </cell>
          <cell r="G95" t="str">
            <v>Aracely Nohemy Fuentes Alonzo</v>
          </cell>
        </row>
        <row r="96">
          <cell r="F96">
            <v>102256</v>
          </cell>
          <cell r="G96" t="str">
            <v>Arelis Noemi Gonzalez Vivar</v>
          </cell>
        </row>
        <row r="97">
          <cell r="F97">
            <v>315150</v>
          </cell>
          <cell r="G97" t="str">
            <v>Arely Maoly Aguilar Y Aguilar</v>
          </cell>
        </row>
        <row r="98">
          <cell r="F98">
            <v>309908</v>
          </cell>
          <cell r="G98" t="str">
            <v>Arleth Julissa Paredez Ramirez</v>
          </cell>
        </row>
        <row r="99">
          <cell r="F99">
            <v>315532</v>
          </cell>
          <cell r="G99" t="str">
            <v>Ashley Dayana Franco Sandoval</v>
          </cell>
        </row>
        <row r="100">
          <cell r="F100">
            <v>315493</v>
          </cell>
          <cell r="G100" t="str">
            <v>Astrid Carolina Lopez Lopez</v>
          </cell>
        </row>
        <row r="101">
          <cell r="F101">
            <v>310020</v>
          </cell>
          <cell r="G101" t="str">
            <v>Astrid Elena Alvarado Lopez</v>
          </cell>
        </row>
        <row r="102">
          <cell r="F102">
            <v>315277</v>
          </cell>
          <cell r="G102" t="str">
            <v>Astrid Guadalupe Fernandez Perez</v>
          </cell>
        </row>
        <row r="103">
          <cell r="F103">
            <v>310483</v>
          </cell>
          <cell r="G103" t="str">
            <v>Astrid Ivone Hernandez</v>
          </cell>
        </row>
        <row r="104">
          <cell r="F104">
            <v>309804</v>
          </cell>
          <cell r="G104" t="str">
            <v>Astrid Leonela Barrios Velasquez</v>
          </cell>
        </row>
        <row r="105">
          <cell r="F105">
            <v>312146</v>
          </cell>
          <cell r="G105" t="str">
            <v>Astrid Lisbeth Morales Morales</v>
          </cell>
        </row>
        <row r="106">
          <cell r="F106">
            <v>310967</v>
          </cell>
          <cell r="G106" t="str">
            <v>Astrid Marielena Mendez Garcia</v>
          </cell>
        </row>
        <row r="107">
          <cell r="F107">
            <v>311328</v>
          </cell>
          <cell r="G107" t="str">
            <v>Astrid Yohana Escobar Oliva</v>
          </cell>
        </row>
        <row r="108">
          <cell r="F108">
            <v>314277</v>
          </cell>
          <cell r="G108" t="str">
            <v>Aura Josefina Coy Tiul</v>
          </cell>
        </row>
        <row r="109">
          <cell r="F109">
            <v>202265</v>
          </cell>
          <cell r="G109" t="str">
            <v>Aura Leticia Aparicio Marin</v>
          </cell>
        </row>
        <row r="110">
          <cell r="F110">
            <v>314986</v>
          </cell>
          <cell r="G110" t="str">
            <v>Aura Lourdes Garcia Gomez</v>
          </cell>
        </row>
        <row r="111">
          <cell r="F111">
            <v>314350</v>
          </cell>
          <cell r="G111" t="str">
            <v>Aura Mirthala Castillo Castillo</v>
          </cell>
        </row>
        <row r="112">
          <cell r="F112">
            <v>313666</v>
          </cell>
          <cell r="G112" t="str">
            <v>Avner Josue Merida Molina</v>
          </cell>
        </row>
        <row r="113">
          <cell r="F113">
            <v>315388</v>
          </cell>
          <cell r="G113" t="str">
            <v>Axel Anderson Montufar Roca</v>
          </cell>
        </row>
        <row r="114">
          <cell r="F114">
            <v>314730</v>
          </cell>
          <cell r="G114" t="str">
            <v>Axel Denilson Hernandez Tocay</v>
          </cell>
        </row>
        <row r="115">
          <cell r="F115">
            <v>315271</v>
          </cell>
          <cell r="G115" t="str">
            <v>Axel Roberto Guzman Coro</v>
          </cell>
        </row>
        <row r="116">
          <cell r="F116">
            <v>308798</v>
          </cell>
          <cell r="G116" t="str">
            <v>Axel Wilfredo Caal Coy</v>
          </cell>
        </row>
        <row r="117">
          <cell r="F117">
            <v>307068</v>
          </cell>
          <cell r="G117" t="str">
            <v>Azucena Raquel Luis Perez</v>
          </cell>
        </row>
        <row r="118">
          <cell r="F118">
            <v>313706</v>
          </cell>
          <cell r="G118" t="str">
            <v>Barbara Alejandra Toj Romero</v>
          </cell>
        </row>
        <row r="119">
          <cell r="F119">
            <v>311943</v>
          </cell>
          <cell r="G119" t="str">
            <v>Beberli Yuceli Gomez Davila</v>
          </cell>
        </row>
        <row r="120">
          <cell r="F120">
            <v>311141</v>
          </cell>
          <cell r="G120" t="str">
            <v>Beberlin Dayana Veron Garcia</v>
          </cell>
        </row>
        <row r="121">
          <cell r="F121">
            <v>312544</v>
          </cell>
          <cell r="G121" t="str">
            <v>Beberly Angeaneth Gonzalez Ruiz</v>
          </cell>
        </row>
        <row r="122">
          <cell r="F122">
            <v>309965</v>
          </cell>
          <cell r="G122" t="str">
            <v>Beberly Karina Ramirez Ismatul</v>
          </cell>
        </row>
        <row r="123">
          <cell r="F123">
            <v>313675</v>
          </cell>
          <cell r="G123" t="str">
            <v>Beberly Salvador Zuñiga</v>
          </cell>
        </row>
        <row r="124">
          <cell r="F124">
            <v>311623</v>
          </cell>
          <cell r="G124" t="str">
            <v>Belgica Lizeth Can Guitz</v>
          </cell>
        </row>
        <row r="125">
          <cell r="F125">
            <v>314219</v>
          </cell>
          <cell r="G125" t="str">
            <v>Berta Leticia Yapan Pelen</v>
          </cell>
        </row>
        <row r="126">
          <cell r="F126">
            <v>314495</v>
          </cell>
          <cell r="G126" t="str">
            <v>Bertha Lidia Morataya Diaz</v>
          </cell>
        </row>
        <row r="127">
          <cell r="F127">
            <v>310116</v>
          </cell>
          <cell r="G127" t="str">
            <v>Bertha Rosalba Gabriel Vasquez</v>
          </cell>
        </row>
        <row r="128">
          <cell r="F128">
            <v>312164</v>
          </cell>
          <cell r="G128" t="str">
            <v>Betzy Dayana Gutierrez Chon</v>
          </cell>
        </row>
        <row r="129">
          <cell r="F129">
            <v>314695</v>
          </cell>
          <cell r="G129" t="str">
            <v>Beverly Jeanette Panjoj Tiriquiz</v>
          </cell>
        </row>
        <row r="130">
          <cell r="F130">
            <v>305070</v>
          </cell>
          <cell r="G130" t="str">
            <v>Beverly Walesca Morales Ibarra</v>
          </cell>
        </row>
        <row r="131">
          <cell r="F131">
            <v>314496</v>
          </cell>
          <cell r="G131" t="str">
            <v>Blanca Cristina Saquic Ac</v>
          </cell>
        </row>
        <row r="132">
          <cell r="F132">
            <v>310463</v>
          </cell>
          <cell r="G132" t="str">
            <v>Blanca Olinda Quintanilla Godoy</v>
          </cell>
        </row>
        <row r="133">
          <cell r="F133">
            <v>315542</v>
          </cell>
          <cell r="G133" t="str">
            <v>Brandon Alberto Jerez Cajas</v>
          </cell>
        </row>
        <row r="134">
          <cell r="F134">
            <v>313655</v>
          </cell>
          <cell r="G134" t="str">
            <v>Brandon Antonio Alvarez Lopez</v>
          </cell>
        </row>
        <row r="135">
          <cell r="F135">
            <v>311035</v>
          </cell>
          <cell r="G135" t="str">
            <v>Brandon Ivan De Mata Monzon</v>
          </cell>
        </row>
        <row r="136">
          <cell r="F136">
            <v>315227</v>
          </cell>
          <cell r="G136" t="str">
            <v>Brayan Alexander Lopez Garcia</v>
          </cell>
        </row>
        <row r="137">
          <cell r="F137">
            <v>311689</v>
          </cell>
          <cell r="G137" t="str">
            <v>Brayan Alexander Recancoy Ramos</v>
          </cell>
        </row>
        <row r="138">
          <cell r="F138">
            <v>314853</v>
          </cell>
          <cell r="G138" t="str">
            <v>Brayan Dennis Lopez Puac</v>
          </cell>
        </row>
        <row r="139">
          <cell r="F139">
            <v>310812</v>
          </cell>
          <cell r="G139" t="str">
            <v>Brayan Franklin Lopez Alvarez</v>
          </cell>
        </row>
        <row r="140">
          <cell r="F140">
            <v>308857</v>
          </cell>
          <cell r="G140" t="str">
            <v>Brenda Elizabeth Sanchez Barrientos</v>
          </cell>
        </row>
        <row r="141">
          <cell r="F141">
            <v>305633</v>
          </cell>
          <cell r="G141" t="str">
            <v>Brenda Esmeralda Alvarado Pascual</v>
          </cell>
        </row>
        <row r="142">
          <cell r="F142">
            <v>311220</v>
          </cell>
          <cell r="G142" t="str">
            <v>Brenda Karina Coxaj Peinado</v>
          </cell>
        </row>
        <row r="143">
          <cell r="F143">
            <v>314642</v>
          </cell>
          <cell r="G143" t="str">
            <v>Brenda Liseth Ixcoy Tulujan</v>
          </cell>
        </row>
        <row r="144">
          <cell r="F144">
            <v>304427</v>
          </cell>
          <cell r="G144" t="str">
            <v>Brenda Lucrecia Lopez Gonzalez</v>
          </cell>
        </row>
        <row r="145">
          <cell r="F145">
            <v>315536</v>
          </cell>
          <cell r="G145" t="str">
            <v>Brenda Lucrecia Ruiz Sanchez</v>
          </cell>
        </row>
        <row r="146">
          <cell r="F146">
            <v>310019</v>
          </cell>
          <cell r="G146" t="str">
            <v>Brenda Maribel Montenegro Reyes</v>
          </cell>
        </row>
        <row r="147">
          <cell r="F147">
            <v>301074</v>
          </cell>
          <cell r="G147" t="str">
            <v>Brenda Marisol Aguilar Patzan</v>
          </cell>
        </row>
        <row r="148">
          <cell r="F148">
            <v>313843</v>
          </cell>
          <cell r="G148" t="str">
            <v>Brenda Marisol Sanchez Chivalan</v>
          </cell>
        </row>
        <row r="149">
          <cell r="F149">
            <v>309042</v>
          </cell>
          <cell r="G149" t="str">
            <v>Brenda Perez Morales</v>
          </cell>
        </row>
        <row r="150">
          <cell r="F150">
            <v>306259</v>
          </cell>
          <cell r="G150" t="str">
            <v>Brenda Raquel Ramirez Sanchez</v>
          </cell>
        </row>
        <row r="151">
          <cell r="F151">
            <v>315398</v>
          </cell>
          <cell r="G151" t="str">
            <v>Bretany Celeste Ramirez Monroy</v>
          </cell>
        </row>
        <row r="152">
          <cell r="F152">
            <v>313436</v>
          </cell>
          <cell r="G152" t="str">
            <v>Brian Baudilio Orozco Perez</v>
          </cell>
        </row>
        <row r="153">
          <cell r="F153">
            <v>310691</v>
          </cell>
          <cell r="G153" t="str">
            <v>Brisley Cristina Ortiz Zelada</v>
          </cell>
        </row>
        <row r="154">
          <cell r="F154">
            <v>314290</v>
          </cell>
          <cell r="G154" t="str">
            <v>Bryan Alexander Emanuel Orozco Lancerio</v>
          </cell>
        </row>
        <row r="155">
          <cell r="F155">
            <v>315133</v>
          </cell>
          <cell r="G155" t="str">
            <v>Bryan Daniel Milián De Leon</v>
          </cell>
        </row>
        <row r="156">
          <cell r="F156">
            <v>307335</v>
          </cell>
          <cell r="G156" t="str">
            <v>Bryllan Armando Sierra Sierra</v>
          </cell>
        </row>
        <row r="157">
          <cell r="F157">
            <v>314864</v>
          </cell>
          <cell r="G157" t="str">
            <v>Byron Estuardo Paredes Villela</v>
          </cell>
        </row>
        <row r="158">
          <cell r="F158">
            <v>313648</v>
          </cell>
          <cell r="G158" t="str">
            <v>Byron Giovanni Veliz Vasquez</v>
          </cell>
        </row>
        <row r="159">
          <cell r="F159">
            <v>303766</v>
          </cell>
          <cell r="G159" t="str">
            <v>Byron Josue Moscoso Vega</v>
          </cell>
        </row>
        <row r="160">
          <cell r="F160">
            <v>313985</v>
          </cell>
          <cell r="G160" t="str">
            <v>Byron Mauricio Amezquita Rivas</v>
          </cell>
        </row>
        <row r="161">
          <cell r="F161">
            <v>315267</v>
          </cell>
          <cell r="G161" t="str">
            <v>Carla Esmeralda Candido Gonzalez</v>
          </cell>
        </row>
        <row r="162">
          <cell r="F162">
            <v>314451</v>
          </cell>
          <cell r="G162" t="str">
            <v>Carla Fernanda Fernandez Lopez</v>
          </cell>
        </row>
        <row r="163">
          <cell r="F163">
            <v>312153</v>
          </cell>
          <cell r="G163" t="str">
            <v>Carlos Adalberto Diaz Escobar</v>
          </cell>
        </row>
        <row r="164">
          <cell r="F164">
            <v>315125</v>
          </cell>
          <cell r="G164" t="str">
            <v>Carlos Alberto Galvez Hernandez</v>
          </cell>
        </row>
        <row r="165">
          <cell r="F165">
            <v>314135</v>
          </cell>
          <cell r="G165" t="str">
            <v>Carlos Alberto Guzman Hernandez</v>
          </cell>
        </row>
        <row r="166">
          <cell r="F166">
            <v>315051</v>
          </cell>
          <cell r="G166" t="str">
            <v>Carlos Alfredo Catun Rax</v>
          </cell>
        </row>
        <row r="167">
          <cell r="F167">
            <v>309822</v>
          </cell>
          <cell r="G167" t="str">
            <v>Carlos Anibal Caal Tux</v>
          </cell>
        </row>
        <row r="168">
          <cell r="F168">
            <v>302371</v>
          </cell>
          <cell r="G168" t="str">
            <v>Carlos Arturo Straube Lopez</v>
          </cell>
        </row>
        <row r="169">
          <cell r="F169">
            <v>314738</v>
          </cell>
          <cell r="G169" t="str">
            <v>Carlos David Castillo Gamboa</v>
          </cell>
        </row>
        <row r="170">
          <cell r="F170">
            <v>315158</v>
          </cell>
          <cell r="G170" t="str">
            <v>Carlos Emilio Cumez Chenol</v>
          </cell>
        </row>
        <row r="171">
          <cell r="F171">
            <v>312533</v>
          </cell>
          <cell r="G171" t="str">
            <v>Carlos Enrique Coz Toc</v>
          </cell>
        </row>
        <row r="172">
          <cell r="F172">
            <v>314773</v>
          </cell>
          <cell r="G172" t="str">
            <v>Carlos Enrique Ramirez Lopez</v>
          </cell>
        </row>
        <row r="173">
          <cell r="F173">
            <v>313303</v>
          </cell>
          <cell r="G173" t="str">
            <v>Carlos Enrique Vasquez Esteban</v>
          </cell>
        </row>
        <row r="174">
          <cell r="F174">
            <v>314841</v>
          </cell>
          <cell r="G174" t="str">
            <v>Carlos Estuardo Campos Asig</v>
          </cell>
        </row>
        <row r="175">
          <cell r="F175">
            <v>308075</v>
          </cell>
          <cell r="G175" t="str">
            <v>Carlos Humberto De Paz Paiz</v>
          </cell>
        </row>
        <row r="176">
          <cell r="F176">
            <v>314441</v>
          </cell>
          <cell r="G176" t="str">
            <v>Carlos Josue Perez Garcia</v>
          </cell>
        </row>
        <row r="177">
          <cell r="F177">
            <v>202153</v>
          </cell>
          <cell r="G177" t="str">
            <v>Carlos Leonel Corado Sosa</v>
          </cell>
        </row>
        <row r="178">
          <cell r="F178">
            <v>313324</v>
          </cell>
          <cell r="G178" t="str">
            <v>Carlos Miguel Carrillo Perez</v>
          </cell>
        </row>
        <row r="179">
          <cell r="F179">
            <v>310535</v>
          </cell>
          <cell r="G179" t="str">
            <v>Carlos Oliverio Ortiz Villalobos</v>
          </cell>
        </row>
        <row r="180">
          <cell r="F180">
            <v>315501</v>
          </cell>
          <cell r="G180" t="str">
            <v>Carlos Onofre Sierra Vasquez</v>
          </cell>
        </row>
        <row r="181">
          <cell r="F181">
            <v>313844</v>
          </cell>
          <cell r="G181" t="str">
            <v>Carlos Raul Pedroza Lopez</v>
          </cell>
        </row>
        <row r="182">
          <cell r="F182">
            <v>315111</v>
          </cell>
          <cell r="G182" t="str">
            <v>Carlos Roberto Arana Garcia</v>
          </cell>
        </row>
        <row r="183">
          <cell r="F183">
            <v>304522</v>
          </cell>
          <cell r="G183" t="str">
            <v>Carlos Saul Santizo Lopez</v>
          </cell>
        </row>
        <row r="184">
          <cell r="F184">
            <v>315182</v>
          </cell>
          <cell r="G184" t="str">
            <v>Carmen Amalia Macario Rixtun</v>
          </cell>
        </row>
        <row r="185">
          <cell r="F185">
            <v>311800</v>
          </cell>
          <cell r="G185" t="str">
            <v>Carmen Elizabeth Vargas Tun</v>
          </cell>
        </row>
        <row r="186">
          <cell r="F186">
            <v>312849</v>
          </cell>
          <cell r="G186" t="str">
            <v>Carmen Liliana Subuyuj Ordoñez</v>
          </cell>
        </row>
        <row r="187">
          <cell r="F187">
            <v>315498</v>
          </cell>
          <cell r="G187" t="str">
            <v>Carolina Azucena Lima Contreras</v>
          </cell>
        </row>
        <row r="188">
          <cell r="F188">
            <v>312692</v>
          </cell>
          <cell r="G188" t="str">
            <v>Catarina Del Rosario Lopez Taquiej</v>
          </cell>
        </row>
        <row r="189">
          <cell r="F189">
            <v>314287</v>
          </cell>
          <cell r="G189" t="str">
            <v>Caterin Berenise Cayax Atz</v>
          </cell>
        </row>
        <row r="190">
          <cell r="F190">
            <v>313662</v>
          </cell>
          <cell r="G190" t="str">
            <v>Catirin Marbella Juarez Garcia</v>
          </cell>
        </row>
        <row r="191">
          <cell r="F191">
            <v>307766</v>
          </cell>
          <cell r="G191" t="str">
            <v>Cecia Amabil Lopez Valencia</v>
          </cell>
        </row>
        <row r="192">
          <cell r="F192">
            <v>311730</v>
          </cell>
          <cell r="G192" t="str">
            <v>Cecilia Margoth Lopez Raymundo</v>
          </cell>
        </row>
        <row r="193">
          <cell r="F193">
            <v>314955</v>
          </cell>
          <cell r="G193" t="str">
            <v>Celia Esperanza Arroyo Chiche</v>
          </cell>
        </row>
        <row r="194">
          <cell r="F194">
            <v>310950</v>
          </cell>
          <cell r="G194" t="str">
            <v>Cendy Regina Axulen Gonzalez</v>
          </cell>
        </row>
        <row r="195">
          <cell r="F195">
            <v>314640</v>
          </cell>
          <cell r="G195" t="str">
            <v>Cesar Estuardo Perez Monterroso</v>
          </cell>
        </row>
        <row r="196">
          <cell r="F196">
            <v>300192</v>
          </cell>
          <cell r="G196" t="str">
            <v>Cesar Fernando Reyna Almengor</v>
          </cell>
        </row>
        <row r="197">
          <cell r="F197">
            <v>313484</v>
          </cell>
          <cell r="G197" t="str">
            <v>Cesar Geovanni Tuc Sum</v>
          </cell>
        </row>
        <row r="198">
          <cell r="F198">
            <v>303330</v>
          </cell>
          <cell r="G198" t="str">
            <v>Cesar Geovanny De Leon Palacios</v>
          </cell>
        </row>
        <row r="199">
          <cell r="F199">
            <v>314446</v>
          </cell>
          <cell r="G199" t="str">
            <v>Cesar Humberto Cazun Hernandez</v>
          </cell>
        </row>
        <row r="200">
          <cell r="F200">
            <v>314900</v>
          </cell>
          <cell r="G200" t="str">
            <v>Cesar Oliverio Orozco Flores</v>
          </cell>
        </row>
        <row r="201">
          <cell r="F201">
            <v>311692</v>
          </cell>
          <cell r="G201" t="str">
            <v>Cesia Paola Marroquin Sanchez</v>
          </cell>
        </row>
        <row r="202">
          <cell r="F202">
            <v>315401</v>
          </cell>
          <cell r="G202" t="str">
            <v>Christa Maria Belen Barrera Mazariegos</v>
          </cell>
        </row>
        <row r="203">
          <cell r="F203">
            <v>315509</v>
          </cell>
          <cell r="G203" t="str">
            <v>Christiam Daniel Arroyo Cisneros</v>
          </cell>
        </row>
        <row r="204">
          <cell r="F204">
            <v>310362</v>
          </cell>
          <cell r="G204" t="str">
            <v>Christian Alejandro Tistoj Lopez</v>
          </cell>
        </row>
        <row r="205">
          <cell r="F205">
            <v>315525</v>
          </cell>
          <cell r="G205" t="str">
            <v>Christian Bladimir Panjoj Mejia</v>
          </cell>
        </row>
        <row r="206">
          <cell r="F206">
            <v>314565</v>
          </cell>
          <cell r="G206" t="str">
            <v>Christian Eduardo Celada Orellana</v>
          </cell>
        </row>
        <row r="207">
          <cell r="F207">
            <v>309907</v>
          </cell>
          <cell r="G207" t="str">
            <v>Christofer Antonio Chali Bacajol</v>
          </cell>
        </row>
        <row r="208">
          <cell r="F208">
            <v>312703</v>
          </cell>
          <cell r="G208" t="str">
            <v>Cindy Aracely Ruano Can</v>
          </cell>
        </row>
        <row r="209">
          <cell r="F209">
            <v>307760</v>
          </cell>
          <cell r="G209" t="str">
            <v>Cindy Beatriz Reyes De Leon</v>
          </cell>
        </row>
        <row r="210">
          <cell r="F210">
            <v>312950</v>
          </cell>
          <cell r="G210" t="str">
            <v>Cindy Carolina Sandoval Ruiz</v>
          </cell>
        </row>
        <row r="211">
          <cell r="F211">
            <v>312302</v>
          </cell>
          <cell r="G211" t="str">
            <v>Cindy Gabriela Chanchavac Mejia</v>
          </cell>
        </row>
        <row r="212">
          <cell r="F212">
            <v>315484</v>
          </cell>
          <cell r="G212" t="str">
            <v>Cindy Gabriela Perez</v>
          </cell>
        </row>
        <row r="213">
          <cell r="F213">
            <v>312872</v>
          </cell>
          <cell r="G213" t="str">
            <v>Cindy Judith Urizar Davila</v>
          </cell>
        </row>
        <row r="214">
          <cell r="F214">
            <v>312532</v>
          </cell>
          <cell r="G214" t="str">
            <v>Cindy Melissa Cordon Alfaro</v>
          </cell>
        </row>
        <row r="215">
          <cell r="F215">
            <v>314028</v>
          </cell>
          <cell r="G215" t="str">
            <v>Cindy Paola Garcia Monroy</v>
          </cell>
        </row>
        <row r="216">
          <cell r="F216">
            <v>314689</v>
          </cell>
          <cell r="G216" t="str">
            <v>Cindy Veronica Bran Polanco</v>
          </cell>
        </row>
        <row r="217">
          <cell r="F217">
            <v>314409</v>
          </cell>
          <cell r="G217" t="str">
            <v>Cindy Yenibeth Cano Claudio</v>
          </cell>
        </row>
        <row r="218">
          <cell r="F218">
            <v>310946</v>
          </cell>
          <cell r="G218" t="str">
            <v>Cindy Yesenia Morales Quevedo De Abril</v>
          </cell>
        </row>
        <row r="219">
          <cell r="F219">
            <v>312831</v>
          </cell>
          <cell r="G219" t="str">
            <v>Cindy Yojana Mendoza Cajas</v>
          </cell>
        </row>
        <row r="220">
          <cell r="F220">
            <v>312181</v>
          </cell>
          <cell r="G220" t="str">
            <v>Clara Elizabeth Joge Torres</v>
          </cell>
        </row>
        <row r="221">
          <cell r="F221">
            <v>310768</v>
          </cell>
          <cell r="G221" t="str">
            <v>Clara Lorena Perez Hernandez</v>
          </cell>
        </row>
        <row r="222">
          <cell r="F222">
            <v>315453</v>
          </cell>
          <cell r="G222" t="str">
            <v>Claudia Analy Argueta Matias</v>
          </cell>
        </row>
        <row r="223">
          <cell r="F223">
            <v>306444</v>
          </cell>
          <cell r="G223" t="str">
            <v>Claudia Dolores Barcenas Guillen</v>
          </cell>
        </row>
        <row r="224">
          <cell r="F224">
            <v>301809</v>
          </cell>
          <cell r="G224" t="str">
            <v>Claudia Eugenia Chavarria Ramos</v>
          </cell>
        </row>
        <row r="225">
          <cell r="F225">
            <v>311808</v>
          </cell>
          <cell r="G225" t="str">
            <v>Claudia Lorena Quino Isaguirre</v>
          </cell>
        </row>
        <row r="226">
          <cell r="F226">
            <v>314574</v>
          </cell>
          <cell r="G226" t="str">
            <v>Claudia Marisol Esquivel Ramirez</v>
          </cell>
        </row>
        <row r="227">
          <cell r="F227">
            <v>313613</v>
          </cell>
          <cell r="G227" t="str">
            <v>Claudia Noemi Marroquin Perez</v>
          </cell>
        </row>
        <row r="228">
          <cell r="F228">
            <v>306569</v>
          </cell>
          <cell r="G228" t="str">
            <v>Claudia Susana Garcia</v>
          </cell>
        </row>
        <row r="229">
          <cell r="F229">
            <v>311441</v>
          </cell>
          <cell r="G229" t="str">
            <v>Claudia Yaneth Hidalgo Gonzalez</v>
          </cell>
        </row>
        <row r="230">
          <cell r="F230">
            <v>303265</v>
          </cell>
          <cell r="G230" t="str">
            <v>Claudia Yesenia Pinto Picen</v>
          </cell>
        </row>
        <row r="231">
          <cell r="F231">
            <v>313318</v>
          </cell>
          <cell r="G231" t="str">
            <v>Claudia Yesenia Ramos Perez</v>
          </cell>
        </row>
        <row r="232">
          <cell r="F232">
            <v>309535</v>
          </cell>
          <cell r="G232" t="str">
            <v>Coralia Brenda Judith Ruano Hernandez</v>
          </cell>
        </row>
        <row r="233">
          <cell r="F233">
            <v>310711</v>
          </cell>
          <cell r="G233" t="str">
            <v>Cristian Alfredo Jimenez Quino</v>
          </cell>
        </row>
        <row r="234">
          <cell r="F234">
            <v>312995</v>
          </cell>
          <cell r="G234" t="str">
            <v>Cristian Esleiter Zuleta Batres</v>
          </cell>
        </row>
        <row r="235">
          <cell r="F235">
            <v>314701</v>
          </cell>
          <cell r="G235" t="str">
            <v>Cristian Orlando Leonardo Cortez</v>
          </cell>
        </row>
        <row r="236">
          <cell r="F236">
            <v>314612</v>
          </cell>
          <cell r="G236" t="str">
            <v>Cristian Romulo Rolando Cojulun Barrera</v>
          </cell>
        </row>
        <row r="237">
          <cell r="F237">
            <v>314468</v>
          </cell>
          <cell r="G237" t="str">
            <v>Cristian Salvador Perez Quiroa</v>
          </cell>
        </row>
        <row r="238">
          <cell r="F238">
            <v>314670</v>
          </cell>
          <cell r="G238" t="str">
            <v>Cristian Tomas Chuc Perez</v>
          </cell>
        </row>
        <row r="239">
          <cell r="F239">
            <v>315578</v>
          </cell>
          <cell r="G239" t="str">
            <v>Cristian Ubaldo De Leon Ramirez</v>
          </cell>
        </row>
        <row r="240">
          <cell r="F240">
            <v>307449</v>
          </cell>
          <cell r="G240" t="str">
            <v>Cristina De Jesus Hernandez Macajola</v>
          </cell>
        </row>
        <row r="241">
          <cell r="F241">
            <v>306823</v>
          </cell>
          <cell r="G241" t="str">
            <v>Cristina Mariela Sapon Morales</v>
          </cell>
        </row>
        <row r="242">
          <cell r="F242">
            <v>313589</v>
          </cell>
          <cell r="G242" t="str">
            <v>Cristobal Vinicio Chacon Rosana</v>
          </cell>
        </row>
        <row r="243">
          <cell r="F243">
            <v>310386</v>
          </cell>
          <cell r="G243" t="str">
            <v>Cristy Charito Bran Guerra</v>
          </cell>
        </row>
        <row r="244">
          <cell r="F244">
            <v>314883</v>
          </cell>
          <cell r="G244" t="str">
            <v>Cynthia Guisela Samayoa Aldana</v>
          </cell>
        </row>
        <row r="245">
          <cell r="F245">
            <v>313709</v>
          </cell>
          <cell r="G245" t="str">
            <v>Cynthia Marisol Gonzalez Vargas</v>
          </cell>
        </row>
        <row r="246">
          <cell r="F246">
            <v>314097</v>
          </cell>
          <cell r="G246" t="str">
            <v>Cynthia Rosaura Cruz Cosajay</v>
          </cell>
        </row>
        <row r="247">
          <cell r="F247">
            <v>314981</v>
          </cell>
          <cell r="G247" t="str">
            <v>Dalila Marisol Ramos Galan</v>
          </cell>
        </row>
        <row r="248">
          <cell r="F248">
            <v>308765</v>
          </cell>
          <cell r="G248" t="str">
            <v>Damaris Abigail Garcia Perez</v>
          </cell>
        </row>
        <row r="249">
          <cell r="F249">
            <v>315256</v>
          </cell>
          <cell r="G249" t="str">
            <v>Damaris Abigail Urizar Martinez</v>
          </cell>
        </row>
        <row r="250">
          <cell r="F250">
            <v>312949</v>
          </cell>
          <cell r="G250" t="str">
            <v>Damaris Liseth Sagastume Pinto</v>
          </cell>
        </row>
        <row r="251">
          <cell r="F251">
            <v>314411</v>
          </cell>
          <cell r="G251" t="str">
            <v>Damaris Paola Gonzalez Gallardo</v>
          </cell>
        </row>
        <row r="252">
          <cell r="F252">
            <v>314179</v>
          </cell>
          <cell r="G252" t="str">
            <v>Damaris Sucely Mendez Roche</v>
          </cell>
        </row>
        <row r="253">
          <cell r="F253">
            <v>314276</v>
          </cell>
          <cell r="G253" t="str">
            <v>Damaris Violeta Gonzalez Miguel</v>
          </cell>
        </row>
        <row r="254">
          <cell r="F254">
            <v>313514</v>
          </cell>
          <cell r="G254" t="str">
            <v>Danae Melissa Xitumul Ruiz</v>
          </cell>
        </row>
        <row r="255">
          <cell r="F255">
            <v>313868</v>
          </cell>
          <cell r="G255" t="str">
            <v>Danely Arleth Rubin Escobar</v>
          </cell>
        </row>
        <row r="256">
          <cell r="F256">
            <v>315480</v>
          </cell>
          <cell r="G256" t="str">
            <v>Daneylie Abigalie Dardon Gomez</v>
          </cell>
        </row>
        <row r="257">
          <cell r="F257">
            <v>314406</v>
          </cell>
          <cell r="G257" t="str">
            <v>Daniel Abrahan Castillo Hernandez</v>
          </cell>
        </row>
        <row r="258">
          <cell r="F258">
            <v>314646</v>
          </cell>
          <cell r="G258" t="str">
            <v>Daniel Alfredo Aguirre Marroquin</v>
          </cell>
        </row>
        <row r="259">
          <cell r="F259">
            <v>305521</v>
          </cell>
          <cell r="G259" t="str">
            <v>Daniel Antonio Aceituno Paredes</v>
          </cell>
        </row>
        <row r="260">
          <cell r="F260">
            <v>315568</v>
          </cell>
          <cell r="G260" t="str">
            <v>Daniel Isai Moran Lima</v>
          </cell>
        </row>
        <row r="261">
          <cell r="F261">
            <v>310374</v>
          </cell>
          <cell r="G261" t="str">
            <v>Daniela Amarilis Davila Juarez</v>
          </cell>
        </row>
        <row r="262">
          <cell r="F262">
            <v>315104</v>
          </cell>
          <cell r="G262" t="str">
            <v>Dany Adalberto Choc Bac</v>
          </cell>
        </row>
        <row r="263">
          <cell r="F263">
            <v>314807</v>
          </cell>
          <cell r="G263" t="str">
            <v>Daomi Mishel Larios Morales</v>
          </cell>
        </row>
        <row r="264">
          <cell r="F264">
            <v>312391</v>
          </cell>
          <cell r="G264" t="str">
            <v>Daphne Pamela Lopez Rodriguez</v>
          </cell>
        </row>
        <row r="265">
          <cell r="F265">
            <v>312172</v>
          </cell>
          <cell r="G265" t="str">
            <v>Darbin Alejandro Soto Rodriguez</v>
          </cell>
        </row>
        <row r="266">
          <cell r="F266">
            <v>314845</v>
          </cell>
          <cell r="G266" t="str">
            <v>Darissa Anahi Galindo Monzon</v>
          </cell>
        </row>
        <row r="267">
          <cell r="F267">
            <v>312419</v>
          </cell>
          <cell r="G267" t="str">
            <v>Darli Asuceli Florian Garcia</v>
          </cell>
        </row>
        <row r="268">
          <cell r="F268">
            <v>312836</v>
          </cell>
          <cell r="G268" t="str">
            <v>Darlin Estefany Coyoy Rivas</v>
          </cell>
        </row>
        <row r="269">
          <cell r="F269">
            <v>312077</v>
          </cell>
          <cell r="G269" t="str">
            <v>Darlin Pamela Aguilar De La Cruz</v>
          </cell>
        </row>
        <row r="270">
          <cell r="F270">
            <v>314775</v>
          </cell>
          <cell r="G270" t="str">
            <v>Darlyn Dayanara Cortez Ramirez</v>
          </cell>
        </row>
        <row r="271">
          <cell r="F271">
            <v>312223</v>
          </cell>
          <cell r="G271" t="str">
            <v>Darlyn Guadalupe Barrios Yax</v>
          </cell>
        </row>
        <row r="272">
          <cell r="F272">
            <v>309926</v>
          </cell>
          <cell r="G272" t="str">
            <v>Darwin Alexis Ponciano Cruz</v>
          </cell>
        </row>
        <row r="273">
          <cell r="F273">
            <v>315167</v>
          </cell>
          <cell r="G273" t="str">
            <v>Darwin Omar Cabrera Cheguen</v>
          </cell>
        </row>
        <row r="274">
          <cell r="F274">
            <v>310390</v>
          </cell>
          <cell r="G274" t="str">
            <v>Dauris Yomira Tellechea Lopez</v>
          </cell>
        </row>
        <row r="275">
          <cell r="F275">
            <v>202076</v>
          </cell>
          <cell r="G275" t="str">
            <v>David De Jesus Quel Orozco</v>
          </cell>
        </row>
        <row r="276">
          <cell r="F276">
            <v>314891</v>
          </cell>
          <cell r="G276" t="str">
            <v>David Emanuel Cachin Morales</v>
          </cell>
        </row>
        <row r="277">
          <cell r="F277">
            <v>309831</v>
          </cell>
          <cell r="G277" t="str">
            <v>David Mejia Vicente</v>
          </cell>
        </row>
        <row r="278">
          <cell r="F278">
            <v>315533</v>
          </cell>
          <cell r="G278" t="str">
            <v>Dayana Paola Lopez Bolanos</v>
          </cell>
        </row>
        <row r="279">
          <cell r="F279">
            <v>314017</v>
          </cell>
          <cell r="G279" t="str">
            <v>Dayanna Beatriz Cachupe Chavac</v>
          </cell>
        </row>
        <row r="280">
          <cell r="F280">
            <v>314852</v>
          </cell>
          <cell r="G280" t="str">
            <v>Daylin Ambrocia Cruz Lopez</v>
          </cell>
        </row>
        <row r="281">
          <cell r="F281">
            <v>313408</v>
          </cell>
          <cell r="G281" t="str">
            <v>Dayne Dalu Sanchez Hernandez</v>
          </cell>
        </row>
        <row r="282">
          <cell r="F282">
            <v>315552</v>
          </cell>
          <cell r="G282" t="str">
            <v>Debora Eunice Tzay Chuluc</v>
          </cell>
        </row>
        <row r="283">
          <cell r="F283">
            <v>313629</v>
          </cell>
          <cell r="G283" t="str">
            <v>Debora Madahi Escobar Gomez</v>
          </cell>
        </row>
        <row r="284">
          <cell r="F284">
            <v>315270</v>
          </cell>
          <cell r="G284" t="str">
            <v>Debora Paola Sepez Cuc</v>
          </cell>
        </row>
        <row r="285">
          <cell r="F285">
            <v>314353</v>
          </cell>
          <cell r="G285" t="str">
            <v>Deisy Gabriela Pineda Paiz</v>
          </cell>
        </row>
        <row r="286">
          <cell r="F286">
            <v>302751</v>
          </cell>
          <cell r="G286" t="str">
            <v>Delia Virginia Piedrasanta Parra</v>
          </cell>
        </row>
        <row r="287">
          <cell r="F287">
            <v>201031</v>
          </cell>
          <cell r="G287" t="str">
            <v>Delio Maynor Lopez Barrios</v>
          </cell>
        </row>
        <row r="288">
          <cell r="F288">
            <v>311758</v>
          </cell>
          <cell r="G288" t="str">
            <v>Delmy Fabiola Orellana Barrientos</v>
          </cell>
        </row>
        <row r="289">
          <cell r="F289">
            <v>307870</v>
          </cell>
          <cell r="G289" t="str">
            <v>Delmy Francisca Lopez Perez</v>
          </cell>
        </row>
        <row r="290">
          <cell r="F290">
            <v>314901</v>
          </cell>
          <cell r="G290" t="str">
            <v>Delmy Vanesa Morales Ramirez</v>
          </cell>
        </row>
        <row r="291">
          <cell r="F291">
            <v>306256</v>
          </cell>
          <cell r="G291" t="str">
            <v>Delwin Leonel Vasquez Barrera</v>
          </cell>
        </row>
        <row r="292">
          <cell r="F292">
            <v>314540</v>
          </cell>
          <cell r="G292" t="str">
            <v>Denilson Laureano De Paz Galdamez</v>
          </cell>
        </row>
        <row r="293">
          <cell r="F293">
            <v>312158</v>
          </cell>
          <cell r="G293" t="str">
            <v>Derick Juan David Coti Camas</v>
          </cell>
        </row>
        <row r="294">
          <cell r="F294">
            <v>315437</v>
          </cell>
          <cell r="G294" t="str">
            <v>Deysi Liliana Caal Oxom</v>
          </cell>
        </row>
        <row r="295">
          <cell r="F295">
            <v>309692</v>
          </cell>
          <cell r="G295" t="str">
            <v>Deysi Margoth Lopez Monroy</v>
          </cell>
        </row>
        <row r="296">
          <cell r="F296">
            <v>309418</v>
          </cell>
          <cell r="G296" t="str">
            <v>Deysi Noemi Aranoli Carias Pimentel</v>
          </cell>
        </row>
        <row r="297">
          <cell r="F297">
            <v>313797</v>
          </cell>
          <cell r="G297" t="str">
            <v>Deysi Paola Lopez Yanes De Conde</v>
          </cell>
        </row>
        <row r="298">
          <cell r="F298">
            <v>312166</v>
          </cell>
          <cell r="G298" t="str">
            <v>Deysi Roxana Pablo Ramirez</v>
          </cell>
        </row>
        <row r="299">
          <cell r="F299">
            <v>313856</v>
          </cell>
          <cell r="G299" t="str">
            <v>Diana Andrea Castillo Mejia</v>
          </cell>
        </row>
        <row r="300">
          <cell r="F300">
            <v>310411</v>
          </cell>
          <cell r="G300" t="str">
            <v>Diana Elizabeth Ayfan Del Cid</v>
          </cell>
        </row>
        <row r="301">
          <cell r="F301">
            <v>315070</v>
          </cell>
          <cell r="G301" t="str">
            <v>Diana Guisela Satey De Leon</v>
          </cell>
        </row>
        <row r="302">
          <cell r="F302">
            <v>315089</v>
          </cell>
          <cell r="G302" t="str">
            <v>Diana Lizeth Acabal Pansay</v>
          </cell>
        </row>
        <row r="303">
          <cell r="F303">
            <v>315209</v>
          </cell>
          <cell r="G303" t="str">
            <v>Diana Mishel Perez Flores</v>
          </cell>
        </row>
        <row r="304">
          <cell r="F304">
            <v>314964</v>
          </cell>
          <cell r="G304" t="str">
            <v>Diana Priscila Reyes Bran</v>
          </cell>
        </row>
        <row r="305">
          <cell r="F305">
            <v>315545</v>
          </cell>
          <cell r="G305" t="str">
            <v>Diego Alejandro Monroy Barillas</v>
          </cell>
        </row>
        <row r="306">
          <cell r="F306">
            <v>314603</v>
          </cell>
          <cell r="G306" t="str">
            <v>Diego Antonio Dubon Suyen</v>
          </cell>
        </row>
        <row r="307">
          <cell r="F307">
            <v>314912</v>
          </cell>
          <cell r="G307" t="str">
            <v>Diego Ezequiel Samayoa Toledo</v>
          </cell>
        </row>
        <row r="308">
          <cell r="F308">
            <v>314021</v>
          </cell>
          <cell r="G308" t="str">
            <v>Diego Josue David Dieguez Vivar</v>
          </cell>
        </row>
        <row r="309">
          <cell r="F309">
            <v>314609</v>
          </cell>
          <cell r="G309" t="str">
            <v>Dilma Carolina Zetino Zepeda</v>
          </cell>
        </row>
        <row r="310">
          <cell r="F310">
            <v>315393</v>
          </cell>
          <cell r="G310" t="str">
            <v>Dina Azucena Ortiz Crispin</v>
          </cell>
        </row>
        <row r="311">
          <cell r="F311">
            <v>301534</v>
          </cell>
          <cell r="G311" t="str">
            <v>Donald Alejandro Mendez Mayen</v>
          </cell>
        </row>
        <row r="312">
          <cell r="F312">
            <v>314070</v>
          </cell>
          <cell r="G312" t="str">
            <v>Donetta Diaz Oroman</v>
          </cell>
        </row>
        <row r="313">
          <cell r="F313">
            <v>313316</v>
          </cell>
          <cell r="G313" t="str">
            <v>Dora Estefany Garcia Zetino</v>
          </cell>
        </row>
        <row r="314">
          <cell r="F314">
            <v>308707</v>
          </cell>
          <cell r="G314" t="str">
            <v>Dorcas Raquel Palacios Reyes</v>
          </cell>
        </row>
        <row r="315">
          <cell r="F315">
            <v>308921</v>
          </cell>
          <cell r="G315" t="str">
            <v>Doris Elizabeth Sandoval Gonzalez</v>
          </cell>
        </row>
        <row r="316">
          <cell r="F316">
            <v>315057</v>
          </cell>
          <cell r="G316" t="str">
            <v>Dorman Fernando Gomez Perez</v>
          </cell>
        </row>
        <row r="317">
          <cell r="F317">
            <v>312651</v>
          </cell>
          <cell r="G317" t="str">
            <v>Douglas Alberto Luna</v>
          </cell>
        </row>
        <row r="318">
          <cell r="F318">
            <v>314635</v>
          </cell>
          <cell r="G318" t="str">
            <v>Douglas Armando Garcia Machic</v>
          </cell>
        </row>
        <row r="319">
          <cell r="F319">
            <v>313351</v>
          </cell>
          <cell r="G319" t="str">
            <v>Douglas Nehemias Paz Agustin</v>
          </cell>
        </row>
        <row r="320">
          <cell r="F320">
            <v>309154</v>
          </cell>
          <cell r="G320" t="str">
            <v>Duglas Alexander Ramirez</v>
          </cell>
        </row>
        <row r="321">
          <cell r="F321">
            <v>310593</v>
          </cell>
          <cell r="G321" t="str">
            <v>Dulce Estrellita Boche Pineda</v>
          </cell>
        </row>
        <row r="322">
          <cell r="F322">
            <v>312578</v>
          </cell>
          <cell r="G322" t="str">
            <v>Dulce Fabiola Cabrera Alvarado</v>
          </cell>
        </row>
        <row r="323">
          <cell r="F323">
            <v>314977</v>
          </cell>
          <cell r="G323" t="str">
            <v>Dulce Gollin Garcia</v>
          </cell>
        </row>
        <row r="324">
          <cell r="F324">
            <v>315028</v>
          </cell>
          <cell r="G324" t="str">
            <v>Dulce Maria Barillas Pineda</v>
          </cell>
        </row>
        <row r="325">
          <cell r="F325">
            <v>314016</v>
          </cell>
          <cell r="G325" t="str">
            <v>Dulce Maria De Los Angeles Carranza Poitan</v>
          </cell>
        </row>
        <row r="326">
          <cell r="F326">
            <v>314338</v>
          </cell>
          <cell r="G326" t="str">
            <v>Dulce Maria Sican Galicia</v>
          </cell>
        </row>
        <row r="327">
          <cell r="F327">
            <v>301052</v>
          </cell>
          <cell r="G327" t="str">
            <v>Dulsse Gabriela Muñoz Giordano</v>
          </cell>
        </row>
        <row r="328">
          <cell r="F328">
            <v>313406</v>
          </cell>
          <cell r="G328" t="str">
            <v>Duncan Vladimir Fuentes Marroquin</v>
          </cell>
        </row>
        <row r="329">
          <cell r="F329">
            <v>315551</v>
          </cell>
          <cell r="G329" t="str">
            <v>Dylan Anderson Rodriguez Paredes</v>
          </cell>
        </row>
        <row r="330">
          <cell r="F330">
            <v>301579</v>
          </cell>
          <cell r="G330" t="str">
            <v>Eber Manuel Valdes Samayoa</v>
          </cell>
        </row>
        <row r="331">
          <cell r="F331">
            <v>314077</v>
          </cell>
          <cell r="G331" t="str">
            <v>Eddy Estuardo Lool Calderon</v>
          </cell>
        </row>
        <row r="332">
          <cell r="F332">
            <v>304630</v>
          </cell>
          <cell r="G332" t="str">
            <v>Eddy Jose Cabrera Rivas</v>
          </cell>
        </row>
        <row r="333">
          <cell r="F333">
            <v>315163</v>
          </cell>
          <cell r="G333" t="str">
            <v>Edgar Alejandro Alvarado Juarez</v>
          </cell>
        </row>
        <row r="334">
          <cell r="F334">
            <v>314231</v>
          </cell>
          <cell r="G334" t="str">
            <v>Edgar Alfonso Escoto Asig</v>
          </cell>
        </row>
        <row r="335">
          <cell r="F335">
            <v>312910</v>
          </cell>
          <cell r="G335" t="str">
            <v>Edgar Augusto Lara Joachin</v>
          </cell>
        </row>
        <row r="336">
          <cell r="F336">
            <v>314531</v>
          </cell>
          <cell r="G336" t="str">
            <v>Edgar Josue Lopez Cahuec</v>
          </cell>
        </row>
        <row r="337">
          <cell r="F337">
            <v>309428</v>
          </cell>
          <cell r="G337" t="str">
            <v>Edgar Manrique Flores Sanchez</v>
          </cell>
        </row>
        <row r="338">
          <cell r="F338">
            <v>313559</v>
          </cell>
          <cell r="G338" t="str">
            <v>Edgar Ricardo Lopez Valenzuela</v>
          </cell>
        </row>
        <row r="339">
          <cell r="F339">
            <v>314916</v>
          </cell>
          <cell r="G339" t="str">
            <v>Edgar Samuel Chavez Garcia</v>
          </cell>
        </row>
        <row r="340">
          <cell r="F340">
            <v>313861</v>
          </cell>
          <cell r="G340" t="str">
            <v>Edith Guadalupe Del Cid Orellana</v>
          </cell>
        </row>
        <row r="341">
          <cell r="F341">
            <v>304240</v>
          </cell>
          <cell r="G341" t="str">
            <v>Edna Fabiola Miranda Nufio</v>
          </cell>
        </row>
        <row r="342">
          <cell r="F342">
            <v>313770</v>
          </cell>
          <cell r="G342" t="str">
            <v>Edna Rubi Hernandez Retana</v>
          </cell>
        </row>
        <row r="343">
          <cell r="F343">
            <v>308533</v>
          </cell>
          <cell r="G343" t="str">
            <v>Eduardo Antonio Sotoj Zepeda</v>
          </cell>
        </row>
        <row r="344">
          <cell r="F344">
            <v>315502</v>
          </cell>
          <cell r="G344" t="str">
            <v>Eduardo Eliu Camey Coyoy</v>
          </cell>
        </row>
        <row r="345">
          <cell r="F345">
            <v>315483</v>
          </cell>
          <cell r="G345" t="str">
            <v>Eduardo Jose Perez Pichilla</v>
          </cell>
        </row>
        <row r="346">
          <cell r="F346">
            <v>306695</v>
          </cell>
          <cell r="G346" t="str">
            <v>Eduvina Lisbeth Chilel Garcia</v>
          </cell>
        </row>
        <row r="347">
          <cell r="F347">
            <v>313804</v>
          </cell>
          <cell r="G347" t="str">
            <v>Edvin Daniel Compa Oroxom</v>
          </cell>
        </row>
        <row r="348">
          <cell r="F348">
            <v>305736</v>
          </cell>
          <cell r="G348" t="str">
            <v>Edvin Estuardo Ordoñez Gonzalez</v>
          </cell>
        </row>
        <row r="349">
          <cell r="F349">
            <v>313327</v>
          </cell>
          <cell r="G349" t="str">
            <v>Edvin Raul Chavez Monroy</v>
          </cell>
        </row>
        <row r="350">
          <cell r="F350">
            <v>309209</v>
          </cell>
          <cell r="G350" t="str">
            <v>Edward Andoni Alvarez Agueda</v>
          </cell>
        </row>
        <row r="351">
          <cell r="F351">
            <v>311219</v>
          </cell>
          <cell r="G351" t="str">
            <v>Edward Oswaldo Mo Macz</v>
          </cell>
        </row>
        <row r="352">
          <cell r="F352">
            <v>315174</v>
          </cell>
          <cell r="G352" t="str">
            <v>Edwin Adolfo Soberanis Mazariegos</v>
          </cell>
        </row>
        <row r="353">
          <cell r="F353">
            <v>312540</v>
          </cell>
          <cell r="G353" t="str">
            <v>Edwin Alexander Davila Xitumul</v>
          </cell>
        </row>
        <row r="354">
          <cell r="F354">
            <v>313701</v>
          </cell>
          <cell r="G354" t="str">
            <v>Edwin Ernesto Sut Chinol</v>
          </cell>
        </row>
        <row r="355">
          <cell r="F355">
            <v>312557</v>
          </cell>
          <cell r="G355" t="str">
            <v>Edwin Romeo Eleazar Ochoa Lopez</v>
          </cell>
        </row>
        <row r="356">
          <cell r="F356">
            <v>311167</v>
          </cell>
          <cell r="G356" t="str">
            <v>Edy Giancarlo Moreno Pineda</v>
          </cell>
        </row>
        <row r="357">
          <cell r="F357">
            <v>312542</v>
          </cell>
          <cell r="G357" t="str">
            <v>Elba Eulalia Esquite Lemus</v>
          </cell>
        </row>
        <row r="358">
          <cell r="F358">
            <v>303412</v>
          </cell>
          <cell r="G358" t="str">
            <v>Elder Antonio Mendez Tobar</v>
          </cell>
        </row>
        <row r="359">
          <cell r="F359">
            <v>315436</v>
          </cell>
          <cell r="G359" t="str">
            <v>Elder Frankiln Cax Dionicio</v>
          </cell>
        </row>
        <row r="360">
          <cell r="F360">
            <v>311891</v>
          </cell>
          <cell r="G360" t="str">
            <v>Elder Uzias Jordan Perez</v>
          </cell>
        </row>
        <row r="361">
          <cell r="F361">
            <v>309812</v>
          </cell>
          <cell r="G361" t="str">
            <v>Elena Yazmin Valdez Gallegos</v>
          </cell>
        </row>
        <row r="362">
          <cell r="F362">
            <v>314275</v>
          </cell>
          <cell r="G362" t="str">
            <v>Elias Jose Daniel Estrada Nufio</v>
          </cell>
        </row>
        <row r="363">
          <cell r="F363">
            <v>307588</v>
          </cell>
          <cell r="G363" t="str">
            <v>Elida Noemi Monroy Ortega</v>
          </cell>
        </row>
        <row r="364">
          <cell r="F364">
            <v>315463</v>
          </cell>
          <cell r="G364" t="str">
            <v>Elin Magali Gallardo Velasquez</v>
          </cell>
        </row>
        <row r="365">
          <cell r="F365">
            <v>310755</v>
          </cell>
          <cell r="G365" t="str">
            <v>Elisa Clementina Mazariegos Andrade</v>
          </cell>
        </row>
        <row r="366">
          <cell r="F366">
            <v>314466</v>
          </cell>
          <cell r="G366" t="str">
            <v>Eliseo Gonzalez De Leon</v>
          </cell>
        </row>
        <row r="367">
          <cell r="F367">
            <v>310043</v>
          </cell>
          <cell r="G367" t="str">
            <v>Elizangela Jazmin Barillas Ramirez</v>
          </cell>
        </row>
        <row r="368">
          <cell r="F368">
            <v>314443</v>
          </cell>
          <cell r="G368" t="str">
            <v>Elmer Antonio Muñoz Alvarez</v>
          </cell>
        </row>
        <row r="369">
          <cell r="F369">
            <v>314763</v>
          </cell>
          <cell r="G369" t="str">
            <v>Elsa Edith Alixjandra Morales Cordon</v>
          </cell>
        </row>
        <row r="370">
          <cell r="F370">
            <v>311227</v>
          </cell>
          <cell r="G370" t="str">
            <v>Elsa Karina Siquibache Perez</v>
          </cell>
        </row>
        <row r="371">
          <cell r="F371">
            <v>308968</v>
          </cell>
          <cell r="G371" t="str">
            <v>Eluizer Amadeus De Leon De Leon</v>
          </cell>
        </row>
        <row r="372">
          <cell r="F372">
            <v>314871</v>
          </cell>
          <cell r="G372" t="str">
            <v>Elvis Ariel Juarez Solis</v>
          </cell>
        </row>
        <row r="373">
          <cell r="F373">
            <v>313368</v>
          </cell>
          <cell r="G373" t="str">
            <v>Elvis Orlando Lopez Marroquin</v>
          </cell>
        </row>
        <row r="374">
          <cell r="F374">
            <v>314342</v>
          </cell>
          <cell r="G374" t="str">
            <v>Emanuel Perez Garnillo</v>
          </cell>
        </row>
        <row r="375">
          <cell r="F375">
            <v>312736</v>
          </cell>
          <cell r="G375" t="str">
            <v>Emely Johanna Urbina Beltran</v>
          </cell>
        </row>
        <row r="376">
          <cell r="F376">
            <v>312762</v>
          </cell>
          <cell r="G376" t="str">
            <v>Emerson Ezequiel Giron Lopez</v>
          </cell>
        </row>
        <row r="377">
          <cell r="F377">
            <v>303591</v>
          </cell>
          <cell r="G377" t="str">
            <v>Emerson Josue Lopez Hernandez</v>
          </cell>
        </row>
        <row r="378">
          <cell r="F378">
            <v>312165</v>
          </cell>
          <cell r="G378" t="str">
            <v>Emily Jisselle Rosales Paz</v>
          </cell>
        </row>
        <row r="379">
          <cell r="F379">
            <v>313560</v>
          </cell>
          <cell r="G379" t="str">
            <v>Emy Noemi Vicente Herrera</v>
          </cell>
        </row>
        <row r="380">
          <cell r="F380">
            <v>315047</v>
          </cell>
          <cell r="G380" t="str">
            <v>Erick Adolfo Orellana Lopez</v>
          </cell>
        </row>
        <row r="381">
          <cell r="F381">
            <v>311598</v>
          </cell>
          <cell r="G381" t="str">
            <v>Erick Antonio Perez Perez</v>
          </cell>
        </row>
        <row r="382">
          <cell r="F382">
            <v>311742</v>
          </cell>
          <cell r="G382" t="str">
            <v>Erick Estuardo Morales Samayoa</v>
          </cell>
        </row>
        <row r="383">
          <cell r="F383">
            <v>308758</v>
          </cell>
          <cell r="G383" t="str">
            <v>Erick Gamaliel Pineda Mendez</v>
          </cell>
        </row>
        <row r="384">
          <cell r="F384">
            <v>314371</v>
          </cell>
          <cell r="G384" t="str">
            <v>Erick Guillermo Sierra Escobar</v>
          </cell>
        </row>
        <row r="385">
          <cell r="F385">
            <v>314095</v>
          </cell>
          <cell r="G385" t="str">
            <v>Erick Joel Diaz Barrera</v>
          </cell>
        </row>
        <row r="386">
          <cell r="F386">
            <v>314408</v>
          </cell>
          <cell r="G386" t="str">
            <v>Erick Josue Martinez Pineda</v>
          </cell>
        </row>
        <row r="387">
          <cell r="F387">
            <v>312434</v>
          </cell>
          <cell r="G387" t="str">
            <v>Erick Manuel Umul Quiej</v>
          </cell>
        </row>
        <row r="388">
          <cell r="F388">
            <v>202410</v>
          </cell>
          <cell r="G388" t="str">
            <v>Erick Oswaldo Aguilar Santiago</v>
          </cell>
        </row>
        <row r="389">
          <cell r="F389">
            <v>310750</v>
          </cell>
          <cell r="G389" t="str">
            <v>Erick Uriel Sandoval Herrera</v>
          </cell>
        </row>
        <row r="390">
          <cell r="F390">
            <v>304557</v>
          </cell>
          <cell r="G390" t="str">
            <v>Ericka Arceli Gonzalez Astorga</v>
          </cell>
        </row>
        <row r="391">
          <cell r="F391">
            <v>308593</v>
          </cell>
          <cell r="G391" t="str">
            <v>Ericka Beatriz Tiu Arriola</v>
          </cell>
        </row>
        <row r="392">
          <cell r="F392">
            <v>310893</v>
          </cell>
          <cell r="G392" t="str">
            <v>Ericka Florentina Hernandez Bermudes</v>
          </cell>
        </row>
        <row r="393">
          <cell r="F393">
            <v>310845</v>
          </cell>
          <cell r="G393" t="str">
            <v>Ericka Gricelda Beatriz Calderon Lopez</v>
          </cell>
        </row>
        <row r="394">
          <cell r="F394">
            <v>313654</v>
          </cell>
          <cell r="G394" t="str">
            <v>Ericka Mabel Choc Vasquez</v>
          </cell>
        </row>
        <row r="395">
          <cell r="F395">
            <v>308152</v>
          </cell>
          <cell r="G395" t="str">
            <v>Ericka Nathali Huitz Ortega</v>
          </cell>
        </row>
        <row r="396">
          <cell r="F396">
            <v>313812</v>
          </cell>
          <cell r="G396" t="str">
            <v>Erickson Amilcar Vasquez Garrido</v>
          </cell>
        </row>
        <row r="397">
          <cell r="F397">
            <v>303616</v>
          </cell>
          <cell r="G397" t="str">
            <v>Erik Leonel Alva</v>
          </cell>
        </row>
        <row r="398">
          <cell r="F398">
            <v>310011</v>
          </cell>
          <cell r="G398" t="str">
            <v>Erika Alejandra Hernandez Vega</v>
          </cell>
        </row>
        <row r="399">
          <cell r="F399">
            <v>314808</v>
          </cell>
          <cell r="G399" t="str">
            <v>Erika Carolina Lopez Chiroy</v>
          </cell>
        </row>
        <row r="400">
          <cell r="F400">
            <v>306497</v>
          </cell>
          <cell r="G400" t="str">
            <v>Erika Ixtan Canil</v>
          </cell>
        </row>
        <row r="401">
          <cell r="F401">
            <v>314703</v>
          </cell>
          <cell r="G401" t="str">
            <v>Erlinda Elizabeth Cabrera</v>
          </cell>
        </row>
        <row r="402">
          <cell r="F402">
            <v>315535</v>
          </cell>
          <cell r="G402" t="str">
            <v>Ernesto Perez Tecun</v>
          </cell>
        </row>
        <row r="403">
          <cell r="F403">
            <v>313727</v>
          </cell>
          <cell r="G403" t="str">
            <v>Erwin Antonio Lorenzo Zamora</v>
          </cell>
        </row>
        <row r="404">
          <cell r="F404">
            <v>315123</v>
          </cell>
          <cell r="G404" t="str">
            <v>Esdras Daniel Pablo Solis</v>
          </cell>
        </row>
        <row r="405">
          <cell r="F405">
            <v>315491</v>
          </cell>
          <cell r="G405" t="str">
            <v>Esdras Eduardo Hernadez Morales</v>
          </cell>
        </row>
        <row r="406">
          <cell r="F406">
            <v>314068</v>
          </cell>
          <cell r="G406" t="str">
            <v>Esdras Manases Vasquez Vasquez</v>
          </cell>
        </row>
        <row r="407">
          <cell r="F407">
            <v>313871</v>
          </cell>
          <cell r="G407" t="str">
            <v>Eskarleth Julieta Coloma Camey</v>
          </cell>
        </row>
        <row r="408">
          <cell r="F408">
            <v>312554</v>
          </cell>
          <cell r="G408" t="str">
            <v>Esmaylin Alexis Melchor Lopez</v>
          </cell>
        </row>
        <row r="409">
          <cell r="F409">
            <v>315510</v>
          </cell>
          <cell r="G409" t="str">
            <v>Esteban Alfonso Gonzalez Osuna</v>
          </cell>
        </row>
        <row r="410">
          <cell r="F410">
            <v>313644</v>
          </cell>
          <cell r="G410" t="str">
            <v>Estefani Elizabeth Tzul Macario</v>
          </cell>
        </row>
        <row r="411">
          <cell r="F411">
            <v>312323</v>
          </cell>
          <cell r="G411" t="str">
            <v>Estefani Mishel Carpio Alvarado</v>
          </cell>
        </row>
        <row r="412">
          <cell r="F412">
            <v>313428</v>
          </cell>
          <cell r="G412" t="str">
            <v>Estefany Catalina Suazo Garcia</v>
          </cell>
        </row>
        <row r="413">
          <cell r="F413">
            <v>311094</v>
          </cell>
          <cell r="G413" t="str">
            <v>Estefany Virginia Perez Leiva</v>
          </cell>
        </row>
        <row r="414">
          <cell r="F414">
            <v>313151</v>
          </cell>
          <cell r="G414" t="str">
            <v>Ester Yulissa Salazar Sanches</v>
          </cell>
        </row>
        <row r="415">
          <cell r="F415">
            <v>308702</v>
          </cell>
          <cell r="G415" t="str">
            <v>Estuardo Alejandro Us Chanchavac</v>
          </cell>
        </row>
        <row r="416">
          <cell r="F416">
            <v>315564</v>
          </cell>
          <cell r="G416" t="str">
            <v>Esvin Rolando Orozco Mulul</v>
          </cell>
        </row>
        <row r="417">
          <cell r="F417">
            <v>314285</v>
          </cell>
          <cell r="G417" t="str">
            <v>Eswin Antonio Carrillo Barrera</v>
          </cell>
        </row>
        <row r="418">
          <cell r="F418">
            <v>311882</v>
          </cell>
          <cell r="G418" t="str">
            <v>Eswin Aroldo Ordoñez Robles</v>
          </cell>
        </row>
        <row r="419">
          <cell r="F419">
            <v>315041</v>
          </cell>
          <cell r="G419" t="str">
            <v>Eugenia Azucely Lopez De De Aguirre</v>
          </cell>
        </row>
        <row r="420">
          <cell r="F420">
            <v>313219</v>
          </cell>
          <cell r="G420" t="str">
            <v>Eunice Alejandrina Simon Gonzalez</v>
          </cell>
        </row>
        <row r="421">
          <cell r="F421">
            <v>314553</v>
          </cell>
          <cell r="G421" t="str">
            <v>Eva Argentina Ramirez Perez</v>
          </cell>
        </row>
        <row r="422">
          <cell r="F422">
            <v>313803</v>
          </cell>
          <cell r="G422" t="str">
            <v>Eva Yustinia Lopez Zuñiga</v>
          </cell>
        </row>
        <row r="423">
          <cell r="F423">
            <v>314445</v>
          </cell>
          <cell r="G423" t="str">
            <v>Evelin Lorena Noguera García</v>
          </cell>
        </row>
        <row r="424">
          <cell r="F424">
            <v>314320</v>
          </cell>
          <cell r="G424" t="str">
            <v>Evelin Maria Padilla Garcia</v>
          </cell>
        </row>
        <row r="425">
          <cell r="F425">
            <v>313699</v>
          </cell>
          <cell r="G425" t="str">
            <v>Evelin Yulissa Lopez Villar</v>
          </cell>
        </row>
        <row r="426">
          <cell r="F426">
            <v>307498</v>
          </cell>
          <cell r="G426" t="str">
            <v>Evelyn Julieta Lopez Peralta</v>
          </cell>
        </row>
        <row r="427">
          <cell r="F427">
            <v>312811</v>
          </cell>
          <cell r="G427" t="str">
            <v>Evelyn Maritza Chumil Monroy</v>
          </cell>
        </row>
        <row r="428">
          <cell r="F428">
            <v>313353</v>
          </cell>
          <cell r="G428" t="str">
            <v>Evelyn Marleny Rosales Cutz</v>
          </cell>
        </row>
        <row r="429">
          <cell r="F429">
            <v>313264</v>
          </cell>
          <cell r="G429" t="str">
            <v>Evelyn Mishell Catalan Pixtun</v>
          </cell>
        </row>
        <row r="430">
          <cell r="F430">
            <v>314528</v>
          </cell>
          <cell r="G430" t="str">
            <v>Evelyn Nohemi Morales Lopez</v>
          </cell>
        </row>
        <row r="431">
          <cell r="F431">
            <v>311933</v>
          </cell>
          <cell r="G431" t="str">
            <v>Evelyn Rocio Chiquival Piquic</v>
          </cell>
        </row>
        <row r="432">
          <cell r="F432">
            <v>315213</v>
          </cell>
          <cell r="G432" t="str">
            <v>Evelyn Susana Hernandez Ambrosio</v>
          </cell>
        </row>
        <row r="433">
          <cell r="F433">
            <v>311721</v>
          </cell>
          <cell r="G433" t="str">
            <v>Evelyn Yaneth Aceituno Lara</v>
          </cell>
        </row>
        <row r="434">
          <cell r="F434">
            <v>313016</v>
          </cell>
          <cell r="G434" t="str">
            <v>Ever Josue Del Valle Rivera</v>
          </cell>
        </row>
        <row r="435">
          <cell r="F435">
            <v>313552</v>
          </cell>
          <cell r="G435" t="str">
            <v>Everilda Choc Caal</v>
          </cell>
        </row>
        <row r="436">
          <cell r="F436">
            <v>313091</v>
          </cell>
          <cell r="G436" t="str">
            <v>Fabian De Jesus Ramirez Icute</v>
          </cell>
        </row>
        <row r="437">
          <cell r="F437">
            <v>312169</v>
          </cell>
          <cell r="G437" t="str">
            <v>Fabiola Hernandez Bartolon</v>
          </cell>
        </row>
        <row r="438">
          <cell r="F438">
            <v>308284</v>
          </cell>
          <cell r="G438" t="str">
            <v>Fabiola Ninett Beteta Barillas</v>
          </cell>
        </row>
        <row r="439">
          <cell r="F439">
            <v>312293</v>
          </cell>
          <cell r="G439" t="str">
            <v>Fabricio Daniel Cajas Cifuentes</v>
          </cell>
        </row>
        <row r="440">
          <cell r="F440">
            <v>315582</v>
          </cell>
          <cell r="G440" t="str">
            <v>Fatima Mercedes Montes Quezada</v>
          </cell>
        </row>
        <row r="441">
          <cell r="F441">
            <v>314263</v>
          </cell>
          <cell r="G441" t="str">
            <v>Feliciana Isabel Ramirez Raymundo</v>
          </cell>
        </row>
        <row r="442">
          <cell r="F442">
            <v>314012</v>
          </cell>
          <cell r="G442" t="str">
            <v>Felix Rodolfo Alvarado Jimenez</v>
          </cell>
        </row>
        <row r="443">
          <cell r="F443">
            <v>314349</v>
          </cell>
          <cell r="G443" t="str">
            <v>Fernanda Lucia Lopez Estrada</v>
          </cell>
        </row>
        <row r="444">
          <cell r="F444">
            <v>312409</v>
          </cell>
          <cell r="G444" t="str">
            <v>Fernanda Rene Villatoro Guarcas</v>
          </cell>
        </row>
        <row r="445">
          <cell r="F445">
            <v>314934</v>
          </cell>
          <cell r="G445" t="str">
            <v>Fernando Jose Monzon Castañeda</v>
          </cell>
        </row>
        <row r="446">
          <cell r="F446">
            <v>315303</v>
          </cell>
          <cell r="G446" t="str">
            <v>Flavio Ernesto Monzón Rummler</v>
          </cell>
        </row>
        <row r="447">
          <cell r="F447">
            <v>315309</v>
          </cell>
          <cell r="G447" t="str">
            <v>Flor De Maria Lopez Garcia</v>
          </cell>
        </row>
        <row r="448">
          <cell r="F448">
            <v>307917</v>
          </cell>
          <cell r="G448" t="str">
            <v>Flor De Maria Mux Ramos</v>
          </cell>
        </row>
        <row r="449">
          <cell r="F449">
            <v>315038</v>
          </cell>
          <cell r="G449" t="str">
            <v>Flor Sylvestre Orellana Gonzalez</v>
          </cell>
        </row>
        <row r="450">
          <cell r="F450">
            <v>101729</v>
          </cell>
          <cell r="G450" t="str">
            <v>Florencio Monterroso Estrada</v>
          </cell>
        </row>
        <row r="451">
          <cell r="F451">
            <v>314230</v>
          </cell>
          <cell r="G451" t="str">
            <v>Floridalma Leticia Lopez Ramirez</v>
          </cell>
        </row>
        <row r="452">
          <cell r="F452">
            <v>314093</v>
          </cell>
          <cell r="G452" t="str">
            <v>Floridalma Nicolas Yos</v>
          </cell>
        </row>
        <row r="453">
          <cell r="F453">
            <v>312717</v>
          </cell>
          <cell r="G453" t="str">
            <v>Florita Reyes Roblero Morales</v>
          </cell>
        </row>
        <row r="454">
          <cell r="F454">
            <v>314785</v>
          </cell>
          <cell r="G454" t="str">
            <v>Flory Azucena De Leon Ventura</v>
          </cell>
        </row>
        <row r="455">
          <cell r="F455">
            <v>310144</v>
          </cell>
          <cell r="G455" t="str">
            <v>Francisco Javier Diaz Avila</v>
          </cell>
        </row>
        <row r="456">
          <cell r="F456">
            <v>315457</v>
          </cell>
          <cell r="G456" t="str">
            <v>Francisco Joel Gomez Rodriguez</v>
          </cell>
        </row>
        <row r="457">
          <cell r="F457">
            <v>311612</v>
          </cell>
          <cell r="G457" t="str">
            <v>Franklin Alexander Perez Paiz</v>
          </cell>
        </row>
        <row r="458">
          <cell r="F458">
            <v>315204</v>
          </cell>
          <cell r="G458" t="str">
            <v>Gabriel Antonio Rodas Domingo</v>
          </cell>
        </row>
        <row r="459">
          <cell r="F459">
            <v>311548</v>
          </cell>
          <cell r="G459" t="str">
            <v>Gabriela Alejandra Estrada Aroche</v>
          </cell>
        </row>
        <row r="460">
          <cell r="F460">
            <v>306667</v>
          </cell>
          <cell r="G460" t="str">
            <v>Gabriela Elizabeth Flores Santos</v>
          </cell>
        </row>
        <row r="461">
          <cell r="F461">
            <v>314533</v>
          </cell>
          <cell r="G461" t="str">
            <v>Gabriela Liseth Perez Monzon</v>
          </cell>
        </row>
        <row r="462">
          <cell r="F462">
            <v>311817</v>
          </cell>
          <cell r="G462" t="str">
            <v>Gabriela Paola Macario Lopez</v>
          </cell>
        </row>
        <row r="463">
          <cell r="F463">
            <v>301309</v>
          </cell>
          <cell r="G463" t="str">
            <v>Gabriela Pelaez Gonzalez</v>
          </cell>
        </row>
        <row r="464">
          <cell r="F464">
            <v>315530</v>
          </cell>
          <cell r="G464" t="str">
            <v>Gabriela Raquel Pixtun Trujillo</v>
          </cell>
        </row>
        <row r="465">
          <cell r="F465">
            <v>315343</v>
          </cell>
          <cell r="G465" t="str">
            <v>Gabriela Valeska Lemus Cotuc</v>
          </cell>
        </row>
        <row r="466">
          <cell r="F466">
            <v>309911</v>
          </cell>
          <cell r="G466" t="str">
            <v>Gaby Beatriz Lopez Lopez</v>
          </cell>
        </row>
        <row r="467">
          <cell r="F467">
            <v>315485</v>
          </cell>
          <cell r="G467" t="str">
            <v>Geraldy Daleska Cuyan Giron</v>
          </cell>
        </row>
        <row r="468">
          <cell r="F468">
            <v>307104</v>
          </cell>
          <cell r="G468" t="str">
            <v>Gerber Ariel De Leon Elias</v>
          </cell>
        </row>
        <row r="469">
          <cell r="F469">
            <v>312975</v>
          </cell>
          <cell r="G469" t="str">
            <v>Gerberth Aridmendi Arevalo Zepeda</v>
          </cell>
        </row>
        <row r="470">
          <cell r="F470">
            <v>306654</v>
          </cell>
          <cell r="G470" t="str">
            <v>Gerson Arcadio Hernandez Barrios</v>
          </cell>
        </row>
        <row r="471">
          <cell r="F471">
            <v>315035</v>
          </cell>
          <cell r="G471" t="str">
            <v>Gerson David Ortega Soto</v>
          </cell>
        </row>
        <row r="472">
          <cell r="F472">
            <v>315255</v>
          </cell>
          <cell r="G472" t="str">
            <v>Gerson Rene Galicia Alvarez</v>
          </cell>
        </row>
        <row r="473">
          <cell r="F473">
            <v>313730</v>
          </cell>
          <cell r="G473" t="str">
            <v>Gerson Rolando Alcantara Gonzalez</v>
          </cell>
        </row>
        <row r="474">
          <cell r="F474">
            <v>315273</v>
          </cell>
          <cell r="G474" t="str">
            <v>Gladis Guadalupe Tuyuc Ramirez</v>
          </cell>
        </row>
        <row r="475">
          <cell r="F475">
            <v>309429</v>
          </cell>
          <cell r="G475" t="str">
            <v>Gladis Mishel Aguilar Garcia</v>
          </cell>
        </row>
        <row r="476">
          <cell r="F476">
            <v>315265</v>
          </cell>
          <cell r="G476" t="str">
            <v>Gladis Nohemi Noj Hernandez De De Leon</v>
          </cell>
        </row>
        <row r="477">
          <cell r="F477">
            <v>301514</v>
          </cell>
          <cell r="G477" t="str">
            <v>Gladiz Maricela Guamuch Caracun De Lopez</v>
          </cell>
        </row>
        <row r="478">
          <cell r="F478">
            <v>309950</v>
          </cell>
          <cell r="G478" t="str">
            <v>Gladys Maribel Chamale Cotzajay</v>
          </cell>
        </row>
        <row r="479">
          <cell r="F479">
            <v>315349</v>
          </cell>
          <cell r="G479" t="str">
            <v>Gladys Marleny Rodriguez Tzoc</v>
          </cell>
        </row>
        <row r="480">
          <cell r="F480">
            <v>306248</v>
          </cell>
          <cell r="G480" t="str">
            <v>Gladys Susana Marin De Leon</v>
          </cell>
        </row>
        <row r="481">
          <cell r="F481">
            <v>310719</v>
          </cell>
          <cell r="G481" t="str">
            <v>Gladyz Ninett Sanchez Perez</v>
          </cell>
        </row>
        <row r="482">
          <cell r="F482">
            <v>309945</v>
          </cell>
          <cell r="G482" t="str">
            <v>Glenda Flor De Maria Caal</v>
          </cell>
        </row>
        <row r="483">
          <cell r="F483">
            <v>314619</v>
          </cell>
          <cell r="G483" t="str">
            <v>Glenda Isabel Perez Velasquez</v>
          </cell>
        </row>
        <row r="484">
          <cell r="F484">
            <v>315263</v>
          </cell>
          <cell r="G484" t="str">
            <v>Glendy Aracely Arevalo Estrada</v>
          </cell>
        </row>
        <row r="485">
          <cell r="F485">
            <v>312140</v>
          </cell>
          <cell r="G485" t="str">
            <v>Glendy Elizabeth Aspuac Xunux</v>
          </cell>
        </row>
        <row r="486">
          <cell r="F486">
            <v>304949</v>
          </cell>
          <cell r="G486" t="str">
            <v>Glendy Modesta Orellana Sanabria</v>
          </cell>
        </row>
        <row r="487">
          <cell r="F487">
            <v>314189</v>
          </cell>
          <cell r="G487" t="str">
            <v>Gloria Angelica Torres Franco</v>
          </cell>
        </row>
        <row r="488">
          <cell r="F488">
            <v>304943</v>
          </cell>
          <cell r="G488" t="str">
            <v>Gloria Hernandez Reyes</v>
          </cell>
        </row>
        <row r="489">
          <cell r="F489">
            <v>314569</v>
          </cell>
          <cell r="G489" t="str">
            <v>Gonzalo Danilo Castillo Miche</v>
          </cell>
        </row>
        <row r="490">
          <cell r="F490">
            <v>310114</v>
          </cell>
          <cell r="G490" t="str">
            <v>Guadalupe Marroquin Mayen</v>
          </cell>
        </row>
        <row r="491">
          <cell r="F491">
            <v>313710</v>
          </cell>
          <cell r="G491" t="str">
            <v>Gustavo Adolfo Mixtun Sunun</v>
          </cell>
        </row>
        <row r="492">
          <cell r="F492">
            <v>314863</v>
          </cell>
          <cell r="G492" t="str">
            <v>Gustavo Manuel Cifuentes De Mata</v>
          </cell>
        </row>
        <row r="493">
          <cell r="F493">
            <v>315412</v>
          </cell>
          <cell r="G493" t="str">
            <v>Hairo Andre Contreras Paz</v>
          </cell>
        </row>
        <row r="494">
          <cell r="F494">
            <v>311419</v>
          </cell>
          <cell r="G494" t="str">
            <v>Hallari Michel Orozco Chapen</v>
          </cell>
        </row>
        <row r="495">
          <cell r="F495">
            <v>312961</v>
          </cell>
          <cell r="G495" t="str">
            <v>Hans Estuard Milian Alarcon</v>
          </cell>
        </row>
        <row r="496">
          <cell r="F496">
            <v>315569</v>
          </cell>
          <cell r="G496" t="str">
            <v>Heber Benjamin Gomez Ramirez</v>
          </cell>
        </row>
        <row r="497">
          <cell r="F497">
            <v>315175</v>
          </cell>
          <cell r="G497" t="str">
            <v>Heber Nehemias Velasquez Lorenzo</v>
          </cell>
        </row>
        <row r="498">
          <cell r="F498">
            <v>315576</v>
          </cell>
          <cell r="G498" t="str">
            <v>Heber Uziel Ruiz Escobar</v>
          </cell>
        </row>
        <row r="499">
          <cell r="F499">
            <v>315154</v>
          </cell>
          <cell r="G499" t="str">
            <v>Hector Estuardo Velasquez Carvajal</v>
          </cell>
        </row>
        <row r="500">
          <cell r="F500">
            <v>312588</v>
          </cell>
          <cell r="G500" t="str">
            <v>Hector Manuel Pojoy Berduo</v>
          </cell>
        </row>
        <row r="501">
          <cell r="F501">
            <v>309925</v>
          </cell>
          <cell r="G501" t="str">
            <v>Hector Marco Tulio Torres Garcia</v>
          </cell>
        </row>
        <row r="502">
          <cell r="F502">
            <v>312114</v>
          </cell>
          <cell r="G502" t="str">
            <v>Hegner Aquino Mateo Recinos</v>
          </cell>
        </row>
        <row r="503">
          <cell r="F503">
            <v>310694</v>
          </cell>
          <cell r="G503" t="str">
            <v>Heidy Carolina Monterroso Monterroso</v>
          </cell>
        </row>
        <row r="504">
          <cell r="F504">
            <v>315300</v>
          </cell>
          <cell r="G504" t="str">
            <v>Heidy Karina Gil Quinti</v>
          </cell>
        </row>
        <row r="505">
          <cell r="F505">
            <v>314029</v>
          </cell>
          <cell r="G505" t="str">
            <v>Heidy Noely Yupe Hernandez</v>
          </cell>
        </row>
        <row r="506">
          <cell r="F506">
            <v>313510</v>
          </cell>
          <cell r="G506" t="str">
            <v>Heidy Patricia Santizo López</v>
          </cell>
        </row>
        <row r="507">
          <cell r="F507">
            <v>308951</v>
          </cell>
          <cell r="G507" t="str">
            <v>Heidy Sucely Boc Monroy</v>
          </cell>
        </row>
        <row r="508">
          <cell r="F508">
            <v>301847</v>
          </cell>
          <cell r="G508" t="str">
            <v>Heidy Yanet Reyes Presencin</v>
          </cell>
        </row>
        <row r="509">
          <cell r="F509">
            <v>314009</v>
          </cell>
          <cell r="G509" t="str">
            <v>Heily Marie Taracena Diaz</v>
          </cell>
        </row>
        <row r="510">
          <cell r="F510">
            <v>303959</v>
          </cell>
          <cell r="G510" t="str">
            <v>Helen Editt Solorzano Estrada</v>
          </cell>
        </row>
        <row r="511">
          <cell r="F511">
            <v>308028</v>
          </cell>
          <cell r="G511" t="str">
            <v>Helen Eunice Hernandez Recinos</v>
          </cell>
        </row>
        <row r="512">
          <cell r="F512">
            <v>302479</v>
          </cell>
          <cell r="G512" t="str">
            <v>Helen Xiomara Roldan Sagastume</v>
          </cell>
        </row>
        <row r="513">
          <cell r="F513">
            <v>313041</v>
          </cell>
          <cell r="G513" t="str">
            <v>Hellen Marisol Velasquez Ciprian</v>
          </cell>
        </row>
        <row r="514">
          <cell r="F514">
            <v>313729</v>
          </cell>
          <cell r="G514" t="str">
            <v>Henry David Lopez Perez</v>
          </cell>
        </row>
        <row r="515">
          <cell r="F515">
            <v>307713</v>
          </cell>
          <cell r="G515" t="str">
            <v>Henry Donaldo Rodriguez Perez</v>
          </cell>
        </row>
        <row r="516">
          <cell r="F516">
            <v>315304</v>
          </cell>
          <cell r="G516" t="str">
            <v>Henry Gabriel Morales Chinchilla</v>
          </cell>
        </row>
        <row r="517">
          <cell r="F517">
            <v>314630</v>
          </cell>
          <cell r="G517" t="str">
            <v>Henry Misael Serech Ramon</v>
          </cell>
        </row>
        <row r="518">
          <cell r="F518">
            <v>312139</v>
          </cell>
          <cell r="G518" t="str">
            <v>Herber Ardany Lucho Samayoa</v>
          </cell>
        </row>
        <row r="519">
          <cell r="F519">
            <v>310725</v>
          </cell>
          <cell r="G519" t="str">
            <v>Herber Humberto Cax Gonzales</v>
          </cell>
        </row>
        <row r="520">
          <cell r="F520">
            <v>309034</v>
          </cell>
          <cell r="G520" t="str">
            <v>Herbert Josue Mucia Garcia</v>
          </cell>
        </row>
        <row r="521">
          <cell r="F521">
            <v>315218</v>
          </cell>
          <cell r="G521" t="str">
            <v>Herberth Alberto Barrios Perez</v>
          </cell>
        </row>
        <row r="522">
          <cell r="F522">
            <v>315050</v>
          </cell>
          <cell r="G522" t="str">
            <v>Hercy Dayana Hidalgo Romero</v>
          </cell>
        </row>
        <row r="523">
          <cell r="F523">
            <v>312377</v>
          </cell>
          <cell r="G523" t="str">
            <v>Hesler Jonathan Quevedo De La Cruz</v>
          </cell>
        </row>
        <row r="524">
          <cell r="F524">
            <v>315495</v>
          </cell>
          <cell r="G524" t="str">
            <v>Heydee Johana Marisol Cho Del Valle</v>
          </cell>
        </row>
        <row r="525">
          <cell r="F525">
            <v>302285</v>
          </cell>
          <cell r="G525" t="str">
            <v>Heydi Yaneth Sales Mazariegos</v>
          </cell>
        </row>
        <row r="526">
          <cell r="F526">
            <v>309528</v>
          </cell>
          <cell r="G526" t="str">
            <v>Heydi Zuleyma Gue Cac</v>
          </cell>
        </row>
        <row r="527">
          <cell r="F527">
            <v>310612</v>
          </cell>
          <cell r="G527" t="str">
            <v>Heydy Mariela Santiago Armas</v>
          </cell>
        </row>
        <row r="528">
          <cell r="F528">
            <v>301649</v>
          </cell>
          <cell r="G528" t="str">
            <v>Hilda Paola Lopez Cano</v>
          </cell>
        </row>
        <row r="529">
          <cell r="F529">
            <v>306404</v>
          </cell>
          <cell r="G529" t="str">
            <v>Hugo Leonel Tahual Ramos</v>
          </cell>
        </row>
        <row r="530">
          <cell r="F530">
            <v>313743</v>
          </cell>
          <cell r="G530" t="str">
            <v>Hugo Rolando Ruiz Alquijay</v>
          </cell>
        </row>
        <row r="531">
          <cell r="F531">
            <v>310888</v>
          </cell>
          <cell r="G531" t="str">
            <v>Hugo Vinicio Chavez Barrios</v>
          </cell>
        </row>
        <row r="532">
          <cell r="F532">
            <v>302261</v>
          </cell>
          <cell r="G532" t="str">
            <v>Idalia Ester Espino Lopez</v>
          </cell>
        </row>
        <row r="533">
          <cell r="F533">
            <v>304392</v>
          </cell>
          <cell r="G533" t="str">
            <v>Ilda Gricelda Garcia Zacarias</v>
          </cell>
        </row>
        <row r="534">
          <cell r="F534">
            <v>313703</v>
          </cell>
          <cell r="G534" t="str">
            <v>Ilda Magnolia Lopez Ramirez</v>
          </cell>
        </row>
        <row r="535">
          <cell r="F535">
            <v>310432</v>
          </cell>
          <cell r="G535" t="str">
            <v>Ilda Merary Calachij Mendez</v>
          </cell>
        </row>
        <row r="536">
          <cell r="F536">
            <v>309389</v>
          </cell>
          <cell r="G536" t="str">
            <v>Ilsy Meliza Matzir Lebon</v>
          </cell>
        </row>
        <row r="537">
          <cell r="F537">
            <v>303674</v>
          </cell>
          <cell r="G537" t="str">
            <v>Imelda Elizabeth Castro Rodas</v>
          </cell>
        </row>
        <row r="538">
          <cell r="F538">
            <v>301644</v>
          </cell>
          <cell r="G538" t="str">
            <v>Imelda Eugenia Recinos Martinez</v>
          </cell>
        </row>
        <row r="539">
          <cell r="F539">
            <v>307030</v>
          </cell>
          <cell r="G539" t="str">
            <v>Ingrid Alejandra Juarez Yanes</v>
          </cell>
        </row>
        <row r="540">
          <cell r="F540">
            <v>315503</v>
          </cell>
          <cell r="G540" t="str">
            <v>Ingrid Benita Tojin Chuc</v>
          </cell>
        </row>
        <row r="541">
          <cell r="F541">
            <v>312398</v>
          </cell>
          <cell r="G541" t="str">
            <v>Ingrid Esteffany Salazar Sosa</v>
          </cell>
        </row>
        <row r="542">
          <cell r="F542">
            <v>301199</v>
          </cell>
          <cell r="G542" t="str">
            <v>Ingrid Haydee Minchez Monzon</v>
          </cell>
        </row>
        <row r="543">
          <cell r="F543">
            <v>304317</v>
          </cell>
          <cell r="G543" t="str">
            <v>Ingrid Johana Muñoz Choc</v>
          </cell>
        </row>
        <row r="544">
          <cell r="F544">
            <v>311286</v>
          </cell>
          <cell r="G544" t="str">
            <v>Ingrid Lorena Anleu Morales</v>
          </cell>
        </row>
        <row r="545">
          <cell r="F545">
            <v>311133</v>
          </cell>
          <cell r="G545" t="str">
            <v>Ingrid Mariela Maldonado Tubac</v>
          </cell>
        </row>
        <row r="546">
          <cell r="F546">
            <v>313304</v>
          </cell>
          <cell r="G546" t="str">
            <v>Ingrid Yojana Ramos Sacalxot</v>
          </cell>
        </row>
        <row r="547">
          <cell r="F547">
            <v>311997</v>
          </cell>
          <cell r="G547" t="str">
            <v>Irene Lizbeth Rodas Cuc</v>
          </cell>
        </row>
        <row r="548">
          <cell r="F548">
            <v>313128</v>
          </cell>
          <cell r="G548" t="str">
            <v>Iris Elizabeth Cardona Gonzalez</v>
          </cell>
        </row>
        <row r="549">
          <cell r="F549">
            <v>314232</v>
          </cell>
          <cell r="G549" t="str">
            <v>Iris Yulisa Camposeco Funes</v>
          </cell>
        </row>
        <row r="550">
          <cell r="F550">
            <v>312920</v>
          </cell>
          <cell r="G550" t="str">
            <v>Irma Leticia Raquec Yos</v>
          </cell>
        </row>
        <row r="551">
          <cell r="F551">
            <v>314336</v>
          </cell>
          <cell r="G551" t="str">
            <v>Isaac David Ismael Calderon Socop</v>
          </cell>
        </row>
        <row r="552">
          <cell r="F552">
            <v>315186</v>
          </cell>
          <cell r="G552" t="str">
            <v>Isabelita Retana Zepeda</v>
          </cell>
        </row>
        <row r="553">
          <cell r="F553">
            <v>311913</v>
          </cell>
          <cell r="G553" t="str">
            <v>Isai Bernabe Quiroa Alvarez</v>
          </cell>
        </row>
        <row r="554">
          <cell r="F554">
            <v>315302</v>
          </cell>
          <cell r="G554" t="str">
            <v>Isai De Jesus Cabrera Tirado</v>
          </cell>
        </row>
        <row r="555">
          <cell r="F555">
            <v>314983</v>
          </cell>
          <cell r="G555" t="str">
            <v>Ismael Josafat Barrios</v>
          </cell>
        </row>
        <row r="556">
          <cell r="F556">
            <v>313569</v>
          </cell>
          <cell r="G556" t="str">
            <v>Ismar Manfredo Gomez Batres</v>
          </cell>
        </row>
        <row r="557">
          <cell r="F557">
            <v>315034</v>
          </cell>
          <cell r="G557" t="str">
            <v>Jackeline Andrea Yancor Wilhelm</v>
          </cell>
        </row>
        <row r="558">
          <cell r="F558">
            <v>315352</v>
          </cell>
          <cell r="G558" t="str">
            <v>Jackeline Ester Vasquez Pernillo</v>
          </cell>
        </row>
        <row r="559">
          <cell r="F559">
            <v>100717</v>
          </cell>
          <cell r="G559" t="str">
            <v>Jackeline Larisa De Leon Roldan</v>
          </cell>
        </row>
        <row r="560">
          <cell r="F560">
            <v>313656</v>
          </cell>
          <cell r="G560" t="str">
            <v>Jackelinne Judith Paz Morales</v>
          </cell>
        </row>
        <row r="561">
          <cell r="F561">
            <v>312255</v>
          </cell>
          <cell r="G561" t="str">
            <v>Jacqueline Mercedes Portuguez Simaj</v>
          </cell>
        </row>
        <row r="562">
          <cell r="F562">
            <v>314780</v>
          </cell>
          <cell r="G562" t="str">
            <v>Jacqueline Michell Arroyo Mendoza</v>
          </cell>
        </row>
        <row r="563">
          <cell r="F563">
            <v>301265</v>
          </cell>
          <cell r="G563" t="str">
            <v>Jaime Estuardo Gonzalez Lopez</v>
          </cell>
        </row>
        <row r="564">
          <cell r="F564">
            <v>314552</v>
          </cell>
          <cell r="G564" t="str">
            <v>Jaime Ottoniel Del Aguila Pineda</v>
          </cell>
        </row>
        <row r="565">
          <cell r="F565">
            <v>301608</v>
          </cell>
          <cell r="G565" t="str">
            <v>Jaime Rene Guzman Muy</v>
          </cell>
        </row>
        <row r="566">
          <cell r="F566">
            <v>314866</v>
          </cell>
          <cell r="G566" t="str">
            <v>Jaime Wilfredo Chub Coc</v>
          </cell>
        </row>
        <row r="567">
          <cell r="F567">
            <v>314935</v>
          </cell>
          <cell r="G567" t="str">
            <v>Jairo Anibal Veliz Carrera</v>
          </cell>
        </row>
        <row r="568">
          <cell r="F568">
            <v>313086</v>
          </cell>
          <cell r="G568" t="str">
            <v>Jairo Onesimo Aguilar Cabrera</v>
          </cell>
        </row>
        <row r="569">
          <cell r="F569">
            <v>314146</v>
          </cell>
          <cell r="G569" t="str">
            <v>Jairo Saul Lopez Quinteros</v>
          </cell>
        </row>
        <row r="570">
          <cell r="F570">
            <v>315130</v>
          </cell>
          <cell r="G570" t="str">
            <v>Jakelyn Estrella Erazo Asencio</v>
          </cell>
        </row>
        <row r="571">
          <cell r="F571">
            <v>315546</v>
          </cell>
          <cell r="G571" t="str">
            <v>James Alexander Marquez Salazar</v>
          </cell>
        </row>
        <row r="572">
          <cell r="F572">
            <v>314261</v>
          </cell>
          <cell r="G572" t="str">
            <v>Jannely Darlene Telon Giron</v>
          </cell>
        </row>
        <row r="573">
          <cell r="F573">
            <v>313187</v>
          </cell>
          <cell r="G573" t="str">
            <v>Janyer Violeta Aguirre Alvarez</v>
          </cell>
        </row>
        <row r="574">
          <cell r="F574">
            <v>308525</v>
          </cell>
          <cell r="G574" t="str">
            <v>Jaquelin Paola Lopez Bocel</v>
          </cell>
        </row>
        <row r="575">
          <cell r="F575">
            <v>308189</v>
          </cell>
          <cell r="G575" t="str">
            <v>Jaquelin Rocxana Cantey De Leon</v>
          </cell>
        </row>
        <row r="576">
          <cell r="F576">
            <v>312758</v>
          </cell>
          <cell r="G576" t="str">
            <v>Jaqueline Gabriela Vasquez Icute De Padilla</v>
          </cell>
        </row>
        <row r="577">
          <cell r="F577">
            <v>301462</v>
          </cell>
          <cell r="G577" t="str">
            <v>Jaqueline Johana Hernandez Masaya</v>
          </cell>
        </row>
        <row r="578">
          <cell r="F578">
            <v>310027</v>
          </cell>
          <cell r="G578" t="str">
            <v>Jaqueline Mishel Zetino Culan</v>
          </cell>
        </row>
        <row r="579">
          <cell r="F579">
            <v>313663</v>
          </cell>
          <cell r="G579" t="str">
            <v>Jaqueline Mishell Perez Sanic</v>
          </cell>
        </row>
        <row r="580">
          <cell r="F580">
            <v>314697</v>
          </cell>
          <cell r="G580" t="str">
            <v>Jaqueline Noemi Cojon Franco</v>
          </cell>
        </row>
        <row r="581">
          <cell r="F581">
            <v>314526</v>
          </cell>
          <cell r="G581" t="str">
            <v>Jaqueline Sarai Reynoso Perez</v>
          </cell>
        </row>
        <row r="582">
          <cell r="F582">
            <v>314952</v>
          </cell>
          <cell r="G582" t="str">
            <v>Jaqueline Stephanie Espinoza Espinoza</v>
          </cell>
        </row>
        <row r="583">
          <cell r="F583">
            <v>315467</v>
          </cell>
          <cell r="G583" t="str">
            <v>Jaqueline Vanessa Cardona Del Cid</v>
          </cell>
        </row>
        <row r="584">
          <cell r="F584">
            <v>314066</v>
          </cell>
          <cell r="G584" t="str">
            <v>Jaquelyn Marleny Fernandez</v>
          </cell>
        </row>
        <row r="585">
          <cell r="F585">
            <v>314639</v>
          </cell>
          <cell r="G585" t="str">
            <v>Jarod Emanuel Prado Sanchez</v>
          </cell>
        </row>
        <row r="586">
          <cell r="F586">
            <v>311320</v>
          </cell>
          <cell r="G586" t="str">
            <v>Jasly Elisama Escobar Mayen</v>
          </cell>
        </row>
        <row r="587">
          <cell r="F587">
            <v>304531</v>
          </cell>
          <cell r="G587" t="str">
            <v>Jasmin Cristabel Rosales</v>
          </cell>
        </row>
        <row r="588">
          <cell r="F588">
            <v>315500</v>
          </cell>
          <cell r="G588" t="str">
            <v>Jasson Daniel Morales Garcia</v>
          </cell>
        </row>
        <row r="589">
          <cell r="F589">
            <v>315383</v>
          </cell>
          <cell r="G589" t="str">
            <v>Javier Estuardo Calderon Caceres</v>
          </cell>
        </row>
        <row r="590">
          <cell r="F590">
            <v>307598</v>
          </cell>
          <cell r="G590" t="str">
            <v>Javier Ignacio Monzon Leon</v>
          </cell>
        </row>
        <row r="591">
          <cell r="F591">
            <v>312743</v>
          </cell>
          <cell r="G591" t="str">
            <v>Jayro Vinicio Alvarado Rodriguez</v>
          </cell>
        </row>
        <row r="592">
          <cell r="F592">
            <v>313435</v>
          </cell>
          <cell r="G592" t="str">
            <v>Jefferson Marvin Baudilio Aldana Lozano</v>
          </cell>
        </row>
        <row r="593">
          <cell r="F593">
            <v>310987</v>
          </cell>
          <cell r="G593" t="str">
            <v>Jeffrey Donely Alvarez Garcia</v>
          </cell>
        </row>
        <row r="594">
          <cell r="F594">
            <v>315307</v>
          </cell>
          <cell r="G594" t="str">
            <v>Jeicob Manrique Argueta Ovalle</v>
          </cell>
        </row>
        <row r="595">
          <cell r="F595">
            <v>313167</v>
          </cell>
          <cell r="G595" t="str">
            <v>Jency Julissa Chavarria Garcia</v>
          </cell>
        </row>
        <row r="596">
          <cell r="F596">
            <v>309592</v>
          </cell>
          <cell r="G596" t="str">
            <v>Jenifer Estrella Alvarez Cruz</v>
          </cell>
        </row>
        <row r="597">
          <cell r="F597">
            <v>308871</v>
          </cell>
          <cell r="G597" t="str">
            <v>Jenifer Lisset Chicol Solis</v>
          </cell>
        </row>
        <row r="598">
          <cell r="F598">
            <v>310744</v>
          </cell>
          <cell r="G598" t="str">
            <v>Jenifer Lucrecia Herrera Gonzalez</v>
          </cell>
        </row>
        <row r="599">
          <cell r="F599">
            <v>312022</v>
          </cell>
          <cell r="G599" t="str">
            <v>Jenifer Maria Lopez Jimenez</v>
          </cell>
        </row>
        <row r="600">
          <cell r="F600">
            <v>311998</v>
          </cell>
          <cell r="G600" t="str">
            <v>Jenifer Patricia Ruano Camo</v>
          </cell>
        </row>
        <row r="601">
          <cell r="F601">
            <v>314393</v>
          </cell>
          <cell r="G601" t="str">
            <v>Jeniffer Yadaris Villegas Montepeque</v>
          </cell>
        </row>
        <row r="602">
          <cell r="F602">
            <v>312144</v>
          </cell>
          <cell r="G602" t="str">
            <v>Jennie Beatriz Aguilar Gonzalez</v>
          </cell>
        </row>
        <row r="603">
          <cell r="F603">
            <v>310751</v>
          </cell>
          <cell r="G603" t="str">
            <v>Jennifer Alejandra Escobar De Leon</v>
          </cell>
        </row>
        <row r="604">
          <cell r="F604">
            <v>311804</v>
          </cell>
          <cell r="G604" t="str">
            <v>Jennifer Carolina Xitimul Aguilar</v>
          </cell>
        </row>
        <row r="605">
          <cell r="F605">
            <v>315185</v>
          </cell>
          <cell r="G605" t="str">
            <v>Jennifer Estefany Argueta De Leon</v>
          </cell>
        </row>
        <row r="606">
          <cell r="F606">
            <v>313611</v>
          </cell>
          <cell r="G606" t="str">
            <v>Jennifer Mishel Reyes Solis</v>
          </cell>
        </row>
        <row r="607">
          <cell r="F607">
            <v>314306</v>
          </cell>
          <cell r="G607" t="str">
            <v>Jennifer Noemi Soch Castro</v>
          </cell>
        </row>
        <row r="608">
          <cell r="F608">
            <v>312876</v>
          </cell>
          <cell r="G608" t="str">
            <v>Jennifer Pahola Calderon Lopez</v>
          </cell>
        </row>
        <row r="609">
          <cell r="F609">
            <v>311421</v>
          </cell>
          <cell r="G609" t="str">
            <v>Jennifer Scarlett Garcia Perez</v>
          </cell>
        </row>
        <row r="610">
          <cell r="F610">
            <v>312270</v>
          </cell>
          <cell r="G610" t="str">
            <v>Jennifer Vanessa Rodriguez Hernandez</v>
          </cell>
        </row>
        <row r="611">
          <cell r="F611">
            <v>313387</v>
          </cell>
          <cell r="G611" t="str">
            <v>Jennifer Waleska Arévalo Barrios</v>
          </cell>
        </row>
        <row r="612">
          <cell r="F612">
            <v>312117</v>
          </cell>
          <cell r="G612" t="str">
            <v>Jenniffer Jazmin Ramos Madriles</v>
          </cell>
        </row>
        <row r="613">
          <cell r="F613">
            <v>310238</v>
          </cell>
          <cell r="G613" t="str">
            <v>Jennyfer Cristina Zamora Rosales</v>
          </cell>
        </row>
        <row r="614">
          <cell r="F614">
            <v>312732</v>
          </cell>
          <cell r="G614" t="str">
            <v>Jerson Herminio Melchor Vasquez</v>
          </cell>
        </row>
        <row r="615">
          <cell r="F615">
            <v>314962</v>
          </cell>
          <cell r="G615" t="str">
            <v>Jessica Alejandra Castillo Alvarado</v>
          </cell>
        </row>
        <row r="616">
          <cell r="F616">
            <v>314100</v>
          </cell>
          <cell r="G616" t="str">
            <v>Jessica Elizabeth Perez Noriega</v>
          </cell>
        </row>
        <row r="617">
          <cell r="F617">
            <v>311601</v>
          </cell>
          <cell r="G617" t="str">
            <v>Jessica Haydee Garcia Cuyuche</v>
          </cell>
        </row>
        <row r="618">
          <cell r="F618">
            <v>314620</v>
          </cell>
          <cell r="G618" t="str">
            <v>Jessica Jasmin Baltazar Fuentes</v>
          </cell>
        </row>
        <row r="619">
          <cell r="F619">
            <v>302841</v>
          </cell>
          <cell r="G619" t="str">
            <v>Jessica Maria Jose Santizo Guzman</v>
          </cell>
        </row>
        <row r="620">
          <cell r="F620">
            <v>306420</v>
          </cell>
          <cell r="G620" t="str">
            <v>Jessica Paola Espinoza Solares</v>
          </cell>
        </row>
        <row r="621">
          <cell r="F621">
            <v>313826</v>
          </cell>
          <cell r="G621" t="str">
            <v>Jesus Alberto Vasquez</v>
          </cell>
        </row>
        <row r="622">
          <cell r="F622">
            <v>314641</v>
          </cell>
          <cell r="G622" t="str">
            <v>Jesus Emanuel Ramos Perez</v>
          </cell>
        </row>
        <row r="623">
          <cell r="F623">
            <v>314554</v>
          </cell>
          <cell r="G623" t="str">
            <v>Jhonatan Alexis Ramos Tecun</v>
          </cell>
        </row>
        <row r="624">
          <cell r="F624">
            <v>309115</v>
          </cell>
          <cell r="G624" t="str">
            <v>Jhony Ivan Perez Castillo</v>
          </cell>
        </row>
        <row r="625">
          <cell r="F625">
            <v>311171</v>
          </cell>
          <cell r="G625" t="str">
            <v>Jhoselyn Guadalupe Aquino Maldonado</v>
          </cell>
        </row>
        <row r="626">
          <cell r="F626">
            <v>311987</v>
          </cell>
          <cell r="G626" t="str">
            <v>Jhosseline Stefanie Zermeño Ayala</v>
          </cell>
        </row>
        <row r="627">
          <cell r="F627">
            <v>315116</v>
          </cell>
          <cell r="G627" t="str">
            <v>Jocelyn Fabiola Negro Vasquez</v>
          </cell>
        </row>
        <row r="628">
          <cell r="F628">
            <v>314644</v>
          </cell>
          <cell r="G628" t="str">
            <v>Joel Bernardino Pu Vicente</v>
          </cell>
        </row>
        <row r="629">
          <cell r="F629">
            <v>314368</v>
          </cell>
          <cell r="G629" t="str">
            <v>Johanna Cecilia Hernandez Ixtecoc</v>
          </cell>
        </row>
        <row r="630">
          <cell r="F630">
            <v>314339</v>
          </cell>
          <cell r="G630" t="str">
            <v>Jonatan Estuardo Lopez Gonzalez</v>
          </cell>
        </row>
        <row r="631">
          <cell r="F631">
            <v>313157</v>
          </cell>
          <cell r="G631" t="str">
            <v>Jonatan Guillermo Soto Urbina</v>
          </cell>
        </row>
        <row r="632">
          <cell r="F632">
            <v>315492</v>
          </cell>
          <cell r="G632" t="str">
            <v>Jonathan Daniel Perez Marroquin</v>
          </cell>
        </row>
        <row r="633">
          <cell r="F633">
            <v>315156</v>
          </cell>
          <cell r="G633" t="str">
            <v>Jonathan Donely Sandoval Soch</v>
          </cell>
        </row>
        <row r="634">
          <cell r="F634">
            <v>315451</v>
          </cell>
          <cell r="G634" t="str">
            <v>Jonathan Estuardo Boteo Hernandez</v>
          </cell>
        </row>
        <row r="635">
          <cell r="F635">
            <v>314228</v>
          </cell>
          <cell r="G635" t="str">
            <v>Jordi Alexander Yuman Ramos</v>
          </cell>
        </row>
        <row r="636">
          <cell r="F636">
            <v>305955</v>
          </cell>
          <cell r="G636" t="str">
            <v>Jorge Alfredo Gutierrez Rodriguez</v>
          </cell>
        </row>
        <row r="637">
          <cell r="F637">
            <v>309695</v>
          </cell>
          <cell r="G637" t="str">
            <v>Jorge Andres Sunum Sacul</v>
          </cell>
        </row>
        <row r="638">
          <cell r="F638">
            <v>310641</v>
          </cell>
          <cell r="G638" t="str">
            <v>Jorge Antonio Ramirez Sicay</v>
          </cell>
        </row>
        <row r="639">
          <cell r="F639">
            <v>300150</v>
          </cell>
          <cell r="G639" t="str">
            <v>Jorge Ckristian Murga</v>
          </cell>
        </row>
        <row r="640">
          <cell r="F640">
            <v>315114</v>
          </cell>
          <cell r="G640" t="str">
            <v>Jorge Enrique Tzic Cruz</v>
          </cell>
        </row>
        <row r="641">
          <cell r="F641">
            <v>300590</v>
          </cell>
          <cell r="G641" t="str">
            <v>Jorge Luis Hernandez Corado</v>
          </cell>
        </row>
        <row r="642">
          <cell r="F642">
            <v>315173</v>
          </cell>
          <cell r="G642" t="str">
            <v>Jorge Luis Morales Lopez</v>
          </cell>
        </row>
        <row r="643">
          <cell r="F643">
            <v>315067</v>
          </cell>
          <cell r="G643" t="str">
            <v>Jorge Luis Rizo Melgar</v>
          </cell>
        </row>
        <row r="644">
          <cell r="F644">
            <v>309498</v>
          </cell>
          <cell r="G644" t="str">
            <v>Jorge Ramiro Ixpec Tinti</v>
          </cell>
        </row>
        <row r="645">
          <cell r="F645">
            <v>313405</v>
          </cell>
          <cell r="G645" t="str">
            <v>Josabet Anai Paz Lobos</v>
          </cell>
        </row>
        <row r="646">
          <cell r="F646">
            <v>315268</v>
          </cell>
          <cell r="G646" t="str">
            <v>Jose Alberto Alveno Chacon</v>
          </cell>
        </row>
        <row r="647">
          <cell r="F647">
            <v>312319</v>
          </cell>
          <cell r="G647" t="str">
            <v>Jose Alberto Sosa</v>
          </cell>
        </row>
        <row r="648">
          <cell r="F648">
            <v>315039</v>
          </cell>
          <cell r="G648" t="str">
            <v>Jose Alejandro Hernandez Escobar</v>
          </cell>
        </row>
        <row r="649">
          <cell r="F649">
            <v>310674</v>
          </cell>
          <cell r="G649" t="str">
            <v>Jose Armando Bamaca De Leon</v>
          </cell>
        </row>
        <row r="650">
          <cell r="F650">
            <v>313612</v>
          </cell>
          <cell r="G650" t="str">
            <v>Jose Baldemar Galicia Muñoz</v>
          </cell>
        </row>
        <row r="651">
          <cell r="F651">
            <v>314216</v>
          </cell>
          <cell r="G651" t="str">
            <v>Jose Bernardo Yax Pop</v>
          </cell>
        </row>
        <row r="652">
          <cell r="F652">
            <v>314504</v>
          </cell>
          <cell r="G652" t="str">
            <v>Jose Carlos Lopez Santisteban</v>
          </cell>
        </row>
        <row r="653">
          <cell r="F653">
            <v>310673</v>
          </cell>
          <cell r="G653" t="str">
            <v>Jose Carlos Orozco Lopez</v>
          </cell>
        </row>
        <row r="654">
          <cell r="F654">
            <v>308982</v>
          </cell>
          <cell r="G654" t="str">
            <v>Jose Daniel Sosa Torres</v>
          </cell>
        </row>
        <row r="655">
          <cell r="F655">
            <v>314510</v>
          </cell>
          <cell r="G655" t="str">
            <v>Jose David Flores Enriquez</v>
          </cell>
        </row>
        <row r="656">
          <cell r="F656">
            <v>315261</v>
          </cell>
          <cell r="G656" t="str">
            <v>Jose Emmanuel Ixcajo Higueros</v>
          </cell>
        </row>
        <row r="657">
          <cell r="F657">
            <v>313766</v>
          </cell>
          <cell r="G657" t="str">
            <v>Jose Francisco Aquino Monterroso</v>
          </cell>
        </row>
        <row r="658">
          <cell r="F658">
            <v>315415</v>
          </cell>
          <cell r="G658" t="str">
            <v>Jose Guillermo Marroquin Alvarado</v>
          </cell>
        </row>
        <row r="659">
          <cell r="F659">
            <v>306915</v>
          </cell>
          <cell r="G659" t="str">
            <v>Jose Luis Chinchilla</v>
          </cell>
        </row>
        <row r="660">
          <cell r="F660">
            <v>309765</v>
          </cell>
          <cell r="G660" t="str">
            <v>Jose Luis Velasquez Miche</v>
          </cell>
        </row>
        <row r="661">
          <cell r="F661">
            <v>314262</v>
          </cell>
          <cell r="G661" t="str">
            <v>Jose Manuel Carreto Lopez</v>
          </cell>
        </row>
        <row r="662">
          <cell r="F662">
            <v>315487</v>
          </cell>
          <cell r="G662" t="str">
            <v>Jose Manuel Vasquez Osoy</v>
          </cell>
        </row>
        <row r="663">
          <cell r="F663">
            <v>304892</v>
          </cell>
          <cell r="G663" t="str">
            <v>Jose Mario Alberto Ordoñez Quiñonez</v>
          </cell>
        </row>
        <row r="664">
          <cell r="F664">
            <v>313023</v>
          </cell>
          <cell r="G664" t="str">
            <v>Jose Miguel Angel Noj Aguilar</v>
          </cell>
        </row>
        <row r="665">
          <cell r="F665">
            <v>312573</v>
          </cell>
          <cell r="G665" t="str">
            <v>Jose Miguel Santos Roca</v>
          </cell>
        </row>
        <row r="666">
          <cell r="F666">
            <v>311802</v>
          </cell>
          <cell r="G666" t="str">
            <v>Jose Roberto Samayoa Bernal</v>
          </cell>
        </row>
        <row r="667">
          <cell r="F667">
            <v>314614</v>
          </cell>
          <cell r="G667" t="str">
            <v>Jose Rodrigo Choc Turcios</v>
          </cell>
        </row>
        <row r="668">
          <cell r="F668">
            <v>314729</v>
          </cell>
          <cell r="G668" t="str">
            <v>Joselin Rocio Galicia Mendez</v>
          </cell>
        </row>
        <row r="669">
          <cell r="F669">
            <v>315496</v>
          </cell>
          <cell r="G669" t="str">
            <v>Joseline Otilia Lorenzana Obando</v>
          </cell>
        </row>
        <row r="670">
          <cell r="F670">
            <v>310302</v>
          </cell>
          <cell r="G670" t="str">
            <v>Joselyn Amparo Jolon Arenas</v>
          </cell>
        </row>
        <row r="671">
          <cell r="F671">
            <v>315573</v>
          </cell>
          <cell r="G671" t="str">
            <v>Joselyn Marilu Lima Hernandez</v>
          </cell>
        </row>
        <row r="672">
          <cell r="F672">
            <v>313361</v>
          </cell>
          <cell r="G672" t="str">
            <v>Joselyne Elizabeth Sanchez Rodriguez</v>
          </cell>
        </row>
        <row r="673">
          <cell r="F673">
            <v>309870</v>
          </cell>
          <cell r="G673" t="str">
            <v>Joselyne Gabriela Ruiz Serra</v>
          </cell>
        </row>
        <row r="674">
          <cell r="F674">
            <v>311407</v>
          </cell>
          <cell r="G674" t="str">
            <v>Joshelyn Andrea Ozuna Rosales</v>
          </cell>
        </row>
        <row r="675">
          <cell r="F675">
            <v>315066</v>
          </cell>
          <cell r="G675" t="str">
            <v>Joshua Leonel Pardo Carrera</v>
          </cell>
        </row>
        <row r="676">
          <cell r="F676">
            <v>314433</v>
          </cell>
          <cell r="G676" t="str">
            <v>Josselin Azucena Cortez Hernandez</v>
          </cell>
        </row>
        <row r="677">
          <cell r="F677">
            <v>315560</v>
          </cell>
          <cell r="G677" t="str">
            <v>Josseline Maribel Sarceno Guerra</v>
          </cell>
        </row>
        <row r="678">
          <cell r="F678">
            <v>314268</v>
          </cell>
          <cell r="G678" t="str">
            <v>Josseline Mishel Flores Baren</v>
          </cell>
        </row>
        <row r="679">
          <cell r="F679">
            <v>313034</v>
          </cell>
          <cell r="G679" t="str">
            <v>Josselyn Raab Morales Arana</v>
          </cell>
        </row>
        <row r="680">
          <cell r="F680">
            <v>314989</v>
          </cell>
          <cell r="G680" t="str">
            <v>Josue Adrian Gutierrez Garcia</v>
          </cell>
        </row>
        <row r="681">
          <cell r="F681">
            <v>308461</v>
          </cell>
          <cell r="G681" t="str">
            <v>Josue Gamaliel Rivera</v>
          </cell>
        </row>
        <row r="682">
          <cell r="F682">
            <v>315155</v>
          </cell>
          <cell r="G682" t="str">
            <v>Josue Helaman Delgado Rivera</v>
          </cell>
        </row>
        <row r="683">
          <cell r="F683">
            <v>315011</v>
          </cell>
          <cell r="G683" t="str">
            <v>Josue Ivan Escobar De Leon</v>
          </cell>
        </row>
        <row r="684">
          <cell r="F684">
            <v>313389</v>
          </cell>
          <cell r="G684" t="str">
            <v>Josue Leonel Hernandez Diaz</v>
          </cell>
        </row>
        <row r="685">
          <cell r="F685">
            <v>301059</v>
          </cell>
          <cell r="G685" t="str">
            <v>Jovita Vasquez Cuestas</v>
          </cell>
        </row>
        <row r="686">
          <cell r="F686">
            <v>314492</v>
          </cell>
          <cell r="G686" t="str">
            <v>Juan Antonio Alvarez Paniagua</v>
          </cell>
        </row>
        <row r="687">
          <cell r="F687">
            <v>313594</v>
          </cell>
          <cell r="G687" t="str">
            <v>Juan Carlos Enrique Molina Ramirez</v>
          </cell>
        </row>
        <row r="688">
          <cell r="F688">
            <v>314452</v>
          </cell>
          <cell r="G688" t="str">
            <v>Juan Carlos Ivan Garcia Garcia</v>
          </cell>
        </row>
        <row r="689">
          <cell r="F689">
            <v>307279</v>
          </cell>
          <cell r="G689" t="str">
            <v>Juan Carlos Perez Cahueque</v>
          </cell>
        </row>
        <row r="690">
          <cell r="F690">
            <v>315455</v>
          </cell>
          <cell r="G690" t="str">
            <v>Juan Daniel Davila Juarez</v>
          </cell>
        </row>
        <row r="691">
          <cell r="F691">
            <v>312318</v>
          </cell>
          <cell r="G691" t="str">
            <v>Juan Enrique Garcia</v>
          </cell>
        </row>
        <row r="692">
          <cell r="F692">
            <v>314669</v>
          </cell>
          <cell r="G692" t="str">
            <v>Juan Enrique Jul Coc</v>
          </cell>
        </row>
        <row r="693">
          <cell r="F693">
            <v>311223</v>
          </cell>
          <cell r="G693" t="str">
            <v>Juan Francisco Gudiel Castillo</v>
          </cell>
        </row>
        <row r="694">
          <cell r="F694">
            <v>313343</v>
          </cell>
          <cell r="G694" t="str">
            <v>Juan Francisco Lopez Salic</v>
          </cell>
        </row>
        <row r="695">
          <cell r="F695">
            <v>300401</v>
          </cell>
          <cell r="G695" t="str">
            <v>Juan Gabriel Mendoza Alvarez</v>
          </cell>
        </row>
        <row r="696">
          <cell r="F696">
            <v>313617</v>
          </cell>
          <cell r="G696" t="str">
            <v>Juan Isael Amador</v>
          </cell>
        </row>
        <row r="697">
          <cell r="F697">
            <v>314961</v>
          </cell>
          <cell r="G697" t="str">
            <v>Juan Jose Cifuentes Chavez</v>
          </cell>
        </row>
        <row r="698">
          <cell r="F698">
            <v>300919</v>
          </cell>
          <cell r="G698" t="str">
            <v>Juan Jose Rodriguez Catu</v>
          </cell>
        </row>
        <row r="699">
          <cell r="F699">
            <v>313044</v>
          </cell>
          <cell r="G699" t="str">
            <v>Juan Luis Ajcet Xicay</v>
          </cell>
        </row>
        <row r="700">
          <cell r="F700">
            <v>314665</v>
          </cell>
          <cell r="G700" t="str">
            <v>Juan Manuel Lopez Hernandez</v>
          </cell>
        </row>
        <row r="701">
          <cell r="F701">
            <v>315275</v>
          </cell>
          <cell r="G701" t="str">
            <v>Juana Del Carmen Arias Lopez</v>
          </cell>
        </row>
        <row r="702">
          <cell r="F702">
            <v>314557</v>
          </cell>
          <cell r="G702" t="str">
            <v>Juana Ester Alvarez Tuluxan</v>
          </cell>
        </row>
        <row r="703">
          <cell r="F703">
            <v>313604</v>
          </cell>
          <cell r="G703" t="str">
            <v>Julia Damaris Raquel Ramirez Torres</v>
          </cell>
        </row>
        <row r="704">
          <cell r="F704">
            <v>315411</v>
          </cell>
          <cell r="G704" t="str">
            <v>Julio Alberto Guerra Jacinto</v>
          </cell>
        </row>
        <row r="705">
          <cell r="F705">
            <v>306242</v>
          </cell>
          <cell r="G705" t="str">
            <v>Julio Amilcar Oswaldo Ico Rey</v>
          </cell>
        </row>
        <row r="706">
          <cell r="F706">
            <v>310693</v>
          </cell>
          <cell r="G706" t="str">
            <v>Julio Antonio Gonzalez Izaguirre</v>
          </cell>
        </row>
        <row r="707">
          <cell r="F707">
            <v>302559</v>
          </cell>
          <cell r="G707" t="str">
            <v>Julio Belarmino Mendez Camey</v>
          </cell>
        </row>
        <row r="708">
          <cell r="F708">
            <v>314740</v>
          </cell>
          <cell r="G708" t="str">
            <v>Julio Cesar Cuellar Revolorio</v>
          </cell>
        </row>
        <row r="709">
          <cell r="F709">
            <v>308266</v>
          </cell>
          <cell r="G709" t="str">
            <v>Julio Cesar De Leon Huinac</v>
          </cell>
        </row>
        <row r="710">
          <cell r="F710">
            <v>311388</v>
          </cell>
          <cell r="G710" t="str">
            <v>Julio David Ambrosio Hernandez</v>
          </cell>
        </row>
        <row r="711">
          <cell r="F711">
            <v>313493</v>
          </cell>
          <cell r="G711" t="str">
            <v>Julio Rene Medina Mendez</v>
          </cell>
        </row>
        <row r="712">
          <cell r="F712">
            <v>314194</v>
          </cell>
          <cell r="G712" t="str">
            <v>Junior Stiven Gonzalez Fuentes</v>
          </cell>
        </row>
        <row r="713">
          <cell r="F713">
            <v>308411</v>
          </cell>
          <cell r="G713" t="str">
            <v>Karen Alejandra Cotoc Valdes</v>
          </cell>
        </row>
        <row r="714">
          <cell r="F714">
            <v>313225</v>
          </cell>
          <cell r="G714" t="str">
            <v>Karen Deniss Lucas Chavez</v>
          </cell>
        </row>
        <row r="715">
          <cell r="F715">
            <v>311553</v>
          </cell>
          <cell r="G715" t="str">
            <v>Karen Elizabeth Racancoj Tin</v>
          </cell>
        </row>
        <row r="716">
          <cell r="F716">
            <v>312029</v>
          </cell>
          <cell r="G716" t="str">
            <v>Karen Faviola Lutin Sanchez</v>
          </cell>
        </row>
        <row r="717">
          <cell r="F717">
            <v>314954</v>
          </cell>
          <cell r="G717" t="str">
            <v>Karen Jeanet Pacheco Gomez</v>
          </cell>
        </row>
        <row r="718">
          <cell r="F718">
            <v>305618</v>
          </cell>
          <cell r="G718" t="str">
            <v>Karen Julisa Fernandez Vides</v>
          </cell>
        </row>
        <row r="719">
          <cell r="F719">
            <v>308561</v>
          </cell>
          <cell r="G719" t="str">
            <v>Karen Leticia Vasquez Castañeda</v>
          </cell>
        </row>
        <row r="720">
          <cell r="F720">
            <v>313722</v>
          </cell>
          <cell r="G720" t="str">
            <v>Karen Marilu Chavez Suchite</v>
          </cell>
        </row>
        <row r="721">
          <cell r="F721">
            <v>315110</v>
          </cell>
          <cell r="G721" t="str">
            <v>Karen Marleny Perez Fuentes</v>
          </cell>
        </row>
        <row r="722">
          <cell r="F722">
            <v>311616</v>
          </cell>
          <cell r="G722" t="str">
            <v>Karen Meliza Saavedra Morataya</v>
          </cell>
        </row>
        <row r="723">
          <cell r="F723">
            <v>309014</v>
          </cell>
          <cell r="G723" t="str">
            <v>Karen Mishelle Chavez Segura</v>
          </cell>
        </row>
        <row r="724">
          <cell r="F724">
            <v>314217</v>
          </cell>
          <cell r="G724" t="str">
            <v>Karen Nohemi Perez Santos</v>
          </cell>
        </row>
        <row r="725">
          <cell r="F725">
            <v>315274</v>
          </cell>
          <cell r="G725" t="str">
            <v>Karen Rubi Perez Calderon</v>
          </cell>
        </row>
        <row r="726">
          <cell r="F726">
            <v>308426</v>
          </cell>
          <cell r="G726" t="str">
            <v>Karen Susana Marcos Yupe</v>
          </cell>
        </row>
        <row r="727">
          <cell r="F727">
            <v>311722</v>
          </cell>
          <cell r="G727" t="str">
            <v>Karen Verali Sagastume Oliveros</v>
          </cell>
        </row>
        <row r="728">
          <cell r="F728">
            <v>308244</v>
          </cell>
          <cell r="G728" t="str">
            <v>Karen Yamileth Rosales Alarcon</v>
          </cell>
        </row>
        <row r="729">
          <cell r="F729">
            <v>312215</v>
          </cell>
          <cell r="G729" t="str">
            <v>Karin Liseth Son Chonay</v>
          </cell>
        </row>
        <row r="730">
          <cell r="F730">
            <v>301583</v>
          </cell>
          <cell r="G730" t="str">
            <v>Karin Yesenia Nova Posadas</v>
          </cell>
        </row>
        <row r="731">
          <cell r="F731">
            <v>313918</v>
          </cell>
          <cell r="G731" t="str">
            <v>Karina Lizeth Pineda Ortiz</v>
          </cell>
        </row>
        <row r="732">
          <cell r="F732">
            <v>312403</v>
          </cell>
          <cell r="G732" t="str">
            <v>Karla Elizabeth Lopez Tupul</v>
          </cell>
        </row>
        <row r="733">
          <cell r="F733">
            <v>304664</v>
          </cell>
          <cell r="G733" t="str">
            <v>Karla Eunice Godinez Mendoza</v>
          </cell>
        </row>
        <row r="734">
          <cell r="F734">
            <v>315490</v>
          </cell>
          <cell r="G734" t="str">
            <v>Karla Jasmin Pelen Rafael</v>
          </cell>
        </row>
        <row r="735">
          <cell r="F735">
            <v>314673</v>
          </cell>
          <cell r="G735" t="str">
            <v>Karla Maria Montejo Martinez</v>
          </cell>
        </row>
        <row r="736">
          <cell r="F736">
            <v>313079</v>
          </cell>
          <cell r="G736" t="str">
            <v>Karla Mariela Lopez Salguero</v>
          </cell>
        </row>
        <row r="737">
          <cell r="F737">
            <v>314464</v>
          </cell>
          <cell r="G737" t="str">
            <v>Karla Melisa Trejo Lopez</v>
          </cell>
        </row>
        <row r="738">
          <cell r="F738">
            <v>314206</v>
          </cell>
          <cell r="G738" t="str">
            <v>Karla Nineth Guzman Carrera De Velasquez</v>
          </cell>
        </row>
        <row r="739">
          <cell r="F739">
            <v>314831</v>
          </cell>
          <cell r="G739" t="str">
            <v>Karla Paola Solorzano Monroy</v>
          </cell>
        </row>
        <row r="740">
          <cell r="F740">
            <v>309957</v>
          </cell>
          <cell r="G740" t="str">
            <v>Karla Veronica Zepeda Moran</v>
          </cell>
        </row>
        <row r="741">
          <cell r="F741">
            <v>310487</v>
          </cell>
          <cell r="G741" t="str">
            <v>Karla Yaneth Vasquez Gomez</v>
          </cell>
        </row>
        <row r="742">
          <cell r="F742">
            <v>314444</v>
          </cell>
          <cell r="G742" t="str">
            <v>Karla Yanira Francisco Morales</v>
          </cell>
        </row>
        <row r="743">
          <cell r="F743">
            <v>305608</v>
          </cell>
          <cell r="G743" t="str">
            <v>Karla Yanira Franco Perez</v>
          </cell>
        </row>
        <row r="744">
          <cell r="F744">
            <v>312982</v>
          </cell>
          <cell r="G744" t="str">
            <v>Karla Yessenia Garcia Lopez</v>
          </cell>
        </row>
        <row r="745">
          <cell r="F745">
            <v>314044</v>
          </cell>
          <cell r="G745" t="str">
            <v>Karol Liset Reyes Alvarez</v>
          </cell>
        </row>
        <row r="746">
          <cell r="F746">
            <v>311039</v>
          </cell>
          <cell r="G746" t="str">
            <v>Karolyn Gisselle Palma Ramirez</v>
          </cell>
        </row>
        <row r="747">
          <cell r="F747">
            <v>309255</v>
          </cell>
          <cell r="G747" t="str">
            <v>Katerin Mariela Miranda Perez</v>
          </cell>
        </row>
        <row r="748">
          <cell r="F748">
            <v>308909</v>
          </cell>
          <cell r="G748" t="str">
            <v>Katerine Andrea Mansilla Vasquez</v>
          </cell>
        </row>
        <row r="749">
          <cell r="F749">
            <v>314344</v>
          </cell>
          <cell r="G749" t="str">
            <v>Katherin Maria Del Rosario Curiales Catalan</v>
          </cell>
        </row>
        <row r="750">
          <cell r="F750">
            <v>311930</v>
          </cell>
          <cell r="G750" t="str">
            <v>Katherine Andreina Rodriguez Flores</v>
          </cell>
        </row>
        <row r="751">
          <cell r="F751">
            <v>314987</v>
          </cell>
          <cell r="G751" t="str">
            <v>Katherine Dayana Sinay Colindres</v>
          </cell>
        </row>
        <row r="752">
          <cell r="F752">
            <v>313018</v>
          </cell>
          <cell r="G752" t="str">
            <v>Katherine Guissele Camey Gonzalez</v>
          </cell>
        </row>
        <row r="753">
          <cell r="F753">
            <v>305303</v>
          </cell>
          <cell r="G753" t="str">
            <v>Katherine Stephani Cazanga Giron</v>
          </cell>
        </row>
        <row r="754">
          <cell r="F754">
            <v>310764</v>
          </cell>
          <cell r="G754" t="str">
            <v>Katherine Yorleny Montepeque Echeverria</v>
          </cell>
        </row>
        <row r="755">
          <cell r="F755">
            <v>312313</v>
          </cell>
          <cell r="G755" t="str">
            <v>Katherinne Marleny Ruano Vasquez</v>
          </cell>
        </row>
        <row r="756">
          <cell r="F756">
            <v>312966</v>
          </cell>
          <cell r="G756" t="str">
            <v>Katheryn Nohemi Pineda Sun</v>
          </cell>
        </row>
        <row r="757">
          <cell r="F757">
            <v>314949</v>
          </cell>
          <cell r="G757" t="str">
            <v>Kathleen Yadira Martinez Salazar</v>
          </cell>
        </row>
        <row r="758">
          <cell r="F758">
            <v>307014</v>
          </cell>
          <cell r="G758" t="str">
            <v>Keila Abigail Lopez Argueta</v>
          </cell>
        </row>
        <row r="759">
          <cell r="F759">
            <v>315508</v>
          </cell>
          <cell r="G759" t="str">
            <v>Keila Betsaida Mendoza Pineda</v>
          </cell>
        </row>
        <row r="760">
          <cell r="F760">
            <v>315062</v>
          </cell>
          <cell r="G760" t="str">
            <v>Keili Yanira Arceno Solano</v>
          </cell>
        </row>
        <row r="761">
          <cell r="F761">
            <v>314165</v>
          </cell>
          <cell r="G761" t="str">
            <v>Kelly Dayanna Patzan Giron</v>
          </cell>
        </row>
        <row r="762">
          <cell r="F762">
            <v>315570</v>
          </cell>
          <cell r="G762" t="str">
            <v>Kemberly Del Rosario Zecena Ramos</v>
          </cell>
        </row>
        <row r="763">
          <cell r="F763">
            <v>314804</v>
          </cell>
          <cell r="G763" t="str">
            <v>Kendy Daniela Ramirez Lopez</v>
          </cell>
        </row>
        <row r="764">
          <cell r="F764">
            <v>313433</v>
          </cell>
          <cell r="G764" t="str">
            <v>Kenia Estefania Mateo Castro</v>
          </cell>
        </row>
        <row r="765">
          <cell r="F765">
            <v>314991</v>
          </cell>
          <cell r="G765" t="str">
            <v>Kevin Alberto Castillo Matias</v>
          </cell>
        </row>
        <row r="766">
          <cell r="F766">
            <v>314026</v>
          </cell>
          <cell r="G766" t="str">
            <v>Kevin Alberto Lopez Ortiz</v>
          </cell>
        </row>
        <row r="767">
          <cell r="F767">
            <v>315246</v>
          </cell>
          <cell r="G767" t="str">
            <v>Kevin Alexander Escobar Cante</v>
          </cell>
        </row>
        <row r="768">
          <cell r="F768">
            <v>312218</v>
          </cell>
          <cell r="G768" t="str">
            <v>Kevin Amilcar Cor Guzman</v>
          </cell>
        </row>
        <row r="769">
          <cell r="F769">
            <v>311369</v>
          </cell>
          <cell r="G769" t="str">
            <v>Kevin Antonio Perez Gonzalez</v>
          </cell>
        </row>
        <row r="770">
          <cell r="F770">
            <v>314627</v>
          </cell>
          <cell r="G770" t="str">
            <v>Kevin Daniel Chonay Perez</v>
          </cell>
        </row>
        <row r="771">
          <cell r="F771">
            <v>311228</v>
          </cell>
          <cell r="G771" t="str">
            <v>Kevin Doley Alexander Gomez Lopez</v>
          </cell>
        </row>
        <row r="772">
          <cell r="F772">
            <v>309148</v>
          </cell>
          <cell r="G772" t="str">
            <v>Kevin Estuardo Yac Garcia</v>
          </cell>
        </row>
        <row r="773">
          <cell r="F773">
            <v>311643</v>
          </cell>
          <cell r="G773" t="str">
            <v>Kevin Javier Ortiz Gonzalez</v>
          </cell>
        </row>
        <row r="774">
          <cell r="F774">
            <v>311034</v>
          </cell>
          <cell r="G774" t="str">
            <v>Kevin Jordano Barrios Chin</v>
          </cell>
        </row>
        <row r="775">
          <cell r="F775">
            <v>314011</v>
          </cell>
          <cell r="G775" t="str">
            <v>Kevin Jose Mijangos Vasquez</v>
          </cell>
        </row>
        <row r="776">
          <cell r="F776">
            <v>314743</v>
          </cell>
          <cell r="G776" t="str">
            <v>Kevin Josue Sevilla Nieto</v>
          </cell>
        </row>
        <row r="777">
          <cell r="F777">
            <v>311639</v>
          </cell>
          <cell r="G777" t="str">
            <v>Kevin Omar Ortiz Contreras</v>
          </cell>
        </row>
        <row r="778">
          <cell r="F778">
            <v>310538</v>
          </cell>
          <cell r="G778" t="str">
            <v>Kevin Orlando Ventura Lopez</v>
          </cell>
        </row>
        <row r="779">
          <cell r="F779">
            <v>311932</v>
          </cell>
          <cell r="G779" t="str">
            <v>Kevin Rene Medrano Sarceño</v>
          </cell>
        </row>
        <row r="780">
          <cell r="F780">
            <v>308269</v>
          </cell>
          <cell r="G780" t="str">
            <v>Kevin Ruben Perez Lopez</v>
          </cell>
        </row>
        <row r="781">
          <cell r="F781">
            <v>313566</v>
          </cell>
          <cell r="G781" t="str">
            <v>Kevin Saul Rodriguez Vasquez</v>
          </cell>
        </row>
        <row r="782">
          <cell r="F782">
            <v>313520</v>
          </cell>
          <cell r="G782" t="str">
            <v>Kevin Winston Chavez Alvarez</v>
          </cell>
        </row>
        <row r="783">
          <cell r="F783">
            <v>312178</v>
          </cell>
          <cell r="G783" t="str">
            <v>Keyla Cristy Dubon Pernillo</v>
          </cell>
        </row>
        <row r="784">
          <cell r="F784">
            <v>305666</v>
          </cell>
          <cell r="G784" t="str">
            <v>Kezmi Romani Garcia Mendez</v>
          </cell>
        </row>
        <row r="785">
          <cell r="F785">
            <v>314754</v>
          </cell>
          <cell r="G785" t="str">
            <v>Kimberly Anayanci Tello Morales</v>
          </cell>
        </row>
        <row r="786">
          <cell r="F786">
            <v>314051</v>
          </cell>
          <cell r="G786" t="str">
            <v>Kimberly Dayanna Herrera Marroquin</v>
          </cell>
        </row>
        <row r="787">
          <cell r="F787">
            <v>313302</v>
          </cell>
          <cell r="G787" t="str">
            <v>Kimberly Guadalupe Mulul Pelico</v>
          </cell>
        </row>
        <row r="788">
          <cell r="F788">
            <v>314218</v>
          </cell>
          <cell r="G788" t="str">
            <v>Kimberly Guadalupe Soto</v>
          </cell>
        </row>
        <row r="789">
          <cell r="F789">
            <v>305285</v>
          </cell>
          <cell r="G789" t="str">
            <v>Kimberly Judith Lopez Amaya</v>
          </cell>
        </row>
        <row r="790">
          <cell r="F790">
            <v>309753</v>
          </cell>
          <cell r="G790" t="str">
            <v>Kimberly Melissa Juarez Ramirez</v>
          </cell>
        </row>
        <row r="791">
          <cell r="F791">
            <v>312174</v>
          </cell>
          <cell r="G791" t="str">
            <v>Kimberly Mishel Merida Cortez</v>
          </cell>
        </row>
        <row r="792">
          <cell r="F792">
            <v>310926</v>
          </cell>
          <cell r="G792" t="str">
            <v>Kimberly Nohemi Alvarado Toj</v>
          </cell>
        </row>
        <row r="793">
          <cell r="F793">
            <v>315095</v>
          </cell>
          <cell r="G793" t="str">
            <v>Kimberly Suseli Ibarra Barahona</v>
          </cell>
        </row>
        <row r="794">
          <cell r="F794">
            <v>313601</v>
          </cell>
          <cell r="G794" t="str">
            <v>Kimberly Yasmin Alvarado Veliz</v>
          </cell>
        </row>
        <row r="795">
          <cell r="F795">
            <v>310820</v>
          </cell>
          <cell r="G795" t="str">
            <v>Kleidy Smaily Lopez Lopez De Vicente</v>
          </cell>
        </row>
        <row r="796">
          <cell r="F796">
            <v>315345</v>
          </cell>
          <cell r="G796" t="str">
            <v>Klisman Julio Rolando Lopez Garcia</v>
          </cell>
        </row>
        <row r="797">
          <cell r="F797">
            <v>315369</v>
          </cell>
          <cell r="G797" t="str">
            <v>Krisla Mayte Madrigales Palencia</v>
          </cell>
        </row>
        <row r="798">
          <cell r="F798">
            <v>314417</v>
          </cell>
          <cell r="G798" t="str">
            <v>Krisley Mary Dayana Mazariegos Vega</v>
          </cell>
        </row>
        <row r="799">
          <cell r="F799">
            <v>311096</v>
          </cell>
          <cell r="G799" t="str">
            <v>Larry Noel Gomez Cuellar</v>
          </cell>
        </row>
        <row r="800">
          <cell r="F800">
            <v>315400</v>
          </cell>
          <cell r="G800" t="str">
            <v>Laura Cecilia De Leon Zapeta</v>
          </cell>
        </row>
        <row r="801">
          <cell r="F801">
            <v>312722</v>
          </cell>
          <cell r="G801" t="str">
            <v>Laura Dairis Analy Zeceña Minera</v>
          </cell>
        </row>
        <row r="802">
          <cell r="F802">
            <v>314274</v>
          </cell>
          <cell r="G802" t="str">
            <v>Laura Estefania Cardona Mateo</v>
          </cell>
        </row>
        <row r="803">
          <cell r="F803">
            <v>309643</v>
          </cell>
          <cell r="G803" t="str">
            <v>Laura Gabriela Hernandez Merida</v>
          </cell>
        </row>
        <row r="804">
          <cell r="F804">
            <v>312253</v>
          </cell>
          <cell r="G804" t="str">
            <v>Laura Jajairy Ramirez Veron</v>
          </cell>
        </row>
        <row r="805">
          <cell r="F805">
            <v>315183</v>
          </cell>
          <cell r="G805" t="str">
            <v>Laura Lisbeth Gonzalez Ajin</v>
          </cell>
        </row>
        <row r="806">
          <cell r="F806">
            <v>315144</v>
          </cell>
          <cell r="G806" t="str">
            <v>Lazaro Castro Cajanti</v>
          </cell>
        </row>
        <row r="807">
          <cell r="F807">
            <v>314220</v>
          </cell>
          <cell r="G807" t="str">
            <v>Lea Maria Lopez Agustin</v>
          </cell>
        </row>
        <row r="808">
          <cell r="F808">
            <v>303284</v>
          </cell>
          <cell r="G808" t="str">
            <v>Legbi Evangelina Martinez Vicente</v>
          </cell>
        </row>
        <row r="809">
          <cell r="F809">
            <v>304200</v>
          </cell>
          <cell r="G809" t="str">
            <v>Legna Magali Juarez Aroche</v>
          </cell>
        </row>
        <row r="810">
          <cell r="F810">
            <v>310692</v>
          </cell>
          <cell r="G810" t="str">
            <v>Leidy Ana Deisy Macz Valey</v>
          </cell>
        </row>
        <row r="811">
          <cell r="F811">
            <v>303971</v>
          </cell>
          <cell r="G811" t="str">
            <v>Leidy Marisol Perez Arias</v>
          </cell>
        </row>
        <row r="812">
          <cell r="F812">
            <v>312969</v>
          </cell>
          <cell r="G812" t="str">
            <v>Lely Herrera Molina</v>
          </cell>
        </row>
        <row r="813">
          <cell r="F813">
            <v>315278</v>
          </cell>
          <cell r="G813" t="str">
            <v>Leon Vicente Estuardo Ical Chub</v>
          </cell>
        </row>
        <row r="814">
          <cell r="F814">
            <v>306895</v>
          </cell>
          <cell r="G814" t="str">
            <v>Leonardo Bocel Lopez</v>
          </cell>
        </row>
        <row r="815">
          <cell r="F815">
            <v>315257</v>
          </cell>
          <cell r="G815" t="str">
            <v>Lesli Carolina Iquique Chamale</v>
          </cell>
        </row>
        <row r="816">
          <cell r="F816">
            <v>310605</v>
          </cell>
          <cell r="G816" t="str">
            <v>Lesli Paola Mendez Palencia</v>
          </cell>
        </row>
        <row r="817">
          <cell r="F817">
            <v>307367</v>
          </cell>
          <cell r="G817" t="str">
            <v>Lesli Paola Vasquez Villalta</v>
          </cell>
        </row>
        <row r="818">
          <cell r="F818">
            <v>314870</v>
          </cell>
          <cell r="G818" t="str">
            <v>Leslie Karina Peliz Garcia</v>
          </cell>
        </row>
        <row r="819">
          <cell r="F819">
            <v>314382</v>
          </cell>
          <cell r="G819" t="str">
            <v>Leslie Veronica Varela Echeverria</v>
          </cell>
        </row>
        <row r="820">
          <cell r="F820">
            <v>310067</v>
          </cell>
          <cell r="G820" t="str">
            <v>Lesly Alejandra Estrada Chacon</v>
          </cell>
        </row>
        <row r="821">
          <cell r="F821">
            <v>307352</v>
          </cell>
          <cell r="G821" t="str">
            <v>Lesly Anali Monterroso Ramirez</v>
          </cell>
        </row>
        <row r="822">
          <cell r="F822">
            <v>310143</v>
          </cell>
          <cell r="G822" t="str">
            <v>Lesly Aurora Hernandez Godoy</v>
          </cell>
        </row>
        <row r="823">
          <cell r="F823">
            <v>312833</v>
          </cell>
          <cell r="G823" t="str">
            <v>Lesly Fabiola Solorzano Garcia</v>
          </cell>
        </row>
        <row r="824">
          <cell r="F824">
            <v>315132</v>
          </cell>
          <cell r="G824" t="str">
            <v>Lesly Lisseth Ligorria Torres</v>
          </cell>
        </row>
        <row r="825">
          <cell r="F825">
            <v>309366</v>
          </cell>
          <cell r="G825" t="str">
            <v>Lesly Maribel Hidalgo Barrios</v>
          </cell>
        </row>
        <row r="826">
          <cell r="F826">
            <v>314328</v>
          </cell>
          <cell r="G826" t="str">
            <v>Lesly Marileny De Leon De Leon</v>
          </cell>
        </row>
        <row r="827">
          <cell r="F827">
            <v>315317</v>
          </cell>
          <cell r="G827" t="str">
            <v>Lesly Nereyda Ixquiac Vidaurre</v>
          </cell>
        </row>
        <row r="828">
          <cell r="F828">
            <v>313889</v>
          </cell>
          <cell r="G828" t="str">
            <v>Lesly Noemi Morales Molina</v>
          </cell>
        </row>
        <row r="829">
          <cell r="F829">
            <v>310261</v>
          </cell>
          <cell r="G829" t="str">
            <v>Lesly Rosibel Asencio Estrada</v>
          </cell>
        </row>
        <row r="830">
          <cell r="F830">
            <v>311985</v>
          </cell>
          <cell r="G830" t="str">
            <v>Lesly Vanessa Jerez Herrera</v>
          </cell>
        </row>
        <row r="831">
          <cell r="F831">
            <v>307718</v>
          </cell>
          <cell r="G831" t="str">
            <v>Lesly Yohanna Ramirez Sarceño</v>
          </cell>
        </row>
        <row r="832">
          <cell r="F832">
            <v>307269</v>
          </cell>
          <cell r="G832" t="str">
            <v>Lester Alexander Rodriguez Arevalo</v>
          </cell>
        </row>
        <row r="833">
          <cell r="F833">
            <v>102070</v>
          </cell>
          <cell r="G833" t="str">
            <v>Lester Giovanni Barrios Gonzalez</v>
          </cell>
        </row>
        <row r="834">
          <cell r="F834">
            <v>313030</v>
          </cell>
          <cell r="G834" t="str">
            <v>Lester Ottoniel Martinez Gonzalez</v>
          </cell>
        </row>
        <row r="835">
          <cell r="F835">
            <v>314628</v>
          </cell>
          <cell r="G835" t="str">
            <v>Levy Jhafreth Molina Castellanos</v>
          </cell>
        </row>
        <row r="836">
          <cell r="F836">
            <v>315074</v>
          </cell>
          <cell r="G836" t="str">
            <v>Leyvis Anihela Melendez Garcia</v>
          </cell>
        </row>
        <row r="837">
          <cell r="F837">
            <v>310347</v>
          </cell>
          <cell r="G837" t="str">
            <v>Lidia Sarahi Rodriguez Zamora</v>
          </cell>
        </row>
        <row r="838">
          <cell r="F838">
            <v>313802</v>
          </cell>
          <cell r="G838" t="str">
            <v>Ligia Delfina Caal Coy</v>
          </cell>
        </row>
        <row r="839">
          <cell r="F839">
            <v>303594</v>
          </cell>
          <cell r="G839" t="str">
            <v>Ligia Iveth Marroquin Lechuga</v>
          </cell>
        </row>
        <row r="840">
          <cell r="F840">
            <v>311440</v>
          </cell>
          <cell r="G840" t="str">
            <v>Lili Azucena Perez Yantuch</v>
          </cell>
        </row>
        <row r="841">
          <cell r="F841">
            <v>310148</v>
          </cell>
          <cell r="G841" t="str">
            <v>Lilian Carolina Quiñonez Garcia</v>
          </cell>
        </row>
        <row r="842">
          <cell r="F842">
            <v>300280</v>
          </cell>
          <cell r="G842" t="str">
            <v>Lilian Del Carmen Franco Curin</v>
          </cell>
        </row>
        <row r="843">
          <cell r="F843">
            <v>306962</v>
          </cell>
          <cell r="G843" t="str">
            <v>Lilian Elizabeth Diaz Rivera</v>
          </cell>
        </row>
        <row r="844">
          <cell r="F844">
            <v>314279</v>
          </cell>
          <cell r="G844" t="str">
            <v>Lilian Evelyn Sajbochol Garcia</v>
          </cell>
        </row>
        <row r="845">
          <cell r="F845">
            <v>305035</v>
          </cell>
          <cell r="G845" t="str">
            <v>Lilian Nohemi Santos Bailon</v>
          </cell>
        </row>
        <row r="846">
          <cell r="F846">
            <v>314899</v>
          </cell>
          <cell r="G846" t="str">
            <v>Lilian Vanessa Tezó Monterroso</v>
          </cell>
        </row>
        <row r="847">
          <cell r="F847">
            <v>314728</v>
          </cell>
          <cell r="G847" t="str">
            <v>Lilian Yomara Perez Ajxup</v>
          </cell>
        </row>
        <row r="848">
          <cell r="F848">
            <v>313768</v>
          </cell>
          <cell r="G848" t="str">
            <v>Liliana Marisela Chamorro Tax</v>
          </cell>
        </row>
        <row r="849">
          <cell r="F849">
            <v>314091</v>
          </cell>
          <cell r="G849" t="str">
            <v>Linda Gineli Segura Perez</v>
          </cell>
        </row>
        <row r="850">
          <cell r="F850">
            <v>310198</v>
          </cell>
          <cell r="G850" t="str">
            <v>Linsi Mishell Batz Marroquin</v>
          </cell>
        </row>
        <row r="851">
          <cell r="F851">
            <v>309262</v>
          </cell>
          <cell r="G851" t="str">
            <v>Lisbeth Carolina Hernandez Urrutia</v>
          </cell>
        </row>
        <row r="852">
          <cell r="F852">
            <v>315486</v>
          </cell>
          <cell r="G852" t="str">
            <v>Lisbeth Jeaneth Sucup</v>
          </cell>
        </row>
        <row r="853">
          <cell r="F853">
            <v>311492</v>
          </cell>
          <cell r="G853" t="str">
            <v>Liseth Aldai De La Cruz Lopez</v>
          </cell>
        </row>
        <row r="854">
          <cell r="F854">
            <v>315403</v>
          </cell>
          <cell r="G854" t="str">
            <v>Lizbeth Liliana Peren Velasquez</v>
          </cell>
        </row>
        <row r="855">
          <cell r="F855">
            <v>312792</v>
          </cell>
          <cell r="G855" t="str">
            <v>Llori Eriselda Zuñiga Gomez</v>
          </cell>
        </row>
        <row r="856">
          <cell r="F856">
            <v>314774</v>
          </cell>
          <cell r="G856" t="str">
            <v>Loida Eunice Celada Panjoj</v>
          </cell>
        </row>
        <row r="857">
          <cell r="F857">
            <v>310872</v>
          </cell>
          <cell r="G857" t="str">
            <v>Loida Raquel Juarez Ixpata</v>
          </cell>
        </row>
        <row r="858">
          <cell r="F858">
            <v>312765</v>
          </cell>
          <cell r="G858" t="str">
            <v>Londy Yazmin Gonzalez Ramirez</v>
          </cell>
        </row>
        <row r="859">
          <cell r="F859">
            <v>303967</v>
          </cell>
          <cell r="G859" t="str">
            <v>Loren Alejandra Gutierrez Perez</v>
          </cell>
        </row>
        <row r="860">
          <cell r="F860">
            <v>311367</v>
          </cell>
          <cell r="G860" t="str">
            <v>Lorena Elisbeth Gomez Ajanel</v>
          </cell>
        </row>
        <row r="861">
          <cell r="F861">
            <v>310502</v>
          </cell>
          <cell r="G861" t="str">
            <v>Lourdes Cristina Flores Tahuite</v>
          </cell>
        </row>
        <row r="862">
          <cell r="F862">
            <v>315124</v>
          </cell>
          <cell r="G862" t="str">
            <v>Lourdes Guadalupe Solorzano Herrera</v>
          </cell>
        </row>
        <row r="863">
          <cell r="F863">
            <v>313529</v>
          </cell>
          <cell r="G863" t="str">
            <v>Lucia Adali Alvarado Juarez</v>
          </cell>
        </row>
        <row r="864">
          <cell r="F864">
            <v>314022</v>
          </cell>
          <cell r="G864" t="str">
            <v>Lucinda Nova Garcia</v>
          </cell>
        </row>
        <row r="865">
          <cell r="F865">
            <v>309747</v>
          </cell>
          <cell r="G865" t="str">
            <v>Ludwin Enrique Pineda Soto</v>
          </cell>
        </row>
        <row r="866">
          <cell r="F866">
            <v>315489</v>
          </cell>
          <cell r="G866" t="str">
            <v>Ludwyn Alejandro Estrada Giron</v>
          </cell>
        </row>
        <row r="867">
          <cell r="F867">
            <v>313595</v>
          </cell>
          <cell r="G867" t="str">
            <v>Luis Alan Caceros Chub</v>
          </cell>
        </row>
        <row r="868">
          <cell r="F868">
            <v>311207</v>
          </cell>
          <cell r="G868" t="str">
            <v>Luis Alberto Figueroa Vasquez</v>
          </cell>
        </row>
        <row r="869">
          <cell r="F869">
            <v>304473</v>
          </cell>
          <cell r="G869" t="str">
            <v>Luis Alberto Najera Solis</v>
          </cell>
        </row>
        <row r="870">
          <cell r="F870">
            <v>314202</v>
          </cell>
          <cell r="G870" t="str">
            <v>Luis Antonio Cotzajay Quelex</v>
          </cell>
        </row>
        <row r="871">
          <cell r="F871">
            <v>302484</v>
          </cell>
          <cell r="G871" t="str">
            <v>Luis Armando Ramirez De Leon</v>
          </cell>
        </row>
        <row r="872">
          <cell r="F872">
            <v>315385</v>
          </cell>
          <cell r="G872" t="str">
            <v>Luis Carlos Xitimul Ramirez</v>
          </cell>
        </row>
        <row r="873">
          <cell r="F873">
            <v>308614</v>
          </cell>
          <cell r="G873" t="str">
            <v>Luis De Jesus Julian Lopez</v>
          </cell>
        </row>
        <row r="874">
          <cell r="F874">
            <v>315222</v>
          </cell>
          <cell r="G874" t="str">
            <v>Luis Diego Figueroa Coronado</v>
          </cell>
        </row>
        <row r="875">
          <cell r="F875">
            <v>306213</v>
          </cell>
          <cell r="G875" t="str">
            <v>Luis Eduardo Corado Lara</v>
          </cell>
        </row>
        <row r="876">
          <cell r="F876">
            <v>315363</v>
          </cell>
          <cell r="G876" t="str">
            <v>Luis Eduardo Fuentes Flores</v>
          </cell>
        </row>
        <row r="877">
          <cell r="F877">
            <v>314162</v>
          </cell>
          <cell r="G877" t="str">
            <v>Luis Eduardo Gonzalez Arriaza</v>
          </cell>
        </row>
        <row r="878">
          <cell r="F878">
            <v>311975</v>
          </cell>
          <cell r="G878" t="str">
            <v>Luis Eduardo Ramirez Arriaza</v>
          </cell>
        </row>
        <row r="879">
          <cell r="F879">
            <v>300922</v>
          </cell>
          <cell r="G879" t="str">
            <v>Luis Ernesto Medrano Chajon</v>
          </cell>
        </row>
        <row r="880">
          <cell r="F880">
            <v>308519</v>
          </cell>
          <cell r="G880" t="str">
            <v>Luis Felipe Cuzal Gomez</v>
          </cell>
        </row>
        <row r="881">
          <cell r="F881">
            <v>314812</v>
          </cell>
          <cell r="G881" t="str">
            <v>Luis Fernando Alvarado Tocay</v>
          </cell>
        </row>
        <row r="882">
          <cell r="F882">
            <v>304509</v>
          </cell>
          <cell r="G882" t="str">
            <v>Luis Fernando Jerez Perez</v>
          </cell>
        </row>
        <row r="883">
          <cell r="F883">
            <v>313479</v>
          </cell>
          <cell r="G883" t="str">
            <v>Luis Fernando Lopez Lopez</v>
          </cell>
        </row>
        <row r="884">
          <cell r="F884">
            <v>310923</v>
          </cell>
          <cell r="G884" t="str">
            <v>Luis Fernando Lopez Lopez</v>
          </cell>
        </row>
        <row r="885">
          <cell r="F885">
            <v>307904</v>
          </cell>
          <cell r="G885" t="str">
            <v>Luis Fernando Martin Mateo</v>
          </cell>
        </row>
        <row r="886">
          <cell r="F886">
            <v>312303</v>
          </cell>
          <cell r="G886" t="str">
            <v>Luis Fernando Morales Chocoy</v>
          </cell>
        </row>
        <row r="887">
          <cell r="F887">
            <v>314124</v>
          </cell>
          <cell r="G887" t="str">
            <v>Luis Fernando Perez Torres</v>
          </cell>
        </row>
        <row r="888">
          <cell r="F888">
            <v>306713</v>
          </cell>
          <cell r="G888" t="str">
            <v>Luis Fernando Santos Aguilar</v>
          </cell>
        </row>
        <row r="889">
          <cell r="F889">
            <v>315342</v>
          </cell>
          <cell r="G889" t="str">
            <v>Luis Fernando Valle Cuyun</v>
          </cell>
        </row>
        <row r="890">
          <cell r="F890">
            <v>312257</v>
          </cell>
          <cell r="G890" t="str">
            <v>Luis Giovanni Coronado Vasquez</v>
          </cell>
        </row>
        <row r="891">
          <cell r="F891">
            <v>307113</v>
          </cell>
          <cell r="G891" t="str">
            <v>Luis Pedro Herrera España</v>
          </cell>
        </row>
        <row r="892">
          <cell r="F892">
            <v>303961</v>
          </cell>
          <cell r="G892" t="str">
            <v>Luis Rene Morales Lopez</v>
          </cell>
        </row>
        <row r="893">
          <cell r="F893">
            <v>308796</v>
          </cell>
          <cell r="G893" t="str">
            <v>Luis Tito Rene Esquivel Yancor</v>
          </cell>
        </row>
        <row r="894">
          <cell r="F894">
            <v>307862</v>
          </cell>
          <cell r="G894" t="str">
            <v>Luisa Fernanda Castro Garcia</v>
          </cell>
        </row>
        <row r="895">
          <cell r="F895">
            <v>310734</v>
          </cell>
          <cell r="G895" t="str">
            <v>Lupita Genesis Samanta Granados Valenzuela</v>
          </cell>
        </row>
        <row r="896">
          <cell r="F896">
            <v>309761</v>
          </cell>
          <cell r="G896" t="str">
            <v>Lusi Angelica Coyoy Hernandez</v>
          </cell>
        </row>
        <row r="897">
          <cell r="F897">
            <v>310867</v>
          </cell>
          <cell r="G897" t="str">
            <v>Madelin Raquel Garcia Punay</v>
          </cell>
        </row>
        <row r="898">
          <cell r="F898">
            <v>310796</v>
          </cell>
          <cell r="G898" t="str">
            <v>Madelyn Estefany Vega Velasquez</v>
          </cell>
        </row>
        <row r="899">
          <cell r="F899">
            <v>314563</v>
          </cell>
          <cell r="G899" t="str">
            <v>Madelyn Siomara Mazul De Leon</v>
          </cell>
        </row>
        <row r="900">
          <cell r="F900">
            <v>304658</v>
          </cell>
          <cell r="G900" t="str">
            <v>Madelyn Virginia Lopez Ortega</v>
          </cell>
        </row>
        <row r="901">
          <cell r="F901">
            <v>315181</v>
          </cell>
          <cell r="G901" t="str">
            <v>Magda Beatriz Galvez Fernandez</v>
          </cell>
        </row>
        <row r="902">
          <cell r="F902">
            <v>311615</v>
          </cell>
          <cell r="G902" t="str">
            <v>Magda Corina Gutierrez Yool</v>
          </cell>
        </row>
        <row r="903">
          <cell r="F903">
            <v>312044</v>
          </cell>
          <cell r="G903" t="str">
            <v>Magda Danira Catalan Paz</v>
          </cell>
        </row>
        <row r="904">
          <cell r="F904">
            <v>307582</v>
          </cell>
          <cell r="G904" t="str">
            <v>Mahely Elva Maria Franco Gualim</v>
          </cell>
        </row>
        <row r="905">
          <cell r="F905">
            <v>301669</v>
          </cell>
          <cell r="G905" t="str">
            <v>Manfredo Alexander Castillo Quex</v>
          </cell>
        </row>
        <row r="906">
          <cell r="F906">
            <v>309811</v>
          </cell>
          <cell r="G906" t="str">
            <v>Manfredo Isaias Orozco Perez</v>
          </cell>
        </row>
        <row r="907">
          <cell r="F907">
            <v>314136</v>
          </cell>
          <cell r="G907" t="str">
            <v>Manlio Alcides Godinez Yanez</v>
          </cell>
        </row>
        <row r="908">
          <cell r="F908">
            <v>315094</v>
          </cell>
          <cell r="G908" t="str">
            <v>Manuel Enrique Espinoza Cermeño</v>
          </cell>
        </row>
        <row r="909">
          <cell r="F909">
            <v>312835</v>
          </cell>
          <cell r="G909" t="str">
            <v>Manuel Estuardo Arriaga Garcia</v>
          </cell>
        </row>
        <row r="910">
          <cell r="F910">
            <v>314608</v>
          </cell>
          <cell r="G910" t="str">
            <v>Marbin Yobani Calderon Vicente</v>
          </cell>
        </row>
        <row r="911">
          <cell r="F911">
            <v>314041</v>
          </cell>
          <cell r="G911" t="str">
            <v>Marcela Isabel Medrano Ajquiy</v>
          </cell>
        </row>
        <row r="912">
          <cell r="F912">
            <v>308478</v>
          </cell>
          <cell r="G912" t="str">
            <v>Marco Antonio Tejada Herrera</v>
          </cell>
        </row>
        <row r="913">
          <cell r="F913">
            <v>315216</v>
          </cell>
          <cell r="G913" t="str">
            <v>Marcos Avilio Santizo Roman</v>
          </cell>
        </row>
        <row r="914">
          <cell r="F914">
            <v>312919</v>
          </cell>
          <cell r="G914" t="str">
            <v>Marcos Daniel Miranda Ordoñez</v>
          </cell>
        </row>
        <row r="915">
          <cell r="F915">
            <v>306192</v>
          </cell>
          <cell r="G915" t="str">
            <v>Marenda Mishel Galeano Lopez</v>
          </cell>
        </row>
        <row r="916">
          <cell r="F916">
            <v>311597</v>
          </cell>
          <cell r="G916" t="str">
            <v>Maria Alejandra Estrada Morales</v>
          </cell>
        </row>
        <row r="917">
          <cell r="F917">
            <v>315488</v>
          </cell>
          <cell r="G917" t="str">
            <v>Maria Alejandra Lanuza Perez</v>
          </cell>
        </row>
        <row r="918">
          <cell r="F918">
            <v>315414</v>
          </cell>
          <cell r="G918" t="str">
            <v>Maria Alejandra Perez Martinez</v>
          </cell>
        </row>
        <row r="919">
          <cell r="F919">
            <v>314383</v>
          </cell>
          <cell r="G919" t="str">
            <v>Maria De La Luz Masaya Moreno</v>
          </cell>
        </row>
        <row r="920">
          <cell r="F920">
            <v>314419</v>
          </cell>
          <cell r="G920" t="str">
            <v>Maria De Los Angeles Hernandez Oliva</v>
          </cell>
        </row>
        <row r="921">
          <cell r="F921">
            <v>309455</v>
          </cell>
          <cell r="G921" t="str">
            <v>Maria Del Rosario De Leon Puac</v>
          </cell>
        </row>
        <row r="922">
          <cell r="F922">
            <v>310240</v>
          </cell>
          <cell r="G922" t="str">
            <v>Maria Del Rosario Sion Calel</v>
          </cell>
        </row>
        <row r="923">
          <cell r="F923">
            <v>311583</v>
          </cell>
          <cell r="G923" t="str">
            <v>Maria Elizabeth Recinos Villagran</v>
          </cell>
        </row>
        <row r="924">
          <cell r="F924">
            <v>315128</v>
          </cell>
          <cell r="G924" t="str">
            <v>Maria Eugenia Alvarez Lopez</v>
          </cell>
        </row>
        <row r="925">
          <cell r="F925">
            <v>309571</v>
          </cell>
          <cell r="G925" t="str">
            <v>Maria Fernanda Aldana Fernandez</v>
          </cell>
        </row>
        <row r="926">
          <cell r="F926">
            <v>305630</v>
          </cell>
          <cell r="G926" t="str">
            <v>Maria Fernanda Duran Barrera De De De Leon</v>
          </cell>
        </row>
        <row r="927">
          <cell r="F927">
            <v>315325</v>
          </cell>
          <cell r="G927" t="str">
            <v>Maria Fernanda García Patzán</v>
          </cell>
        </row>
        <row r="928">
          <cell r="F928">
            <v>315310</v>
          </cell>
          <cell r="G928" t="str">
            <v>Maria Fernanda Reyes Trinidad</v>
          </cell>
        </row>
        <row r="929">
          <cell r="F929">
            <v>314265</v>
          </cell>
          <cell r="G929" t="str">
            <v>Maria Fernanda Sanches Yoc</v>
          </cell>
        </row>
        <row r="930">
          <cell r="F930">
            <v>313724</v>
          </cell>
          <cell r="G930" t="str">
            <v>Maria Fernanda Tomas</v>
          </cell>
        </row>
        <row r="931">
          <cell r="F931">
            <v>315252</v>
          </cell>
          <cell r="G931" t="str">
            <v>Maria Gabriela Giron De Leon</v>
          </cell>
        </row>
        <row r="932">
          <cell r="F932">
            <v>309515</v>
          </cell>
          <cell r="G932" t="str">
            <v>Maria Guadalupe Marroquin Camargo</v>
          </cell>
        </row>
        <row r="933">
          <cell r="F933">
            <v>313732</v>
          </cell>
          <cell r="G933" t="str">
            <v>Maria Isabel Martinez</v>
          </cell>
        </row>
        <row r="934">
          <cell r="F934">
            <v>314027</v>
          </cell>
          <cell r="G934" t="str">
            <v>Maria Isabel Reyes Aguirre</v>
          </cell>
        </row>
        <row r="935">
          <cell r="F935">
            <v>311474</v>
          </cell>
          <cell r="G935" t="str">
            <v>Maria Jose Alvarado Lopez De Barrientos</v>
          </cell>
        </row>
        <row r="936">
          <cell r="F936">
            <v>312356</v>
          </cell>
          <cell r="G936" t="str">
            <v>Maria Jose Fernandez Melendez</v>
          </cell>
        </row>
        <row r="937">
          <cell r="F937">
            <v>313800</v>
          </cell>
          <cell r="G937" t="str">
            <v>Maria Jose Flores Alvarez</v>
          </cell>
        </row>
        <row r="938">
          <cell r="F938">
            <v>314566</v>
          </cell>
          <cell r="G938" t="str">
            <v>Maria Jose Gonzalez Orellana</v>
          </cell>
        </row>
        <row r="939">
          <cell r="F939">
            <v>311569</v>
          </cell>
          <cell r="G939" t="str">
            <v>Maria Jose Gramajo Garcia De Monzon</v>
          </cell>
        </row>
        <row r="940">
          <cell r="F940">
            <v>313095</v>
          </cell>
          <cell r="G940" t="str">
            <v>Maria Jose Meza De Leon</v>
          </cell>
        </row>
        <row r="941">
          <cell r="F941">
            <v>300191</v>
          </cell>
          <cell r="G941" t="str">
            <v>Maria Jose Salazar Rueda</v>
          </cell>
        </row>
        <row r="942">
          <cell r="F942">
            <v>314226</v>
          </cell>
          <cell r="G942" t="str">
            <v>Maria Josee Morales Vaides</v>
          </cell>
        </row>
        <row r="943">
          <cell r="F943">
            <v>315362</v>
          </cell>
          <cell r="G943" t="str">
            <v>Maria Lourdes Ajpuz Julajuj</v>
          </cell>
        </row>
        <row r="944">
          <cell r="F944">
            <v>306697</v>
          </cell>
          <cell r="G944" t="str">
            <v>Maria Luisa Ramos Lopez</v>
          </cell>
        </row>
        <row r="945">
          <cell r="F945">
            <v>314180</v>
          </cell>
          <cell r="G945" t="str">
            <v>Maria Ruby Tzamol Pacay</v>
          </cell>
        </row>
        <row r="946">
          <cell r="F946">
            <v>311686</v>
          </cell>
          <cell r="G946" t="str">
            <v>Maria Teresa Recinos Estrada</v>
          </cell>
        </row>
        <row r="947">
          <cell r="F947">
            <v>315351</v>
          </cell>
          <cell r="G947" t="str">
            <v>Maria Vicenta Lopez Mancilla</v>
          </cell>
        </row>
        <row r="948">
          <cell r="F948">
            <v>311755</v>
          </cell>
          <cell r="G948" t="str">
            <v>Marian Rebeca Gallardo Alvarez</v>
          </cell>
        </row>
        <row r="949">
          <cell r="F949">
            <v>313660</v>
          </cell>
          <cell r="G949" t="str">
            <v>Mariana Del Rosario Escobar Sanchez</v>
          </cell>
        </row>
        <row r="950">
          <cell r="F950">
            <v>314169</v>
          </cell>
          <cell r="G950" t="str">
            <v>Mariano Jose Lopez Cojon</v>
          </cell>
        </row>
        <row r="951">
          <cell r="F951">
            <v>314341</v>
          </cell>
          <cell r="G951" t="str">
            <v>Mariano Jose Trujillo Baldizon</v>
          </cell>
        </row>
        <row r="952">
          <cell r="F952">
            <v>314050</v>
          </cell>
          <cell r="G952" t="str">
            <v>Mariela Alejandra Batz De Leon</v>
          </cell>
        </row>
        <row r="953">
          <cell r="F953">
            <v>311273</v>
          </cell>
          <cell r="G953" t="str">
            <v>Marili Cecilia Ramirez Cardona</v>
          </cell>
        </row>
        <row r="954">
          <cell r="F954">
            <v>312576</v>
          </cell>
          <cell r="G954" t="str">
            <v>Marilin Melisa Lopez Yoc</v>
          </cell>
        </row>
        <row r="955">
          <cell r="F955">
            <v>314530</v>
          </cell>
          <cell r="G955" t="str">
            <v>Marilyn Alexandra Davila Chavez</v>
          </cell>
        </row>
        <row r="956">
          <cell r="F956">
            <v>315099</v>
          </cell>
          <cell r="G956" t="str">
            <v>Marilyn Yulissa Alvarez Toscano</v>
          </cell>
        </row>
        <row r="957">
          <cell r="F957">
            <v>311405</v>
          </cell>
          <cell r="G957" t="str">
            <v>Marina Elena Giron Roldan</v>
          </cell>
        </row>
        <row r="958">
          <cell r="F958">
            <v>314803</v>
          </cell>
          <cell r="G958" t="str">
            <v>Mario David Quilo Hernandez</v>
          </cell>
        </row>
        <row r="959">
          <cell r="F959">
            <v>306487</v>
          </cell>
          <cell r="G959" t="str">
            <v>Mario Estuardo Chavez Zelada</v>
          </cell>
        </row>
        <row r="960">
          <cell r="F960">
            <v>315445</v>
          </cell>
          <cell r="G960" t="str">
            <v>Mario Guberlindo Gonzalez Velasquez</v>
          </cell>
        </row>
        <row r="961">
          <cell r="F961">
            <v>313107</v>
          </cell>
          <cell r="G961" t="str">
            <v>Mario Jose Mejia Escobar</v>
          </cell>
        </row>
        <row r="962">
          <cell r="F962">
            <v>314737</v>
          </cell>
          <cell r="G962" t="str">
            <v>Mario Rene Lopez Gudiel</v>
          </cell>
        </row>
        <row r="963">
          <cell r="F963">
            <v>309842</v>
          </cell>
          <cell r="G963" t="str">
            <v>Maritza Morales Tzoc</v>
          </cell>
        </row>
        <row r="964">
          <cell r="F964">
            <v>312996</v>
          </cell>
          <cell r="G964" t="str">
            <v>Marlen Aida Pelaez Ramirez</v>
          </cell>
        </row>
        <row r="965">
          <cell r="F965">
            <v>310203</v>
          </cell>
          <cell r="G965" t="str">
            <v>Marlen Brigitt Rosales De Leon</v>
          </cell>
        </row>
        <row r="966">
          <cell r="F966">
            <v>314089</v>
          </cell>
          <cell r="G966" t="str">
            <v>Marlin Yesenia Chacon Garcia</v>
          </cell>
        </row>
        <row r="967">
          <cell r="F967">
            <v>314054</v>
          </cell>
          <cell r="G967" t="str">
            <v>Marlon Eduardo Arreaga Escobar</v>
          </cell>
        </row>
        <row r="968">
          <cell r="F968">
            <v>315505</v>
          </cell>
          <cell r="G968" t="str">
            <v>Marlon Eduardo Medrano Sandoval</v>
          </cell>
        </row>
        <row r="969">
          <cell r="F969">
            <v>310727</v>
          </cell>
          <cell r="G969" t="str">
            <v>Marlon Ivan Dardon Hernandez</v>
          </cell>
        </row>
        <row r="970">
          <cell r="F970">
            <v>315341</v>
          </cell>
          <cell r="G970" t="str">
            <v>Marlon Miguelangel Morales Jerez</v>
          </cell>
        </row>
        <row r="971">
          <cell r="F971">
            <v>311604</v>
          </cell>
          <cell r="G971" t="str">
            <v>Marolet Patricia Palacios Argueta</v>
          </cell>
        </row>
        <row r="972">
          <cell r="F972">
            <v>310466</v>
          </cell>
          <cell r="G972" t="str">
            <v>Marta Emilia Moran Lopez</v>
          </cell>
        </row>
        <row r="973">
          <cell r="F973">
            <v>314611</v>
          </cell>
          <cell r="G973" t="str">
            <v>Marta Iris Martinez Sete</v>
          </cell>
        </row>
        <row r="974">
          <cell r="F974">
            <v>312109</v>
          </cell>
          <cell r="G974" t="str">
            <v>Martha Julia Shar Velasquez</v>
          </cell>
        </row>
        <row r="975">
          <cell r="F975">
            <v>315103</v>
          </cell>
          <cell r="G975" t="str">
            <v>Martin Aroldo Lorenzana Flores</v>
          </cell>
        </row>
        <row r="976">
          <cell r="F976">
            <v>315481</v>
          </cell>
          <cell r="G976" t="str">
            <v>Marvin Alejandro Puac Mulul</v>
          </cell>
        </row>
        <row r="977">
          <cell r="F977">
            <v>306655</v>
          </cell>
          <cell r="G977" t="str">
            <v>Marvin Alexander Choguix Chex</v>
          </cell>
        </row>
        <row r="978">
          <cell r="F978">
            <v>311176</v>
          </cell>
          <cell r="G978" t="str">
            <v>Marvin Andolfo Garcia De Leon</v>
          </cell>
        </row>
        <row r="979">
          <cell r="F979">
            <v>315475</v>
          </cell>
          <cell r="G979" t="str">
            <v>Marvin Eduardo Coxaj Sanic</v>
          </cell>
        </row>
        <row r="980">
          <cell r="F980">
            <v>312374</v>
          </cell>
          <cell r="G980" t="str">
            <v>Marvin Eleazar Sunun Acuta</v>
          </cell>
        </row>
        <row r="981">
          <cell r="F981">
            <v>310680</v>
          </cell>
          <cell r="G981" t="str">
            <v>Marvin Estuardo Xiloj De Leon</v>
          </cell>
        </row>
        <row r="982">
          <cell r="F982">
            <v>315460</v>
          </cell>
          <cell r="G982" t="str">
            <v>Marvin Leonel Hernandez Alvarez</v>
          </cell>
        </row>
        <row r="983">
          <cell r="F983">
            <v>307409</v>
          </cell>
          <cell r="G983" t="str">
            <v>Marvin Rodolfo Santizo Rosales</v>
          </cell>
        </row>
        <row r="984">
          <cell r="F984">
            <v>313194</v>
          </cell>
          <cell r="G984" t="str">
            <v>Mary Isabel Xiloj Tajiboy</v>
          </cell>
        </row>
        <row r="985">
          <cell r="F985">
            <v>314092</v>
          </cell>
          <cell r="G985" t="str">
            <v>Maryory Marilu Ramos Reyes</v>
          </cell>
        </row>
        <row r="986">
          <cell r="F986">
            <v>314207</v>
          </cell>
          <cell r="G986" t="str">
            <v>Maryury Yasmin Suret Mejia</v>
          </cell>
        </row>
        <row r="987">
          <cell r="F987">
            <v>314618</v>
          </cell>
          <cell r="G987" t="str">
            <v>Mauro Gilberto Rax Suc</v>
          </cell>
        </row>
        <row r="988">
          <cell r="F988">
            <v>304166</v>
          </cell>
          <cell r="G988" t="str">
            <v>Maviela Bibianeth Castillo Avila</v>
          </cell>
        </row>
        <row r="989">
          <cell r="F989">
            <v>309285</v>
          </cell>
          <cell r="G989" t="str">
            <v>Mavilin Griselda Jacome Molina</v>
          </cell>
        </row>
        <row r="990">
          <cell r="F990">
            <v>315042</v>
          </cell>
          <cell r="G990" t="str">
            <v>Mayki Waleska Alvarez Guzman</v>
          </cell>
        </row>
        <row r="991">
          <cell r="F991">
            <v>314691</v>
          </cell>
          <cell r="G991" t="str">
            <v>Maylin Fernanda Cifuentes Guevara</v>
          </cell>
        </row>
        <row r="992">
          <cell r="F992">
            <v>314857</v>
          </cell>
          <cell r="G992" t="str">
            <v>Maynor Alexander Chen Franco</v>
          </cell>
        </row>
        <row r="993">
          <cell r="F993">
            <v>315320</v>
          </cell>
          <cell r="G993" t="str">
            <v>Maynor David Montufar De La Cruz</v>
          </cell>
        </row>
        <row r="994">
          <cell r="F994">
            <v>314784</v>
          </cell>
          <cell r="G994" t="str">
            <v>Mayra Alejandra Perez Cordero</v>
          </cell>
        </row>
        <row r="995">
          <cell r="F995">
            <v>307616</v>
          </cell>
          <cell r="G995" t="str">
            <v>Mayra Ester Lopez Gonzalez</v>
          </cell>
        </row>
        <row r="996">
          <cell r="F996">
            <v>304234</v>
          </cell>
          <cell r="G996" t="str">
            <v>Mayra Julieta Sincal Coy</v>
          </cell>
        </row>
        <row r="997">
          <cell r="F997">
            <v>314324</v>
          </cell>
          <cell r="G997" t="str">
            <v>Mayra Karina Soc Ovalle</v>
          </cell>
        </row>
        <row r="998">
          <cell r="F998">
            <v>313096</v>
          </cell>
          <cell r="G998" t="str">
            <v>Mayra Noemi Godoy Carrera</v>
          </cell>
        </row>
        <row r="999">
          <cell r="F999">
            <v>315528</v>
          </cell>
          <cell r="G999" t="str">
            <v>Melanie Azucena Choc Garcia</v>
          </cell>
        </row>
        <row r="1000">
          <cell r="F1000">
            <v>309903</v>
          </cell>
          <cell r="G1000" t="str">
            <v>Melanie Vanessa Chacon Godoy</v>
          </cell>
        </row>
        <row r="1001">
          <cell r="F1001">
            <v>301165</v>
          </cell>
          <cell r="G1001" t="str">
            <v>Melissa Lissette Recinos Massella</v>
          </cell>
        </row>
        <row r="1002">
          <cell r="F1002">
            <v>314782</v>
          </cell>
          <cell r="G1002" t="str">
            <v>Melissandra Ruiz Ramirez</v>
          </cell>
        </row>
        <row r="1003">
          <cell r="F1003">
            <v>314053</v>
          </cell>
          <cell r="G1003" t="str">
            <v>Melody Arelis Elvira Monterroso</v>
          </cell>
        </row>
        <row r="1004">
          <cell r="F1004">
            <v>314777</v>
          </cell>
          <cell r="G1004" t="str">
            <v>Melvin Antonio Hernandez Gutierrez</v>
          </cell>
        </row>
        <row r="1005">
          <cell r="F1005">
            <v>315452</v>
          </cell>
          <cell r="G1005" t="str">
            <v>Melvin Everardo Morales Navas</v>
          </cell>
        </row>
        <row r="1006">
          <cell r="F1006">
            <v>315416</v>
          </cell>
          <cell r="G1006" t="str">
            <v>Melvin Hermenegildo Yagut Monterroso</v>
          </cell>
        </row>
        <row r="1007">
          <cell r="F1007">
            <v>315107</v>
          </cell>
          <cell r="G1007" t="str">
            <v>Merari Abigail Orantes Gonzalez</v>
          </cell>
        </row>
        <row r="1008">
          <cell r="F1008">
            <v>304528</v>
          </cell>
          <cell r="G1008" t="str">
            <v>Merari Abigail Veliz Samayoa</v>
          </cell>
        </row>
        <row r="1009">
          <cell r="F1009">
            <v>311310</v>
          </cell>
          <cell r="G1009" t="str">
            <v>Merari Madai Arana Erazo</v>
          </cell>
        </row>
        <row r="1010">
          <cell r="F1010">
            <v>314447</v>
          </cell>
          <cell r="G1010" t="str">
            <v>Mercy Roxana Galvez Canales</v>
          </cell>
        </row>
        <row r="1011">
          <cell r="F1011">
            <v>314610</v>
          </cell>
          <cell r="G1011" t="str">
            <v>Merly Carolina Lopez Laynez</v>
          </cell>
        </row>
        <row r="1012">
          <cell r="F1012">
            <v>315402</v>
          </cell>
          <cell r="G1012" t="str">
            <v>Merly Sorayda Ramirez Mendez</v>
          </cell>
        </row>
        <row r="1013">
          <cell r="F1013">
            <v>315499</v>
          </cell>
          <cell r="G1013" t="str">
            <v>Miguel Angel Arias Maquin</v>
          </cell>
        </row>
        <row r="1014">
          <cell r="F1014">
            <v>302368</v>
          </cell>
          <cell r="G1014" t="str">
            <v>Miguel Angel Moya Cabnal</v>
          </cell>
        </row>
        <row r="1015">
          <cell r="F1015">
            <v>307315</v>
          </cell>
          <cell r="G1015" t="str">
            <v>Miguel Angel Vicente Morales</v>
          </cell>
        </row>
        <row r="1016">
          <cell r="F1016">
            <v>307063</v>
          </cell>
          <cell r="G1016" t="str">
            <v>Miguel Omar Zuleta Solorzano</v>
          </cell>
        </row>
        <row r="1017">
          <cell r="F1017">
            <v>311165</v>
          </cell>
          <cell r="G1017" t="str">
            <v>Miguel Orlando Sebastian Juchan</v>
          </cell>
        </row>
        <row r="1018">
          <cell r="F1018">
            <v>310954</v>
          </cell>
          <cell r="G1018" t="str">
            <v>Mildre Fabiola Gomez Barillas</v>
          </cell>
        </row>
        <row r="1019">
          <cell r="F1019">
            <v>315346</v>
          </cell>
          <cell r="G1019" t="str">
            <v>Mildred Elizabeth Solis Quevedo</v>
          </cell>
        </row>
        <row r="1020">
          <cell r="F1020">
            <v>314330</v>
          </cell>
          <cell r="G1020" t="str">
            <v>Mildred Magaly Ortega Pac</v>
          </cell>
        </row>
        <row r="1021">
          <cell r="F1021">
            <v>314985</v>
          </cell>
          <cell r="G1021" t="str">
            <v>Mildred Magaly Sul Lopez</v>
          </cell>
        </row>
        <row r="1022">
          <cell r="F1022">
            <v>309503</v>
          </cell>
          <cell r="G1022" t="str">
            <v>Mildred Yaneth Figueroa Garcia</v>
          </cell>
        </row>
        <row r="1023">
          <cell r="F1023">
            <v>301826</v>
          </cell>
          <cell r="G1023" t="str">
            <v>Mildred Yanett Cruz Alvarez</v>
          </cell>
        </row>
        <row r="1024">
          <cell r="F1024">
            <v>313864</v>
          </cell>
          <cell r="G1024" t="str">
            <v>Milena Maria Mendez Cheguen</v>
          </cell>
        </row>
        <row r="1025">
          <cell r="F1025">
            <v>314919</v>
          </cell>
          <cell r="G1025" t="str">
            <v>Milton Enrique Yax Sosa</v>
          </cell>
        </row>
        <row r="1026">
          <cell r="F1026">
            <v>312699</v>
          </cell>
          <cell r="G1026" t="str">
            <v>Milton Rene Estrada Coc</v>
          </cell>
        </row>
        <row r="1027">
          <cell r="F1027">
            <v>310468</v>
          </cell>
          <cell r="G1027" t="str">
            <v>Milton Roberto Juarez Lemus</v>
          </cell>
        </row>
        <row r="1028">
          <cell r="F1028">
            <v>313534</v>
          </cell>
          <cell r="G1028" t="str">
            <v>Milver Moises Maldonado Pelico</v>
          </cell>
        </row>
        <row r="1029">
          <cell r="F1029">
            <v>314555</v>
          </cell>
          <cell r="G1029" t="str">
            <v>Milvia Fernanda Talento Urbina</v>
          </cell>
        </row>
        <row r="1030">
          <cell r="F1030">
            <v>301347</v>
          </cell>
          <cell r="G1030" t="str">
            <v>Miriam Betsabe Rodas Perez</v>
          </cell>
        </row>
        <row r="1031">
          <cell r="F1031">
            <v>313439</v>
          </cell>
          <cell r="G1031" t="str">
            <v>Miriam Elizabeth Pérez Guerra</v>
          </cell>
        </row>
        <row r="1032">
          <cell r="F1032">
            <v>307748</v>
          </cell>
          <cell r="G1032" t="str">
            <v>Miriam Judith Cermeño Cetino</v>
          </cell>
        </row>
        <row r="1033">
          <cell r="F1033">
            <v>313772</v>
          </cell>
          <cell r="G1033" t="str">
            <v>Miriam Mineidy Moscoso Mayen</v>
          </cell>
        </row>
        <row r="1034">
          <cell r="F1034">
            <v>306649</v>
          </cell>
          <cell r="G1034" t="str">
            <v>Miriam Stefanie Hernandez Subuyuj</v>
          </cell>
        </row>
        <row r="1035">
          <cell r="F1035">
            <v>201909</v>
          </cell>
          <cell r="G1035" t="str">
            <v>Mirian Del Carmen Guzman Maldonado</v>
          </cell>
        </row>
        <row r="1036">
          <cell r="F1036">
            <v>314023</v>
          </cell>
          <cell r="G1036" t="str">
            <v>Mirna Consuelo Muñoz Ordoñez</v>
          </cell>
        </row>
        <row r="1037">
          <cell r="F1037">
            <v>315506</v>
          </cell>
          <cell r="G1037" t="str">
            <v>Mirna Elizabeth Zolote Patzan</v>
          </cell>
        </row>
        <row r="1038">
          <cell r="F1038">
            <v>101866</v>
          </cell>
          <cell r="G1038" t="str">
            <v>Mirna Violeta Carrillo Gonzalez</v>
          </cell>
        </row>
        <row r="1039">
          <cell r="F1039">
            <v>310687</v>
          </cell>
          <cell r="G1039" t="str">
            <v>Mirna Yesenia Umaña Ramos</v>
          </cell>
        </row>
        <row r="1040">
          <cell r="F1040">
            <v>313842</v>
          </cell>
          <cell r="G1040" t="str">
            <v>Mirza Johana Cosigua Rabinal</v>
          </cell>
        </row>
        <row r="1041">
          <cell r="F1041">
            <v>313441</v>
          </cell>
          <cell r="G1041" t="str">
            <v>Moises Dario Flores Amaya</v>
          </cell>
        </row>
        <row r="1042">
          <cell r="F1042">
            <v>313480</v>
          </cell>
          <cell r="G1042" t="str">
            <v>Monica Cecilia Perez Lopez</v>
          </cell>
        </row>
        <row r="1043">
          <cell r="F1043">
            <v>313674</v>
          </cell>
          <cell r="G1043" t="str">
            <v>Monica Gabriela Canizales Santos</v>
          </cell>
        </row>
        <row r="1044">
          <cell r="F1044">
            <v>307706</v>
          </cell>
          <cell r="G1044" t="str">
            <v>Monica Guadalupe Garcia Rivera</v>
          </cell>
        </row>
        <row r="1045">
          <cell r="F1045">
            <v>314918</v>
          </cell>
          <cell r="G1045" t="str">
            <v>Monica Isabel Castillo Avila</v>
          </cell>
        </row>
        <row r="1046">
          <cell r="F1046">
            <v>313553</v>
          </cell>
          <cell r="G1046" t="str">
            <v>Monica Laj De La Cruz</v>
          </cell>
        </row>
        <row r="1047">
          <cell r="F1047">
            <v>308910</v>
          </cell>
          <cell r="G1047" t="str">
            <v>Monica Lisseth Marroquin Salazar</v>
          </cell>
        </row>
        <row r="1048">
          <cell r="F1048">
            <v>302232</v>
          </cell>
          <cell r="G1048" t="str">
            <v>Monica Lizbeth Franco Chacon</v>
          </cell>
        </row>
        <row r="1049">
          <cell r="F1049">
            <v>311945</v>
          </cell>
          <cell r="G1049" t="str">
            <v>Monica Michelle Diaz De Leon De Baltazar</v>
          </cell>
        </row>
        <row r="1050">
          <cell r="F1050">
            <v>315559</v>
          </cell>
          <cell r="G1050" t="str">
            <v>Monica Mishell Perez Ballesteros</v>
          </cell>
        </row>
        <row r="1051">
          <cell r="F1051">
            <v>313346</v>
          </cell>
          <cell r="G1051" t="str">
            <v>Monica Mishell Rendon Gamboa</v>
          </cell>
        </row>
        <row r="1052">
          <cell r="F1052">
            <v>314616</v>
          </cell>
          <cell r="G1052" t="str">
            <v>Monica Raquel Palacios Piedrasanta</v>
          </cell>
        </row>
        <row r="1053">
          <cell r="F1053">
            <v>314653</v>
          </cell>
          <cell r="G1053" t="str">
            <v>Monica Yulissa Sun Pacay</v>
          </cell>
        </row>
        <row r="1054">
          <cell r="F1054">
            <v>311311</v>
          </cell>
          <cell r="G1054" t="str">
            <v>Monica Yulissa Vicente Velasquez</v>
          </cell>
        </row>
        <row r="1055">
          <cell r="F1055">
            <v>313427</v>
          </cell>
          <cell r="G1055" t="str">
            <v>Mynor Genaro Salazar Merida</v>
          </cell>
        </row>
        <row r="1056">
          <cell r="F1056">
            <v>201518</v>
          </cell>
          <cell r="G1056" t="str">
            <v>Myriam Aracely Rivera Gonzalez</v>
          </cell>
        </row>
        <row r="1057">
          <cell r="F1057">
            <v>315266</v>
          </cell>
          <cell r="G1057" t="str">
            <v>Myrka Jessel Rivera Camo</v>
          </cell>
        </row>
        <row r="1058">
          <cell r="F1058">
            <v>314223</v>
          </cell>
          <cell r="G1058" t="str">
            <v>Nadia Estefania Gramajo Archila</v>
          </cell>
        </row>
        <row r="1059">
          <cell r="F1059">
            <v>314959</v>
          </cell>
          <cell r="G1059" t="str">
            <v>Nanci Magali Noj Santos</v>
          </cell>
        </row>
        <row r="1060">
          <cell r="F1060">
            <v>302592</v>
          </cell>
          <cell r="G1060" t="str">
            <v>Nanci Paola Con Morales</v>
          </cell>
        </row>
        <row r="1061">
          <cell r="F1061">
            <v>301700</v>
          </cell>
          <cell r="G1061" t="str">
            <v>Nanci Yanira Navas Garcia</v>
          </cell>
        </row>
        <row r="1062">
          <cell r="F1062">
            <v>312111</v>
          </cell>
          <cell r="G1062" t="str">
            <v>Nancy Corina Quiñonez Rodriguez</v>
          </cell>
        </row>
        <row r="1063">
          <cell r="F1063">
            <v>303538</v>
          </cell>
          <cell r="G1063" t="str">
            <v>Nancy Magaly Izaguirre Galicia</v>
          </cell>
        </row>
        <row r="1064">
          <cell r="F1064">
            <v>305223</v>
          </cell>
          <cell r="G1064" t="str">
            <v>Nancy Pahola De Leon Patzan</v>
          </cell>
        </row>
        <row r="1065">
          <cell r="F1065">
            <v>311423</v>
          </cell>
          <cell r="G1065" t="str">
            <v>Nancy Paola Jimenez Pamal</v>
          </cell>
        </row>
        <row r="1066">
          <cell r="F1066">
            <v>310510</v>
          </cell>
          <cell r="G1066" t="str">
            <v>Nancy Paola Morales Rodriguez</v>
          </cell>
        </row>
        <row r="1067">
          <cell r="F1067">
            <v>312587</v>
          </cell>
          <cell r="G1067" t="str">
            <v>Nancy Roxana Chuy Ponce</v>
          </cell>
        </row>
        <row r="1068">
          <cell r="F1068">
            <v>314745</v>
          </cell>
          <cell r="G1068" t="str">
            <v>Nancy Yaneth Vasquez Chiguichon</v>
          </cell>
        </row>
        <row r="1069">
          <cell r="F1069">
            <v>309809</v>
          </cell>
          <cell r="G1069" t="str">
            <v>Nancy Yessenia Set Iquite</v>
          </cell>
        </row>
        <row r="1070">
          <cell r="F1070">
            <v>311261</v>
          </cell>
          <cell r="G1070" t="str">
            <v>Nasly Abigail Cazian Lopez</v>
          </cell>
        </row>
        <row r="1071">
          <cell r="F1071">
            <v>312545</v>
          </cell>
          <cell r="G1071" t="str">
            <v>Nataly Pamela Fransheska Aguilar Escobar</v>
          </cell>
        </row>
        <row r="1072">
          <cell r="F1072">
            <v>314192</v>
          </cell>
          <cell r="G1072" t="str">
            <v>Neftaly Eliseo Aguilar Hernandez</v>
          </cell>
        </row>
        <row r="1073">
          <cell r="F1073">
            <v>314024</v>
          </cell>
          <cell r="G1073" t="str">
            <v>Nelson Aurelio Portillo Martinez</v>
          </cell>
        </row>
        <row r="1074">
          <cell r="F1074">
            <v>314913</v>
          </cell>
          <cell r="G1074" t="str">
            <v>Nelson Humberto Caal Güe</v>
          </cell>
        </row>
        <row r="1075">
          <cell r="F1075">
            <v>314631</v>
          </cell>
          <cell r="G1075" t="str">
            <v>Nelsy Adali Nova Vivar</v>
          </cell>
        </row>
        <row r="1076">
          <cell r="F1076">
            <v>309216</v>
          </cell>
          <cell r="G1076" t="str">
            <v>Nery Daniel Chipin Lindo</v>
          </cell>
        </row>
        <row r="1077">
          <cell r="F1077">
            <v>313499</v>
          </cell>
          <cell r="G1077" t="str">
            <v>Nestor Donaldo Xiloj Quiej</v>
          </cell>
        </row>
        <row r="1078">
          <cell r="F1078">
            <v>312176</v>
          </cell>
          <cell r="G1078" t="str">
            <v>Nestor Edgardo Gutierrez Lazaro</v>
          </cell>
        </row>
        <row r="1079">
          <cell r="F1079">
            <v>309178</v>
          </cell>
          <cell r="G1079" t="str">
            <v>Nestor Enmanuel Retana Castellanos</v>
          </cell>
        </row>
        <row r="1080">
          <cell r="F1080">
            <v>313878</v>
          </cell>
          <cell r="G1080" t="str">
            <v>Nestor Orlando Aguilar Santos</v>
          </cell>
        </row>
        <row r="1081">
          <cell r="F1081">
            <v>305532</v>
          </cell>
          <cell r="G1081" t="str">
            <v>Nicolas Ajiquichi Ibate</v>
          </cell>
        </row>
        <row r="1082">
          <cell r="F1082">
            <v>312763</v>
          </cell>
          <cell r="G1082" t="str">
            <v>Nicolas Walter Toma Zacarias</v>
          </cell>
        </row>
        <row r="1083">
          <cell r="F1083">
            <v>315413</v>
          </cell>
          <cell r="G1083" t="str">
            <v>Nicomedes Israel Echeverria Pacheco</v>
          </cell>
        </row>
        <row r="1084">
          <cell r="F1084">
            <v>310907</v>
          </cell>
          <cell r="G1084" t="str">
            <v>Nidia Dalila Bantes Segura De Manchame</v>
          </cell>
        </row>
        <row r="1085">
          <cell r="F1085">
            <v>314818</v>
          </cell>
          <cell r="G1085" t="str">
            <v>Nidia Lucy Herrera Lopez</v>
          </cell>
        </row>
        <row r="1086">
          <cell r="F1086">
            <v>301486</v>
          </cell>
          <cell r="G1086" t="str">
            <v>Nidia Maribel Carpio Roca</v>
          </cell>
        </row>
        <row r="1087">
          <cell r="F1087">
            <v>306850</v>
          </cell>
          <cell r="G1087" t="str">
            <v>Nilda Julieta Boror Xuya</v>
          </cell>
        </row>
        <row r="1088">
          <cell r="F1088">
            <v>311624</v>
          </cell>
          <cell r="G1088" t="str">
            <v>Noe Amos Marroquin Sicajol</v>
          </cell>
        </row>
        <row r="1089">
          <cell r="F1089">
            <v>309912</v>
          </cell>
          <cell r="G1089" t="str">
            <v>Noelia Azucena Garcia Mazariegos</v>
          </cell>
        </row>
        <row r="1090">
          <cell r="F1090">
            <v>102045</v>
          </cell>
          <cell r="G1090" t="str">
            <v>Noemi Ruth Hernandez Urrutia</v>
          </cell>
        </row>
        <row r="1091">
          <cell r="F1091">
            <v>310375</v>
          </cell>
          <cell r="G1091" t="str">
            <v>Nora Lisseth Lam Sanchez</v>
          </cell>
        </row>
        <row r="1092">
          <cell r="F1092">
            <v>313429</v>
          </cell>
          <cell r="G1092" t="str">
            <v>Norman Alessandro Madrid Garcia</v>
          </cell>
        </row>
        <row r="1093">
          <cell r="F1093">
            <v>309744</v>
          </cell>
          <cell r="G1093" t="str">
            <v>Odalis Ruby Garcia Siquina</v>
          </cell>
        </row>
        <row r="1094">
          <cell r="F1094">
            <v>315554</v>
          </cell>
          <cell r="G1094" t="str">
            <v>Odalys Faviola Reyes Rivera</v>
          </cell>
        </row>
        <row r="1095">
          <cell r="F1095">
            <v>315037</v>
          </cell>
          <cell r="G1095" t="str">
            <v>Odiel Armando Guerra Aguirre</v>
          </cell>
        </row>
        <row r="1096">
          <cell r="F1096">
            <v>307511</v>
          </cell>
          <cell r="G1096" t="str">
            <v>Odra Arcadia Barduel Sarat</v>
          </cell>
        </row>
        <row r="1097">
          <cell r="F1097">
            <v>310763</v>
          </cell>
          <cell r="G1097" t="str">
            <v>Olga Gabriela Lopez Tzic</v>
          </cell>
        </row>
        <row r="1098">
          <cell r="F1098">
            <v>309989</v>
          </cell>
          <cell r="G1098" t="str">
            <v>Olga Maricela Guarcas Tol</v>
          </cell>
        </row>
        <row r="1099">
          <cell r="F1099">
            <v>315281</v>
          </cell>
          <cell r="G1099" t="str">
            <v>Olinda Juarez Figueno</v>
          </cell>
        </row>
        <row r="1100">
          <cell r="F1100">
            <v>312972</v>
          </cell>
          <cell r="G1100" t="str">
            <v>Omar Anibal Barreda Valenzuela</v>
          </cell>
        </row>
        <row r="1101">
          <cell r="F1101">
            <v>302263</v>
          </cell>
          <cell r="G1101" t="str">
            <v>Oneida Del Carmen Corzo Morales</v>
          </cell>
        </row>
        <row r="1102">
          <cell r="F1102">
            <v>308263</v>
          </cell>
          <cell r="G1102" t="str">
            <v>Oscar Eduardo Xoyon Gomez</v>
          </cell>
        </row>
        <row r="1103">
          <cell r="F1103">
            <v>314104</v>
          </cell>
          <cell r="G1103" t="str">
            <v>Oscar Emilio Gomez Orozco</v>
          </cell>
        </row>
        <row r="1104">
          <cell r="F1104">
            <v>314270</v>
          </cell>
          <cell r="G1104" t="str">
            <v>Oscar Enrique Garcia Gualip</v>
          </cell>
        </row>
        <row r="1105">
          <cell r="F1105">
            <v>315507</v>
          </cell>
          <cell r="G1105" t="str">
            <v>Oscar Estuardo Mancilla Najarro</v>
          </cell>
        </row>
        <row r="1106">
          <cell r="F1106">
            <v>314914</v>
          </cell>
          <cell r="G1106" t="str">
            <v>Oscar Geovany Patzan Patzan</v>
          </cell>
        </row>
        <row r="1107">
          <cell r="F1107">
            <v>308805</v>
          </cell>
          <cell r="G1107" t="str">
            <v>Oscar Israel Thiel Hidalgo</v>
          </cell>
        </row>
        <row r="1108">
          <cell r="F1108">
            <v>315115</v>
          </cell>
          <cell r="G1108" t="str">
            <v>Osman Amilcar Zarate Ixcoy</v>
          </cell>
        </row>
        <row r="1109">
          <cell r="F1109">
            <v>315497</v>
          </cell>
          <cell r="G1109" t="str">
            <v>Osman Ivan Boanerges Coc Coronado</v>
          </cell>
        </row>
        <row r="1110">
          <cell r="F1110">
            <v>310031</v>
          </cell>
          <cell r="G1110" t="str">
            <v>Osvin Daniel Gomez Gonzalez</v>
          </cell>
        </row>
        <row r="1111">
          <cell r="F1111">
            <v>307209</v>
          </cell>
          <cell r="G1111" t="str">
            <v>Oswaldo Marcelino Huix Gomez</v>
          </cell>
        </row>
        <row r="1112">
          <cell r="F1112">
            <v>309656</v>
          </cell>
          <cell r="G1112" t="str">
            <v>Otto Alejandro Barahona Lopez</v>
          </cell>
        </row>
        <row r="1113">
          <cell r="F1113">
            <v>312335</v>
          </cell>
          <cell r="G1113" t="str">
            <v>Otto Leonel Zavala Rodas</v>
          </cell>
        </row>
        <row r="1114">
          <cell r="F1114">
            <v>314894</v>
          </cell>
          <cell r="G1114" t="str">
            <v>Ottoniel Amilcar Gomez Rodriguez</v>
          </cell>
        </row>
        <row r="1115">
          <cell r="F1115">
            <v>315122</v>
          </cell>
          <cell r="G1115" t="str">
            <v>Ottoniel De Jesus Castellanos Ordoñez</v>
          </cell>
        </row>
        <row r="1116">
          <cell r="F1116">
            <v>315454</v>
          </cell>
          <cell r="G1116" t="str">
            <v>Pablo Jose Barillas Sobalvarro</v>
          </cell>
        </row>
        <row r="1117">
          <cell r="F1117">
            <v>314010</v>
          </cell>
          <cell r="G1117" t="str">
            <v>Pablo Raul Calimayor</v>
          </cell>
        </row>
        <row r="1118">
          <cell r="F1118">
            <v>313530</v>
          </cell>
          <cell r="G1118" t="str">
            <v>Paola Veronica Cardenas Toscano</v>
          </cell>
        </row>
        <row r="1119">
          <cell r="F1119">
            <v>314884</v>
          </cell>
          <cell r="G1119" t="str">
            <v>Paula Eliza Santos Corado</v>
          </cell>
        </row>
        <row r="1120">
          <cell r="F1120">
            <v>309035</v>
          </cell>
          <cell r="G1120" t="str">
            <v>Pedro Alexander Sazo Machac</v>
          </cell>
        </row>
        <row r="1121">
          <cell r="F1121">
            <v>308158</v>
          </cell>
          <cell r="G1121" t="str">
            <v>Pedro David Ixcoy Chiquin</v>
          </cell>
        </row>
        <row r="1122">
          <cell r="F1122">
            <v>314694</v>
          </cell>
          <cell r="G1122" t="str">
            <v>Pedro Karol Gomez Lopez</v>
          </cell>
        </row>
        <row r="1123">
          <cell r="F1123">
            <v>311221</v>
          </cell>
          <cell r="G1123" t="str">
            <v>Pedro Natanahel Caxaj Rodriguez</v>
          </cell>
        </row>
        <row r="1124">
          <cell r="F1124">
            <v>314951</v>
          </cell>
          <cell r="G1124" t="str">
            <v>Pedro Rene Ramirez Guzman</v>
          </cell>
        </row>
        <row r="1125">
          <cell r="F1125">
            <v>306911</v>
          </cell>
          <cell r="G1125" t="str">
            <v>Perla Michelle Giron Galdamez</v>
          </cell>
        </row>
        <row r="1126">
          <cell r="F1126">
            <v>303664</v>
          </cell>
          <cell r="G1126" t="str">
            <v>Priscila Merari Sosa Sanabria</v>
          </cell>
        </row>
        <row r="1127">
          <cell r="F1127">
            <v>314450</v>
          </cell>
          <cell r="G1127" t="str">
            <v>Rafael Anibal Sut Tucubal</v>
          </cell>
        </row>
        <row r="1128">
          <cell r="F1128">
            <v>315367</v>
          </cell>
          <cell r="G1128" t="str">
            <v>Raul Adrian Priego Castellanos</v>
          </cell>
        </row>
        <row r="1129">
          <cell r="F1129">
            <v>311720</v>
          </cell>
          <cell r="G1129" t="str">
            <v>Raul Estuardo Roquel Suyuc</v>
          </cell>
        </row>
        <row r="1130">
          <cell r="F1130">
            <v>313341</v>
          </cell>
          <cell r="G1130" t="str">
            <v>Raul Geovanny Garcia Fuentes</v>
          </cell>
        </row>
        <row r="1131">
          <cell r="F1131">
            <v>309191</v>
          </cell>
          <cell r="G1131" t="str">
            <v>Raul Matias Matias</v>
          </cell>
        </row>
        <row r="1132">
          <cell r="F1132">
            <v>315321</v>
          </cell>
          <cell r="G1132" t="str">
            <v>Reina Lorena Canán</v>
          </cell>
        </row>
        <row r="1133">
          <cell r="F1133">
            <v>312312</v>
          </cell>
          <cell r="G1133" t="str">
            <v>Remigio Alexander Gonzalez Suchite</v>
          </cell>
        </row>
        <row r="1134">
          <cell r="F1134">
            <v>306619</v>
          </cell>
          <cell r="G1134" t="str">
            <v>Reyna Angelica Ba Vega</v>
          </cell>
        </row>
        <row r="1135">
          <cell r="F1135">
            <v>315347</v>
          </cell>
          <cell r="G1135" t="str">
            <v>Reyna Floridalma Donis Marroquin</v>
          </cell>
        </row>
        <row r="1136">
          <cell r="F1136">
            <v>314960</v>
          </cell>
          <cell r="G1136" t="str">
            <v>Reyna Sebastiana Reyes Zurdo</v>
          </cell>
        </row>
        <row r="1137">
          <cell r="F1137">
            <v>315170</v>
          </cell>
          <cell r="G1137" t="str">
            <v>Ricardo Alexander Morales Moran</v>
          </cell>
        </row>
        <row r="1138">
          <cell r="F1138">
            <v>315179</v>
          </cell>
          <cell r="G1138" t="str">
            <v>Ricardo Alfonso Chan Lopez</v>
          </cell>
        </row>
        <row r="1139">
          <cell r="F1139">
            <v>311846</v>
          </cell>
          <cell r="G1139" t="str">
            <v>Ricardo Antonio Vasquez Meza</v>
          </cell>
        </row>
        <row r="1140">
          <cell r="F1140">
            <v>314666</v>
          </cell>
          <cell r="G1140" t="str">
            <v>Ricardo Esau Hernandez Baten</v>
          </cell>
        </row>
        <row r="1141">
          <cell r="F1141">
            <v>310610</v>
          </cell>
          <cell r="G1141" t="str">
            <v>Ricky Edson Lux Cassia</v>
          </cell>
        </row>
        <row r="1142">
          <cell r="F1142">
            <v>314813</v>
          </cell>
          <cell r="G1142" t="str">
            <v>Roberto Ardon Ramos</v>
          </cell>
        </row>
        <row r="1143">
          <cell r="F1143">
            <v>312901</v>
          </cell>
          <cell r="G1143" t="str">
            <v>Roberto Augusto Silva Hernandez</v>
          </cell>
        </row>
        <row r="1144">
          <cell r="F1144">
            <v>308852</v>
          </cell>
          <cell r="G1144" t="str">
            <v>Roberto Caal Sente</v>
          </cell>
        </row>
        <row r="1145">
          <cell r="F1145">
            <v>306098</v>
          </cell>
          <cell r="G1145" t="str">
            <v>Roderico Simeon Lopez Lopez</v>
          </cell>
        </row>
        <row r="1146">
          <cell r="F1146">
            <v>313517</v>
          </cell>
          <cell r="G1146" t="str">
            <v>Rogelio Waldemar Aldana Turcios</v>
          </cell>
        </row>
        <row r="1147">
          <cell r="F1147">
            <v>314945</v>
          </cell>
          <cell r="G1147" t="str">
            <v>Rolando Esau Solis Santos</v>
          </cell>
        </row>
        <row r="1148">
          <cell r="F1148">
            <v>313403</v>
          </cell>
          <cell r="G1148" t="str">
            <v>Rolman Eliseo Bautista Mazariegos</v>
          </cell>
        </row>
        <row r="1149">
          <cell r="F1149">
            <v>314776</v>
          </cell>
          <cell r="G1149" t="str">
            <v>Romario Humberto Perez Us</v>
          </cell>
        </row>
        <row r="1150">
          <cell r="F1150">
            <v>315539</v>
          </cell>
          <cell r="G1150" t="str">
            <v>Ronald Arturo Sanchez Mijangos</v>
          </cell>
        </row>
        <row r="1151">
          <cell r="F1151">
            <v>314096</v>
          </cell>
          <cell r="G1151" t="str">
            <v>Ronald Erickson Hernandez Bamac</v>
          </cell>
        </row>
        <row r="1152">
          <cell r="F1152">
            <v>307943</v>
          </cell>
          <cell r="G1152" t="str">
            <v>Ronald Guillermo Garcia</v>
          </cell>
        </row>
        <row r="1153">
          <cell r="F1153">
            <v>315118</v>
          </cell>
          <cell r="G1153" t="str">
            <v>Ronald Ottoniel Ramos Argueta</v>
          </cell>
        </row>
        <row r="1154">
          <cell r="F1154">
            <v>315165</v>
          </cell>
          <cell r="G1154" t="str">
            <v>Ronie Ernesto Gonzalez Alvarado</v>
          </cell>
        </row>
        <row r="1155">
          <cell r="F1155">
            <v>312877</v>
          </cell>
          <cell r="G1155" t="str">
            <v>Rony David Ruano Vasquez</v>
          </cell>
        </row>
        <row r="1156">
          <cell r="F1156">
            <v>310267</v>
          </cell>
          <cell r="G1156" t="str">
            <v>Rony Josue Giron Roca</v>
          </cell>
        </row>
        <row r="1157">
          <cell r="F1157">
            <v>314930</v>
          </cell>
          <cell r="G1157" t="str">
            <v>Rony Oswaldo Gonzalez Lemus</v>
          </cell>
        </row>
        <row r="1158">
          <cell r="F1158">
            <v>315305</v>
          </cell>
          <cell r="G1158" t="str">
            <v>Rosa Isabel Garcia Menchu De Itzep</v>
          </cell>
        </row>
        <row r="1159">
          <cell r="F1159">
            <v>305255</v>
          </cell>
          <cell r="G1159" t="str">
            <v>Rosa Maria Raxtun Estrada</v>
          </cell>
        </row>
        <row r="1160">
          <cell r="F1160">
            <v>313771</v>
          </cell>
          <cell r="G1160" t="str">
            <v>Rosa Maribel Par Gutierrez De Parada</v>
          </cell>
        </row>
        <row r="1161">
          <cell r="F1161">
            <v>315353</v>
          </cell>
          <cell r="G1161" t="str">
            <v>Rosa Mariela Muñoz Samayoa</v>
          </cell>
        </row>
        <row r="1162">
          <cell r="F1162">
            <v>301835</v>
          </cell>
          <cell r="G1162" t="str">
            <v>Rosa Melia Isales Reyes</v>
          </cell>
        </row>
        <row r="1163">
          <cell r="F1163">
            <v>315389</v>
          </cell>
          <cell r="G1163" t="str">
            <v>Rosa Yadira Salguero Ceballos</v>
          </cell>
        </row>
        <row r="1164">
          <cell r="F1164">
            <v>312729</v>
          </cell>
          <cell r="G1164" t="str">
            <v>Rosalbina Magdali Alvarado Ramirez</v>
          </cell>
        </row>
        <row r="1165">
          <cell r="F1165">
            <v>300594</v>
          </cell>
          <cell r="G1165" t="str">
            <v>Rosaura Grisleny Perez Rios</v>
          </cell>
        </row>
        <row r="1166">
          <cell r="F1166">
            <v>303901</v>
          </cell>
          <cell r="G1166" t="str">
            <v>Rosmery Ana Lee Cojom Rodriguez</v>
          </cell>
        </row>
        <row r="1167">
          <cell r="F1167">
            <v>312040</v>
          </cell>
          <cell r="G1167" t="str">
            <v>Rosmery Figueroa Ramirez</v>
          </cell>
        </row>
        <row r="1168">
          <cell r="F1168">
            <v>313606</v>
          </cell>
          <cell r="G1168" t="str">
            <v>Rossana Alejandra Rodas Salguero</v>
          </cell>
        </row>
        <row r="1169">
          <cell r="F1169">
            <v>310534</v>
          </cell>
          <cell r="G1169" t="str">
            <v>Rossel Jose Hernandez Oliva</v>
          </cell>
        </row>
        <row r="1170">
          <cell r="F1170">
            <v>315045</v>
          </cell>
          <cell r="G1170" t="str">
            <v>Roxana Leticia Avila Villatoro</v>
          </cell>
        </row>
        <row r="1171">
          <cell r="F1171">
            <v>314308</v>
          </cell>
          <cell r="G1171" t="str">
            <v>Ruben Dario Peñate Aquino</v>
          </cell>
        </row>
        <row r="1172">
          <cell r="F1172">
            <v>311511</v>
          </cell>
          <cell r="G1172" t="str">
            <v>Ruby Alejandra Merida Rivas</v>
          </cell>
        </row>
        <row r="1173">
          <cell r="F1173">
            <v>312888</v>
          </cell>
          <cell r="G1173" t="str">
            <v>Rudy Alexander Gramajo Reyes</v>
          </cell>
        </row>
        <row r="1174">
          <cell r="F1174">
            <v>314814</v>
          </cell>
          <cell r="G1174" t="str">
            <v>Rudy Fernando Lopez Ajcabal</v>
          </cell>
        </row>
        <row r="1175">
          <cell r="F1175">
            <v>311551</v>
          </cell>
          <cell r="G1175" t="str">
            <v>Ruth Betsabe Campos Vargas</v>
          </cell>
        </row>
        <row r="1176">
          <cell r="F1176">
            <v>312546</v>
          </cell>
          <cell r="G1176" t="str">
            <v>Ruth Hermelinda Cardona Blanco</v>
          </cell>
        </row>
        <row r="1177">
          <cell r="F1177">
            <v>313599</v>
          </cell>
          <cell r="G1177" t="str">
            <v>Ruth Noemi Solis Contreras</v>
          </cell>
        </row>
        <row r="1178">
          <cell r="F1178">
            <v>301658</v>
          </cell>
          <cell r="G1178" t="str">
            <v>Ruth Nohemi Contreras Hernandez</v>
          </cell>
        </row>
        <row r="1179">
          <cell r="F1179">
            <v>301786</v>
          </cell>
          <cell r="G1179" t="str">
            <v>Ruth Nohemi Perez Esteban</v>
          </cell>
        </row>
        <row r="1180">
          <cell r="F1180">
            <v>314606</v>
          </cell>
          <cell r="G1180" t="str">
            <v>Saida Yasmin Garcia Xot</v>
          </cell>
        </row>
        <row r="1181">
          <cell r="F1181">
            <v>312383</v>
          </cell>
          <cell r="G1181" t="str">
            <v>Samuel Everardo Garcia Lemus</v>
          </cell>
        </row>
        <row r="1182">
          <cell r="F1182">
            <v>313592</v>
          </cell>
          <cell r="G1182" t="str">
            <v>Samuel Nehemias Nuñez Michicoj</v>
          </cell>
        </row>
        <row r="1183">
          <cell r="F1183">
            <v>305099</v>
          </cell>
          <cell r="G1183" t="str">
            <v>Sandi Anavela Mejia Alvarado</v>
          </cell>
        </row>
        <row r="1184">
          <cell r="F1184">
            <v>312923</v>
          </cell>
          <cell r="G1184" t="str">
            <v>Sandra Esmeralda Martinez Baeza</v>
          </cell>
        </row>
        <row r="1185">
          <cell r="F1185">
            <v>314420</v>
          </cell>
          <cell r="G1185" t="str">
            <v>Sandra Jeaneth Ajcuc Garcia</v>
          </cell>
        </row>
        <row r="1186">
          <cell r="F1186">
            <v>301460</v>
          </cell>
          <cell r="G1186" t="str">
            <v>Sandra Judith Vasquez Fernandez</v>
          </cell>
        </row>
        <row r="1187">
          <cell r="F1187">
            <v>312012</v>
          </cell>
          <cell r="G1187" t="str">
            <v>Sandra Lucrecia Hernandez Aceituno</v>
          </cell>
        </row>
        <row r="1188">
          <cell r="F1188">
            <v>200872</v>
          </cell>
          <cell r="G1188" t="str">
            <v>Sandra Maritza Mus Chaman</v>
          </cell>
        </row>
        <row r="1189">
          <cell r="F1189">
            <v>314820</v>
          </cell>
          <cell r="G1189" t="str">
            <v>Sandra Mishell Amarilis Gutierrez Palma</v>
          </cell>
        </row>
        <row r="1190">
          <cell r="F1190">
            <v>313875</v>
          </cell>
          <cell r="G1190" t="str">
            <v>Sandra Patricia Mejia Raguex</v>
          </cell>
        </row>
        <row r="1191">
          <cell r="F1191">
            <v>311092</v>
          </cell>
          <cell r="G1191" t="str">
            <v>Sandra Patricia Ochoa Sanchez</v>
          </cell>
        </row>
        <row r="1192">
          <cell r="F1192">
            <v>306416</v>
          </cell>
          <cell r="G1192" t="str">
            <v>Sandy Claribel Barrientos Caal</v>
          </cell>
        </row>
        <row r="1193">
          <cell r="F1193">
            <v>315024</v>
          </cell>
          <cell r="G1193" t="str">
            <v>Sandy Jasmyn Gonzalez Catun</v>
          </cell>
        </row>
        <row r="1194">
          <cell r="F1194">
            <v>312908</v>
          </cell>
          <cell r="G1194" t="str">
            <v>Sandy Maria Flores</v>
          </cell>
        </row>
        <row r="1195">
          <cell r="F1195">
            <v>313078</v>
          </cell>
          <cell r="G1195" t="str">
            <v>Sandy Maribel Herrera Mazariegos</v>
          </cell>
        </row>
        <row r="1196">
          <cell r="F1196">
            <v>301438</v>
          </cell>
          <cell r="G1196" t="str">
            <v>Sandy Mariela Batres Orozco</v>
          </cell>
        </row>
        <row r="1197">
          <cell r="F1197">
            <v>313622</v>
          </cell>
          <cell r="G1197" t="str">
            <v>Sandy Nohemy Sontay Agueda</v>
          </cell>
        </row>
        <row r="1198">
          <cell r="F1198">
            <v>315408</v>
          </cell>
          <cell r="G1198" t="str">
            <v>Sandy Suset Morales Barrientos</v>
          </cell>
        </row>
        <row r="1199">
          <cell r="F1199">
            <v>307105</v>
          </cell>
          <cell r="G1199" t="str">
            <v>Santiago Isaias Barreno Rosales</v>
          </cell>
        </row>
        <row r="1200">
          <cell r="F1200">
            <v>315254</v>
          </cell>
          <cell r="G1200" t="str">
            <v>Santos Ismael Najera Culajay</v>
          </cell>
        </row>
        <row r="1201">
          <cell r="F1201">
            <v>313402</v>
          </cell>
          <cell r="G1201" t="str">
            <v>Santos Valentin Coroy Ruyan</v>
          </cell>
        </row>
        <row r="1202">
          <cell r="F1202">
            <v>312501</v>
          </cell>
          <cell r="G1202" t="str">
            <v>Sara Elizabeth Guzman Linares</v>
          </cell>
        </row>
        <row r="1203">
          <cell r="F1203">
            <v>313492</v>
          </cell>
          <cell r="G1203" t="str">
            <v>Sarvia Bitia Orellana Ortiz</v>
          </cell>
        </row>
        <row r="1204">
          <cell r="F1204">
            <v>309816</v>
          </cell>
          <cell r="G1204" t="str">
            <v>Sayra Elizabeth Reyes Zuñiga</v>
          </cell>
        </row>
        <row r="1205">
          <cell r="F1205">
            <v>314956</v>
          </cell>
          <cell r="G1205" t="str">
            <v>Sebastian Geovanny Calel Ixtuc</v>
          </cell>
        </row>
        <row r="1206">
          <cell r="F1206">
            <v>314855</v>
          </cell>
          <cell r="G1206" t="str">
            <v>Selvin Adan Garcia Portillo</v>
          </cell>
        </row>
        <row r="1207">
          <cell r="F1207">
            <v>312294</v>
          </cell>
          <cell r="G1207" t="str">
            <v>Selvin Geronimo Aguilar</v>
          </cell>
        </row>
        <row r="1208">
          <cell r="F1208">
            <v>302278</v>
          </cell>
          <cell r="G1208" t="str">
            <v>Selvin Manolo Montepeque Merida</v>
          </cell>
        </row>
        <row r="1209">
          <cell r="F1209">
            <v>314266</v>
          </cell>
          <cell r="G1209" t="str">
            <v>Selvin Rodolfo De La Cruz Contreras</v>
          </cell>
        </row>
        <row r="1210">
          <cell r="F1210">
            <v>301308</v>
          </cell>
          <cell r="G1210" t="str">
            <v>Selvyn Ivan Sierra Ramirez</v>
          </cell>
        </row>
        <row r="1211">
          <cell r="F1211">
            <v>312346</v>
          </cell>
          <cell r="G1211" t="str">
            <v>Sendy Vanessa Villagran Garcia</v>
          </cell>
        </row>
        <row r="1212">
          <cell r="F1212">
            <v>314559</v>
          </cell>
          <cell r="G1212" t="str">
            <v>Sergio Alejandro Aguilar Perez</v>
          </cell>
        </row>
        <row r="1213">
          <cell r="F1213">
            <v>101896</v>
          </cell>
          <cell r="G1213" t="str">
            <v>Sergio Estuardo Mejia Lopez</v>
          </cell>
        </row>
        <row r="1214">
          <cell r="F1214">
            <v>315294</v>
          </cell>
          <cell r="G1214" t="str">
            <v>Sergio Obdulio Chali Chocojay</v>
          </cell>
        </row>
        <row r="1215">
          <cell r="F1215">
            <v>314079</v>
          </cell>
          <cell r="G1215" t="str">
            <v>Sharon Klarivel Santis Najarro</v>
          </cell>
        </row>
        <row r="1216">
          <cell r="F1216">
            <v>311147</v>
          </cell>
          <cell r="G1216" t="str">
            <v>Shaury Jazmeny Garcia Arias</v>
          </cell>
        </row>
        <row r="1217">
          <cell r="F1217">
            <v>310599</v>
          </cell>
          <cell r="G1217" t="str">
            <v>Sheila Nineth Mendez Lopez</v>
          </cell>
        </row>
        <row r="1218">
          <cell r="F1218">
            <v>315541</v>
          </cell>
          <cell r="G1218" t="str">
            <v>Sheily Nahomy Oliva Morales</v>
          </cell>
        </row>
        <row r="1219">
          <cell r="F1219">
            <v>304805</v>
          </cell>
          <cell r="G1219" t="str">
            <v>Sheily Raquel Angel Arreaga</v>
          </cell>
        </row>
        <row r="1220">
          <cell r="F1220">
            <v>312357</v>
          </cell>
          <cell r="G1220" t="str">
            <v>Shirley Andrea Lopez Lopez</v>
          </cell>
        </row>
        <row r="1221">
          <cell r="F1221">
            <v>311646</v>
          </cell>
          <cell r="G1221" t="str">
            <v>Shirley Leticia Lissette Lopez Guzman</v>
          </cell>
        </row>
        <row r="1222">
          <cell r="F1222">
            <v>312096</v>
          </cell>
          <cell r="G1222" t="str">
            <v>Silvia Edelmira Garcia Donis</v>
          </cell>
        </row>
        <row r="1223">
          <cell r="F1223">
            <v>301371</v>
          </cell>
          <cell r="G1223" t="str">
            <v>Silvia Gabriela Gonzalez Siliezar</v>
          </cell>
        </row>
        <row r="1224">
          <cell r="F1224">
            <v>313328</v>
          </cell>
          <cell r="G1224" t="str">
            <v>Silvia Leticia Morales Perez</v>
          </cell>
        </row>
        <row r="1225">
          <cell r="F1225">
            <v>309948</v>
          </cell>
          <cell r="G1225" t="str">
            <v>Silvia Lucrecia Gonzalez Char</v>
          </cell>
        </row>
        <row r="1226">
          <cell r="F1226">
            <v>305230</v>
          </cell>
          <cell r="G1226" t="str">
            <v>Silvia Marleni Rac Yoc</v>
          </cell>
        </row>
        <row r="1227">
          <cell r="F1227">
            <v>305427</v>
          </cell>
          <cell r="G1227" t="str">
            <v>Silvia Noemi Calderon</v>
          </cell>
        </row>
        <row r="1228">
          <cell r="F1228">
            <v>306034</v>
          </cell>
          <cell r="G1228" t="str">
            <v>Silvia Patricia Gonzalez Hernandez</v>
          </cell>
        </row>
        <row r="1229">
          <cell r="F1229">
            <v>310105</v>
          </cell>
          <cell r="G1229" t="str">
            <v>Simeon Valentin Gomez Flores</v>
          </cell>
        </row>
        <row r="1230">
          <cell r="F1230">
            <v>313981</v>
          </cell>
          <cell r="G1230" t="str">
            <v>Sindy Beatriz Perez Sanchez</v>
          </cell>
        </row>
        <row r="1231">
          <cell r="F1231">
            <v>314976</v>
          </cell>
          <cell r="G1231" t="str">
            <v>Sindy Carolina Ramirez Pur</v>
          </cell>
        </row>
        <row r="1232">
          <cell r="F1232">
            <v>312881</v>
          </cell>
          <cell r="G1232" t="str">
            <v>Sindy Karina Ramirez Lopez</v>
          </cell>
        </row>
        <row r="1233">
          <cell r="F1233">
            <v>310066</v>
          </cell>
          <cell r="G1233" t="str">
            <v>Sindy Paola Vargas Calderon</v>
          </cell>
        </row>
        <row r="1234">
          <cell r="F1234">
            <v>315466</v>
          </cell>
          <cell r="G1234" t="str">
            <v>Siomara Victoria Valle Sac</v>
          </cell>
        </row>
        <row r="1235">
          <cell r="F1235">
            <v>313593</v>
          </cell>
          <cell r="G1235" t="str">
            <v>Slayker Andony Santiago Natareno</v>
          </cell>
        </row>
        <row r="1236">
          <cell r="F1236">
            <v>315439</v>
          </cell>
          <cell r="G1236" t="str">
            <v>Smaylin Sarita Villatoro Angel</v>
          </cell>
        </row>
        <row r="1237">
          <cell r="F1237">
            <v>310731</v>
          </cell>
          <cell r="G1237" t="str">
            <v>Sofia Etelvina Lopez Perez</v>
          </cell>
        </row>
        <row r="1238">
          <cell r="F1238">
            <v>314735</v>
          </cell>
          <cell r="G1238" t="str">
            <v>Sofia Ines Bermudez Avila</v>
          </cell>
        </row>
        <row r="1239">
          <cell r="F1239">
            <v>315340</v>
          </cell>
          <cell r="G1239" t="str">
            <v>Stefanny Manuela Azaneth Garcia Garcia</v>
          </cell>
        </row>
        <row r="1240">
          <cell r="F1240">
            <v>308054</v>
          </cell>
          <cell r="G1240" t="str">
            <v>Stephanie Abigail De Los Angeles Villalta</v>
          </cell>
        </row>
        <row r="1241">
          <cell r="F1241">
            <v>303382</v>
          </cell>
          <cell r="G1241" t="str">
            <v>Sucely Abigail Nerios Rodriguez</v>
          </cell>
        </row>
        <row r="1242">
          <cell r="F1242">
            <v>314787</v>
          </cell>
          <cell r="G1242" t="str">
            <v>Sucely Analy Arias Paredes</v>
          </cell>
        </row>
        <row r="1243">
          <cell r="F1243">
            <v>310671</v>
          </cell>
          <cell r="G1243" t="str">
            <v>Sucely Paola Godinez Gomez De Perez</v>
          </cell>
        </row>
        <row r="1244">
          <cell r="F1244">
            <v>315386</v>
          </cell>
          <cell r="G1244" t="str">
            <v>Sulibeth Estela Ortega Mendez</v>
          </cell>
        </row>
        <row r="1245">
          <cell r="F1245">
            <v>314347</v>
          </cell>
          <cell r="G1245" t="str">
            <v>Suri Mireidy Perez Estrada</v>
          </cell>
        </row>
        <row r="1246">
          <cell r="F1246">
            <v>313630</v>
          </cell>
          <cell r="G1246" t="str">
            <v>Susan Andrea Perez Lima</v>
          </cell>
        </row>
        <row r="1247">
          <cell r="F1247">
            <v>313395</v>
          </cell>
          <cell r="G1247" t="str">
            <v>Susan Maria Jose Rodas Carranza</v>
          </cell>
        </row>
        <row r="1248">
          <cell r="F1248">
            <v>309883</v>
          </cell>
          <cell r="G1248" t="str">
            <v>Susana Alvarado Gonzalez</v>
          </cell>
        </row>
        <row r="1249">
          <cell r="F1249">
            <v>307664</v>
          </cell>
          <cell r="G1249" t="str">
            <v>Susana Jeanneth Lemus Pineda</v>
          </cell>
        </row>
        <row r="1250">
          <cell r="F1250">
            <v>315313</v>
          </cell>
          <cell r="G1250" t="str">
            <v>Tayme Gabriela Uzu Ramirez</v>
          </cell>
        </row>
        <row r="1251">
          <cell r="F1251">
            <v>314575</v>
          </cell>
          <cell r="G1251" t="str">
            <v>Telma Esperanza Santos Orantes</v>
          </cell>
        </row>
        <row r="1252">
          <cell r="F1252">
            <v>302658</v>
          </cell>
          <cell r="G1252" t="str">
            <v>Telma Sucely Solis Merida</v>
          </cell>
        </row>
        <row r="1253">
          <cell r="F1253">
            <v>315048</v>
          </cell>
          <cell r="G1253" t="str">
            <v>Thania Lucia Romero Garcia</v>
          </cell>
        </row>
        <row r="1254">
          <cell r="F1254">
            <v>302332</v>
          </cell>
          <cell r="G1254" t="str">
            <v>Thelma Patricia Mena Melchor</v>
          </cell>
        </row>
        <row r="1255">
          <cell r="F1255">
            <v>314108</v>
          </cell>
          <cell r="G1255" t="str">
            <v>Thelma Yolanda De Candelaria Garcia Sanchez</v>
          </cell>
        </row>
        <row r="1256">
          <cell r="F1256">
            <v>315049</v>
          </cell>
          <cell r="G1256" t="str">
            <v>Tomas Amador Manuel Martin</v>
          </cell>
        </row>
        <row r="1257">
          <cell r="F1257">
            <v>315373</v>
          </cell>
          <cell r="G1257" t="str">
            <v>Tomas Xiloj Mejia</v>
          </cell>
        </row>
        <row r="1258">
          <cell r="F1258">
            <v>311866</v>
          </cell>
          <cell r="G1258" t="str">
            <v>Treisy Lisbeth Orozco Orozco</v>
          </cell>
        </row>
        <row r="1259">
          <cell r="F1259">
            <v>310220</v>
          </cell>
          <cell r="G1259" t="str">
            <v>Urias Samuel Velasquez Ardeano</v>
          </cell>
        </row>
        <row r="1260">
          <cell r="F1260">
            <v>305903</v>
          </cell>
          <cell r="G1260" t="str">
            <v>Valeska Paola Rivas Gomez</v>
          </cell>
        </row>
        <row r="1261">
          <cell r="F1261">
            <v>314544</v>
          </cell>
          <cell r="G1261" t="str">
            <v>Velvet Sofia Estrada Ruiz</v>
          </cell>
        </row>
        <row r="1262">
          <cell r="F1262">
            <v>314405</v>
          </cell>
          <cell r="G1262" t="str">
            <v>Veronica Alejandra Barahona Santa Cruz</v>
          </cell>
        </row>
        <row r="1263">
          <cell r="F1263">
            <v>311048</v>
          </cell>
          <cell r="G1263" t="str">
            <v>Veronica Dalila Barrios Hernandez</v>
          </cell>
        </row>
        <row r="1264">
          <cell r="F1264">
            <v>311005</v>
          </cell>
          <cell r="G1264" t="str">
            <v>Veronica Sierra Xo</v>
          </cell>
        </row>
        <row r="1265">
          <cell r="F1265">
            <v>304024</v>
          </cell>
          <cell r="G1265" t="str">
            <v>Vicky Roxana Lopez Hernandez</v>
          </cell>
        </row>
        <row r="1266">
          <cell r="F1266">
            <v>300999</v>
          </cell>
          <cell r="G1266" t="str">
            <v>Victor Adolfo Barrios Monzon</v>
          </cell>
        </row>
        <row r="1267">
          <cell r="F1267">
            <v>309689</v>
          </cell>
          <cell r="G1267" t="str">
            <v>Victor Demecio Leon Villeda</v>
          </cell>
        </row>
        <row r="1268">
          <cell r="F1268">
            <v>311258</v>
          </cell>
          <cell r="G1268" t="str">
            <v>Victor Otoniel Sebastian Cardona</v>
          </cell>
        </row>
        <row r="1269">
          <cell r="F1269">
            <v>314367</v>
          </cell>
          <cell r="G1269" t="str">
            <v>Victoria Maria Llamas Perez</v>
          </cell>
        </row>
        <row r="1270">
          <cell r="F1270">
            <v>315399</v>
          </cell>
          <cell r="G1270" t="str">
            <v>Vilma Rossibel Mendez Vasquez</v>
          </cell>
        </row>
        <row r="1271">
          <cell r="F1271">
            <v>312875</v>
          </cell>
          <cell r="G1271" t="str">
            <v>Virginia Nohemi Perez Ajtum</v>
          </cell>
        </row>
        <row r="1272">
          <cell r="F1272">
            <v>313671</v>
          </cell>
          <cell r="G1272" t="str">
            <v>Virginia Yesenia Merida Lopez De Lopez</v>
          </cell>
        </row>
        <row r="1273">
          <cell r="F1273">
            <v>315529</v>
          </cell>
          <cell r="G1273" t="str">
            <v>Vivian Alejandra Ramirez Samayoa</v>
          </cell>
        </row>
        <row r="1274">
          <cell r="F1274">
            <v>310009</v>
          </cell>
          <cell r="G1274" t="str">
            <v>Vivian Celeste De Leon Rian</v>
          </cell>
        </row>
        <row r="1275">
          <cell r="F1275">
            <v>308693</v>
          </cell>
          <cell r="G1275" t="str">
            <v>Vivian Dinora Fuentes Carrillo</v>
          </cell>
        </row>
        <row r="1276">
          <cell r="F1276">
            <v>300347</v>
          </cell>
          <cell r="G1276" t="str">
            <v>Vivian Roxana Piedrasanta Rodriguez</v>
          </cell>
        </row>
        <row r="1277">
          <cell r="F1277">
            <v>306597</v>
          </cell>
          <cell r="G1277" t="str">
            <v>Vivian Samara Sanchez Lopez</v>
          </cell>
        </row>
        <row r="1278">
          <cell r="F1278">
            <v>312772</v>
          </cell>
          <cell r="G1278" t="str">
            <v>Viviana Isabet Machic Tiño</v>
          </cell>
        </row>
        <row r="1279">
          <cell r="F1279">
            <v>314636</v>
          </cell>
          <cell r="G1279" t="str">
            <v>Walkiria Anais Herrera Castillo</v>
          </cell>
        </row>
        <row r="1280">
          <cell r="F1280">
            <v>301033</v>
          </cell>
          <cell r="G1280" t="str">
            <v>Walter Daniel Perea Flores</v>
          </cell>
        </row>
        <row r="1281">
          <cell r="F1281">
            <v>305935</v>
          </cell>
          <cell r="G1281" t="str">
            <v>Walter David De Leon Gomez</v>
          </cell>
        </row>
        <row r="1282">
          <cell r="F1282">
            <v>315324</v>
          </cell>
          <cell r="G1282" t="str">
            <v>Walter Estuardo Guerra López</v>
          </cell>
        </row>
        <row r="1283">
          <cell r="F1283">
            <v>310994</v>
          </cell>
          <cell r="G1283" t="str">
            <v>Walter Geovany Hernandez Hernandez</v>
          </cell>
        </row>
        <row r="1284">
          <cell r="F1284">
            <v>315577</v>
          </cell>
          <cell r="G1284" t="str">
            <v>Walter Yovany Sequec Lopic</v>
          </cell>
        </row>
        <row r="1285">
          <cell r="F1285">
            <v>312305</v>
          </cell>
          <cell r="G1285" t="str">
            <v>Wanda Marisol Cabrera Lemus</v>
          </cell>
        </row>
        <row r="1286">
          <cell r="F1286">
            <v>313388</v>
          </cell>
          <cell r="G1286" t="str">
            <v>Wander Andres Grijlava Porras</v>
          </cell>
        </row>
        <row r="1287">
          <cell r="F1287">
            <v>312738</v>
          </cell>
          <cell r="G1287" t="str">
            <v>Wendoly Beatriz Morales Cornel</v>
          </cell>
        </row>
        <row r="1288">
          <cell r="F1288">
            <v>304802</v>
          </cell>
          <cell r="G1288" t="str">
            <v>Wendy Alejandra Cuyan Alvarez</v>
          </cell>
        </row>
        <row r="1289">
          <cell r="F1289">
            <v>315438</v>
          </cell>
          <cell r="G1289" t="str">
            <v>Wendy Alejandra Monzon Lopez</v>
          </cell>
        </row>
        <row r="1290">
          <cell r="F1290">
            <v>309177</v>
          </cell>
          <cell r="G1290" t="str">
            <v>Wendy Carolina Lopez Alvizuriz</v>
          </cell>
        </row>
        <row r="1291">
          <cell r="F1291">
            <v>315364</v>
          </cell>
          <cell r="G1291" t="str">
            <v>Wendy Corina Najera Vasquez</v>
          </cell>
        </row>
        <row r="1292">
          <cell r="F1292">
            <v>308431</v>
          </cell>
          <cell r="G1292" t="str">
            <v>Wendy Jessenia Arredondo Lopez</v>
          </cell>
        </row>
        <row r="1293">
          <cell r="F1293">
            <v>315096</v>
          </cell>
          <cell r="G1293" t="str">
            <v>Wendy Mariela Diaz Hernandez</v>
          </cell>
        </row>
        <row r="1294">
          <cell r="F1294">
            <v>314551</v>
          </cell>
          <cell r="G1294" t="str">
            <v>Wendy Nineth Perez Roque</v>
          </cell>
        </row>
        <row r="1295">
          <cell r="F1295">
            <v>312886</v>
          </cell>
          <cell r="G1295" t="str">
            <v>Wendy Paola Baquiax Cu</v>
          </cell>
        </row>
        <row r="1296">
          <cell r="F1296">
            <v>306851</v>
          </cell>
          <cell r="G1296" t="str">
            <v>Wendy Paola De Paz Prado</v>
          </cell>
        </row>
        <row r="1297">
          <cell r="F1297">
            <v>313707</v>
          </cell>
          <cell r="G1297" t="str">
            <v>Wendy Paola Rodriguez Gonzalez</v>
          </cell>
        </row>
        <row r="1298">
          <cell r="F1298">
            <v>314055</v>
          </cell>
          <cell r="G1298" t="str">
            <v>Wendy Patricia Lopez Gonzalez</v>
          </cell>
        </row>
        <row r="1299">
          <cell r="F1299">
            <v>310388</v>
          </cell>
          <cell r="G1299" t="str">
            <v>Wendy Susana Chinchilla Cotill</v>
          </cell>
        </row>
        <row r="1300">
          <cell r="F1300">
            <v>315106</v>
          </cell>
          <cell r="G1300" t="str">
            <v>Wendy Victoria Rodriguez Chacon</v>
          </cell>
        </row>
        <row r="1301">
          <cell r="F1301">
            <v>314063</v>
          </cell>
          <cell r="G1301" t="str">
            <v>Wensler David Obando Polanco</v>
          </cell>
        </row>
        <row r="1302">
          <cell r="F1302">
            <v>308069</v>
          </cell>
          <cell r="G1302" t="str">
            <v>Wilda Yohandra Atz Cruz</v>
          </cell>
        </row>
        <row r="1303">
          <cell r="F1303">
            <v>313300</v>
          </cell>
          <cell r="G1303" t="str">
            <v>Wilfido Abraham Cardona Garcia</v>
          </cell>
        </row>
        <row r="1304">
          <cell r="F1304">
            <v>309284</v>
          </cell>
          <cell r="G1304" t="str">
            <v>Wilian Aroldo Lucero Cardona</v>
          </cell>
        </row>
        <row r="1305">
          <cell r="F1305">
            <v>314821</v>
          </cell>
          <cell r="G1305" t="str">
            <v>William Alexander Tobias Gomez</v>
          </cell>
        </row>
        <row r="1306">
          <cell r="F1306">
            <v>314881</v>
          </cell>
          <cell r="G1306" t="str">
            <v>William Eduardo Velasquez Castillo</v>
          </cell>
        </row>
        <row r="1307">
          <cell r="F1307">
            <v>313027</v>
          </cell>
          <cell r="G1307" t="str">
            <v>William Rodolfo Yool Tucux</v>
          </cell>
        </row>
        <row r="1308">
          <cell r="F1308">
            <v>314221</v>
          </cell>
          <cell r="G1308" t="str">
            <v>Willian Baldemar Castillo Ramirez</v>
          </cell>
        </row>
        <row r="1309">
          <cell r="F1309">
            <v>314947</v>
          </cell>
          <cell r="G1309" t="str">
            <v>Wilmer Arnoldo Diaz Martinez</v>
          </cell>
        </row>
        <row r="1310">
          <cell r="F1310">
            <v>306656</v>
          </cell>
          <cell r="G1310" t="str">
            <v>Wilmer Benjamin Vasquez Puac</v>
          </cell>
        </row>
        <row r="1311">
          <cell r="F1311">
            <v>314391</v>
          </cell>
          <cell r="G1311" t="str">
            <v>Wilmer Esteban Lopez Hernandez</v>
          </cell>
        </row>
        <row r="1312">
          <cell r="F1312">
            <v>308506</v>
          </cell>
          <cell r="G1312" t="str">
            <v>Wilmer Estuardo Salama Golon</v>
          </cell>
        </row>
        <row r="1313">
          <cell r="F1313">
            <v>308686</v>
          </cell>
          <cell r="G1313" t="str">
            <v>Wilson Arnoldo Lopez Revolorio</v>
          </cell>
        </row>
        <row r="1314">
          <cell r="F1314">
            <v>312770</v>
          </cell>
          <cell r="G1314" t="str">
            <v>Wilson Manuel Zuñiga Perez</v>
          </cell>
        </row>
        <row r="1315">
          <cell r="F1315">
            <v>300978</v>
          </cell>
          <cell r="G1315" t="str">
            <v>Wuangler Geovane Cal Sucup</v>
          </cell>
        </row>
        <row r="1316">
          <cell r="F1316">
            <v>305989</v>
          </cell>
          <cell r="G1316" t="str">
            <v>Wuilson Ottoniel Hernandez Alonzo</v>
          </cell>
        </row>
        <row r="1317">
          <cell r="F1317">
            <v>314819</v>
          </cell>
          <cell r="G1317" t="str">
            <v>Xiomara Karina Rendon Peinado</v>
          </cell>
        </row>
        <row r="1318">
          <cell r="F1318">
            <v>306493</v>
          </cell>
          <cell r="G1318" t="str">
            <v>Yackelin Maribel Zamora Medina</v>
          </cell>
        </row>
        <row r="1319">
          <cell r="F1319">
            <v>309963</v>
          </cell>
          <cell r="G1319" t="str">
            <v>Yajaira Emiliana Reyes Zapet</v>
          </cell>
        </row>
        <row r="1320">
          <cell r="F1320">
            <v>312248</v>
          </cell>
          <cell r="G1320" t="str">
            <v>Yakelin Consuelo Zapeta Perez</v>
          </cell>
        </row>
        <row r="1321">
          <cell r="F1321">
            <v>310159</v>
          </cell>
          <cell r="G1321" t="str">
            <v>Yaquelin Dinora Xicara Mejia</v>
          </cell>
        </row>
        <row r="1322">
          <cell r="F1322">
            <v>309920</v>
          </cell>
          <cell r="G1322" t="str">
            <v>Yaquelin Karina Virula Patzan</v>
          </cell>
        </row>
        <row r="1323">
          <cell r="F1323">
            <v>312505</v>
          </cell>
          <cell r="G1323" t="str">
            <v>Yaquelin Yessenia Sapon Gonzalez</v>
          </cell>
        </row>
        <row r="1324">
          <cell r="F1324">
            <v>309463</v>
          </cell>
          <cell r="G1324" t="str">
            <v>Yasmin Paola Sicay Marroquin</v>
          </cell>
        </row>
        <row r="1325">
          <cell r="F1325">
            <v>313857</v>
          </cell>
          <cell r="G1325" t="str">
            <v>Yefersson Zabala Aviles</v>
          </cell>
        </row>
        <row r="1326">
          <cell r="F1326">
            <v>313628</v>
          </cell>
          <cell r="G1326" t="str">
            <v>Yefry Jesus Soto</v>
          </cell>
        </row>
        <row r="1327">
          <cell r="F1327">
            <v>310318</v>
          </cell>
          <cell r="G1327" t="str">
            <v>Yeimi Yareli Moscoso Guzman</v>
          </cell>
        </row>
        <row r="1328">
          <cell r="F1328">
            <v>313558</v>
          </cell>
          <cell r="G1328" t="str">
            <v>Yener Catarino Chilel Velasquez</v>
          </cell>
        </row>
        <row r="1329">
          <cell r="F1329">
            <v>303083</v>
          </cell>
          <cell r="G1329" t="str">
            <v>Yeni Elizabeth Carrillo Barrios</v>
          </cell>
        </row>
        <row r="1330">
          <cell r="F1330">
            <v>313221</v>
          </cell>
          <cell r="G1330" t="str">
            <v>Yeni Jannet Morales Sintud</v>
          </cell>
        </row>
        <row r="1331">
          <cell r="F1331">
            <v>315374</v>
          </cell>
          <cell r="G1331" t="str">
            <v>Yeni Sabrina Ordonez Gonzalez De Chicas</v>
          </cell>
        </row>
        <row r="1332">
          <cell r="F1332">
            <v>314613</v>
          </cell>
          <cell r="G1332" t="str">
            <v>Yenifer Alicia Yessenia Tzib Lemus</v>
          </cell>
        </row>
        <row r="1333">
          <cell r="F1333">
            <v>308434</v>
          </cell>
          <cell r="G1333" t="str">
            <v>Yenifer Antonieta Borja Aragon</v>
          </cell>
        </row>
        <row r="1334">
          <cell r="F1334">
            <v>313725</v>
          </cell>
          <cell r="G1334" t="str">
            <v>Yenner Antonio Perez Castro</v>
          </cell>
        </row>
        <row r="1335">
          <cell r="F1335">
            <v>314562</v>
          </cell>
          <cell r="G1335" t="str">
            <v>Yesenia Noemi Gutierrez Argueta</v>
          </cell>
        </row>
        <row r="1336">
          <cell r="F1336">
            <v>311581</v>
          </cell>
          <cell r="G1336" t="str">
            <v>Yesi Lisbet Fuentes Velarde</v>
          </cell>
        </row>
        <row r="1337">
          <cell r="F1337">
            <v>312579</v>
          </cell>
          <cell r="G1337" t="str">
            <v>Yesica Elizabet Marroquin Vielman</v>
          </cell>
        </row>
        <row r="1338">
          <cell r="F1338">
            <v>315433</v>
          </cell>
          <cell r="G1338" t="str">
            <v>Yessica Paola Perez Poma</v>
          </cell>
        </row>
        <row r="1339">
          <cell r="F1339">
            <v>311486</v>
          </cell>
          <cell r="G1339" t="str">
            <v>Yolisma Yaneth Vasquez Najera</v>
          </cell>
        </row>
        <row r="1340">
          <cell r="F1340">
            <v>315060</v>
          </cell>
          <cell r="G1340" t="str">
            <v>Yonatan Alexander Perez Scott</v>
          </cell>
        </row>
        <row r="1341">
          <cell r="F1341">
            <v>312632</v>
          </cell>
          <cell r="G1341" t="str">
            <v>Yonatan Nazareth Zapeta Gomez</v>
          </cell>
        </row>
        <row r="1342">
          <cell r="F1342">
            <v>312988</v>
          </cell>
          <cell r="G1342" t="str">
            <v>Yonathan Neftali Moran Velasquez</v>
          </cell>
        </row>
        <row r="1343">
          <cell r="F1343">
            <v>305872</v>
          </cell>
          <cell r="G1343" t="str">
            <v>Yoni Adan Gutierrez Veliz</v>
          </cell>
        </row>
        <row r="1344">
          <cell r="F1344">
            <v>312087</v>
          </cell>
          <cell r="G1344" t="str">
            <v>Yoni Yosuen Rodriguez Sosa</v>
          </cell>
        </row>
        <row r="1345">
          <cell r="F1345">
            <v>312317</v>
          </cell>
          <cell r="G1345" t="str">
            <v>Yoselin Alejandra Barrios Reyes</v>
          </cell>
        </row>
        <row r="1346">
          <cell r="F1346">
            <v>313057</v>
          </cell>
          <cell r="G1346" t="str">
            <v>Yoselin Alejandra Moran Burgos</v>
          </cell>
        </row>
        <row r="1347">
          <cell r="F1347">
            <v>314700</v>
          </cell>
          <cell r="G1347" t="str">
            <v>Yoselin Andrea Cipriano Garcia</v>
          </cell>
        </row>
        <row r="1348">
          <cell r="F1348">
            <v>314280</v>
          </cell>
          <cell r="G1348" t="str">
            <v>Yoselin Ninet Lopez Quibaja</v>
          </cell>
        </row>
        <row r="1349">
          <cell r="F1349">
            <v>314388</v>
          </cell>
          <cell r="G1349" t="str">
            <v>Yubithza Azucena Gamez Agustin De Cordova</v>
          </cell>
        </row>
        <row r="1350">
          <cell r="F1350">
            <v>310717</v>
          </cell>
          <cell r="G1350" t="str">
            <v>Yuliana Elizabeth Hernandez Lopez</v>
          </cell>
        </row>
        <row r="1351">
          <cell r="F1351">
            <v>314472</v>
          </cell>
          <cell r="G1351" t="str">
            <v>Yuri Madali Cabrera Garcia</v>
          </cell>
        </row>
        <row r="1352">
          <cell r="F1352">
            <v>310871</v>
          </cell>
          <cell r="G1352" t="str">
            <v>Yuri Vanessa Bac Caal</v>
          </cell>
        </row>
        <row r="1353">
          <cell r="F1353">
            <v>302802</v>
          </cell>
          <cell r="G1353" t="str">
            <v>Yuri Yesenia Beza Ramirez</v>
          </cell>
        </row>
        <row r="1354">
          <cell r="F1354">
            <v>310778</v>
          </cell>
          <cell r="G1354" t="str">
            <v>Zacarias Rigoberto Cuc Tiul</v>
          </cell>
        </row>
        <row r="1355">
          <cell r="F1355">
            <v>309651</v>
          </cell>
          <cell r="G1355" t="str">
            <v>Zaira Eloiza Orantes Ramirez</v>
          </cell>
        </row>
        <row r="1356">
          <cell r="F1356">
            <v>315308</v>
          </cell>
          <cell r="G1356" t="str">
            <v>Zalma Esmeralda Flores Tojin</v>
          </cell>
        </row>
        <row r="1357">
          <cell r="F1357">
            <v>306856</v>
          </cell>
          <cell r="G1357" t="str">
            <v>Zoraida Marisol Martinez Perez</v>
          </cell>
        </row>
        <row r="1358">
          <cell r="F1358">
            <v>313411</v>
          </cell>
          <cell r="G1358" t="str">
            <v>Zulema Noemy Aristondo Lopez</v>
          </cell>
        </row>
        <row r="1359">
          <cell r="F1359">
            <v>312665</v>
          </cell>
          <cell r="G1359" t="str">
            <v>Zulma Damaris Menchu Mendez</v>
          </cell>
        </row>
        <row r="1360">
          <cell r="F1360">
            <v>314042</v>
          </cell>
          <cell r="G1360" t="str">
            <v>Zulmy Paola Mateo Salazar</v>
          </cell>
        </row>
        <row r="1361">
          <cell r="F1361">
            <v>313161</v>
          </cell>
          <cell r="G1361" t="str">
            <v>Zuly Beatriz De Jesus Lopez Martinez</v>
          </cell>
        </row>
        <row r="1362">
          <cell r="F1362">
            <v>314783</v>
          </cell>
          <cell r="G1362" t="str">
            <v>Jency Noeli Estrada Paredes</v>
          </cell>
        </row>
        <row r="1363">
          <cell r="F1363">
            <v>311880</v>
          </cell>
          <cell r="G1363" t="str">
            <v>Patricia Alejandra Ramos Velasquez</v>
          </cell>
        </row>
        <row r="1364">
          <cell r="F1364">
            <v>313031</v>
          </cell>
          <cell r="G1364" t="str">
            <v>Lesly Sucely Ramirez Maxin</v>
          </cell>
        </row>
        <row r="1365">
          <cell r="F1365">
            <v>313155</v>
          </cell>
          <cell r="G1365" t="str">
            <v>Aylin Jiceli Romero Cruz</v>
          </cell>
        </row>
        <row r="1366">
          <cell r="F1366">
            <v>314858</v>
          </cell>
          <cell r="G1366" t="str">
            <v>Henry De Jesus Mujo Garcia</v>
          </cell>
        </row>
        <row r="1367">
          <cell r="F1367">
            <v>315188</v>
          </cell>
          <cell r="G1367" t="str">
            <v>Zoila Edmunda Pirir Tezen</v>
          </cell>
        </row>
        <row r="1368">
          <cell r="F1368">
            <v>314690</v>
          </cell>
          <cell r="G1368" t="str">
            <v>Scarlet Iveth Rosales Rivera</v>
          </cell>
        </row>
        <row r="1369">
          <cell r="F1369">
            <v>309417</v>
          </cell>
          <cell r="G1369" t="str">
            <v>Lisbeth Sarai Gutierrez Oscal</v>
          </cell>
        </row>
        <row r="1370">
          <cell r="F1370">
            <v>314284</v>
          </cell>
          <cell r="G1370" t="str">
            <v>William Alexander Gonzalez Mendoza</v>
          </cell>
        </row>
        <row r="1371">
          <cell r="F1371">
            <v>312424</v>
          </cell>
          <cell r="G1371" t="str">
            <v>Andrea Fernanda Martin Flores</v>
          </cell>
        </row>
        <row r="1372">
          <cell r="F1372">
            <v>313081</v>
          </cell>
          <cell r="G1372" t="str">
            <v>Alba Mariana Higueros Micheo</v>
          </cell>
        </row>
        <row r="1373">
          <cell r="F1373">
            <v>315184</v>
          </cell>
          <cell r="G1373" t="str">
            <v>Leysly Rubi Panchoy Rivera</v>
          </cell>
        </row>
        <row r="1374">
          <cell r="F1374">
            <v>315248</v>
          </cell>
          <cell r="G1374" t="str">
            <v>Claudia Marissa Chuquiej Granados</v>
          </cell>
        </row>
        <row r="1375">
          <cell r="F1375">
            <v>314982</v>
          </cell>
          <cell r="G1375" t="str">
            <v>Alvin David Cush Roman</v>
          </cell>
        </row>
        <row r="1376">
          <cell r="F1376">
            <v>312859</v>
          </cell>
          <cell r="G1376" t="str">
            <v>Wilson Eli Pineda Argueta</v>
          </cell>
        </row>
        <row r="1377">
          <cell r="F1377">
            <v>315040</v>
          </cell>
          <cell r="G1377" t="str">
            <v>Renny Camilo Ixcopal Ramirez</v>
          </cell>
        </row>
        <row r="1378">
          <cell r="F1378">
            <v>315061</v>
          </cell>
          <cell r="G1378" t="str">
            <v>Durvin Dayanara Mejicanos Ramos</v>
          </cell>
        </row>
        <row r="1379">
          <cell r="F1379">
            <v>314923</v>
          </cell>
          <cell r="G1379" t="str">
            <v>Sergio Alexander Urizar Godínez</v>
          </cell>
        </row>
        <row r="1380">
          <cell r="F1380">
            <v>314511</v>
          </cell>
          <cell r="G1380" t="str">
            <v>Dulce Maria Fajardo Ramos</v>
          </cell>
        </row>
        <row r="1381">
          <cell r="F1381">
            <v>315316</v>
          </cell>
          <cell r="G1381" t="str">
            <v>Axel Alexander Lemus Ovando</v>
          </cell>
        </row>
        <row r="1382">
          <cell r="F1382">
            <v>314538</v>
          </cell>
          <cell r="G1382" t="str">
            <v>Cristofer Melgar Ortega</v>
          </cell>
        </row>
        <row r="1383">
          <cell r="F1383">
            <v>315046</v>
          </cell>
          <cell r="G1383" t="str">
            <v>Maria Damaris Noemi Asig Cu</v>
          </cell>
        </row>
        <row r="1384">
          <cell r="F1384">
            <v>314652</v>
          </cell>
          <cell r="G1384" t="str">
            <v>Leyvi Diana Morales Garrido</v>
          </cell>
        </row>
        <row r="1385">
          <cell r="F1385">
            <v>314440</v>
          </cell>
          <cell r="G1385" t="str">
            <v>Luis Alexsander Barco Ramirez</v>
          </cell>
        </row>
        <row r="1386">
          <cell r="F1386">
            <v>315249</v>
          </cell>
          <cell r="G1386" t="str">
            <v>Estuardo Rocael Chivalan Caal</v>
          </cell>
        </row>
        <row r="1387">
          <cell r="F1387">
            <v>315301</v>
          </cell>
          <cell r="G1387" t="str">
            <v>Carlos Edmundo Hernandez Miranda</v>
          </cell>
        </row>
        <row r="1388">
          <cell r="F1388">
            <v>313008</v>
          </cell>
          <cell r="G1388" t="str">
            <v>Jose Guillermo Ixen Queche</v>
          </cell>
        </row>
        <row r="1389">
          <cell r="F1389">
            <v>309110</v>
          </cell>
          <cell r="G1389" t="str">
            <v>Josselyn Fabiola Xunic Taquiej</v>
          </cell>
        </row>
        <row r="1390">
          <cell r="F1390">
            <v>312944</v>
          </cell>
          <cell r="G1390" t="str">
            <v>Lesly Araceli Mendez Gonzalez</v>
          </cell>
        </row>
        <row r="1391">
          <cell r="F1391">
            <v>314043</v>
          </cell>
          <cell r="G1391" t="str">
            <v>Luis Miguel Camaja Recinos</v>
          </cell>
        </row>
        <row r="1392">
          <cell r="F1392">
            <v>308753</v>
          </cell>
          <cell r="G1392" t="str">
            <v>Wilson Estuardo Vicente Tzun</v>
          </cell>
        </row>
        <row r="1393">
          <cell r="F1393">
            <v>312219</v>
          </cell>
          <cell r="G1393" t="str">
            <v>Yenifer Magali Arana Tezen</v>
          </cell>
        </row>
        <row r="1394">
          <cell r="F1394">
            <v>314664</v>
          </cell>
          <cell r="G1394" t="str">
            <v>Favio Juan Manuel Citalan Gomez</v>
          </cell>
        </row>
        <row r="1395">
          <cell r="F1395">
            <v>315314</v>
          </cell>
          <cell r="G1395" t="str">
            <v>Katherine Maria Pereira Estacuy</v>
          </cell>
        </row>
        <row r="1396">
          <cell r="F1396">
            <v>309750</v>
          </cell>
          <cell r="G1396" t="str">
            <v>Maria Teresa Hom Guit</v>
          </cell>
        </row>
        <row r="1397">
          <cell r="F1397">
            <v>307867</v>
          </cell>
          <cell r="G1397" t="str">
            <v>Alex Jose Bamaca Baltazar</v>
          </cell>
        </row>
        <row r="1398">
          <cell r="F1398">
            <v>313410</v>
          </cell>
          <cell r="G1398" t="str">
            <v>Esmeralda Claribel Velasquez Hernandez</v>
          </cell>
        </row>
        <row r="1399">
          <cell r="F1399">
            <v>315157</v>
          </cell>
          <cell r="G1399" t="str">
            <v>Nancy Rocio Maldonado Lopez</v>
          </cell>
        </row>
        <row r="1400">
          <cell r="F1400">
            <v>303878</v>
          </cell>
          <cell r="G1400" t="str">
            <v>Milka Patricia Merida Muñoz</v>
          </cell>
        </row>
        <row r="1401">
          <cell r="F1401">
            <v>315187</v>
          </cell>
          <cell r="G1401" t="str">
            <v>Luis Fernando Ramos Reynoso</v>
          </cell>
        </row>
        <row r="1402">
          <cell r="F1402">
            <v>310537</v>
          </cell>
          <cell r="G1402" t="str">
            <v>Astrid Anybeth Ochoa Sac</v>
          </cell>
        </row>
        <row r="1403">
          <cell r="F1403">
            <v>314578</v>
          </cell>
          <cell r="G1403" t="str">
            <v>Ana Gabriela Garcia Ajanel</v>
          </cell>
        </row>
        <row r="1404">
          <cell r="F1404">
            <v>315331</v>
          </cell>
          <cell r="G1404" t="str">
            <v>Dallynn Eunice Perez Herrera</v>
          </cell>
        </row>
        <row r="1405">
          <cell r="F1405">
            <v>314950</v>
          </cell>
          <cell r="G1405" t="str">
            <v>Saul Rodrigo Monterroso Belteton</v>
          </cell>
        </row>
        <row r="1406">
          <cell r="F1406">
            <v>312575</v>
          </cell>
          <cell r="G1406" t="str">
            <v>Sugey Alejandrina Ramirez Zepeda</v>
          </cell>
        </row>
        <row r="1407">
          <cell r="F1407">
            <v>309102</v>
          </cell>
          <cell r="G1407" t="str">
            <v>Josselyn Jasmin Asencio Revolorio De Lopez</v>
          </cell>
        </row>
        <row r="1408">
          <cell r="F1408">
            <v>313516</v>
          </cell>
          <cell r="G1408" t="str">
            <v>Mayra Leticia Diaz Armas</v>
          </cell>
        </row>
        <row r="1409">
          <cell r="F1409">
            <v>314786</v>
          </cell>
          <cell r="G1409" t="str">
            <v>Andrea Stephany Villeda Bran</v>
          </cell>
        </row>
        <row r="1410">
          <cell r="F1410">
            <v>313482</v>
          </cell>
          <cell r="G1410" t="str">
            <v>Alexandra Stefania Estrada Flores</v>
          </cell>
        </row>
        <row r="1411">
          <cell r="F1411">
            <v>313642</v>
          </cell>
          <cell r="G1411" t="str">
            <v>Jose Luis Landaverry Arana</v>
          </cell>
        </row>
        <row r="1412">
          <cell r="F1412">
            <v>314734</v>
          </cell>
          <cell r="G1412" t="str">
            <v>Maria Teresa Barrientos Perdomo</v>
          </cell>
        </row>
        <row r="1413">
          <cell r="F1413">
            <v>312551</v>
          </cell>
          <cell r="G1413" t="str">
            <v>Zenia Estefania Alvarado Alvarado</v>
          </cell>
        </row>
        <row r="1414">
          <cell r="F1414">
            <v>311524</v>
          </cell>
          <cell r="G1414" t="str">
            <v>Iris Marleny Alvarado Barrios</v>
          </cell>
        </row>
        <row r="1415">
          <cell r="F1415">
            <v>309360</v>
          </cell>
          <cell r="G1415" t="str">
            <v>Diana Violeta Yaguas Carin</v>
          </cell>
        </row>
        <row r="1416">
          <cell r="F1416">
            <v>309560</v>
          </cell>
          <cell r="G1416" t="str">
            <v>Astrid Gabriela Carin Castillo</v>
          </cell>
        </row>
        <row r="1417">
          <cell r="F1417">
            <v>313834</v>
          </cell>
          <cell r="G1417" t="str">
            <v>Luis Fernando Cuque Marquez</v>
          </cell>
        </row>
        <row r="1418">
          <cell r="F1418">
            <v>312983</v>
          </cell>
          <cell r="G1418" t="str">
            <v>Jennifer Jeaneth Patzan Urizar</v>
          </cell>
        </row>
        <row r="1419">
          <cell r="F1419">
            <v>313043</v>
          </cell>
          <cell r="G1419" t="str">
            <v>Saul Alexander Sicay Ramirez</v>
          </cell>
        </row>
        <row r="1420">
          <cell r="F1420">
            <v>315052</v>
          </cell>
          <cell r="G1420" t="str">
            <v>Ana Ruth Garcia Garcia</v>
          </cell>
        </row>
        <row r="1421">
          <cell r="F1421">
            <v>311322</v>
          </cell>
          <cell r="G1421" t="str">
            <v>Valerie Andrea Rivas Del Valle</v>
          </cell>
        </row>
        <row r="1422">
          <cell r="F1422">
            <v>313852</v>
          </cell>
          <cell r="G1422" t="str">
            <v>Brandon Steven Quiñonez Garcia</v>
          </cell>
        </row>
        <row r="1423">
          <cell r="F1423">
            <v>310326</v>
          </cell>
          <cell r="G1423" t="str">
            <v>Bryan Daniel Donado Ortiz</v>
          </cell>
        </row>
        <row r="1424">
          <cell r="F1424">
            <v>312039</v>
          </cell>
          <cell r="G1424" t="str">
            <v>Lourdes Yamileth Escobar Recinos</v>
          </cell>
        </row>
        <row r="1425">
          <cell r="F1425">
            <v>315030</v>
          </cell>
          <cell r="G1425" t="str">
            <v>Daniel Antonio Gonzalez Del Cid</v>
          </cell>
        </row>
        <row r="1426">
          <cell r="F1426">
            <v>314898</v>
          </cell>
          <cell r="G1426" t="str">
            <v>Jose Danilo Chacar Saguach</v>
          </cell>
        </row>
        <row r="1427">
          <cell r="F1427">
            <v>315306</v>
          </cell>
          <cell r="G1427" t="str">
            <v>Karen Melissa Munoz Guevara</v>
          </cell>
        </row>
        <row r="1428">
          <cell r="F1428">
            <v>315370</v>
          </cell>
          <cell r="G1428" t="str">
            <v>Mario Eduardo Reyes Argueta</v>
          </cell>
        </row>
        <row r="1429">
          <cell r="F1429">
            <v>315354</v>
          </cell>
          <cell r="G1429" t="str">
            <v>Diego Rodrigo Morales Camacho</v>
          </cell>
        </row>
        <row r="1430">
          <cell r="F1430">
            <v>314676</v>
          </cell>
          <cell r="G1430" t="str">
            <v>Irvin Lizardo Miranda Guzman</v>
          </cell>
        </row>
        <row r="1431">
          <cell r="F1431">
            <v>314069</v>
          </cell>
          <cell r="G1431" t="str">
            <v>Yesenia Nataly Alvarado Sarpec</v>
          </cell>
        </row>
        <row r="1432">
          <cell r="F1432">
            <v>315328</v>
          </cell>
          <cell r="G1432" t="str">
            <v xml:space="preserve">Ludwin Oscar David Chavez </v>
          </cell>
        </row>
        <row r="1433">
          <cell r="F1433">
            <v>314629</v>
          </cell>
          <cell r="G1433" t="str">
            <v>Heidy Azucena Martinez Garcia</v>
          </cell>
        </row>
        <row r="1434">
          <cell r="F1434">
            <v>314358</v>
          </cell>
          <cell r="G1434" t="str">
            <v>Manuel Eduardo Garcia Diaz</v>
          </cell>
        </row>
        <row r="1435">
          <cell r="F1435">
            <v>314090</v>
          </cell>
          <cell r="G1435" t="str">
            <v>Dayana Mishell Mazariegos Gomez</v>
          </cell>
        </row>
        <row r="1436">
          <cell r="F1436">
            <v>311202</v>
          </cell>
          <cell r="G1436" t="str">
            <v>Vilma Lizeth Caal Yantuche</v>
          </cell>
        </row>
        <row r="1437">
          <cell r="F1437">
            <v>314693</v>
          </cell>
          <cell r="G1437" t="str">
            <v>Oscar Javier Veliz Galvez</v>
          </cell>
        </row>
        <row r="1438">
          <cell r="F1438">
            <v>307008</v>
          </cell>
          <cell r="G1438" t="str">
            <v>Evelyn Rebeca Lopez Socoy</v>
          </cell>
        </row>
        <row r="1439">
          <cell r="F1439">
            <v>313003</v>
          </cell>
          <cell r="G1439" t="str">
            <v>Jonathan Renato Chete Urias</v>
          </cell>
        </row>
        <row r="1440">
          <cell r="F1440">
            <v>315224</v>
          </cell>
          <cell r="G1440" t="str">
            <v>Dina Nohemi Solano Juarez</v>
          </cell>
        </row>
        <row r="1441">
          <cell r="F1441">
            <v>315178</v>
          </cell>
          <cell r="G1441" t="str">
            <v>Melany Nohemi Velasquez Solorzano</v>
          </cell>
        </row>
        <row r="1442">
          <cell r="F1442">
            <v>314040</v>
          </cell>
          <cell r="G1442" t="str">
            <v>Cindy Abigail Patzan Perez</v>
          </cell>
        </row>
        <row r="1443">
          <cell r="F1443">
            <v>315172</v>
          </cell>
          <cell r="G1443" t="str">
            <v>Merlyn Esther Pérez Girón</v>
          </cell>
        </row>
        <row r="1444">
          <cell r="F1444">
            <v>314726</v>
          </cell>
          <cell r="G1444" t="str">
            <v>Bryan Roberto Sanchez Echeverria</v>
          </cell>
        </row>
        <row r="1445">
          <cell r="F1445">
            <v>306350</v>
          </cell>
          <cell r="G1445" t="str">
            <v>Andrea Eunice Velasquez Mazariegos</v>
          </cell>
        </row>
        <row r="1446">
          <cell r="F1446">
            <v>314282</v>
          </cell>
          <cell r="G1446" t="str">
            <v>Yolanda Genoveva Lopez Bamaca</v>
          </cell>
        </row>
        <row r="1447">
          <cell r="F1447">
            <v>314675</v>
          </cell>
          <cell r="G1447" t="str">
            <v>Edson Romeo Maldonado Reyes</v>
          </cell>
        </row>
        <row r="1448">
          <cell r="F1448">
            <v>313056</v>
          </cell>
          <cell r="G1448" t="str">
            <v>Suceli Isamar Orozco Fuentes</v>
          </cell>
        </row>
        <row r="1449">
          <cell r="F1449">
            <v>311573</v>
          </cell>
          <cell r="G1449" t="str">
            <v>Karen Gabriela Uz Shalix</v>
          </cell>
        </row>
        <row r="1450">
          <cell r="F1450">
            <v>313661</v>
          </cell>
          <cell r="G1450" t="str">
            <v>Mario Jose Herrera De Leon</v>
          </cell>
        </row>
        <row r="1451">
          <cell r="F1451">
            <v>314134</v>
          </cell>
          <cell r="G1451" t="str">
            <v>Rogelia Emperatriz Ortiz Alcantara</v>
          </cell>
        </row>
        <row r="1452">
          <cell r="F1452">
            <v>315207</v>
          </cell>
          <cell r="G1452" t="str">
            <v>Yeison Lemuel Lopez Vasquez</v>
          </cell>
        </row>
        <row r="1453">
          <cell r="F1453">
            <v>312659</v>
          </cell>
          <cell r="G1453" t="str">
            <v>Danny Johana Perez Reyes</v>
          </cell>
        </row>
        <row r="1454">
          <cell r="F1454">
            <v>315587</v>
          </cell>
          <cell r="G1454" t="str">
            <v>Pedro Jose Castañeda Velasquez</v>
          </cell>
        </row>
        <row r="1455">
          <cell r="F1455">
            <v>315590</v>
          </cell>
          <cell r="G1455" t="str">
            <v>Jamileth Andreina Arreaga Quin</v>
          </cell>
        </row>
        <row r="1456">
          <cell r="F1456">
            <v>315602</v>
          </cell>
          <cell r="G1456" t="str">
            <v>Ventura Rivera, Rhode Esperanza</v>
          </cell>
        </row>
        <row r="1457">
          <cell r="F1457">
            <v>315607</v>
          </cell>
          <cell r="G1457" t="str">
            <v>Ruiz Castillo, Maria Antonia</v>
          </cell>
        </row>
        <row r="1458">
          <cell r="F1458">
            <v>315611</v>
          </cell>
          <cell r="G1458" t="str">
            <v>Cordova Newbery, Allison Alejandra</v>
          </cell>
        </row>
        <row r="1459">
          <cell r="F1459">
            <v>315612</v>
          </cell>
          <cell r="G1459" t="str">
            <v>Castanon Lopez, Brandon Eliberto</v>
          </cell>
        </row>
        <row r="1460">
          <cell r="F1460">
            <v>315616</v>
          </cell>
          <cell r="G1460" t="str">
            <v>Diaz Calderon, Josue Noe</v>
          </cell>
        </row>
        <row r="1461">
          <cell r="F1461">
            <v>315629</v>
          </cell>
          <cell r="G1461" t="str">
            <v>Rucuch Choguaj, Miguel</v>
          </cell>
        </row>
        <row r="1462">
          <cell r="F1462">
            <v>315630</v>
          </cell>
          <cell r="G1462" t="str">
            <v>Zavala Soto, Alisson Yisel</v>
          </cell>
        </row>
        <row r="1463">
          <cell r="F1463">
            <v>309658</v>
          </cell>
          <cell r="G1463" t="str">
            <v xml:space="preserve">Otto Alejandro Barahona López </v>
          </cell>
        </row>
        <row r="1464">
          <cell r="F1464">
            <v>301291</v>
          </cell>
          <cell r="G1464" t="str">
            <v>Alexandra Carolina Valdez Vasquez</v>
          </cell>
        </row>
        <row r="1465">
          <cell r="F1465">
            <v>307550</v>
          </cell>
          <cell r="G1465" t="str">
            <v>Aura Marleny Perez Ventura</v>
          </cell>
        </row>
        <row r="1466">
          <cell r="F1466">
            <v>312210</v>
          </cell>
          <cell r="G1466" t="str">
            <v>Carlos Enrique Saenz Cardona</v>
          </cell>
        </row>
        <row r="1467">
          <cell r="F1467">
            <v>304801</v>
          </cell>
          <cell r="G1467" t="str">
            <v>Celeste Azucena Estrada Salvador De Estrada</v>
          </cell>
        </row>
        <row r="1468">
          <cell r="F1468">
            <v>314684</v>
          </cell>
          <cell r="G1468" t="str">
            <v>Escarlet Liliana Molina Herrera De Bolaños</v>
          </cell>
        </row>
        <row r="1469">
          <cell r="F1469">
            <v>309956</v>
          </cell>
          <cell r="G1469" t="str">
            <v>Heidy Celeste San Jose Diaz</v>
          </cell>
        </row>
        <row r="1470">
          <cell r="F1470">
            <v>314978</v>
          </cell>
          <cell r="G1470" t="str">
            <v>Jhoseline Esmeralda Medina Rivas</v>
          </cell>
        </row>
        <row r="1471">
          <cell r="F1471">
            <v>302674</v>
          </cell>
          <cell r="G1471" t="str">
            <v>Karen Elizabeth Roman Castellanos</v>
          </cell>
        </row>
        <row r="1472">
          <cell r="F1472">
            <v>315147</v>
          </cell>
          <cell r="G1472" t="str">
            <v>Karin Zulema Molina Fonseca</v>
          </cell>
        </row>
        <row r="1473">
          <cell r="F1473">
            <v>312838</v>
          </cell>
          <cell r="G1473" t="str">
            <v>Katherine Lucia Carranza Ortega</v>
          </cell>
        </row>
        <row r="1474">
          <cell r="F1474">
            <v>305064</v>
          </cell>
          <cell r="G1474" t="str">
            <v>Lilian Jose Lopez Quevedo</v>
          </cell>
        </row>
        <row r="1475">
          <cell r="F1475">
            <v>308754</v>
          </cell>
          <cell r="G1475" t="str">
            <v>Luis Alberto Perez Barrios</v>
          </cell>
        </row>
        <row r="1476">
          <cell r="F1476">
            <v>313396</v>
          </cell>
          <cell r="G1476" t="str">
            <v>Luz Mariela Donis Gonzalez</v>
          </cell>
        </row>
        <row r="1477">
          <cell r="F1477">
            <v>306330</v>
          </cell>
          <cell r="G1477" t="str">
            <v>Maria Andree Gonzalez</v>
          </cell>
        </row>
        <row r="1478">
          <cell r="F1478">
            <v>307198</v>
          </cell>
          <cell r="G1478" t="str">
            <v>Maria Gabriela Coloma Morales</v>
          </cell>
        </row>
        <row r="1479">
          <cell r="F1479">
            <v>307786</v>
          </cell>
          <cell r="G1479" t="str">
            <v>Marvin Alfredo Asturias Mendez</v>
          </cell>
        </row>
        <row r="1480">
          <cell r="F1480">
            <v>300268</v>
          </cell>
          <cell r="G1480" t="str">
            <v>Monica Carolina Pappa Dominguez</v>
          </cell>
        </row>
        <row r="1481">
          <cell r="F1481">
            <v>313636</v>
          </cell>
          <cell r="G1481" t="str">
            <v>Pablo Cesar Oliva Lopez</v>
          </cell>
        </row>
        <row r="1482">
          <cell r="F1482">
            <v>307702</v>
          </cell>
          <cell r="G1482" t="str">
            <v>Rosmeri Elizabeth Alvarez Lopez De Corado</v>
          </cell>
        </row>
        <row r="1483">
          <cell r="F1483">
            <v>314648</v>
          </cell>
          <cell r="G1483" t="str">
            <v>Sergio Vinicio Natareno Paredes</v>
          </cell>
        </row>
        <row r="1484">
          <cell r="F1484">
            <v>309567</v>
          </cell>
          <cell r="G1484" t="str">
            <v>Sindy Elizabeth Chavez Guzman</v>
          </cell>
        </row>
        <row r="1485">
          <cell r="F1485">
            <v>313649</v>
          </cell>
          <cell r="G1485" t="str">
            <v>Victor Hugo Turriz Flores</v>
          </cell>
        </row>
        <row r="1486">
          <cell r="F1486">
            <v>302684</v>
          </cell>
          <cell r="G1486" t="str">
            <v>Ana Melisa Giron Gonzalez</v>
          </cell>
        </row>
        <row r="1487">
          <cell r="F1487">
            <v>302866</v>
          </cell>
          <cell r="G1487" t="str">
            <v>Maria Magdalena Solis Carrera</v>
          </cell>
        </row>
        <row r="1488">
          <cell r="F1488">
            <v>313111</v>
          </cell>
          <cell r="G1488" t="str">
            <v>Mynor Arturo Barrios Reyes</v>
          </cell>
        </row>
        <row r="1489">
          <cell r="F1489">
            <v>313203</v>
          </cell>
          <cell r="G1489" t="str">
            <v>Marvin Alejandro Lopez Solis</v>
          </cell>
        </row>
        <row r="1490">
          <cell r="F1490">
            <v>302596</v>
          </cell>
          <cell r="G1490" t="str">
            <v>Victor Alfonso Ortega Torres</v>
          </cell>
        </row>
        <row r="1491">
          <cell r="F1491">
            <v>310241</v>
          </cell>
          <cell r="G1491" t="str">
            <v>Heidi Marleny Fajardo Ortiz De Cojon</v>
          </cell>
        </row>
        <row r="1492">
          <cell r="F1492">
            <v>313342</v>
          </cell>
          <cell r="G1492" t="str">
            <v>Magda Karina Mendoza Hernandez</v>
          </cell>
        </row>
        <row r="1493">
          <cell r="F1493">
            <v>301234</v>
          </cell>
          <cell r="G1493" t="str">
            <v>Ana Bertha Guzman Yaggi</v>
          </cell>
        </row>
        <row r="1494">
          <cell r="F1494">
            <v>307154</v>
          </cell>
          <cell r="G1494" t="str">
            <v>Evelin Gicela Burgos Franco</v>
          </cell>
        </row>
        <row r="1495">
          <cell r="F1495">
            <v>305181</v>
          </cell>
          <cell r="G1495" t="str">
            <v>Jose Luis Chay Machic</v>
          </cell>
        </row>
        <row r="1496">
          <cell r="F1496">
            <v>303552</v>
          </cell>
          <cell r="G1496" t="str">
            <v>Liliam Lisseth Santizo Mejia De Cordova</v>
          </cell>
        </row>
        <row r="1497">
          <cell r="F1497">
            <v>303704</v>
          </cell>
          <cell r="G1497" t="str">
            <v>Lisbeth Noemi Hernandez Giron</v>
          </cell>
        </row>
        <row r="1498">
          <cell r="F1498">
            <v>102171</v>
          </cell>
          <cell r="G1498" t="str">
            <v>Maritza Isabel Hernandez Cruz</v>
          </cell>
        </row>
        <row r="1499">
          <cell r="F1499">
            <v>310126</v>
          </cell>
          <cell r="G1499" t="str">
            <v>Jony Estuardo Gamarro Chinchilla</v>
          </cell>
        </row>
        <row r="1500">
          <cell r="F1500">
            <v>307812</v>
          </cell>
          <cell r="G1500" t="str">
            <v>Kevin Josue Moscoso Espino</v>
          </cell>
        </row>
        <row r="1501">
          <cell r="F1501">
            <v>308137</v>
          </cell>
          <cell r="G1501" t="str">
            <v>Oscar Rene Zacarias Jordan</v>
          </cell>
        </row>
        <row r="1502">
          <cell r="F1502">
            <v>311466</v>
          </cell>
          <cell r="G1502" t="str">
            <v>Edgar Estuardo Guerra Romero</v>
          </cell>
        </row>
        <row r="1503">
          <cell r="F1503">
            <v>301374</v>
          </cell>
          <cell r="G1503" t="str">
            <v>Karla Paola Martinez Salazar</v>
          </cell>
        </row>
        <row r="1504">
          <cell r="F1504">
            <v>313446</v>
          </cell>
          <cell r="G1504" t="str">
            <v>Ursula Deyanira Molina Mendoza</v>
          </cell>
        </row>
        <row r="1505">
          <cell r="F1505">
            <v>313780</v>
          </cell>
          <cell r="G1505" t="str">
            <v>Habraham Cesar Torres Alfaro</v>
          </cell>
        </row>
        <row r="1506">
          <cell r="F1506">
            <v>313576</v>
          </cell>
          <cell r="G1506" t="str">
            <v>Hilda Janina Diaz</v>
          </cell>
        </row>
        <row r="1507">
          <cell r="F1507">
            <v>314171</v>
          </cell>
          <cell r="G1507" t="str">
            <v>Jose Alejandro Carrera Tecun</v>
          </cell>
        </row>
        <row r="1508">
          <cell r="F1508">
            <v>313022</v>
          </cell>
          <cell r="G1508" t="str">
            <v>Karim Yaneth Mendez Hidalgo</v>
          </cell>
        </row>
        <row r="1509">
          <cell r="F1509">
            <v>313141</v>
          </cell>
          <cell r="G1509" t="str">
            <v>Edith Carolina Rojas Moreno</v>
          </cell>
        </row>
        <row r="1510">
          <cell r="F1510">
            <v>312615</v>
          </cell>
          <cell r="G1510" t="str">
            <v>Juan Jose Sarceño Siquiej</v>
          </cell>
        </row>
        <row r="1511">
          <cell r="F1511">
            <v>312858</v>
          </cell>
          <cell r="G1511" t="str">
            <v>Juan Pablo Marroquin Franco</v>
          </cell>
        </row>
        <row r="1512">
          <cell r="F1512">
            <v>314739</v>
          </cell>
          <cell r="G1512" t="str">
            <v>Elmer Josue Chinchilla Mendoza</v>
          </cell>
        </row>
        <row r="1513">
          <cell r="F1513">
            <v>315299</v>
          </cell>
          <cell r="G1513" t="str">
            <v>Luis Rodrigo Polanco Marroquin</v>
          </cell>
        </row>
        <row r="1514">
          <cell r="F1514">
            <v>315357</v>
          </cell>
          <cell r="G1514" t="str">
            <v>Linda Garcia          </v>
          </cell>
        </row>
        <row r="1515">
          <cell r="F1515">
            <v>315315</v>
          </cell>
          <cell r="G1515" t="str">
            <v xml:space="preserve">Shirley Guadalupe Munguia Gil </v>
          </cell>
        </row>
        <row r="1516">
          <cell r="F1516">
            <v>315477</v>
          </cell>
          <cell r="G1516" t="str">
            <v xml:space="preserve">Yesenia Guadalupe Ajcu Castillo </v>
          </cell>
        </row>
        <row r="1517">
          <cell r="F1517">
            <v>314170</v>
          </cell>
          <cell r="G1517" t="str">
            <v>Herman Gabriel Mendez Castellanos</v>
          </cell>
        </row>
        <row r="1518">
          <cell r="F1518">
            <v>312053</v>
          </cell>
          <cell r="G1518" t="str">
            <v xml:space="preserve"> Erick Estuardo Gonzalez Culajay</v>
          </cell>
        </row>
        <row r="1519">
          <cell r="F1519">
            <v>309795</v>
          </cell>
          <cell r="G1519" t="str">
            <v xml:space="preserve"> Evelin Johana Perez Fajardo De Estayul</v>
          </cell>
        </row>
        <row r="1520">
          <cell r="F1520">
            <v>308490</v>
          </cell>
          <cell r="G1520" t="str">
            <v xml:space="preserve"> Gabriela Poitan Ordoñez De Garcia</v>
          </cell>
        </row>
        <row r="1521">
          <cell r="F1521">
            <v>311663</v>
          </cell>
          <cell r="G1521" t="str">
            <v xml:space="preserve"> Jenny Betzabel Solis De Hernandez</v>
          </cell>
        </row>
        <row r="1522">
          <cell r="F1522">
            <v>300878</v>
          </cell>
          <cell r="G1522" t="str">
            <v xml:space="preserve"> Juan Francisco Lara Villavicencio</v>
          </cell>
        </row>
        <row r="1523">
          <cell r="F1523">
            <v>311195</v>
          </cell>
          <cell r="G1523" t="str">
            <v xml:space="preserve"> Julia Mariela Lourdette Gonzalez Rosales</v>
          </cell>
        </row>
        <row r="1524">
          <cell r="F1524">
            <v>311073</v>
          </cell>
          <cell r="G1524" t="str">
            <v xml:space="preserve"> Julio Roberto Castellanos Ordoñez</v>
          </cell>
        </row>
        <row r="1525">
          <cell r="F1525">
            <v>309602</v>
          </cell>
          <cell r="G1525" t="str">
            <v xml:space="preserve"> Linda Aracely Garcia Beteta De Cuxulic</v>
          </cell>
        </row>
        <row r="1526">
          <cell r="F1526">
            <v>311706</v>
          </cell>
          <cell r="G1526" t="str">
            <v xml:space="preserve"> Mailyn Anely Chavez Gonzalez</v>
          </cell>
        </row>
        <row r="1527">
          <cell r="F1527">
            <v>311347</v>
          </cell>
          <cell r="G1527" t="str">
            <v xml:space="preserve"> Mario Adolfo Telon Pedroza</v>
          </cell>
        </row>
        <row r="1528">
          <cell r="F1528">
            <v>311236</v>
          </cell>
          <cell r="G1528" t="str">
            <v xml:space="preserve"> Marlon Aroldo De Leon Juarez</v>
          </cell>
        </row>
        <row r="1529">
          <cell r="F1529">
            <v>304620</v>
          </cell>
          <cell r="G1529" t="str">
            <v xml:space="preserve"> Mayra Judith Marroquin Guevara De Melendez</v>
          </cell>
        </row>
        <row r="1530">
          <cell r="F1530">
            <v>311196</v>
          </cell>
          <cell r="G1530" t="str">
            <v xml:space="preserve"> Nancy Mariela Estrada Calel De Samayoa</v>
          </cell>
        </row>
        <row r="1531">
          <cell r="F1531">
            <v>309398</v>
          </cell>
          <cell r="G1531" t="str">
            <v xml:space="preserve"> Sindy Yesenia Fuentes Alvarez De Flores</v>
          </cell>
        </row>
        <row r="1532">
          <cell r="F1532">
            <v>311588</v>
          </cell>
          <cell r="G1532" t="str">
            <v xml:space="preserve"> Wendy Carolina Flores Garcia</v>
          </cell>
        </row>
        <row r="1533">
          <cell r="F1533">
            <v>313885</v>
          </cell>
          <cell r="G1533" t="str">
            <v>Adrian Emanuel Turcios Azurdia</v>
          </cell>
        </row>
        <row r="1534">
          <cell r="F1534">
            <v>314224</v>
          </cell>
          <cell r="G1534" t="str">
            <v>Ana Ruth Wong Mejia</v>
          </cell>
        </row>
        <row r="1535">
          <cell r="F1535">
            <v>314304</v>
          </cell>
          <cell r="G1535" t="str">
            <v>Brenda Yaneth Perez Lucas</v>
          </cell>
        </row>
        <row r="1536">
          <cell r="F1536">
            <v>313839</v>
          </cell>
          <cell r="G1536" t="str">
            <v>Carlos Enrique Dighero Lopez</v>
          </cell>
        </row>
        <row r="1537">
          <cell r="F1537">
            <v>311901</v>
          </cell>
          <cell r="G1537" t="str">
            <v>Edith Veranice Palacios</v>
          </cell>
        </row>
        <row r="1538">
          <cell r="F1538">
            <v>314439</v>
          </cell>
          <cell r="G1538" t="str">
            <v>Hersson Eduardo Leal Garcia</v>
          </cell>
        </row>
        <row r="1539">
          <cell r="F1539">
            <v>313884</v>
          </cell>
          <cell r="G1539" t="str">
            <v>Jasminia Sarai Cotzajay Peñate</v>
          </cell>
        </row>
        <row r="1540">
          <cell r="F1540">
            <v>309852</v>
          </cell>
          <cell r="G1540" t="str">
            <v>Jonathan Rene Villavicencio Soto</v>
          </cell>
        </row>
        <row r="1541">
          <cell r="F1541">
            <v>312709</v>
          </cell>
          <cell r="G1541" t="str">
            <v>Jorge Alfonso Hernandez Chinchilla</v>
          </cell>
        </row>
        <row r="1542">
          <cell r="F1542">
            <v>314436</v>
          </cell>
          <cell r="G1542" t="str">
            <v xml:space="preserve">Jorge Francisco Saban Lopez </v>
          </cell>
        </row>
        <row r="1543">
          <cell r="F1543">
            <v>313114</v>
          </cell>
          <cell r="G1543" t="str">
            <v xml:space="preserve">Jose Albino Albeño Galicia </v>
          </cell>
        </row>
        <row r="1544">
          <cell r="F1544">
            <v>308558</v>
          </cell>
          <cell r="G1544" t="str">
            <v>Jose Emilio Yuman Roche</v>
          </cell>
        </row>
        <row r="1545">
          <cell r="F1545">
            <v>313233</v>
          </cell>
          <cell r="G1545" t="str">
            <v>Jose Miguel Silva Contreras</v>
          </cell>
        </row>
        <row r="1546">
          <cell r="F1546">
            <v>313739</v>
          </cell>
          <cell r="G1546" t="str">
            <v>Lester Onelio Lopez Rosales</v>
          </cell>
        </row>
        <row r="1547">
          <cell r="F1547">
            <v>315361</v>
          </cell>
          <cell r="G1547" t="str">
            <v>Luis Fernando Roche Valenzuela</v>
          </cell>
        </row>
        <row r="1548">
          <cell r="F1548">
            <v>314103</v>
          </cell>
          <cell r="G1548" t="str">
            <v>Luisa Fernanda Marroquin Tiguila</v>
          </cell>
        </row>
        <row r="1549">
          <cell r="F1549">
            <v>313680</v>
          </cell>
          <cell r="G1549" t="str">
            <v>Marco Antonio Salazar Alinzo</v>
          </cell>
        </row>
        <row r="1550">
          <cell r="F1550">
            <v>314359</v>
          </cell>
          <cell r="G1550" t="str">
            <v>Maynor Alexander Perez Surque</v>
          </cell>
        </row>
        <row r="1551">
          <cell r="F1551">
            <v>309332</v>
          </cell>
          <cell r="G1551" t="str">
            <v>Melani Mishell Vasquez Castillo</v>
          </cell>
        </row>
        <row r="1552">
          <cell r="F1552">
            <v>314547</v>
          </cell>
          <cell r="G1552" t="str">
            <v>Nancy Elizabeth Lopez Perez</v>
          </cell>
        </row>
        <row r="1553">
          <cell r="F1553">
            <v>314370</v>
          </cell>
          <cell r="G1553" t="str">
            <v>Olga Roxana Gomez</v>
          </cell>
        </row>
        <row r="1554">
          <cell r="F1554">
            <v>315419</v>
          </cell>
          <cell r="G1554" t="str">
            <v>Rubeldi Ajaniel Roblero Gonzales</v>
          </cell>
        </row>
        <row r="1555">
          <cell r="F1555">
            <v>314769</v>
          </cell>
          <cell r="G1555" t="str">
            <v>Abel Eduardo Lopez Lopez</v>
          </cell>
        </row>
        <row r="1556">
          <cell r="F1556">
            <v>314839</v>
          </cell>
          <cell r="G1556" t="str">
            <v>Ana Gabriela Samayoa Lopez</v>
          </cell>
        </row>
        <row r="1557">
          <cell r="F1557">
            <v>315422</v>
          </cell>
          <cell r="G1557" t="str">
            <v xml:space="preserve">Carlos Alberto Roque </v>
          </cell>
        </row>
        <row r="1558">
          <cell r="F1558">
            <v>314836</v>
          </cell>
          <cell r="G1558" t="str">
            <v xml:space="preserve">Carlos David Ajmac </v>
          </cell>
        </row>
        <row r="1559">
          <cell r="F1559">
            <v>314759</v>
          </cell>
          <cell r="G1559" t="str">
            <v>Carlos Roberto Hernandez Gonzalez</v>
          </cell>
        </row>
        <row r="1560">
          <cell r="F1560">
            <v>314757</v>
          </cell>
          <cell r="G1560" t="str">
            <v>Cristal Estephania Juarroz Muñoz</v>
          </cell>
        </row>
        <row r="1561">
          <cell r="F1561">
            <v>314817</v>
          </cell>
          <cell r="G1561" t="str">
            <v>Cristian Orlando Monzon De Leon</v>
          </cell>
        </row>
        <row r="1562">
          <cell r="F1562">
            <v>314815</v>
          </cell>
          <cell r="G1562" t="str">
            <v>Gabriela Elizabeth Alvarez Mix</v>
          </cell>
        </row>
        <row r="1563">
          <cell r="F1563">
            <v>315421</v>
          </cell>
          <cell r="G1563" t="str">
            <v xml:space="preserve">Gladis Morales Cutzal </v>
          </cell>
        </row>
        <row r="1564">
          <cell r="F1564">
            <v>314794</v>
          </cell>
          <cell r="G1564" t="str">
            <v>Herbert Wellington Rodriguez Ramirez</v>
          </cell>
        </row>
        <row r="1565">
          <cell r="F1565">
            <v>314760</v>
          </cell>
          <cell r="G1565" t="str">
            <v>Jadurani Devi Dasi Archila Lool</v>
          </cell>
        </row>
        <row r="1566">
          <cell r="F1566">
            <v>314838</v>
          </cell>
          <cell r="G1566" t="str">
            <v>Jenifer Lucerito Sique Mayorga</v>
          </cell>
        </row>
        <row r="1567">
          <cell r="F1567">
            <v>314790</v>
          </cell>
          <cell r="G1567" t="str">
            <v>Johana Vidalia Chach Ixcoy</v>
          </cell>
        </row>
        <row r="1568">
          <cell r="F1568">
            <v>314846</v>
          </cell>
          <cell r="G1568" t="str">
            <v>Jonnathan Josue Rodas Florian</v>
          </cell>
        </row>
        <row r="1569">
          <cell r="F1569">
            <v>314761</v>
          </cell>
          <cell r="G1569" t="str">
            <v>Jorge Eduardo Fonseca Palacios</v>
          </cell>
        </row>
        <row r="1570">
          <cell r="F1570">
            <v>314842</v>
          </cell>
          <cell r="G1570" t="str">
            <v>Jose Geovanni Castañeda Galindo</v>
          </cell>
        </row>
        <row r="1571">
          <cell r="F1571">
            <v>314756</v>
          </cell>
          <cell r="G1571" t="str">
            <v>Juan Manuel Gomez Sampuel</v>
          </cell>
        </row>
        <row r="1572">
          <cell r="F1572">
            <v>315366</v>
          </cell>
          <cell r="G1572" t="str">
            <v xml:space="preserve">Mario Enrique Morales Escobar </v>
          </cell>
        </row>
        <row r="1573">
          <cell r="F1573">
            <v>315392</v>
          </cell>
          <cell r="G1573" t="str">
            <v xml:space="preserve">Mijail Erick Joaquín Morales Ortiz </v>
          </cell>
        </row>
        <row r="1574">
          <cell r="F1574">
            <v>314843</v>
          </cell>
          <cell r="G1574" t="str">
            <v>Nancy Pahola Arevalo Yuman</v>
          </cell>
        </row>
        <row r="1575">
          <cell r="F1575">
            <v>314791</v>
          </cell>
          <cell r="G1575" t="str">
            <v>Norman Scott Castillo Rivera</v>
          </cell>
        </row>
        <row r="1576">
          <cell r="F1576">
            <v>314799</v>
          </cell>
          <cell r="G1576" t="str">
            <v>Rusbelindo  Miguel Lopez</v>
          </cell>
        </row>
        <row r="1577">
          <cell r="F1577">
            <v>314751</v>
          </cell>
          <cell r="G1577" t="str">
            <v>Ana Lucia Veliz Solares</v>
          </cell>
        </row>
        <row r="1578">
          <cell r="F1578">
            <v>315169</v>
          </cell>
          <cell r="G1578" t="str">
            <v>Andy Oswaldo Pineda Arriola</v>
          </cell>
        </row>
        <row r="1579">
          <cell r="F1579">
            <v>314903</v>
          </cell>
          <cell r="G1579" t="str">
            <v>Cindy Julissa Herrera</v>
          </cell>
        </row>
        <row r="1580">
          <cell r="F1580">
            <v>314800</v>
          </cell>
          <cell r="G1580" t="str">
            <v>Elmer Eduardo Castillo</v>
          </cell>
        </row>
        <row r="1581">
          <cell r="F1581">
            <v>314748</v>
          </cell>
          <cell r="G1581" t="str">
            <v>Freddy Reynaldo Velarde Valenzuela</v>
          </cell>
        </row>
        <row r="1582">
          <cell r="F1582">
            <v>314795</v>
          </cell>
          <cell r="G1582" t="str">
            <v>Gustavo Ernesto Altan Gonzalez</v>
          </cell>
        </row>
        <row r="1583">
          <cell r="F1583">
            <v>315148</v>
          </cell>
          <cell r="G1583" t="str">
            <v>Irene Beatriz Pena Orellana</v>
          </cell>
        </row>
        <row r="1584">
          <cell r="F1584">
            <v>314906</v>
          </cell>
          <cell r="G1584" t="str">
            <v>Juan Pedro Tiney Cax</v>
          </cell>
        </row>
        <row r="1585">
          <cell r="F1585">
            <v>315322</v>
          </cell>
          <cell r="G1585" t="str">
            <v>Lester Juan Jose Arevalo Reynoso</v>
          </cell>
        </row>
        <row r="1586">
          <cell r="F1586">
            <v>315368</v>
          </cell>
          <cell r="G1586" t="str">
            <v>Marlon Enrique Del Cid Roque</v>
          </cell>
        </row>
        <row r="1587">
          <cell r="F1587">
            <v>315093</v>
          </cell>
          <cell r="G1587" t="str">
            <v>Miriam Eugenia Santizo Montenegro</v>
          </cell>
        </row>
        <row r="1588">
          <cell r="F1588">
            <v>314902</v>
          </cell>
          <cell r="G1588" t="str">
            <v>Roberto Alejandro Alvarez Abularach</v>
          </cell>
        </row>
        <row r="1589">
          <cell r="F1589">
            <v>314755</v>
          </cell>
          <cell r="G1589" t="str">
            <v>Sergio David Gonzalez Perez</v>
          </cell>
        </row>
        <row r="1590">
          <cell r="F1590">
            <v>314967</v>
          </cell>
          <cell r="G1590" t="str">
            <v>Sergio Javier Cortez Tunchez</v>
          </cell>
        </row>
        <row r="1591">
          <cell r="F1591">
            <v>314968</v>
          </cell>
          <cell r="G1591" t="str">
            <v>Sharon Dayana Ninoshka López Márquez</v>
          </cell>
        </row>
        <row r="1592">
          <cell r="F1592">
            <v>311961</v>
          </cell>
          <cell r="G1592" t="str">
            <v xml:space="preserve"> Abner Eli Gonzalez Gonzalez</v>
          </cell>
        </row>
        <row r="1593">
          <cell r="F1593">
            <v>311188</v>
          </cell>
          <cell r="G1593" t="str">
            <v xml:space="preserve"> Ana Ester Cuyan Aguilar De Dominguez</v>
          </cell>
        </row>
        <row r="1594">
          <cell r="F1594">
            <v>311894</v>
          </cell>
          <cell r="G1594" t="str">
            <v xml:space="preserve"> Christyan Stuardo Ronquillo Saravia</v>
          </cell>
        </row>
        <row r="1595">
          <cell r="F1595">
            <v>308901</v>
          </cell>
          <cell r="G1595" t="str">
            <v xml:space="preserve"> David Estuardo Rosales Corado</v>
          </cell>
        </row>
        <row r="1596">
          <cell r="F1596">
            <v>312069</v>
          </cell>
          <cell r="G1596" t="str">
            <v xml:space="preserve"> De Leon Cach Roberto Carlos</v>
          </cell>
        </row>
        <row r="1597">
          <cell r="F1597">
            <v>310331</v>
          </cell>
          <cell r="G1597" t="str">
            <v xml:space="preserve"> Elda Luzbina Valdez Guerra De Fuentes</v>
          </cell>
        </row>
        <row r="1598">
          <cell r="F1598">
            <v>310822</v>
          </cell>
          <cell r="G1598" t="str">
            <v xml:space="preserve"> Jennifer Leticia Gonzalez Pineda</v>
          </cell>
        </row>
        <row r="1599">
          <cell r="F1599">
            <v>308012</v>
          </cell>
          <cell r="G1599" t="str">
            <v xml:space="preserve"> Jocelyn Sucel Yantuche Chin</v>
          </cell>
        </row>
        <row r="1600">
          <cell r="F1600">
            <v>312160</v>
          </cell>
          <cell r="G1600" t="str">
            <v xml:space="preserve"> Jose Rigoberto Osorio Abarca</v>
          </cell>
        </row>
        <row r="1601">
          <cell r="F1601">
            <v>311465</v>
          </cell>
          <cell r="G1601" t="str">
            <v xml:space="preserve"> Kevin Alejandro Corado Estrada</v>
          </cell>
        </row>
        <row r="1602">
          <cell r="F1602">
            <v>311294</v>
          </cell>
          <cell r="G1602" t="str">
            <v xml:space="preserve"> Lotar Robson Araujo Perez</v>
          </cell>
        </row>
        <row r="1603">
          <cell r="F1603">
            <v>310910</v>
          </cell>
          <cell r="G1603" t="str">
            <v xml:space="preserve"> Luis Fernando Lopez Vasquez</v>
          </cell>
        </row>
        <row r="1604">
          <cell r="F1604">
            <v>304279</v>
          </cell>
          <cell r="G1604" t="str">
            <v xml:space="preserve"> Marlon Estuardo Hernandez</v>
          </cell>
        </row>
        <row r="1605">
          <cell r="F1605">
            <v>308911</v>
          </cell>
          <cell r="G1605" t="str">
            <v xml:space="preserve"> Rudy Fernando Orozco Tejeda</v>
          </cell>
        </row>
        <row r="1606">
          <cell r="F1606">
            <v>310214</v>
          </cell>
          <cell r="G1606" t="str">
            <v xml:space="preserve"> Vivian Pamela Rodas Lopez</v>
          </cell>
        </row>
        <row r="1607">
          <cell r="F1607">
            <v>314928</v>
          </cell>
          <cell r="G1607" t="str">
            <v xml:space="preserve">Brandon Steve Juarez Arrazola </v>
          </cell>
        </row>
        <row r="1608">
          <cell r="F1608">
            <v>313239</v>
          </cell>
          <cell r="G1608" t="str">
            <v>Addy Aida Cifuentes Coronado</v>
          </cell>
        </row>
        <row r="1609">
          <cell r="F1609">
            <v>313694</v>
          </cell>
          <cell r="G1609" t="str">
            <v>Alex Humberto Montezuma</v>
          </cell>
        </row>
        <row r="1610">
          <cell r="F1610">
            <v>313241</v>
          </cell>
          <cell r="G1610" t="str">
            <v>Angel Arturo Mauricio Ayapan</v>
          </cell>
        </row>
        <row r="1611">
          <cell r="F1611">
            <v>314323</v>
          </cell>
          <cell r="G1611" t="str">
            <v>Angel Arturo Mauricio Ayapan</v>
          </cell>
        </row>
        <row r="1612">
          <cell r="F1612">
            <v>312327</v>
          </cell>
          <cell r="G1612" t="str">
            <v>Armando Andree Quiñonez Flores</v>
          </cell>
        </row>
        <row r="1613">
          <cell r="F1613">
            <v>313749</v>
          </cell>
          <cell r="G1613" t="str">
            <v>Cesar Haroldo Ixcayau Castro</v>
          </cell>
        </row>
        <row r="1614">
          <cell r="F1614">
            <v>313840</v>
          </cell>
          <cell r="G1614" t="str">
            <v>Claudia Maria Orozco Garcia</v>
          </cell>
        </row>
        <row r="1615">
          <cell r="F1615">
            <v>314119</v>
          </cell>
          <cell r="G1615" t="str">
            <v>Cristian David Urizar Canteo</v>
          </cell>
        </row>
        <row r="1616">
          <cell r="F1616">
            <v>313242</v>
          </cell>
          <cell r="G1616" t="str">
            <v>Guillermo Alejandro Pirir</v>
          </cell>
        </row>
        <row r="1617">
          <cell r="F1617">
            <v>313539</v>
          </cell>
          <cell r="G1617" t="str">
            <v>Joaquin Alonso Murillo Perez</v>
          </cell>
        </row>
        <row r="1618">
          <cell r="F1618">
            <v>314082</v>
          </cell>
          <cell r="G1618" t="str">
            <v>Johanna Amarilis Hernandez Perez</v>
          </cell>
        </row>
        <row r="1619">
          <cell r="F1619">
            <v>313983</v>
          </cell>
          <cell r="G1619" t="str">
            <v>Jose Anibal Reyes Sandoval</v>
          </cell>
        </row>
        <row r="1620">
          <cell r="F1620">
            <v>308875</v>
          </cell>
          <cell r="G1620" t="str">
            <v>Joselyn Manuela Sandoval De Leon</v>
          </cell>
        </row>
        <row r="1621">
          <cell r="F1621">
            <v>313240</v>
          </cell>
          <cell r="G1621" t="str">
            <v>Karen Jamara Luna Menendez</v>
          </cell>
        </row>
        <row r="1622">
          <cell r="F1622">
            <v>314083</v>
          </cell>
          <cell r="G1622" t="str">
            <v>Luis Alfredo Ruben Castillo Mejia</v>
          </cell>
        </row>
        <row r="1623">
          <cell r="F1623">
            <v>312489</v>
          </cell>
          <cell r="G1623" t="str">
            <v>Marliz Irene Bonifaz Lopez</v>
          </cell>
        </row>
        <row r="1624">
          <cell r="F1624">
            <v>313823</v>
          </cell>
          <cell r="G1624" t="str">
            <v>Mildred Mazciel Almazan Lemus Codigo</v>
          </cell>
        </row>
        <row r="1625">
          <cell r="F1625">
            <v>313289</v>
          </cell>
          <cell r="G1625" t="str">
            <v>Orellana Alvarez, Nestor Giovanni</v>
          </cell>
        </row>
        <row r="1626">
          <cell r="F1626">
            <v>312476</v>
          </cell>
          <cell r="G1626" t="str">
            <v>Oscar Oswaldo Ramirez Tahuite</v>
          </cell>
        </row>
        <row r="1627">
          <cell r="F1627">
            <v>313392</v>
          </cell>
          <cell r="G1627" t="str">
            <v>Sandra Marisol Ramirez Solis</v>
          </cell>
        </row>
        <row r="1628">
          <cell r="F1628">
            <v>315101</v>
          </cell>
          <cell r="G1628" t="str">
            <v>Alvaro Oswaldo De La Rosa Hernandez</v>
          </cell>
        </row>
        <row r="1629">
          <cell r="F1629">
            <v>314905</v>
          </cell>
          <cell r="G1629" t="str">
            <v>Antonio Carlos Alvarenga Diaz</v>
          </cell>
        </row>
        <row r="1630">
          <cell r="F1630">
            <v>314885</v>
          </cell>
          <cell r="G1630" t="str">
            <v>Edi Ibander Osoy Lopez</v>
          </cell>
        </row>
        <row r="1631">
          <cell r="F1631">
            <v>314750</v>
          </cell>
          <cell r="G1631" t="str">
            <v>Eswin Leonel Fernandez Diaz</v>
          </cell>
        </row>
        <row r="1632">
          <cell r="F1632">
            <v>314753</v>
          </cell>
          <cell r="G1632" t="str">
            <v>Gabriel Antonio Mucur Arriaga</v>
          </cell>
        </row>
        <row r="1633">
          <cell r="F1633">
            <v>315318</v>
          </cell>
          <cell r="G1633" t="str">
            <v>Gabriela Melissa Arias Ovando</v>
          </cell>
        </row>
        <row r="1634">
          <cell r="F1634">
            <v>315164</v>
          </cell>
          <cell r="G1634" t="str">
            <v>Hernan Antonio Castro Guzman</v>
          </cell>
        </row>
        <row r="1635">
          <cell r="F1635">
            <v>315149</v>
          </cell>
          <cell r="G1635" t="str">
            <v>Jennifer Karla Maria De Leon Yoc</v>
          </cell>
        </row>
        <row r="1636">
          <cell r="F1636">
            <v>315065</v>
          </cell>
          <cell r="G1636" t="str">
            <v>Jennifer Veronica Flores Pineda</v>
          </cell>
        </row>
        <row r="1637">
          <cell r="F1637">
            <v>314797</v>
          </cell>
          <cell r="G1637" t="str">
            <v>Jimmy Alfredo Coronado Cabrera</v>
          </cell>
        </row>
        <row r="1638">
          <cell r="F1638">
            <v>314746</v>
          </cell>
          <cell r="G1638" t="str">
            <v>Jose Luis Quisquinay Inay</v>
          </cell>
        </row>
        <row r="1639">
          <cell r="F1639">
            <v>315231</v>
          </cell>
          <cell r="G1639" t="str">
            <v>Juan Fernando Alvarez Argueta</v>
          </cell>
        </row>
        <row r="1640">
          <cell r="F1640">
            <v>314752</v>
          </cell>
          <cell r="G1640" t="str">
            <v>Luis Arturo Fuentes Jerez</v>
          </cell>
        </row>
        <row r="1641">
          <cell r="F1641">
            <v>314990</v>
          </cell>
          <cell r="G1641" t="str">
            <v>Maria Fernanda Ambrocio Reyes</v>
          </cell>
        </row>
        <row r="1642">
          <cell r="F1642">
            <v>314966</v>
          </cell>
          <cell r="G1642" t="str">
            <v>Marlin Argelia Herrera Claveria</v>
          </cell>
        </row>
        <row r="1643">
          <cell r="F1643">
            <v>314904</v>
          </cell>
          <cell r="G1643" t="str">
            <v>Miguel Estuardo Marín</v>
          </cell>
        </row>
        <row r="1644">
          <cell r="F1644">
            <v>314796</v>
          </cell>
          <cell r="G1644" t="str">
            <v>Ricardo Antonio Ruiz Orozco</v>
          </cell>
        </row>
        <row r="1645">
          <cell r="F1645">
            <v>315365</v>
          </cell>
          <cell r="G1645" t="str">
            <v>Ruth Liliana Reyes Rivas</v>
          </cell>
        </row>
        <row r="1646">
          <cell r="F1646">
            <v>314758</v>
          </cell>
          <cell r="G1646" t="str">
            <v>Sergio Alejandro Estrada Velasco</v>
          </cell>
        </row>
        <row r="1647">
          <cell r="F1647">
            <v>312045</v>
          </cell>
          <cell r="G1647" t="str">
            <v xml:space="preserve"> Edgar Marco Tulio Sanchez Ochoa</v>
          </cell>
        </row>
        <row r="1648">
          <cell r="F1648">
            <v>309496</v>
          </cell>
          <cell r="G1648" t="str">
            <v xml:space="preserve"> Elcira Livduvina Perez Lopez De Merlos</v>
          </cell>
        </row>
        <row r="1649">
          <cell r="F1649">
            <v>311750</v>
          </cell>
          <cell r="G1649" t="str">
            <v xml:space="preserve"> Juan Toma Torrez</v>
          </cell>
        </row>
        <row r="1650">
          <cell r="F1650">
            <v>311539</v>
          </cell>
          <cell r="G1650" t="str">
            <v xml:space="preserve"> Luis Eduardo Garcia Gomez</v>
          </cell>
        </row>
        <row r="1651">
          <cell r="F1651">
            <v>311898</v>
          </cell>
          <cell r="G1651" t="str">
            <v xml:space="preserve"> Nori Liseth Bautista</v>
          </cell>
        </row>
        <row r="1652">
          <cell r="F1652">
            <v>312283</v>
          </cell>
          <cell r="G1652" t="str">
            <v xml:space="preserve"> Oscar Javier Galvez</v>
          </cell>
        </row>
        <row r="1653">
          <cell r="F1653">
            <v>311190</v>
          </cell>
          <cell r="G1653" t="str">
            <v xml:space="preserve"> Pedro Chas Morales</v>
          </cell>
        </row>
        <row r="1654">
          <cell r="F1654">
            <v>311632</v>
          </cell>
          <cell r="G1654" t="str">
            <v>Virginia Del Rosario Matilde Garcia Ico</v>
          </cell>
        </row>
        <row r="1655">
          <cell r="F1655">
            <v>311906</v>
          </cell>
          <cell r="G1655" t="str">
            <v xml:space="preserve"> Yenifer Alejandra Ordoñez</v>
          </cell>
        </row>
        <row r="1656">
          <cell r="F1656">
            <v>314705</v>
          </cell>
          <cell r="G1656" t="str">
            <v>Alex Eduardo Gil Paniagua</v>
          </cell>
        </row>
        <row r="1657">
          <cell r="F1657">
            <v>313182</v>
          </cell>
          <cell r="G1657" t="str">
            <v>Allan Kenneth Chiguichon Solis</v>
          </cell>
        </row>
        <row r="1658">
          <cell r="F1658">
            <v>314363</v>
          </cell>
          <cell r="G1658" t="str">
            <v xml:space="preserve">Anderson Noe Chunix Morales </v>
          </cell>
        </row>
        <row r="1659">
          <cell r="F1659">
            <v>314241</v>
          </cell>
          <cell r="G1659" t="str">
            <v>Andres Simon Sunun</v>
          </cell>
        </row>
        <row r="1660">
          <cell r="F1660">
            <v>309341</v>
          </cell>
          <cell r="G1660" t="str">
            <v>Angel Estuardo Perez Veliz</v>
          </cell>
        </row>
        <row r="1661">
          <cell r="F1661">
            <v>312093</v>
          </cell>
          <cell r="G1661" t="str">
            <v xml:space="preserve">Bobadilla Romero Alan Gonzalo </v>
          </cell>
        </row>
        <row r="1662">
          <cell r="F1662">
            <v>314080</v>
          </cell>
          <cell r="G1662" t="str">
            <v>Bryan Leonardo Lopez</v>
          </cell>
        </row>
        <row r="1663">
          <cell r="F1663">
            <v>314704</v>
          </cell>
          <cell r="G1663" t="str">
            <v xml:space="preserve">Cindy Damaris Villagran Castellano </v>
          </cell>
        </row>
        <row r="1664">
          <cell r="F1664">
            <v>314085</v>
          </cell>
          <cell r="G1664" t="str">
            <v>Cristian Ottoniel Lopez Alvarado</v>
          </cell>
        </row>
        <row r="1665">
          <cell r="F1665">
            <v>314364</v>
          </cell>
          <cell r="G1665" t="str">
            <v xml:space="preserve">Donel Omar Landaverry Solis </v>
          </cell>
        </row>
        <row r="1666">
          <cell r="F1666">
            <v>313373</v>
          </cell>
          <cell r="G1666" t="str">
            <v>Edgar Francisco Yanes Carrera</v>
          </cell>
        </row>
        <row r="1667">
          <cell r="F1667">
            <v>315056</v>
          </cell>
          <cell r="G1667" t="str">
            <v>Esvin David De Jesus Calanche</v>
          </cell>
        </row>
        <row r="1668">
          <cell r="F1668">
            <v>314118</v>
          </cell>
          <cell r="G1668" t="str">
            <v>Ginni Andrea Gramajo Lucas</v>
          </cell>
        </row>
        <row r="1669">
          <cell r="F1669">
            <v>313049</v>
          </cell>
          <cell r="G1669" t="str">
            <v>Herberth Ivan Garcia Davila</v>
          </cell>
        </row>
        <row r="1670">
          <cell r="F1670">
            <v>312162</v>
          </cell>
          <cell r="G1670" t="str">
            <v xml:space="preserve">Hernandez Andrea Yoselin Cristina </v>
          </cell>
        </row>
        <row r="1671">
          <cell r="F1671">
            <v>313692</v>
          </cell>
          <cell r="G1671" t="str">
            <v xml:space="preserve">Ingrid Leticia Paredes Pulido    </v>
          </cell>
        </row>
        <row r="1672">
          <cell r="F1672">
            <v>314500</v>
          </cell>
          <cell r="G1672" t="str">
            <v xml:space="preserve">Jairo Noel Linarez Gomez </v>
          </cell>
        </row>
        <row r="1673">
          <cell r="F1673">
            <v>312369</v>
          </cell>
          <cell r="G1673" t="str">
            <v>Jorge Luis Hernandez Juarez</v>
          </cell>
        </row>
        <row r="1674">
          <cell r="F1674">
            <v>314039</v>
          </cell>
          <cell r="G1674" t="str">
            <v>Juan Humberto Barrios Escobar</v>
          </cell>
        </row>
        <row r="1675">
          <cell r="F1675">
            <v>313540</v>
          </cell>
          <cell r="G1675" t="str">
            <v xml:space="preserve">Juan Manuel Macario Reyna </v>
          </cell>
        </row>
        <row r="1676">
          <cell r="F1676">
            <v>314355</v>
          </cell>
          <cell r="G1676" t="str">
            <v>Kevin Samuel Guamuch Guardado</v>
          </cell>
        </row>
        <row r="1677">
          <cell r="F1677">
            <v>314299</v>
          </cell>
          <cell r="G1677" t="str">
            <v>Lopez Morales, Andrea Lucia</v>
          </cell>
        </row>
        <row r="1678">
          <cell r="F1678">
            <v>314747</v>
          </cell>
          <cell r="G1678" t="str">
            <v>Mayra Azucena Perez Guzman</v>
          </cell>
        </row>
        <row r="1679">
          <cell r="F1679">
            <v>313572</v>
          </cell>
          <cell r="G1679" t="str">
            <v xml:space="preserve">Milton Hardany Dominguez Martinez </v>
          </cell>
        </row>
        <row r="1680">
          <cell r="F1680">
            <v>313541</v>
          </cell>
          <cell r="G1680" t="str">
            <v xml:space="preserve">Mirna Lorena Argueta Ayala </v>
          </cell>
        </row>
        <row r="1681">
          <cell r="F1681">
            <v>315319</v>
          </cell>
          <cell r="G1681" t="str">
            <v xml:space="preserve">Noe Rubell Garcia Cerna </v>
          </cell>
        </row>
        <row r="1682">
          <cell r="F1682">
            <v>314502</v>
          </cell>
          <cell r="G1682" t="str">
            <v>Reyna Elizabeth Panadero</v>
          </cell>
        </row>
        <row r="1683">
          <cell r="F1683">
            <v>313284</v>
          </cell>
          <cell r="G1683" t="str">
            <v>Sebastian Quino Morales</v>
          </cell>
        </row>
        <row r="1684">
          <cell r="F1684">
            <v>311460</v>
          </cell>
          <cell r="G1684" t="str">
            <v xml:space="preserve"> Ana Vilma Bamaca Cardona</v>
          </cell>
        </row>
        <row r="1685">
          <cell r="F1685">
            <v>306579</v>
          </cell>
          <cell r="G1685" t="str">
            <v xml:space="preserve"> Angel Emilio De Jesus Morales Ramirez</v>
          </cell>
        </row>
        <row r="1686">
          <cell r="F1686">
            <v>311234</v>
          </cell>
          <cell r="G1686" t="str">
            <v xml:space="preserve"> Astrid Marlene Diaz</v>
          </cell>
        </row>
        <row r="1687">
          <cell r="F1687">
            <v>308361</v>
          </cell>
          <cell r="G1687" t="str">
            <v xml:space="preserve"> Brenda Maribel Orozco Mendoza</v>
          </cell>
        </row>
        <row r="1688">
          <cell r="F1688">
            <v>311060</v>
          </cell>
          <cell r="G1688" t="str">
            <v xml:space="preserve"> Dora Lissette Higueros Trejo</v>
          </cell>
        </row>
        <row r="1689">
          <cell r="F1689">
            <v>305555</v>
          </cell>
          <cell r="G1689" t="str">
            <v xml:space="preserve"> Heber Antonio Olivares Alvarado</v>
          </cell>
        </row>
        <row r="1690">
          <cell r="F1690">
            <v>308210</v>
          </cell>
          <cell r="G1690" t="str">
            <v xml:space="preserve"> Isaias Ramirez Jimenez</v>
          </cell>
        </row>
        <row r="1691">
          <cell r="F1691">
            <v>310790</v>
          </cell>
          <cell r="G1691" t="str">
            <v xml:space="preserve"> Karina Del Rosario Castro Lopez De Guzman</v>
          </cell>
        </row>
        <row r="1692">
          <cell r="F1692">
            <v>309544</v>
          </cell>
          <cell r="G1692" t="str">
            <v xml:space="preserve"> Lorena Alexandra Lopez Yax</v>
          </cell>
        </row>
        <row r="1693">
          <cell r="F1693">
            <v>308493</v>
          </cell>
          <cell r="G1693" t="str">
            <v xml:space="preserve"> Sandra Beatriz Ardiano De Leon</v>
          </cell>
        </row>
        <row r="1694">
          <cell r="F1694">
            <v>312483</v>
          </cell>
          <cell r="G1694" t="str">
            <v>Berta Elizabeth Rodas Rosales</v>
          </cell>
        </row>
        <row r="1695">
          <cell r="F1695">
            <v>314431</v>
          </cell>
          <cell r="G1695" t="str">
            <v>Cristian Rene Contreras Sales</v>
          </cell>
        </row>
        <row r="1696">
          <cell r="F1696">
            <v>307394</v>
          </cell>
          <cell r="G1696" t="str">
            <v>Damaris Judith Rivas Benitez</v>
          </cell>
        </row>
        <row r="1697">
          <cell r="F1697">
            <v>311082</v>
          </cell>
          <cell r="G1697" t="str">
            <v>Janz Vincent Tunche</v>
          </cell>
        </row>
        <row r="1698">
          <cell r="F1698">
            <v>314301</v>
          </cell>
          <cell r="G1698" t="str">
            <v>Jose Carlos Puluc</v>
          </cell>
        </row>
        <row r="1699">
          <cell r="F1699">
            <v>308405</v>
          </cell>
          <cell r="G1699" t="str">
            <v>Juan Aquino Rac</v>
          </cell>
        </row>
        <row r="1700">
          <cell r="F1700">
            <v>312485</v>
          </cell>
          <cell r="G1700" t="str">
            <v>Juan Ramon Guerra Martinez</v>
          </cell>
        </row>
        <row r="1701">
          <cell r="F1701">
            <v>314527</v>
          </cell>
          <cell r="G1701" t="str">
            <v>Luis Fernando Rodas Pineda</v>
          </cell>
        </row>
        <row r="1702">
          <cell r="F1702">
            <v>312481</v>
          </cell>
          <cell r="G1702" t="str">
            <v>Magdalena Noemi Leonardo Ventura</v>
          </cell>
        </row>
        <row r="1703">
          <cell r="F1703">
            <v>312482</v>
          </cell>
          <cell r="G1703" t="str">
            <v>Mildred Elizabeth Rivera Tenas</v>
          </cell>
        </row>
        <row r="1704">
          <cell r="F1704">
            <v>307005</v>
          </cell>
          <cell r="G1704" t="str">
            <v>Miriam Leticia Romero Torres</v>
          </cell>
        </row>
        <row r="1705">
          <cell r="F1705">
            <v>314227</v>
          </cell>
          <cell r="G1705" t="str">
            <v xml:space="preserve">Mirna Janeth Ordoñez </v>
          </cell>
        </row>
        <row r="1706">
          <cell r="F1706">
            <v>308474</v>
          </cell>
          <cell r="G1706" t="str">
            <v>Victor Abraham Alvarado De La Cruz</v>
          </cell>
        </row>
        <row r="1707">
          <cell r="F1707">
            <v>312480</v>
          </cell>
          <cell r="G1707" t="str">
            <v>Wilson Moises Carias Santos</v>
          </cell>
        </row>
        <row r="1708">
          <cell r="F1708">
            <v>305051</v>
          </cell>
          <cell r="G1708" t="str">
            <v xml:space="preserve"> Amalia Cifuentes Gramajo</v>
          </cell>
        </row>
        <row r="1709">
          <cell r="F1709">
            <v>308201</v>
          </cell>
          <cell r="G1709" t="str">
            <v xml:space="preserve"> Amparo Janet Cardona Linares</v>
          </cell>
        </row>
        <row r="1710">
          <cell r="F1710">
            <v>311232</v>
          </cell>
          <cell r="G1710" t="str">
            <v xml:space="preserve"> Carlos Alberto Roque Galicia</v>
          </cell>
        </row>
        <row r="1711">
          <cell r="F1711">
            <v>310382</v>
          </cell>
          <cell r="G1711" t="str">
            <v xml:space="preserve"> David Gilberto Perez Mayorga</v>
          </cell>
        </row>
        <row r="1712">
          <cell r="F1712">
            <v>305796</v>
          </cell>
          <cell r="G1712" t="str">
            <v xml:space="preserve"> Elias Perez Sequen</v>
          </cell>
        </row>
        <row r="1713">
          <cell r="F1713">
            <v>310823</v>
          </cell>
          <cell r="G1713" t="str">
            <v xml:space="preserve"> Francisca Yesenia Aceytuno Quevedo</v>
          </cell>
        </row>
        <row r="1714">
          <cell r="F1714">
            <v>311152</v>
          </cell>
          <cell r="G1714" t="str">
            <v xml:space="preserve"> Heidi Natali Chacon De La Rosa De Diaz</v>
          </cell>
        </row>
        <row r="1715">
          <cell r="F1715">
            <v>309785</v>
          </cell>
          <cell r="G1715" t="str">
            <v xml:space="preserve"> Jose Esteban Diaz Montufar</v>
          </cell>
        </row>
        <row r="1716">
          <cell r="F1716">
            <v>310787</v>
          </cell>
          <cell r="G1716" t="str">
            <v xml:space="preserve"> Marilin Janeth Sanchez De Rodriguez</v>
          </cell>
        </row>
        <row r="1717">
          <cell r="F1717">
            <v>305520</v>
          </cell>
          <cell r="G1717" t="str">
            <v xml:space="preserve"> Milton Orlando Lopez</v>
          </cell>
        </row>
        <row r="1718">
          <cell r="F1718">
            <v>308978</v>
          </cell>
          <cell r="G1718" t="str">
            <v xml:space="preserve"> Oscar Amilcar Najera Segura</v>
          </cell>
        </row>
        <row r="1719">
          <cell r="F1719">
            <v>311776</v>
          </cell>
          <cell r="G1719" t="str">
            <v xml:space="preserve"> Susan Jackelinne Cristal Sanchez</v>
          </cell>
        </row>
        <row r="1720">
          <cell r="F1720">
            <v>309732</v>
          </cell>
          <cell r="G1720" t="str">
            <v xml:space="preserve"> Wilfredo Noe Tobar Valenzuela</v>
          </cell>
        </row>
        <row r="1721">
          <cell r="F1721">
            <v>314741</v>
          </cell>
          <cell r="G1721" t="str">
            <v>Angelica Lorena Garcia Gonzalez</v>
          </cell>
        </row>
        <row r="1722">
          <cell r="F1722">
            <v>314546</v>
          </cell>
          <cell r="G1722" t="str">
            <v xml:space="preserve">Cinthia Irene Paz Caal   </v>
          </cell>
        </row>
        <row r="1723">
          <cell r="F1723">
            <v>313746</v>
          </cell>
          <cell r="G1723" t="str">
            <v>Cristian Omar Cruz Mata</v>
          </cell>
        </row>
        <row r="1724">
          <cell r="F1724">
            <v>315327</v>
          </cell>
          <cell r="G1724" t="str">
            <v>Daninyer Alfonso Orellana Madrid</v>
          </cell>
        </row>
        <row r="1725">
          <cell r="F1725">
            <v>314084</v>
          </cell>
          <cell r="G1725" t="str">
            <v>Edgar Emilio Gomez Bobadilla</v>
          </cell>
        </row>
        <row r="1726">
          <cell r="F1726">
            <v>313195</v>
          </cell>
          <cell r="G1726" t="str">
            <v>Edna Helenin Benitez Guzman De Altan</v>
          </cell>
        </row>
        <row r="1727">
          <cell r="F1727">
            <v>313259</v>
          </cell>
          <cell r="G1727" t="str">
            <v>Edvin Orlando Tuis Guerra</v>
          </cell>
        </row>
        <row r="1728">
          <cell r="F1728">
            <v>314524</v>
          </cell>
          <cell r="G1728" t="str">
            <v>Francisco Antonio Davila Morales</v>
          </cell>
        </row>
        <row r="1729">
          <cell r="F1729">
            <v>314329</v>
          </cell>
          <cell r="G1729" t="str">
            <v>Fredy Joel Lopez Santiago</v>
          </cell>
        </row>
        <row r="1730">
          <cell r="F1730">
            <v>314305</v>
          </cell>
          <cell r="G1730" t="str">
            <v>Henry Gustavo Vasquez Robledo</v>
          </cell>
        </row>
        <row r="1731">
          <cell r="F1731">
            <v>311962</v>
          </cell>
          <cell r="G1731" t="str">
            <v>Hugo David Monroy Pichola</v>
          </cell>
        </row>
        <row r="1732">
          <cell r="F1732">
            <v>311075</v>
          </cell>
          <cell r="G1732" t="str">
            <v>Jorge Alberto Buch Patzan</v>
          </cell>
        </row>
        <row r="1733">
          <cell r="F1733">
            <v>311233</v>
          </cell>
          <cell r="G1733" t="str">
            <v>Maria Fernanda Del Rosario Orellana Lima De Orellana</v>
          </cell>
        </row>
        <row r="1734">
          <cell r="F1734">
            <v>314811</v>
          </cell>
          <cell r="G1734" t="str">
            <v>Marlon Estuardo Hernandez Moreira</v>
          </cell>
        </row>
        <row r="1735">
          <cell r="F1735">
            <v>313745</v>
          </cell>
          <cell r="G1735" t="str">
            <v>Milvia Alejandra Lopez Marroquin</v>
          </cell>
        </row>
        <row r="1736">
          <cell r="F1736">
            <v>312288</v>
          </cell>
          <cell r="G1736" t="str">
            <v>Miriam Marilisa Herrera Perez</v>
          </cell>
        </row>
        <row r="1737">
          <cell r="F1737">
            <v>312474</v>
          </cell>
          <cell r="G1737" t="str">
            <v>Nancy Paola Ramirez Garcia</v>
          </cell>
        </row>
        <row r="1738">
          <cell r="F1738">
            <v>313756</v>
          </cell>
          <cell r="G1738" t="str">
            <v>Walter Josue Corona Barrera</v>
          </cell>
        </row>
        <row r="1739">
          <cell r="F1739">
            <v>312284</v>
          </cell>
          <cell r="G1739" t="str">
            <v xml:space="preserve"> Arnoldo Coque Hernandez</v>
          </cell>
        </row>
        <row r="1740">
          <cell r="F1740">
            <v>312015</v>
          </cell>
          <cell r="G1740" t="str">
            <v xml:space="preserve"> Carlos Alfredo Cuc Cuxe</v>
          </cell>
        </row>
        <row r="1741">
          <cell r="F1741">
            <v>310710</v>
          </cell>
          <cell r="G1741" t="str">
            <v xml:space="preserve"> Edgar Enrique Garcia Cortave</v>
          </cell>
        </row>
        <row r="1742">
          <cell r="F1742">
            <v>311459</v>
          </cell>
          <cell r="G1742" t="str">
            <v xml:space="preserve"> Gandy Baygesus Sanchez Estrada</v>
          </cell>
        </row>
        <row r="1743">
          <cell r="F1743">
            <v>303585</v>
          </cell>
          <cell r="G1743" t="str">
            <v xml:space="preserve"> Gerber Estuardo Albizures Archila</v>
          </cell>
        </row>
        <row r="1744">
          <cell r="F1744">
            <v>310704</v>
          </cell>
          <cell r="G1744" t="str">
            <v xml:space="preserve"> Henry Samuel De Leon Menchu</v>
          </cell>
        </row>
        <row r="1745">
          <cell r="F1745">
            <v>311359</v>
          </cell>
          <cell r="G1745" t="str">
            <v xml:space="preserve"> Jania Nataly De Leon Ramirez De Suret</v>
          </cell>
        </row>
        <row r="1746">
          <cell r="F1746">
            <v>306643</v>
          </cell>
          <cell r="G1746" t="str">
            <v xml:space="preserve"> Marvin Saul Sical Ventura</v>
          </cell>
        </row>
        <row r="1747">
          <cell r="F1747">
            <v>307846</v>
          </cell>
          <cell r="G1747" t="str">
            <v xml:space="preserve"> Sandra Patricia Baran Avila</v>
          </cell>
        </row>
        <row r="1748">
          <cell r="F1748">
            <v>307962</v>
          </cell>
          <cell r="G1748" t="str">
            <v xml:space="preserve"> Selvyn David Payola Ayala</v>
          </cell>
        </row>
        <row r="1749">
          <cell r="F1749">
            <v>307891</v>
          </cell>
          <cell r="G1749" t="str">
            <v xml:space="preserve"> Susana Rodriguez Cordova</v>
          </cell>
        </row>
        <row r="1750">
          <cell r="F1750">
            <v>314936</v>
          </cell>
          <cell r="G1750" t="str">
            <v>Alex Fernando Garcia De Leon</v>
          </cell>
        </row>
        <row r="1751">
          <cell r="F1751">
            <v>313295</v>
          </cell>
          <cell r="G1751" t="str">
            <v>Amed Carlos Eduardo Matheu Cabrera</v>
          </cell>
        </row>
        <row r="1752">
          <cell r="F1752">
            <v>314413</v>
          </cell>
          <cell r="G1752" t="str">
            <v>Carmen Arely Perez Escobar</v>
          </cell>
        </row>
        <row r="1753">
          <cell r="F1753">
            <v>315237</v>
          </cell>
          <cell r="G1753" t="str">
            <v>Celia Mariela Castillo Beteta</v>
          </cell>
        </row>
        <row r="1754">
          <cell r="F1754">
            <v>311345</v>
          </cell>
          <cell r="G1754" t="str">
            <v>Darwin Ruben Martinez Ramirez</v>
          </cell>
        </row>
        <row r="1755">
          <cell r="F1755">
            <v>314250</v>
          </cell>
          <cell r="G1755" t="str">
            <v>Diego Armando Contreras Flores</v>
          </cell>
        </row>
        <row r="1756">
          <cell r="F1756">
            <v>314281</v>
          </cell>
          <cell r="G1756" t="str">
            <v>Edward Josue Cortez Belloso</v>
          </cell>
        </row>
        <row r="1757">
          <cell r="F1757">
            <v>313451</v>
          </cell>
          <cell r="G1757" t="str">
            <v>Erick Dionicio Alvarez Flores</v>
          </cell>
        </row>
        <row r="1758">
          <cell r="F1758">
            <v>313497</v>
          </cell>
          <cell r="G1758" t="str">
            <v>Francisco Roman Aceytuno Ramos</v>
          </cell>
        </row>
        <row r="1759">
          <cell r="F1759">
            <v>314013</v>
          </cell>
          <cell r="G1759" t="str">
            <v>Jose Orlando Lopez Matzar</v>
          </cell>
        </row>
        <row r="1760">
          <cell r="F1760">
            <v>313262</v>
          </cell>
          <cell r="G1760" t="str">
            <v>Juan Luis Soyos Tzoy</v>
          </cell>
        </row>
        <row r="1761">
          <cell r="F1761">
            <v>313583</v>
          </cell>
          <cell r="G1761" t="str">
            <v>Laiza Marleny Gomez Garcia De Gomez</v>
          </cell>
        </row>
        <row r="1762">
          <cell r="F1762">
            <v>314762</v>
          </cell>
          <cell r="G1762" t="str">
            <v>Mario Ernesto Alvarado Molina</v>
          </cell>
        </row>
        <row r="1763">
          <cell r="F1763">
            <v>311902</v>
          </cell>
          <cell r="G1763" t="str">
            <v>Mario Raul Monroy Monroy</v>
          </cell>
        </row>
        <row r="1764">
          <cell r="F1764">
            <v>313251</v>
          </cell>
          <cell r="G1764" t="str">
            <v>Mario Ricardo Gabriel Monterroso</v>
          </cell>
        </row>
        <row r="1765">
          <cell r="F1765">
            <v>312564</v>
          </cell>
          <cell r="G1765" t="str">
            <v xml:space="preserve">Marlyn Carolina Hernandez Escobar De Dubon </v>
          </cell>
        </row>
        <row r="1766">
          <cell r="F1766">
            <v>313011</v>
          </cell>
          <cell r="G1766" t="str">
            <v>Miguel David Boch Cifuentes</v>
          </cell>
        </row>
        <row r="1767">
          <cell r="F1767">
            <v>313750</v>
          </cell>
          <cell r="G1767" t="str">
            <v xml:space="preserve">Mildred Alejandra Sapon Ruano   </v>
          </cell>
        </row>
        <row r="1768">
          <cell r="F1768">
            <v>313212</v>
          </cell>
          <cell r="G1768" t="str">
            <v>Shirley Mariana Lopez Natarengo</v>
          </cell>
        </row>
        <row r="1769">
          <cell r="F1769">
            <v>313261</v>
          </cell>
          <cell r="G1769" t="str">
            <v>Viviana Maribel Ortiz Barrios</v>
          </cell>
        </row>
        <row r="1770">
          <cell r="F1770">
            <v>309678</v>
          </cell>
          <cell r="G1770" t="str">
            <v xml:space="preserve"> Carla Noemi Irias Alvarez</v>
          </cell>
        </row>
        <row r="1771">
          <cell r="F1771">
            <v>311704</v>
          </cell>
          <cell r="G1771" t="str">
            <v xml:space="preserve"> Celedonia Isabel Chan Batz De Iscaya</v>
          </cell>
        </row>
        <row r="1772">
          <cell r="F1772">
            <v>308464</v>
          </cell>
          <cell r="G1772" t="str">
            <v xml:space="preserve"> Enmanuel Antonio Ochoa Hernandez</v>
          </cell>
        </row>
        <row r="1773">
          <cell r="F1773">
            <v>311964</v>
          </cell>
          <cell r="G1773" t="str">
            <v xml:space="preserve"> Estephanie Michelle Mendez Cano De Rivera</v>
          </cell>
        </row>
        <row r="1774">
          <cell r="F1774">
            <v>311963</v>
          </cell>
          <cell r="G1774" t="str">
            <v xml:space="preserve"> Giovanni Noel Valdez Rodriguez</v>
          </cell>
        </row>
        <row r="1775">
          <cell r="F1775">
            <v>308771</v>
          </cell>
          <cell r="G1775" t="str">
            <v xml:space="preserve"> Gloria Estefanilla Espinoza Garcia</v>
          </cell>
        </row>
        <row r="1776">
          <cell r="F1776">
            <v>311530</v>
          </cell>
          <cell r="G1776" t="str">
            <v xml:space="preserve"> Laura Ninoshka Mogollon Galvez De Ortiz</v>
          </cell>
        </row>
        <row r="1777">
          <cell r="F1777">
            <v>309348</v>
          </cell>
          <cell r="G1777" t="str">
            <v xml:space="preserve"> Ludbind Alexander Noriega Chavez</v>
          </cell>
        </row>
        <row r="1778">
          <cell r="F1778">
            <v>303093</v>
          </cell>
          <cell r="G1778" t="str">
            <v xml:space="preserve"> Rony Armando Choche Perez</v>
          </cell>
        </row>
        <row r="1779">
          <cell r="F1779">
            <v>311838</v>
          </cell>
          <cell r="G1779" t="str">
            <v xml:space="preserve"> Sarah Noemy Sandoval Poggio</v>
          </cell>
        </row>
        <row r="1780">
          <cell r="F1780">
            <v>310071</v>
          </cell>
          <cell r="G1780" t="str">
            <v xml:space="preserve"> Victoria Aracely Gomez Ochoa</v>
          </cell>
        </row>
        <row r="1781">
          <cell r="F1781">
            <v>315129</v>
          </cell>
          <cell r="G1781" t="str">
            <v xml:space="preserve">Angel Israel Perez Perez </v>
          </cell>
        </row>
        <row r="1782">
          <cell r="F1782">
            <v>314522</v>
          </cell>
          <cell r="G1782" t="str">
            <v>Argentina Frisdy Juarez Lopez</v>
          </cell>
        </row>
        <row r="1783">
          <cell r="F1783">
            <v>311595</v>
          </cell>
          <cell r="G1783" t="str">
            <v>Billy Giovanny Avalos Castillo</v>
          </cell>
        </row>
        <row r="1784">
          <cell r="F1784">
            <v>312457</v>
          </cell>
          <cell r="G1784" t="str">
            <v>Edgar Estuardo Moran Lopez</v>
          </cell>
        </row>
        <row r="1785">
          <cell r="F1785">
            <v>313314</v>
          </cell>
          <cell r="G1785" t="str">
            <v>Elida Bertilia Donis Aguilar</v>
          </cell>
        </row>
        <row r="1786">
          <cell r="F1786">
            <v>313108</v>
          </cell>
          <cell r="G1786" t="str">
            <v>Evelyn Karina Lorenzana Gomez</v>
          </cell>
        </row>
        <row r="1787">
          <cell r="F1787">
            <v>313313</v>
          </cell>
          <cell r="G1787" t="str">
            <v>Francisco Roberto Contreras Bernardino</v>
          </cell>
        </row>
        <row r="1788">
          <cell r="F1788">
            <v>313757</v>
          </cell>
          <cell r="G1788" t="str">
            <v>Geydi Yanira Roque Esquivel</v>
          </cell>
        </row>
        <row r="1789">
          <cell r="F1789">
            <v>309122</v>
          </cell>
          <cell r="G1789" t="str">
            <v>Greyci Yulissa Aliñado Rodriguez</v>
          </cell>
        </row>
        <row r="1790">
          <cell r="F1790">
            <v>314362</v>
          </cell>
          <cell r="G1790" t="str">
            <v>Heber Adiel Dardon Batres</v>
          </cell>
        </row>
        <row r="1791">
          <cell r="F1791">
            <v>315073</v>
          </cell>
          <cell r="G1791" t="str">
            <v xml:space="preserve">Jose Manuel Molina Gaitan </v>
          </cell>
        </row>
        <row r="1792">
          <cell r="F1792">
            <v>314490</v>
          </cell>
          <cell r="G1792" t="str">
            <v xml:space="preserve">Josue Omar Rosas Vasquez </v>
          </cell>
        </row>
        <row r="1793">
          <cell r="F1793">
            <v>311662</v>
          </cell>
          <cell r="G1793" t="str">
            <v>Juan Antonio Juarez Recinos</v>
          </cell>
        </row>
        <row r="1794">
          <cell r="F1794">
            <v>312848</v>
          </cell>
          <cell r="G1794" t="str">
            <v>Juan Humberto Castillo Garcia</v>
          </cell>
        </row>
        <row r="1795">
          <cell r="F1795">
            <v>313196</v>
          </cell>
          <cell r="G1795" t="str">
            <v>Maria Fernanda Palencia Campo</v>
          </cell>
        </row>
        <row r="1796">
          <cell r="F1796">
            <v>315406</v>
          </cell>
          <cell r="G1796" t="str">
            <v>Maria Fernandez Perez Rangel</v>
          </cell>
        </row>
        <row r="1797">
          <cell r="F1797">
            <v>314302</v>
          </cell>
          <cell r="G1797" t="str">
            <v>Mario Rene Garcia Paredes</v>
          </cell>
        </row>
        <row r="1798">
          <cell r="F1798">
            <v>313758</v>
          </cell>
          <cell r="G1798" t="str">
            <v>Melani Andrea Salcedo Acevedo</v>
          </cell>
        </row>
        <row r="1799">
          <cell r="F1799">
            <v>314656</v>
          </cell>
          <cell r="G1799" t="str">
            <v>Nancy Johana Flores Barrera</v>
          </cell>
        </row>
        <row r="1800">
          <cell r="F1800">
            <v>313835</v>
          </cell>
          <cell r="G1800" t="str">
            <v>Rainer Daniel Melgar Chajon</v>
          </cell>
        </row>
        <row r="1801">
          <cell r="F1801">
            <v>312478</v>
          </cell>
          <cell r="G1801" t="str">
            <v>Walter Josue Ampudia Martinez</v>
          </cell>
        </row>
        <row r="1802">
          <cell r="F1802">
            <v>315200</v>
          </cell>
          <cell r="G1802" t="str">
            <v xml:space="preserve">Yeni Amarilis Ruano </v>
          </cell>
        </row>
        <row r="1803">
          <cell r="F1803">
            <v>315029</v>
          </cell>
          <cell r="G1803" t="str">
            <v>Camelia Bocel Tun</v>
          </cell>
        </row>
        <row r="1804">
          <cell r="F1804">
            <v>314847</v>
          </cell>
          <cell r="G1804" t="str">
            <v>Donald Jacshon Abac Velasquez</v>
          </cell>
        </row>
        <row r="1805">
          <cell r="F1805">
            <v>314911</v>
          </cell>
          <cell r="G1805" t="str">
            <v>Jose Armando Valdez Juarez</v>
          </cell>
        </row>
        <row r="1806">
          <cell r="F1806">
            <v>314907</v>
          </cell>
          <cell r="G1806" t="str">
            <v>Jose Gabriel Armas Sandoval</v>
          </cell>
        </row>
        <row r="1807">
          <cell r="F1807">
            <v>315190</v>
          </cell>
          <cell r="G1807" t="str">
            <v xml:space="preserve">Edy Alexander Gonzalez Ramos </v>
          </cell>
        </row>
        <row r="1808">
          <cell r="F1808">
            <v>315176</v>
          </cell>
          <cell r="G1808" t="str">
            <v xml:space="preserve">Etson Samuel Villatoro Saballos </v>
          </cell>
        </row>
        <row r="1809">
          <cell r="F1809">
            <v>315080</v>
          </cell>
          <cell r="G1809" t="str">
            <v>Horacio Rafael Molina Avila</v>
          </cell>
        </row>
        <row r="1810">
          <cell r="F1810">
            <v>315177</v>
          </cell>
          <cell r="G1810" t="str">
            <v xml:space="preserve">Keitlin Anahi Martinez Castillo </v>
          </cell>
        </row>
        <row r="1811">
          <cell r="F1811">
            <v>315189</v>
          </cell>
          <cell r="G1811" t="str">
            <v xml:space="preserve">Milthon Yobany Castillo Martinez </v>
          </cell>
        </row>
        <row r="1812">
          <cell r="F1812">
            <v>315469</v>
          </cell>
          <cell r="G1812" t="str">
            <v xml:space="preserve">Milvia Fabiola Velasquez </v>
          </cell>
        </row>
        <row r="1813">
          <cell r="F1813">
            <v>315360</v>
          </cell>
          <cell r="G1813" t="str">
            <v>Eneas Valdez Colop</v>
          </cell>
        </row>
        <row r="1814">
          <cell r="F1814">
            <v>315461</v>
          </cell>
          <cell r="G1814" t="str">
            <v>Teylor Cuyuch</v>
          </cell>
        </row>
        <row r="1815">
          <cell r="F1815">
            <v>315390</v>
          </cell>
          <cell r="G1815" t="str">
            <v>Jose Carlos Morales</v>
          </cell>
        </row>
        <row r="1816">
          <cell r="F1816">
            <v>315464</v>
          </cell>
          <cell r="G1816" t="str">
            <v>Maria Alejandra Mazariegos</v>
          </cell>
        </row>
        <row r="1817">
          <cell r="F1817">
            <v>315574</v>
          </cell>
          <cell r="G1817" t="str">
            <v>Maryury De Los Angeles Garcia Romero</v>
          </cell>
        </row>
        <row r="1818">
          <cell r="F1818">
            <v>315596</v>
          </cell>
          <cell r="G1818" t="str">
            <v>Etson Eduardo Hernandez Campos</v>
          </cell>
        </row>
        <row r="1819">
          <cell r="F1819">
            <v>315593</v>
          </cell>
          <cell r="G1819" t="str">
            <v>Flora Anabella Yaxcal Fernandez</v>
          </cell>
        </row>
        <row r="1820">
          <cell r="F1820">
            <v>315595</v>
          </cell>
          <cell r="G1820" t="str">
            <v xml:space="preserve">Jaqueline Paola Santizo Roman </v>
          </cell>
        </row>
        <row r="1821">
          <cell r="F1821">
            <v>315292</v>
          </cell>
          <cell r="G1821" t="str">
            <v>Mijail Erick Joaquin Morales Ortiz</v>
          </cell>
        </row>
        <row r="1822">
          <cell r="F1822">
            <v>860486</v>
          </cell>
          <cell r="G1822" t="str">
            <v>Brenda Lucrecia Velasquez Cifuentes</v>
          </cell>
        </row>
        <row r="1823">
          <cell r="F1823">
            <v>860236</v>
          </cell>
          <cell r="G1823" t="str">
            <v>Emmanuel Gonzalez</v>
          </cell>
        </row>
        <row r="1824">
          <cell r="F1824" t="str">
            <v>UN</v>
          </cell>
          <cell r="G1824" t="str">
            <v>UN</v>
          </cell>
        </row>
        <row r="1825">
          <cell r="F1825">
            <v>315625</v>
          </cell>
          <cell r="G1825" t="str">
            <v>CLAUDIA ELIZABETH CARRERA MARROQUIN</v>
          </cell>
        </row>
        <row r="1826">
          <cell r="F1826">
            <v>315666</v>
          </cell>
          <cell r="G1826" t="str">
            <v>SINDY AMARILIS SANCHEZ MONTERROSO</v>
          </cell>
        </row>
        <row r="1827">
          <cell r="F1827">
            <v>315691</v>
          </cell>
          <cell r="G1827" t="str">
            <v>JAIME RENE JUAREZ SANCHEZ</v>
          </cell>
        </row>
        <row r="1828">
          <cell r="F1828">
            <v>315750</v>
          </cell>
          <cell r="G1828" t="str">
            <v>KEILA PAOLA CALDERON LOPEZ</v>
          </cell>
        </row>
        <row r="1829">
          <cell r="F1829">
            <v>315721</v>
          </cell>
          <cell r="G1829" t="str">
            <v>HECTOR LEONEL MEJICANOS CRUZ</v>
          </cell>
        </row>
        <row r="1830">
          <cell r="F1830">
            <v>315847</v>
          </cell>
          <cell r="G1830" t="str">
            <v>YEFRI ESTUARDO LOPEZ VELASQUEZ</v>
          </cell>
        </row>
        <row r="1831">
          <cell r="F1831">
            <v>315833</v>
          </cell>
          <cell r="G1831" t="str">
            <v>MARIA DE LOS ANGELES MURALLES MURALLES</v>
          </cell>
        </row>
        <row r="1832">
          <cell r="F1832">
            <v>315621</v>
          </cell>
          <cell r="G1832" t="str">
            <v>SAYDA ROCIO JUAREZ SANJAY</v>
          </cell>
        </row>
        <row r="1833">
          <cell r="F1833">
            <v>315816</v>
          </cell>
          <cell r="G1833" t="str">
            <v>RANDALL  AREVALO RUIZ</v>
          </cell>
        </row>
        <row r="1834">
          <cell r="F1834">
            <v>315692</v>
          </cell>
          <cell r="G1834" t="str">
            <v>Jose David Jimenez Valle</v>
          </cell>
        </row>
        <row r="1835">
          <cell r="F1835">
            <v>315801</v>
          </cell>
          <cell r="G1835" t="str">
            <v>YENIFFER GUADALUPE CHIQUIN CARBONELL</v>
          </cell>
        </row>
        <row r="1836">
          <cell r="F1836">
            <v>315649</v>
          </cell>
          <cell r="G1836" t="str">
            <v>JOSE LEON CHOGUAJ TOJIN</v>
          </cell>
        </row>
        <row r="1837">
          <cell r="F1837">
            <v>315986</v>
          </cell>
          <cell r="G1837" t="str">
            <v>KELVYN AMERICO SOSA OCHOA</v>
          </cell>
        </row>
        <row r="1838">
          <cell r="F1838">
            <v>315693</v>
          </cell>
          <cell r="G1838" t="str">
            <v>barbara asibinac</v>
          </cell>
        </row>
        <row r="1839">
          <cell r="F1839">
            <v>315974</v>
          </cell>
          <cell r="G1839" t="str">
            <v>Ana Victoria Noj Galindo</v>
          </cell>
        </row>
        <row r="1840">
          <cell r="F1840">
            <v>316040</v>
          </cell>
          <cell r="G1840" t="str">
            <v>Douglas Armando Flores Mendoza</v>
          </cell>
        </row>
        <row r="1841">
          <cell r="F1841">
            <v>315825</v>
          </cell>
          <cell r="G1841" t="str">
            <v>Reina Elizabeth Chacon Vasquez</v>
          </cell>
        </row>
        <row r="1842">
          <cell r="F1842">
            <v>315597</v>
          </cell>
          <cell r="G1842" t="str">
            <v>Edgar Jhonatan Contreras Garcia</v>
          </cell>
        </row>
        <row r="1843">
          <cell r="F1843">
            <v>316083</v>
          </cell>
          <cell r="G1843" t="str">
            <v>Marlen Erendida Rivas Gonzalez</v>
          </cell>
        </row>
        <row r="1844">
          <cell r="F1844">
            <v>315665</v>
          </cell>
          <cell r="G1844" t="str">
            <v>jefferson jose antonio interano solis</v>
          </cell>
        </row>
        <row r="1845">
          <cell r="F1845">
            <v>315913</v>
          </cell>
          <cell r="G1845" t="str">
            <v>HERLY SARAI GONZALEZ VELASQUEZ</v>
          </cell>
        </row>
        <row r="1846">
          <cell r="F1846">
            <v>315765</v>
          </cell>
          <cell r="G1846" t="str">
            <v>JACQUELINE ESTER PATZAN TZUNUN</v>
          </cell>
        </row>
        <row r="1847">
          <cell r="F1847">
            <v>316051</v>
          </cell>
          <cell r="G1847" t="str">
            <v>CHRISTIN ANDREA CASTILLO CALDERON</v>
          </cell>
        </row>
        <row r="1848">
          <cell r="F1848">
            <v>315939</v>
          </cell>
          <cell r="G1848" t="str">
            <v>JOSE DAVID BAMACA</v>
          </cell>
        </row>
        <row r="1849">
          <cell r="F1849">
            <v>315744</v>
          </cell>
          <cell r="G1849" t="str">
            <v>JACKELINE SUSANA HERRARTE BOCHE</v>
          </cell>
        </row>
        <row r="1850">
          <cell r="F1850">
            <v>316187</v>
          </cell>
          <cell r="G1850" t="str">
            <v xml:space="preserve">ADY MICHELLE LOPEZ QUEL </v>
          </cell>
        </row>
        <row r="1851">
          <cell r="F1851">
            <v>315786</v>
          </cell>
          <cell r="G1851" t="str">
            <v>EDUARDO ISAIAS HERNANDEZ AMBROCIO</v>
          </cell>
        </row>
        <row r="1852">
          <cell r="F1852">
            <v>315803</v>
          </cell>
          <cell r="G1852" t="str">
            <v>DEYVID SAUL OSORIO COLIN</v>
          </cell>
        </row>
        <row r="1853">
          <cell r="F1853">
            <v>315893</v>
          </cell>
          <cell r="G1853" t="str">
            <v xml:space="preserve">BRYAN ALEXANDER LAINES MARROQUIN </v>
          </cell>
        </row>
        <row r="1854">
          <cell r="F1854">
            <v>315890</v>
          </cell>
          <cell r="G1854" t="str">
            <v>ERICK JOSUE PINEDA CACEROS</v>
          </cell>
        </row>
        <row r="1855">
          <cell r="F1855">
            <v>316190</v>
          </cell>
          <cell r="G1855" t="str">
            <v>JOSE MANUEL MELLADO ESQUIBEL</v>
          </cell>
        </row>
        <row r="1856">
          <cell r="F1856">
            <v>315843</v>
          </cell>
          <cell r="G1856" t="str">
            <v xml:space="preserve">JENNIFER YESSENIA PEREZ MORALES </v>
          </cell>
        </row>
        <row r="1857">
          <cell r="F1857">
            <v>315840</v>
          </cell>
          <cell r="G1857" t="str">
            <v>Cesar David Perez Garrido</v>
          </cell>
        </row>
        <row r="1858">
          <cell r="F1858">
            <v>315697</v>
          </cell>
          <cell r="G1858" t="str">
            <v xml:space="preserve">Karen Dayana Xiquin Sanchez </v>
          </cell>
        </row>
        <row r="1859">
          <cell r="F1859">
            <v>315946</v>
          </cell>
          <cell r="G1859" t="str">
            <v xml:space="preserve"> MANUEL ADAN SURUY JIMENEZ</v>
          </cell>
        </row>
        <row r="1860">
          <cell r="F1860">
            <v>315784</v>
          </cell>
          <cell r="G1860" t="str">
            <v xml:space="preserve">JORGE MARIO SIC </v>
          </cell>
        </row>
        <row r="1861">
          <cell r="F1861">
            <v>316001</v>
          </cell>
          <cell r="G1861" t="str">
            <v>WENDY DANIELA CAMEY MATEO</v>
          </cell>
        </row>
        <row r="1862">
          <cell r="F1862">
            <v>315777</v>
          </cell>
          <cell r="G1862" t="str">
            <v>Jonatan Mauricio Padilla Marroquin</v>
          </cell>
        </row>
        <row r="1863">
          <cell r="F1863">
            <v>315699</v>
          </cell>
          <cell r="G1863" t="str">
            <v>Gualfer Orlando Dieguez Ibanez</v>
          </cell>
        </row>
        <row r="1864">
          <cell r="F1864">
            <v>315994</v>
          </cell>
          <cell r="G1864" t="str">
            <v>Edwin Wilfredo Pineda Giron</v>
          </cell>
        </row>
        <row r="1865">
          <cell r="F1865">
            <v>315766</v>
          </cell>
          <cell r="G1865" t="str">
            <v>Edgar Omar de Jesus Andrade Monterroso</v>
          </cell>
        </row>
        <row r="1866">
          <cell r="F1866">
            <v>315987</v>
          </cell>
          <cell r="G1866" t="str">
            <v>FRANCISCO DANIEL ARGUETA RAMIREZ</v>
          </cell>
        </row>
        <row r="1867">
          <cell r="F1867">
            <v>316208</v>
          </cell>
          <cell r="G1867" t="str">
            <v>LEYCER ULICES CANA ANDRADE</v>
          </cell>
        </row>
        <row r="1868">
          <cell r="F1868">
            <v>316193</v>
          </cell>
          <cell r="G1868" t="str">
            <v>Maria de Lourdes Leb Nij</v>
          </cell>
        </row>
        <row r="1869">
          <cell r="F1869">
            <v>316176</v>
          </cell>
          <cell r="G1869" t="str">
            <v>ROSA ANGELICA ZURDO GONZALEZ</v>
          </cell>
        </row>
        <row r="1870">
          <cell r="F1870">
            <v>316293</v>
          </cell>
          <cell r="G1870" t="str">
            <v>LUCIO MOISES CHAVEZ CHAVEZ</v>
          </cell>
        </row>
        <row r="1871">
          <cell r="F1871">
            <v>316090</v>
          </cell>
          <cell r="G1871" t="str">
            <v>ASTRID SUCELY VELIZ CAAL</v>
          </cell>
        </row>
        <row r="1872">
          <cell r="F1872">
            <v>316057</v>
          </cell>
          <cell r="G1872" t="str">
            <v>ROGELIO ARMANDO ACEITUNO HERRERA</v>
          </cell>
        </row>
        <row r="1873">
          <cell r="F1873">
            <v>315962</v>
          </cell>
          <cell r="G1873" t="str">
            <v>Jennifer Celeste Delgado Garcia</v>
          </cell>
        </row>
        <row r="1874">
          <cell r="F1874">
            <v>316237</v>
          </cell>
          <cell r="G1874" t="str">
            <v>MARIA DEL ROSARIO ESPINOZA CRUZ</v>
          </cell>
        </row>
        <row r="1875">
          <cell r="F1875">
            <v>316054</v>
          </cell>
          <cell r="G1875" t="str">
            <v>Kevin Steve Barrera Galicia</v>
          </cell>
        </row>
        <row r="1876">
          <cell r="F1876">
            <v>315734</v>
          </cell>
          <cell r="G1876" t="str">
            <v>DULCE MARINA LOPEZ SOLIS</v>
          </cell>
        </row>
        <row r="1877">
          <cell r="F1877">
            <v>316098</v>
          </cell>
          <cell r="G1877" t="str">
            <v>KARLA ALEJANDRA CHAVEZ PEÑA</v>
          </cell>
        </row>
        <row r="1878">
          <cell r="F1878">
            <v>315679</v>
          </cell>
          <cell r="G1878" t="str">
            <v>ANGELA XIOMARA PONCIANO GONZALEZ</v>
          </cell>
        </row>
        <row r="1879">
          <cell r="F1879">
            <v>315769</v>
          </cell>
          <cell r="G1879" t="str">
            <v>URIAS VENANCIO LOPEZ COTON</v>
          </cell>
        </row>
        <row r="1880">
          <cell r="F1880">
            <v>316174</v>
          </cell>
          <cell r="G1880" t="str">
            <v>ENRIQUE ALFONSO LOPEZ RAMREZ</v>
          </cell>
        </row>
        <row r="1881">
          <cell r="F1881">
            <v>316152</v>
          </cell>
          <cell r="G1881" t="str">
            <v>Yenica Limni López Sebastian</v>
          </cell>
        </row>
        <row r="1882">
          <cell r="F1882">
            <v>315882</v>
          </cell>
          <cell r="G1882" t="str">
            <v>RUTH ANAI GOMEZ RAMIREZ</v>
          </cell>
        </row>
        <row r="1883">
          <cell r="F1883">
            <v>316241</v>
          </cell>
          <cell r="G1883" t="str">
            <v>ALLAN ESMAYLIN CABRERA PEREZ</v>
          </cell>
        </row>
        <row r="1884">
          <cell r="F1884">
            <v>315651</v>
          </cell>
          <cell r="G1884" t="str">
            <v>WALTER EDUARDO RODAS RIOS</v>
          </cell>
        </row>
        <row r="1885">
          <cell r="F1885">
            <v>316011</v>
          </cell>
          <cell r="G1885" t="str">
            <v>KEVIN MAUEL PEREZ OROZCO</v>
          </cell>
        </row>
        <row r="1886">
          <cell r="F1886">
            <v>316263</v>
          </cell>
          <cell r="G1886" t="str">
            <v>LUIS FERNANDO LOPEZ VASQUEZ</v>
          </cell>
        </row>
        <row r="1887">
          <cell r="F1887">
            <v>315661</v>
          </cell>
          <cell r="G1887" t="str">
            <v>MIGUEL ANGEL MENDEZ JUAREZ</v>
          </cell>
        </row>
        <row r="1888">
          <cell r="F1888">
            <v>316060</v>
          </cell>
          <cell r="G1888" t="str">
            <v>CARLOS ENRIQUE SOSA HERNANDEZ</v>
          </cell>
        </row>
        <row r="1889">
          <cell r="F1889">
            <v>315992</v>
          </cell>
          <cell r="G1889" t="str">
            <v>LISBETH VICTORIA GARCIA</v>
          </cell>
        </row>
        <row r="1890">
          <cell r="F1890">
            <v>316191</v>
          </cell>
          <cell r="G1890" t="str">
            <v>Katerin Mishel Acosta Lobos</v>
          </cell>
        </row>
        <row r="1891">
          <cell r="F1891">
            <v>316294</v>
          </cell>
          <cell r="G1891" t="str">
            <v>Carmen Fernanda Ramos Jimenez</v>
          </cell>
        </row>
        <row r="1892">
          <cell r="F1892">
            <v>90012428</v>
          </cell>
          <cell r="G1892" t="str">
            <v>Lesly Alejandra Urbina Chojolan</v>
          </cell>
        </row>
        <row r="1893">
          <cell r="F1893">
            <v>90013944</v>
          </cell>
          <cell r="G1893" t="str">
            <v>KARLA ROSARIO MARTINEZ SOTO</v>
          </cell>
        </row>
        <row r="1894">
          <cell r="F1894">
            <v>316240</v>
          </cell>
          <cell r="G1894" t="str">
            <v>WILMER GUILLERMO PEREZ CHAY</v>
          </cell>
        </row>
        <row r="1895">
          <cell r="F1895">
            <v>90014151</v>
          </cell>
          <cell r="G1895" t="str">
            <v>ANDERSON NOE MORALES MARROQUIN</v>
          </cell>
        </row>
        <row r="1896">
          <cell r="F1896">
            <v>90013720</v>
          </cell>
          <cell r="G1896" t="str">
            <v>OBED DANIEL RAMIREZ FUENTES</v>
          </cell>
        </row>
        <row r="1897">
          <cell r="F1897">
            <v>90012315</v>
          </cell>
          <cell r="G1897" t="str">
            <v>Lorenzo Antonio Herrera Tobar</v>
          </cell>
        </row>
        <row r="1898">
          <cell r="F1898">
            <v>90013833</v>
          </cell>
          <cell r="G1898" t="str">
            <v>Melane Alejandra Contreras Sicajan</v>
          </cell>
        </row>
        <row r="1899">
          <cell r="F1899">
            <v>90018997</v>
          </cell>
          <cell r="G1899" t="str">
            <v>Daniel Uvaldo Barreno Meneses</v>
          </cell>
        </row>
        <row r="1900">
          <cell r="F1900">
            <v>90014269</v>
          </cell>
          <cell r="G1900" t="str">
            <v>Lusvin Ariel Villacinda Flores</v>
          </cell>
        </row>
        <row r="1901">
          <cell r="F1901" t="str">
            <v>N/A</v>
          </cell>
          <cell r="G1901" t="str">
            <v>N/A</v>
          </cell>
        </row>
        <row r="1902">
          <cell r="F1902">
            <v>90014281</v>
          </cell>
          <cell r="G1902" t="str">
            <v>MARIO EMANUEL DE JESUS MENDOZA</v>
          </cell>
        </row>
        <row r="1903">
          <cell r="F1903">
            <v>90019660</v>
          </cell>
          <cell r="G1903" t="str">
            <v>MONICA ILDUARA LIMA</v>
          </cell>
        </row>
        <row r="1904">
          <cell r="F1904">
            <v>90018838</v>
          </cell>
          <cell r="G1904" t="str">
            <v>PERLA ESPERANZA ORDONEZ ZULETA</v>
          </cell>
        </row>
        <row r="1905">
          <cell r="F1905">
            <v>90013719</v>
          </cell>
          <cell r="G1905" t="str">
            <v>MONICA CAROLINA LIMA CIFUENTES</v>
          </cell>
        </row>
        <row r="1906">
          <cell r="F1906">
            <v>90019011</v>
          </cell>
          <cell r="G1906" t="str">
            <v>ANGEL JOEL CASTRO COSAJAY</v>
          </cell>
        </row>
        <row r="1907">
          <cell r="F1907">
            <v>90019588</v>
          </cell>
          <cell r="G1907" t="str">
            <v>SANDRA MARIELA LÓPEZ MARROQUÍN</v>
          </cell>
        </row>
        <row r="1908">
          <cell r="F1908">
            <v>90019689</v>
          </cell>
          <cell r="G1908" t="str">
            <v xml:space="preserve">HELEN YADIRA DE LEON QUIÑONEZ </v>
          </cell>
        </row>
        <row r="1909">
          <cell r="F1909">
            <v>90024021</v>
          </cell>
          <cell r="G1909" t="str">
            <v>MANUEL MEJIA AYERDI</v>
          </cell>
        </row>
        <row r="1910">
          <cell r="F1910">
            <v>90013782</v>
          </cell>
          <cell r="G1910" t="str">
            <v>Williams Jose Galvez Jordan</v>
          </cell>
        </row>
        <row r="1911">
          <cell r="F1911">
            <v>90024411</v>
          </cell>
          <cell r="G1911" t="str">
            <v>DINA ELIZABETH GARRIDO ALVAREZ</v>
          </cell>
        </row>
        <row r="1912">
          <cell r="F1912">
            <v>90024370</v>
          </cell>
          <cell r="G1912" t="str">
            <v>Marilin Yasmin Godoy Morataya</v>
          </cell>
        </row>
        <row r="1913">
          <cell r="F1913">
            <v>90024235</v>
          </cell>
          <cell r="G1913" t="str">
            <v>JASON ALBERTO BOLAÑOS GUTIERREZ</v>
          </cell>
        </row>
        <row r="1914">
          <cell r="F1914">
            <v>90028187</v>
          </cell>
          <cell r="G1914" t="str">
            <v>MIRELLI RAMIREZ GARCIA</v>
          </cell>
        </row>
        <row r="1915">
          <cell r="F1915">
            <v>90025289</v>
          </cell>
          <cell r="G1915" t="str">
            <v>DIEGO ALEJANDRO DONIS JUAREZ</v>
          </cell>
        </row>
        <row r="1916">
          <cell r="F1916">
            <v>90028608</v>
          </cell>
          <cell r="G1916" t="str">
            <v>ERLIN ROBERTO XEC ANGULO</v>
          </cell>
        </row>
        <row r="1917">
          <cell r="F1917">
            <v>90028491</v>
          </cell>
          <cell r="G1917" t="str">
            <v xml:space="preserve">ADOLFO RAFAEL SEGOVIA QUEZADA </v>
          </cell>
        </row>
        <row r="1918">
          <cell r="F1918">
            <v>90024419</v>
          </cell>
          <cell r="G1918" t="str">
            <v>HELEN JASSMIN REYES PALACIOS</v>
          </cell>
        </row>
        <row r="1919">
          <cell r="F1919">
            <v>90028606</v>
          </cell>
          <cell r="G1919" t="str">
            <v>Laura Angelica Lux Tzunun</v>
          </cell>
        </row>
        <row r="1920">
          <cell r="F1920">
            <v>90028496</v>
          </cell>
          <cell r="G1920" t="str">
            <v>SORAYDA BETZAI CHAVEZ</v>
          </cell>
        </row>
        <row r="1921">
          <cell r="F1921">
            <v>90024632</v>
          </cell>
          <cell r="G1921" t="str">
            <v xml:space="preserve">ERICKA SANDOVAL </v>
          </cell>
        </row>
        <row r="1922">
          <cell r="F1922">
            <v>90025666</v>
          </cell>
          <cell r="G1922" t="str">
            <v>PAULY MARTINA TOJ</v>
          </cell>
        </row>
        <row r="1923">
          <cell r="F1923">
            <v>90027918</v>
          </cell>
          <cell r="G1923" t="str">
            <v>GERBER ALEXANDER SAGUACHE BENITO</v>
          </cell>
        </row>
        <row r="1924">
          <cell r="F1924">
            <v>90027845</v>
          </cell>
          <cell r="G1924" t="str">
            <v>SHIRLEY DAYANA RAMIREZ GALLARDO</v>
          </cell>
        </row>
        <row r="1925">
          <cell r="F1925">
            <v>90027868</v>
          </cell>
          <cell r="G1925" t="str">
            <v>ASHLY ANABELLA RAYMUNDO GONZALEZ</v>
          </cell>
        </row>
        <row r="1926">
          <cell r="F1926">
            <v>90028292</v>
          </cell>
          <cell r="G1926" t="str">
            <v>JULISSA CRISTIANY ESCOBAR ACEITUNO</v>
          </cell>
        </row>
        <row r="1927">
          <cell r="F1927">
            <v>90025620</v>
          </cell>
          <cell r="G1927" t="str">
            <v>ANA LUISA JIMENEZ CORADO</v>
          </cell>
        </row>
        <row r="1928">
          <cell r="F1928">
            <v>315856</v>
          </cell>
          <cell r="G1928" t="str">
            <v>TERESA CAROLINA PRIMERO JALAL</v>
          </cell>
        </row>
        <row r="1929">
          <cell r="F1929">
            <v>316023</v>
          </cell>
          <cell r="G1929" t="str">
            <v>MARIA ANGELICA TRUJILLO CORONADO DE ANDRADE</v>
          </cell>
        </row>
        <row r="1930">
          <cell r="F1930">
            <v>315925</v>
          </cell>
          <cell r="G1930" t="str">
            <v>JOSTHYN RAUL PARDO OBREGON</v>
          </cell>
        </row>
        <row r="1931">
          <cell r="F1931">
            <v>315841</v>
          </cell>
          <cell r="G1931" t="str">
            <v>LESBIA ROXANA ROJAS CASTRO</v>
          </cell>
        </row>
        <row r="1932">
          <cell r="F1932">
            <v>314692</v>
          </cell>
          <cell r="G1932" t="str">
            <v>Abi Susana Santos Alvarado</v>
          </cell>
        </row>
        <row r="1933">
          <cell r="F1933">
            <v>313537</v>
          </cell>
          <cell r="G1933" t="str">
            <v>Abigail Nohemi Letona Lopez</v>
          </cell>
        </row>
        <row r="1934">
          <cell r="F1934">
            <v>314163</v>
          </cell>
          <cell r="G1934" t="str">
            <v>Abner Amilcar Miguel Pedro</v>
          </cell>
        </row>
        <row r="1935">
          <cell r="F1935">
            <v>300544</v>
          </cell>
          <cell r="G1935" t="str">
            <v>Abner Enmanuel Perez Rodriguez</v>
          </cell>
        </row>
        <row r="1936">
          <cell r="F1936">
            <v>315208</v>
          </cell>
          <cell r="G1936" t="str">
            <v>Abner Juan Alexander Menchu Tiu</v>
          </cell>
        </row>
        <row r="1937">
          <cell r="F1937">
            <v>315069</v>
          </cell>
          <cell r="G1937" t="str">
            <v>Abner Rocael Sosa Escobar</v>
          </cell>
        </row>
        <row r="1938">
          <cell r="F1938">
            <v>310864</v>
          </cell>
          <cell r="G1938" t="str">
            <v>Adelaida Garcia Hernandez</v>
          </cell>
        </row>
        <row r="1939">
          <cell r="F1939">
            <v>314604</v>
          </cell>
          <cell r="G1939" t="str">
            <v>Adieny Moren Ramirez Gamboa</v>
          </cell>
        </row>
        <row r="1940">
          <cell r="F1940">
            <v>311687</v>
          </cell>
          <cell r="G1940" t="str">
            <v>Aida Gabriela De Leon Carrascoza</v>
          </cell>
        </row>
        <row r="1941">
          <cell r="F1941">
            <v>315221</v>
          </cell>
          <cell r="G1941" t="str">
            <v>Alan David Perez Muyus</v>
          </cell>
        </row>
        <row r="1942">
          <cell r="F1942">
            <v>311950</v>
          </cell>
          <cell r="G1942" t="str">
            <v>Alan Javier Castillo Ordoñez</v>
          </cell>
        </row>
        <row r="1943">
          <cell r="F1943">
            <v>313765</v>
          </cell>
          <cell r="G1943" t="str">
            <v>Alan Ricardo Flores Diaz</v>
          </cell>
        </row>
        <row r="1944">
          <cell r="F1944">
            <v>314840</v>
          </cell>
          <cell r="G1944" t="str">
            <v>Alba Andrea Perez Hernandez</v>
          </cell>
        </row>
        <row r="1945">
          <cell r="F1945">
            <v>312686</v>
          </cell>
          <cell r="G1945" t="str">
            <v>Alba Azucena Santeliz Marin</v>
          </cell>
        </row>
        <row r="1946">
          <cell r="F1946">
            <v>313531</v>
          </cell>
          <cell r="G1946" t="str">
            <v>Alejandra Gramajo Marroquin</v>
          </cell>
        </row>
        <row r="1947">
          <cell r="F1947">
            <v>313714</v>
          </cell>
          <cell r="G1947" t="str">
            <v>Alejandra Julissa Solis Aguilar</v>
          </cell>
        </row>
        <row r="1948">
          <cell r="F1948">
            <v>313994</v>
          </cell>
          <cell r="G1948" t="str">
            <v>Alejandra Naime Muñoz Letona</v>
          </cell>
        </row>
        <row r="1949">
          <cell r="F1949">
            <v>314849</v>
          </cell>
          <cell r="G1949" t="str">
            <v>Alejandro Enrique Mejicanos Ramos</v>
          </cell>
        </row>
        <row r="1950">
          <cell r="F1950">
            <v>315220</v>
          </cell>
          <cell r="G1950" t="str">
            <v>Alejandro Jose Mont Diaz</v>
          </cell>
        </row>
        <row r="1951">
          <cell r="F1951">
            <v>311810</v>
          </cell>
          <cell r="G1951" t="str">
            <v>Alexander Macario Gonzalez Monterroso</v>
          </cell>
        </row>
        <row r="1952">
          <cell r="F1952">
            <v>300907</v>
          </cell>
          <cell r="G1952" t="str">
            <v>Alexangel Quan Urrutia</v>
          </cell>
        </row>
        <row r="1953">
          <cell r="F1953">
            <v>312962</v>
          </cell>
          <cell r="G1953" t="str">
            <v>Alexia Paola Marroquin Lopez</v>
          </cell>
        </row>
        <row r="1954">
          <cell r="F1954">
            <v>314671</v>
          </cell>
          <cell r="G1954" t="str">
            <v>Alexsandra Daniela Cano Garcia</v>
          </cell>
        </row>
        <row r="1955">
          <cell r="F1955">
            <v>311103</v>
          </cell>
          <cell r="G1955" t="str">
            <v>Alfredo Chiyal Bocel</v>
          </cell>
        </row>
        <row r="1956">
          <cell r="F1956">
            <v>311576</v>
          </cell>
          <cell r="G1956" t="str">
            <v>Alfredo Gomez Lancerio</v>
          </cell>
        </row>
        <row r="1957">
          <cell r="F1957">
            <v>313014</v>
          </cell>
          <cell r="G1957" t="str">
            <v>Alfredo Monsanto Santos</v>
          </cell>
        </row>
        <row r="1958">
          <cell r="F1958">
            <v>315223</v>
          </cell>
          <cell r="G1958" t="str">
            <v>Alicia Magaly Juarez Quiacain</v>
          </cell>
        </row>
        <row r="1959">
          <cell r="F1959">
            <v>314035</v>
          </cell>
          <cell r="G1959" t="str">
            <v>Alisson Andrea Jacobo Castro</v>
          </cell>
        </row>
        <row r="1960">
          <cell r="F1960">
            <v>315214</v>
          </cell>
          <cell r="G1960" t="str">
            <v>Allan David Galdamez De Leon</v>
          </cell>
        </row>
        <row r="1961">
          <cell r="F1961">
            <v>306902</v>
          </cell>
          <cell r="G1961" t="str">
            <v>Allan Kalleb Garcia Cahuex</v>
          </cell>
        </row>
        <row r="1962">
          <cell r="F1962">
            <v>315434</v>
          </cell>
          <cell r="G1962" t="str">
            <v>Alma Carolina Herrera Pirir</v>
          </cell>
        </row>
        <row r="1963">
          <cell r="F1963">
            <v>315280</v>
          </cell>
          <cell r="G1963" t="str">
            <v>Alma Rosa Valle Blandon</v>
          </cell>
        </row>
        <row r="1964">
          <cell r="F1964">
            <v>302247</v>
          </cell>
          <cell r="G1964" t="str">
            <v>Alma Yecenia Ramon Oroxon</v>
          </cell>
        </row>
        <row r="1965">
          <cell r="F1965">
            <v>310433</v>
          </cell>
          <cell r="G1965" t="str">
            <v>Alma Zucely Sarceño Peralta</v>
          </cell>
        </row>
        <row r="1966">
          <cell r="F1966">
            <v>313286</v>
          </cell>
          <cell r="G1966" t="str">
            <v>Alvaro Fernando Acte Mérida</v>
          </cell>
        </row>
        <row r="1967">
          <cell r="F1967">
            <v>313119</v>
          </cell>
          <cell r="G1967" t="str">
            <v>Alvaro Luis Carias Gonzalez</v>
          </cell>
        </row>
        <row r="1968">
          <cell r="F1968">
            <v>313528</v>
          </cell>
          <cell r="G1968" t="str">
            <v>Amairani Lilibeth Escobar Maquin</v>
          </cell>
        </row>
        <row r="1969">
          <cell r="F1969">
            <v>309338</v>
          </cell>
          <cell r="G1969" t="str">
            <v>Amalia Rebeca Son Juarez</v>
          </cell>
        </row>
        <row r="1970">
          <cell r="F1970">
            <v>309664</v>
          </cell>
          <cell r="G1970" t="str">
            <v>Amarilis Sarita Ajtun Lopez</v>
          </cell>
        </row>
        <row r="1971">
          <cell r="F1971">
            <v>309337</v>
          </cell>
          <cell r="G1971" t="str">
            <v>Amauri Santillano Catalan</v>
          </cell>
        </row>
        <row r="1972">
          <cell r="F1972">
            <v>315553</v>
          </cell>
          <cell r="G1972" t="str">
            <v>Amed Isram Rodas Garcia</v>
          </cell>
        </row>
        <row r="1973">
          <cell r="F1973">
            <v>301503</v>
          </cell>
          <cell r="G1973" t="str">
            <v>America Romilia Martinez Ramirez</v>
          </cell>
        </row>
        <row r="1974">
          <cell r="F1974">
            <v>311055</v>
          </cell>
          <cell r="G1974" t="str">
            <v>Amram Dodanim Lopez Cahuec</v>
          </cell>
        </row>
        <row r="1975">
          <cell r="F1975">
            <v>307790</v>
          </cell>
          <cell r="G1975" t="str">
            <v>Ana Cecilia Navichoc Chiquival</v>
          </cell>
        </row>
        <row r="1976">
          <cell r="F1976">
            <v>315044</v>
          </cell>
          <cell r="G1976" t="str">
            <v>Ana Celeste Garcia Garcia</v>
          </cell>
        </row>
        <row r="1977">
          <cell r="F1977">
            <v>309527</v>
          </cell>
          <cell r="G1977" t="str">
            <v>Ana Gabriela Caal Cruz</v>
          </cell>
        </row>
        <row r="1978">
          <cell r="F1978">
            <v>313217</v>
          </cell>
          <cell r="G1978" t="str">
            <v>Ana Gabriela Damian Ixbalan</v>
          </cell>
        </row>
        <row r="1979">
          <cell r="F1979">
            <v>305932</v>
          </cell>
          <cell r="G1979" t="str">
            <v>Ana Gabriela De La Cruz Aguilar</v>
          </cell>
        </row>
        <row r="1980">
          <cell r="F1980">
            <v>314984</v>
          </cell>
          <cell r="G1980" t="str">
            <v>Ana Gabriela Equite Diaz</v>
          </cell>
        </row>
        <row r="1981">
          <cell r="F1981">
            <v>307751</v>
          </cell>
          <cell r="G1981" t="str">
            <v>Ana Gabriela Gonzalez Herrera</v>
          </cell>
        </row>
        <row r="1982">
          <cell r="F1982">
            <v>310329</v>
          </cell>
          <cell r="G1982" t="str">
            <v>Ana Leticia Lux Say</v>
          </cell>
        </row>
        <row r="1983">
          <cell r="F1983">
            <v>311761</v>
          </cell>
          <cell r="G1983" t="str">
            <v>Ana Lourdes Muñoz Pensamiento</v>
          </cell>
        </row>
        <row r="1984">
          <cell r="F1984">
            <v>311111</v>
          </cell>
          <cell r="G1984" t="str">
            <v>Ana Lucia Donis Franco</v>
          </cell>
        </row>
        <row r="1985">
          <cell r="F1985">
            <v>313991</v>
          </cell>
          <cell r="G1985" t="str">
            <v>Ana Lucia Gudiel Vasquez</v>
          </cell>
        </row>
        <row r="1986">
          <cell r="F1986">
            <v>307442</v>
          </cell>
          <cell r="G1986" t="str">
            <v>Ana Lucia Ramirez Aquino</v>
          </cell>
        </row>
        <row r="1987">
          <cell r="F1987">
            <v>306767</v>
          </cell>
          <cell r="G1987" t="str">
            <v>Ana Marcela Castillo Rodriguez</v>
          </cell>
        </row>
        <row r="1988">
          <cell r="F1988">
            <v>312249</v>
          </cell>
          <cell r="G1988" t="str">
            <v>Ana Margarita Barrera Estrada</v>
          </cell>
        </row>
        <row r="1989">
          <cell r="F1989">
            <v>202795</v>
          </cell>
          <cell r="G1989" t="str">
            <v>Ana Maria Barrios Alejos</v>
          </cell>
        </row>
        <row r="1990">
          <cell r="F1990">
            <v>315474</v>
          </cell>
          <cell r="G1990" t="str">
            <v>Ana Merced Arriola Gomez</v>
          </cell>
        </row>
        <row r="1991">
          <cell r="F1991">
            <v>308129</v>
          </cell>
          <cell r="G1991" t="str">
            <v>Ana Mercedes Tiul Caal</v>
          </cell>
        </row>
        <row r="1992">
          <cell r="F1992">
            <v>314191</v>
          </cell>
          <cell r="G1992" t="str">
            <v>Ana Patricia Escobar Cardona</v>
          </cell>
        </row>
        <row r="1993">
          <cell r="F1993">
            <v>310191</v>
          </cell>
          <cell r="G1993" t="str">
            <v>Ana Paulina Macario Del Cid</v>
          </cell>
        </row>
        <row r="1994">
          <cell r="F1994">
            <v>310728</v>
          </cell>
          <cell r="G1994" t="str">
            <v>Ana Rita Morales Mata</v>
          </cell>
        </row>
        <row r="1995">
          <cell r="F1995">
            <v>314469</v>
          </cell>
          <cell r="G1995" t="str">
            <v>Ana Sofia Castillo Armas</v>
          </cell>
        </row>
        <row r="1996">
          <cell r="F1996">
            <v>312945</v>
          </cell>
          <cell r="G1996" t="str">
            <v>Ana Victoria Gonzalez Garcia</v>
          </cell>
        </row>
        <row r="1997">
          <cell r="F1997">
            <v>314019</v>
          </cell>
          <cell r="G1997" t="str">
            <v>Anali Guadalupe Salazar Rodriguez</v>
          </cell>
        </row>
        <row r="1998">
          <cell r="F1998">
            <v>315372</v>
          </cell>
          <cell r="G1998" t="str">
            <v>Andrea Ayalett Ochoa Lopez</v>
          </cell>
        </row>
        <row r="1999">
          <cell r="F1999">
            <v>311505</v>
          </cell>
          <cell r="G1999" t="str">
            <v>Andrea Dayana Ordoñez Mendez</v>
          </cell>
        </row>
        <row r="2000">
          <cell r="F2000">
            <v>315215</v>
          </cell>
          <cell r="G2000" t="str">
            <v>Andrea Fernanda Villela Hernandez</v>
          </cell>
        </row>
        <row r="2001">
          <cell r="F2001">
            <v>311380</v>
          </cell>
          <cell r="G2001" t="str">
            <v>Andrea Lisbeth Ruiz Rodas</v>
          </cell>
        </row>
        <row r="2002">
          <cell r="F2002">
            <v>311137</v>
          </cell>
          <cell r="G2002" t="str">
            <v>Andrea Lucia Lopez Ajin</v>
          </cell>
        </row>
        <row r="2003">
          <cell r="F2003">
            <v>303012</v>
          </cell>
          <cell r="G2003" t="str">
            <v>Andrea Marbely Letran Juarez</v>
          </cell>
        </row>
        <row r="2004">
          <cell r="F2004">
            <v>315264</v>
          </cell>
          <cell r="G2004" t="str">
            <v>Andrea Margarita Gomez Morales</v>
          </cell>
        </row>
        <row r="2005">
          <cell r="F2005">
            <v>302630</v>
          </cell>
          <cell r="G2005" t="str">
            <v>Andrea Maria Alvarez Calderon</v>
          </cell>
        </row>
        <row r="2006">
          <cell r="F2006">
            <v>314057</v>
          </cell>
          <cell r="G2006" t="str">
            <v>Andrea Michelle Urbina Solorzano</v>
          </cell>
        </row>
        <row r="2007">
          <cell r="F2007">
            <v>312310</v>
          </cell>
          <cell r="G2007" t="str">
            <v>Andrea Paola Santisteban Per</v>
          </cell>
        </row>
        <row r="2008">
          <cell r="F2008">
            <v>311079</v>
          </cell>
          <cell r="G2008" t="str">
            <v>Andrea Sucely Ortiz Villavicencio</v>
          </cell>
        </row>
        <row r="2009">
          <cell r="F2009">
            <v>311759</v>
          </cell>
          <cell r="G2009" t="str">
            <v>Andrea Yesenia Carpio Ramirez</v>
          </cell>
        </row>
        <row r="2010">
          <cell r="F2010">
            <v>313301</v>
          </cell>
          <cell r="G2010" t="str">
            <v>Andreina Antonieta Velasquez Fuentes</v>
          </cell>
        </row>
        <row r="2011">
          <cell r="F2011">
            <v>315450</v>
          </cell>
          <cell r="G2011" t="str">
            <v>Andreina Nataly Canahui Ochoa</v>
          </cell>
        </row>
        <row r="2012">
          <cell r="F2012">
            <v>314933</v>
          </cell>
          <cell r="G2012" t="str">
            <v>Angel Eliu Humberto Caal Lopez</v>
          </cell>
        </row>
        <row r="2013">
          <cell r="F2013">
            <v>306471</v>
          </cell>
          <cell r="G2013" t="str">
            <v>Angel Enmanuel Quim Macz</v>
          </cell>
        </row>
        <row r="2014">
          <cell r="F2014">
            <v>309415</v>
          </cell>
          <cell r="G2014" t="str">
            <v>Angel Jose Figueroa Garcia</v>
          </cell>
        </row>
        <row r="2015">
          <cell r="F2015">
            <v>315312</v>
          </cell>
          <cell r="G2015" t="str">
            <v>Angel Josue Ortiz De Leon</v>
          </cell>
        </row>
        <row r="2016">
          <cell r="F2016">
            <v>305814</v>
          </cell>
          <cell r="G2016" t="str">
            <v>Angel Josue Perez Rivera</v>
          </cell>
        </row>
        <row r="2017">
          <cell r="F2017">
            <v>314564</v>
          </cell>
          <cell r="G2017" t="str">
            <v>Angel Raderyk Vasquez Ovando</v>
          </cell>
        </row>
        <row r="2018">
          <cell r="F2018">
            <v>312055</v>
          </cell>
          <cell r="G2018" t="str">
            <v>Angela Daniela Mazariegos Herrera</v>
          </cell>
        </row>
        <row r="2019">
          <cell r="F2019">
            <v>311086</v>
          </cell>
          <cell r="G2019" t="str">
            <v>Angela Esmeralda Reyes Arriaza</v>
          </cell>
        </row>
        <row r="2020">
          <cell r="F2020">
            <v>309859</v>
          </cell>
          <cell r="G2020" t="str">
            <v>Angela Ester Gramajo Galicia</v>
          </cell>
        </row>
        <row r="2021">
          <cell r="F2021">
            <v>315026</v>
          </cell>
          <cell r="G2021" t="str">
            <v>Angela Marizol Ramon Escobar</v>
          </cell>
        </row>
        <row r="2022">
          <cell r="F2022">
            <v>314696</v>
          </cell>
          <cell r="G2022" t="str">
            <v>Angelica Sol Ortiz</v>
          </cell>
        </row>
        <row r="2023">
          <cell r="F2023">
            <v>311699</v>
          </cell>
          <cell r="G2023" t="str">
            <v>Anika Beira Domingo Escobar</v>
          </cell>
        </row>
        <row r="2024">
          <cell r="F2024">
            <v>315556</v>
          </cell>
          <cell r="G2024" t="str">
            <v>Anthony Enrique Castellanos Perez</v>
          </cell>
        </row>
        <row r="2025">
          <cell r="F2025">
            <v>315121</v>
          </cell>
          <cell r="G2025" t="str">
            <v>Antoni Alexis Del Cid Sian</v>
          </cell>
        </row>
        <row r="2026">
          <cell r="F2026">
            <v>311557</v>
          </cell>
          <cell r="G2026" t="str">
            <v>Aracely Nohemy Fuentes Alonzo</v>
          </cell>
        </row>
        <row r="2027">
          <cell r="F2027">
            <v>102256</v>
          </cell>
          <cell r="G2027" t="str">
            <v>Arelis Noemi Gonzalez Vivar</v>
          </cell>
        </row>
        <row r="2028">
          <cell r="F2028">
            <v>315150</v>
          </cell>
          <cell r="G2028" t="str">
            <v>Arely Maoly Aguilar Y Aguilar</v>
          </cell>
        </row>
        <row r="2029">
          <cell r="F2029">
            <v>309908</v>
          </cell>
          <cell r="G2029" t="str">
            <v>Arleth Julissa Paredez Ramirez</v>
          </cell>
        </row>
        <row r="2030">
          <cell r="F2030">
            <v>315532</v>
          </cell>
          <cell r="G2030" t="str">
            <v>Ashley Dayana Franco Sandoval</v>
          </cell>
        </row>
        <row r="2031">
          <cell r="F2031">
            <v>315493</v>
          </cell>
          <cell r="G2031" t="str">
            <v>Astrid Carolina Lopez Lopez</v>
          </cell>
        </row>
        <row r="2032">
          <cell r="F2032">
            <v>310020</v>
          </cell>
          <cell r="G2032" t="str">
            <v>Astrid Elena Alvarado Lopez</v>
          </cell>
        </row>
        <row r="2033">
          <cell r="F2033">
            <v>315277</v>
          </cell>
          <cell r="G2033" t="str">
            <v>Astrid Guadalupe Fernandez Perez</v>
          </cell>
        </row>
        <row r="2034">
          <cell r="F2034">
            <v>310483</v>
          </cell>
          <cell r="G2034" t="str">
            <v>Astrid Ivone Hernandez</v>
          </cell>
        </row>
        <row r="2035">
          <cell r="F2035">
            <v>309804</v>
          </cell>
          <cell r="G2035" t="str">
            <v>Astrid Leonela Barrios Velasquez</v>
          </cell>
        </row>
        <row r="2036">
          <cell r="F2036">
            <v>312146</v>
          </cell>
          <cell r="G2036" t="str">
            <v>Astrid Lisbeth Morales Morales</v>
          </cell>
        </row>
        <row r="2037">
          <cell r="F2037">
            <v>310967</v>
          </cell>
          <cell r="G2037" t="str">
            <v>Astrid Marielena Mendez Garcia</v>
          </cell>
        </row>
        <row r="2038">
          <cell r="F2038">
            <v>311328</v>
          </cell>
          <cell r="G2038" t="str">
            <v>Astrid Yohana Escobar Oliva</v>
          </cell>
        </row>
        <row r="2039">
          <cell r="F2039">
            <v>314277</v>
          </cell>
          <cell r="G2039" t="str">
            <v>Aura Josefina Coy Tiul</v>
          </cell>
        </row>
        <row r="2040">
          <cell r="F2040">
            <v>202265</v>
          </cell>
          <cell r="G2040" t="str">
            <v>Aura Leticia Aparicio Marin</v>
          </cell>
        </row>
        <row r="2041">
          <cell r="F2041">
            <v>314986</v>
          </cell>
          <cell r="G2041" t="str">
            <v>Aura Lourdes Garcia Gomez</v>
          </cell>
        </row>
        <row r="2042">
          <cell r="F2042">
            <v>314350</v>
          </cell>
          <cell r="G2042" t="str">
            <v>Aura Mirthala Castillo Castillo</v>
          </cell>
        </row>
        <row r="2043">
          <cell r="F2043">
            <v>313666</v>
          </cell>
          <cell r="G2043" t="str">
            <v>Avner Josue Merida Molina</v>
          </cell>
        </row>
        <row r="2044">
          <cell r="F2044">
            <v>315388</v>
          </cell>
          <cell r="G2044" t="str">
            <v>Axel Anderson Montufar Roca</v>
          </cell>
        </row>
        <row r="2045">
          <cell r="F2045">
            <v>314730</v>
          </cell>
          <cell r="G2045" t="str">
            <v>Axel Denilson Hernandez Tocay</v>
          </cell>
        </row>
        <row r="2046">
          <cell r="F2046">
            <v>315271</v>
          </cell>
          <cell r="G2046" t="str">
            <v>Axel Roberto Guzman Coro</v>
          </cell>
        </row>
        <row r="2047">
          <cell r="F2047">
            <v>308798</v>
          </cell>
          <cell r="G2047" t="str">
            <v>Axel Wilfredo Caal Coy</v>
          </cell>
        </row>
        <row r="2048">
          <cell r="F2048">
            <v>307068</v>
          </cell>
          <cell r="G2048" t="str">
            <v>Azucena Raquel Luis Perez</v>
          </cell>
        </row>
        <row r="2049">
          <cell r="F2049">
            <v>313706</v>
          </cell>
          <cell r="G2049" t="str">
            <v>Barbara Alejandra Toj Romero</v>
          </cell>
        </row>
        <row r="2050">
          <cell r="F2050">
            <v>311943</v>
          </cell>
          <cell r="G2050" t="str">
            <v>Beberli Yuceli Gomez Davila</v>
          </cell>
        </row>
        <row r="2051">
          <cell r="F2051">
            <v>311141</v>
          </cell>
          <cell r="G2051" t="str">
            <v>Beberlin Dayana Veron Garcia</v>
          </cell>
        </row>
        <row r="2052">
          <cell r="F2052">
            <v>312544</v>
          </cell>
          <cell r="G2052" t="str">
            <v>Beberly Angeaneth Gonzalez Ruiz</v>
          </cell>
        </row>
        <row r="2053">
          <cell r="F2053">
            <v>309965</v>
          </cell>
          <cell r="G2053" t="str">
            <v>Beberly Karina Ramirez Ismatul</v>
          </cell>
        </row>
        <row r="2054">
          <cell r="F2054">
            <v>313675</v>
          </cell>
          <cell r="G2054" t="str">
            <v>Beberly Salvador Zuñiga</v>
          </cell>
        </row>
        <row r="2055">
          <cell r="F2055">
            <v>311623</v>
          </cell>
          <cell r="G2055" t="str">
            <v>Belgica Lizeth Can Guitz</v>
          </cell>
        </row>
        <row r="2056">
          <cell r="F2056">
            <v>314219</v>
          </cell>
          <cell r="G2056" t="str">
            <v>Berta Leticia Yapan Pelen</v>
          </cell>
        </row>
        <row r="2057">
          <cell r="F2057">
            <v>314495</v>
          </cell>
          <cell r="G2057" t="str">
            <v>Bertha Lidia Morataya Diaz</v>
          </cell>
        </row>
        <row r="2058">
          <cell r="F2058">
            <v>310116</v>
          </cell>
          <cell r="G2058" t="str">
            <v>Bertha Rosalba Gabriel Vasquez</v>
          </cell>
        </row>
        <row r="2059">
          <cell r="F2059">
            <v>312164</v>
          </cell>
          <cell r="G2059" t="str">
            <v>Betzy Dayana Gutierrez Chon</v>
          </cell>
        </row>
        <row r="2060">
          <cell r="F2060">
            <v>314695</v>
          </cell>
          <cell r="G2060" t="str">
            <v>Beverly Jeanette Panjoj Tiriquiz</v>
          </cell>
        </row>
        <row r="2061">
          <cell r="F2061">
            <v>305070</v>
          </cell>
          <cell r="G2061" t="str">
            <v>Beverly Walesca Morales Ibarra</v>
          </cell>
        </row>
        <row r="2062">
          <cell r="F2062">
            <v>314496</v>
          </cell>
          <cell r="G2062" t="str">
            <v>Blanca Cristina Saquic Ac</v>
          </cell>
        </row>
        <row r="2063">
          <cell r="F2063">
            <v>310463</v>
          </cell>
          <cell r="G2063" t="str">
            <v>Blanca Olinda Quintanilla Godoy</v>
          </cell>
        </row>
        <row r="2064">
          <cell r="F2064">
            <v>315542</v>
          </cell>
          <cell r="G2064" t="str">
            <v>Brandon Alberto Jerez Cajas</v>
          </cell>
        </row>
        <row r="2065">
          <cell r="F2065">
            <v>313655</v>
          </cell>
          <cell r="G2065" t="str">
            <v>Brandon Antonio Alvarez Lopez</v>
          </cell>
        </row>
        <row r="2066">
          <cell r="F2066">
            <v>311035</v>
          </cell>
          <cell r="G2066" t="str">
            <v>Brandon Ivan De Mata Monzon</v>
          </cell>
        </row>
        <row r="2067">
          <cell r="F2067">
            <v>315227</v>
          </cell>
          <cell r="G2067" t="str">
            <v>Brayan Alexander Lopez Garcia</v>
          </cell>
        </row>
        <row r="2068">
          <cell r="F2068">
            <v>311689</v>
          </cell>
          <cell r="G2068" t="str">
            <v>Brayan Alexander Recancoy Ramos</v>
          </cell>
        </row>
        <row r="2069">
          <cell r="F2069">
            <v>314853</v>
          </cell>
          <cell r="G2069" t="str">
            <v>Brayan Dennis Lopez Puac</v>
          </cell>
        </row>
        <row r="2070">
          <cell r="F2070">
            <v>310812</v>
          </cell>
          <cell r="G2070" t="str">
            <v>Brayan Franklin Lopez Alvarez</v>
          </cell>
        </row>
        <row r="2071">
          <cell r="F2071">
            <v>308857</v>
          </cell>
          <cell r="G2071" t="str">
            <v>Brenda Elizabeth Sanchez Barrientos</v>
          </cell>
        </row>
        <row r="2072">
          <cell r="F2072">
            <v>305633</v>
          </cell>
          <cell r="G2072" t="str">
            <v>Brenda Esmeralda Alvarado Pascual</v>
          </cell>
        </row>
        <row r="2073">
          <cell r="F2073">
            <v>311220</v>
          </cell>
          <cell r="G2073" t="str">
            <v>Brenda Karina Coxaj Peinado</v>
          </cell>
        </row>
        <row r="2074">
          <cell r="F2074">
            <v>314642</v>
          </cell>
          <cell r="G2074" t="str">
            <v>Brenda Liseth Ixcoy Tulujan</v>
          </cell>
        </row>
        <row r="2075">
          <cell r="F2075">
            <v>304427</v>
          </cell>
          <cell r="G2075" t="str">
            <v>Brenda Lucrecia Lopez Gonzalez</v>
          </cell>
        </row>
        <row r="2076">
          <cell r="F2076">
            <v>315536</v>
          </cell>
          <cell r="G2076" t="str">
            <v>Brenda Lucrecia Ruiz Sanchez</v>
          </cell>
        </row>
        <row r="2077">
          <cell r="F2077">
            <v>310019</v>
          </cell>
          <cell r="G2077" t="str">
            <v>Brenda Maribel Montenegro Reyes</v>
          </cell>
        </row>
        <row r="2078">
          <cell r="F2078">
            <v>301074</v>
          </cell>
          <cell r="G2078" t="str">
            <v>Brenda Marisol Aguilar Patzan</v>
          </cell>
        </row>
        <row r="2079">
          <cell r="F2079">
            <v>313843</v>
          </cell>
          <cell r="G2079" t="str">
            <v>Brenda Marisol Sanchez Chivalan</v>
          </cell>
        </row>
        <row r="2080">
          <cell r="F2080">
            <v>309042</v>
          </cell>
          <cell r="G2080" t="str">
            <v>Brenda Perez Morales</v>
          </cell>
        </row>
        <row r="2081">
          <cell r="F2081">
            <v>306259</v>
          </cell>
          <cell r="G2081" t="str">
            <v>Brenda Raquel Ramirez Sanchez</v>
          </cell>
        </row>
        <row r="2082">
          <cell r="F2082">
            <v>315398</v>
          </cell>
          <cell r="G2082" t="str">
            <v>Bretany Celeste Ramirez Monroy</v>
          </cell>
        </row>
        <row r="2083">
          <cell r="F2083">
            <v>313436</v>
          </cell>
          <cell r="G2083" t="str">
            <v>Brian Baudilio Orozco Perez</v>
          </cell>
        </row>
        <row r="2084">
          <cell r="F2084">
            <v>310691</v>
          </cell>
          <cell r="G2084" t="str">
            <v>Brisley Cristina Ortiz Zelada</v>
          </cell>
        </row>
        <row r="2085">
          <cell r="F2085">
            <v>314290</v>
          </cell>
          <cell r="G2085" t="str">
            <v>Bryan Alexander Emanuel Orozco Lancerio</v>
          </cell>
        </row>
        <row r="2086">
          <cell r="F2086">
            <v>315133</v>
          </cell>
          <cell r="G2086" t="str">
            <v>Bryan Daniel Milián De Leon</v>
          </cell>
        </row>
        <row r="2087">
          <cell r="F2087">
            <v>307335</v>
          </cell>
          <cell r="G2087" t="str">
            <v>Bryllan Armando Sierra Sierra</v>
          </cell>
        </row>
        <row r="2088">
          <cell r="F2088">
            <v>314864</v>
          </cell>
          <cell r="G2088" t="str">
            <v>Byron Estuardo Paredes Villela</v>
          </cell>
        </row>
        <row r="2089">
          <cell r="F2089">
            <v>313648</v>
          </cell>
          <cell r="G2089" t="str">
            <v>Byron Giovanni Veliz Vasquez</v>
          </cell>
        </row>
        <row r="2090">
          <cell r="F2090">
            <v>303766</v>
          </cell>
          <cell r="G2090" t="str">
            <v>Byron Josue Moscoso Vega</v>
          </cell>
        </row>
        <row r="2091">
          <cell r="F2091">
            <v>313985</v>
          </cell>
          <cell r="G2091" t="str">
            <v>Byron Mauricio Amezquita Rivas</v>
          </cell>
        </row>
        <row r="2092">
          <cell r="F2092">
            <v>315267</v>
          </cell>
          <cell r="G2092" t="str">
            <v>Carla Esmeralda Candido Gonzalez</v>
          </cell>
        </row>
        <row r="2093">
          <cell r="F2093">
            <v>314451</v>
          </cell>
          <cell r="G2093" t="str">
            <v>Carla Fernanda Fernandez Lopez</v>
          </cell>
        </row>
        <row r="2094">
          <cell r="F2094">
            <v>312153</v>
          </cell>
          <cell r="G2094" t="str">
            <v>Carlos Adalberto Diaz Escobar</v>
          </cell>
        </row>
        <row r="2095">
          <cell r="F2095">
            <v>315125</v>
          </cell>
          <cell r="G2095" t="str">
            <v>Carlos Alberto Galvez Hernandez</v>
          </cell>
        </row>
        <row r="2096">
          <cell r="F2096">
            <v>314135</v>
          </cell>
          <cell r="G2096" t="str">
            <v>Carlos Alberto Guzman Hernandez</v>
          </cell>
        </row>
        <row r="2097">
          <cell r="F2097">
            <v>315051</v>
          </cell>
          <cell r="G2097" t="str">
            <v>Carlos Alfredo Catun Rax</v>
          </cell>
        </row>
        <row r="2098">
          <cell r="F2098">
            <v>309822</v>
          </cell>
          <cell r="G2098" t="str">
            <v>Carlos Anibal Caal Tux</v>
          </cell>
        </row>
        <row r="2099">
          <cell r="F2099">
            <v>302371</v>
          </cell>
          <cell r="G2099" t="str">
            <v>Carlos Arturo Straube Lopez</v>
          </cell>
        </row>
        <row r="2100">
          <cell r="F2100">
            <v>314738</v>
          </cell>
          <cell r="G2100" t="str">
            <v>Carlos David Castillo Gamboa</v>
          </cell>
        </row>
        <row r="2101">
          <cell r="F2101">
            <v>315158</v>
          </cell>
          <cell r="G2101" t="str">
            <v>Carlos Emilio Cumez Chenol</v>
          </cell>
        </row>
        <row r="2102">
          <cell r="F2102">
            <v>312533</v>
          </cell>
          <cell r="G2102" t="str">
            <v>Carlos Enrique Coz Toc</v>
          </cell>
        </row>
        <row r="2103">
          <cell r="F2103">
            <v>314773</v>
          </cell>
          <cell r="G2103" t="str">
            <v>Carlos Enrique Ramirez Lopez</v>
          </cell>
        </row>
        <row r="2104">
          <cell r="F2104">
            <v>313303</v>
          </cell>
          <cell r="G2104" t="str">
            <v>Carlos Enrique Vasquez Esteban</v>
          </cell>
        </row>
        <row r="2105">
          <cell r="F2105">
            <v>314841</v>
          </cell>
          <cell r="G2105" t="str">
            <v>Carlos Estuardo Campos Asig</v>
          </cell>
        </row>
        <row r="2106">
          <cell r="F2106">
            <v>308075</v>
          </cell>
          <cell r="G2106" t="str">
            <v>Carlos Humberto De Paz Paiz</v>
          </cell>
        </row>
        <row r="2107">
          <cell r="F2107">
            <v>314441</v>
          </cell>
          <cell r="G2107" t="str">
            <v>Carlos Josue Perez Garcia</v>
          </cell>
        </row>
        <row r="2108">
          <cell r="F2108">
            <v>202153</v>
          </cell>
          <cell r="G2108" t="str">
            <v>Carlos Leonel Corado Sosa</v>
          </cell>
        </row>
        <row r="2109">
          <cell r="F2109">
            <v>313324</v>
          </cell>
          <cell r="G2109" t="str">
            <v>Carlos Miguel Carrillo Perez</v>
          </cell>
        </row>
        <row r="2110">
          <cell r="F2110">
            <v>310535</v>
          </cell>
          <cell r="G2110" t="str">
            <v>Carlos Oliverio Ortiz Villalobos</v>
          </cell>
        </row>
        <row r="2111">
          <cell r="F2111">
            <v>315501</v>
          </cell>
          <cell r="G2111" t="str">
            <v>Carlos Onofre Sierra Vasquez</v>
          </cell>
        </row>
        <row r="2112">
          <cell r="F2112">
            <v>313844</v>
          </cell>
          <cell r="G2112" t="str">
            <v>Carlos Raul Pedroza Lopez</v>
          </cell>
        </row>
        <row r="2113">
          <cell r="F2113">
            <v>315111</v>
          </cell>
          <cell r="G2113" t="str">
            <v>Carlos Roberto Arana Garcia</v>
          </cell>
        </row>
        <row r="2114">
          <cell r="F2114">
            <v>304522</v>
          </cell>
          <cell r="G2114" t="str">
            <v>Carlos Saul Santizo Lopez</v>
          </cell>
        </row>
        <row r="2115">
          <cell r="F2115">
            <v>315182</v>
          </cell>
          <cell r="G2115" t="str">
            <v>Carmen Amalia Macario Rixtun</v>
          </cell>
        </row>
        <row r="2116">
          <cell r="F2116">
            <v>311800</v>
          </cell>
          <cell r="G2116" t="str">
            <v>Carmen Elizabeth Vargas Tun</v>
          </cell>
        </row>
        <row r="2117">
          <cell r="F2117">
            <v>312849</v>
          </cell>
          <cell r="G2117" t="str">
            <v>Carmen Liliana Subuyuj Ordoñez</v>
          </cell>
        </row>
        <row r="2118">
          <cell r="F2118">
            <v>315498</v>
          </cell>
          <cell r="G2118" t="str">
            <v>Carolina Azucena Lima Contreras</v>
          </cell>
        </row>
        <row r="2119">
          <cell r="F2119">
            <v>312692</v>
          </cell>
          <cell r="G2119" t="str">
            <v>Catarina Del Rosario Lopez Taquiej</v>
          </cell>
        </row>
        <row r="2120">
          <cell r="F2120">
            <v>314287</v>
          </cell>
          <cell r="G2120" t="str">
            <v>Caterin Berenise Cayax Atz</v>
          </cell>
        </row>
        <row r="2121">
          <cell r="F2121">
            <v>313662</v>
          </cell>
          <cell r="G2121" t="str">
            <v>Catirin Marbella Juarez Garcia</v>
          </cell>
        </row>
        <row r="2122">
          <cell r="F2122">
            <v>307766</v>
          </cell>
          <cell r="G2122" t="str">
            <v>Cecia Amabil Lopez Valencia</v>
          </cell>
        </row>
        <row r="2123">
          <cell r="F2123">
            <v>311730</v>
          </cell>
          <cell r="G2123" t="str">
            <v>Cecilia Margoth Lopez Raymundo</v>
          </cell>
        </row>
        <row r="2124">
          <cell r="F2124">
            <v>314955</v>
          </cell>
          <cell r="G2124" t="str">
            <v>Celia Esperanza Arroyo Chiche</v>
          </cell>
        </row>
        <row r="2125">
          <cell r="F2125">
            <v>310950</v>
          </cell>
          <cell r="G2125" t="str">
            <v>Cendy Regina Axulen Gonzalez</v>
          </cell>
        </row>
        <row r="2126">
          <cell r="F2126">
            <v>314640</v>
          </cell>
          <cell r="G2126" t="str">
            <v>Cesar Estuardo Perez Monterroso</v>
          </cell>
        </row>
        <row r="2127">
          <cell r="F2127">
            <v>300192</v>
          </cell>
          <cell r="G2127" t="str">
            <v>Cesar Fernando Reyna Almengor</v>
          </cell>
        </row>
        <row r="2128">
          <cell r="F2128">
            <v>313484</v>
          </cell>
          <cell r="G2128" t="str">
            <v>Cesar Geovanni Tuc Sum</v>
          </cell>
        </row>
        <row r="2129">
          <cell r="F2129">
            <v>303330</v>
          </cell>
          <cell r="G2129" t="str">
            <v>Cesar Geovanny De Leon Palacios</v>
          </cell>
        </row>
        <row r="2130">
          <cell r="F2130">
            <v>314446</v>
          </cell>
          <cell r="G2130" t="str">
            <v>Cesar Humberto Cazun Hernandez</v>
          </cell>
        </row>
        <row r="2131">
          <cell r="F2131">
            <v>314900</v>
          </cell>
          <cell r="G2131" t="str">
            <v>Cesar Oliverio Orozco Flores</v>
          </cell>
        </row>
        <row r="2132">
          <cell r="F2132">
            <v>311692</v>
          </cell>
          <cell r="G2132" t="str">
            <v>Cesia Paola Marroquin Sanchez</v>
          </cell>
        </row>
        <row r="2133">
          <cell r="F2133">
            <v>315401</v>
          </cell>
          <cell r="G2133" t="str">
            <v>Christa Maria Belen Barrera Mazariegos</v>
          </cell>
        </row>
        <row r="2134">
          <cell r="F2134">
            <v>315509</v>
          </cell>
          <cell r="G2134" t="str">
            <v>Christiam Daniel Arroyo Cisneros</v>
          </cell>
        </row>
        <row r="2135">
          <cell r="F2135">
            <v>310362</v>
          </cell>
          <cell r="G2135" t="str">
            <v>Christian Alejandro Tistoj Lopez</v>
          </cell>
        </row>
        <row r="2136">
          <cell r="F2136">
            <v>315525</v>
          </cell>
          <cell r="G2136" t="str">
            <v>Christian Bladimir Panjoj Mejia</v>
          </cell>
        </row>
        <row r="2137">
          <cell r="F2137">
            <v>314565</v>
          </cell>
          <cell r="G2137" t="str">
            <v>Christian Eduardo Celada Orellana</v>
          </cell>
        </row>
        <row r="2138">
          <cell r="F2138">
            <v>309907</v>
          </cell>
          <cell r="G2138" t="str">
            <v>Christofer Antonio Chali Bacajol</v>
          </cell>
        </row>
        <row r="2139">
          <cell r="F2139">
            <v>312703</v>
          </cell>
          <cell r="G2139" t="str">
            <v>Cindy Aracely Ruano Can</v>
          </cell>
        </row>
        <row r="2140">
          <cell r="F2140">
            <v>307760</v>
          </cell>
          <cell r="G2140" t="str">
            <v>Cindy Beatriz Reyes De Leon</v>
          </cell>
        </row>
        <row r="2141">
          <cell r="F2141">
            <v>312950</v>
          </cell>
          <cell r="G2141" t="str">
            <v>Cindy Carolina Sandoval Ruiz</v>
          </cell>
        </row>
        <row r="2142">
          <cell r="F2142">
            <v>312302</v>
          </cell>
          <cell r="G2142" t="str">
            <v>Cindy Gabriela Chanchavac Mejia</v>
          </cell>
        </row>
        <row r="2143">
          <cell r="F2143">
            <v>315484</v>
          </cell>
          <cell r="G2143" t="str">
            <v>Cindy Gabriela Perez</v>
          </cell>
        </row>
        <row r="2144">
          <cell r="F2144">
            <v>312872</v>
          </cell>
          <cell r="G2144" t="str">
            <v>Cindy Judith Urizar Davila</v>
          </cell>
        </row>
        <row r="2145">
          <cell r="F2145">
            <v>312532</v>
          </cell>
          <cell r="G2145" t="str">
            <v>Cindy Melissa Cordon Alfaro</v>
          </cell>
        </row>
        <row r="2146">
          <cell r="F2146">
            <v>314028</v>
          </cell>
          <cell r="G2146" t="str">
            <v>Cindy Paola Garcia Monroy</v>
          </cell>
        </row>
        <row r="2147">
          <cell r="F2147">
            <v>314689</v>
          </cell>
          <cell r="G2147" t="str">
            <v>Cindy Veronica Bran Polanco</v>
          </cell>
        </row>
        <row r="2148">
          <cell r="F2148">
            <v>314409</v>
          </cell>
          <cell r="G2148" t="str">
            <v>Cindy Yenibeth Cano Claudio</v>
          </cell>
        </row>
        <row r="2149">
          <cell r="F2149">
            <v>310946</v>
          </cell>
          <cell r="G2149" t="str">
            <v>Cindy Yesenia Morales Quevedo De Abril</v>
          </cell>
        </row>
        <row r="2150">
          <cell r="F2150">
            <v>312831</v>
          </cell>
          <cell r="G2150" t="str">
            <v>Cindy Yojana Mendoza Cajas</v>
          </cell>
        </row>
        <row r="2151">
          <cell r="F2151">
            <v>312181</v>
          </cell>
          <cell r="G2151" t="str">
            <v>Clara Elizabeth Joge Torres</v>
          </cell>
        </row>
        <row r="2152">
          <cell r="F2152">
            <v>310768</v>
          </cell>
          <cell r="G2152" t="str">
            <v>Clara Lorena Perez Hernandez</v>
          </cell>
        </row>
        <row r="2153">
          <cell r="F2153">
            <v>315453</v>
          </cell>
          <cell r="G2153" t="str">
            <v>Claudia Analy Argueta Matias</v>
          </cell>
        </row>
        <row r="2154">
          <cell r="F2154">
            <v>306444</v>
          </cell>
          <cell r="G2154" t="str">
            <v>Claudia Dolores Barcenas Guillen</v>
          </cell>
        </row>
        <row r="2155">
          <cell r="F2155">
            <v>301809</v>
          </cell>
          <cell r="G2155" t="str">
            <v>Claudia Eugenia Chavarria Ramos</v>
          </cell>
        </row>
        <row r="2156">
          <cell r="F2156">
            <v>311808</v>
          </cell>
          <cell r="G2156" t="str">
            <v>Claudia Lorena Quino Isaguirre</v>
          </cell>
        </row>
        <row r="2157">
          <cell r="F2157">
            <v>314574</v>
          </cell>
          <cell r="G2157" t="str">
            <v>Claudia Marisol Esquivel Ramirez</v>
          </cell>
        </row>
        <row r="2158">
          <cell r="F2158">
            <v>313613</v>
          </cell>
          <cell r="G2158" t="str">
            <v>Claudia Noemi Marroquin Perez</v>
          </cell>
        </row>
        <row r="2159">
          <cell r="F2159">
            <v>306569</v>
          </cell>
          <cell r="G2159" t="str">
            <v>Claudia Susana Garcia</v>
          </cell>
        </row>
        <row r="2160">
          <cell r="F2160">
            <v>311441</v>
          </cell>
          <cell r="G2160" t="str">
            <v>Claudia Yaneth Hidalgo Gonzalez</v>
          </cell>
        </row>
        <row r="2161">
          <cell r="F2161">
            <v>303265</v>
          </cell>
          <cell r="G2161" t="str">
            <v>Claudia Yesenia Pinto Picen</v>
          </cell>
        </row>
        <row r="2162">
          <cell r="F2162">
            <v>313318</v>
          </cell>
          <cell r="G2162" t="str">
            <v>Claudia Yesenia Ramos Perez</v>
          </cell>
        </row>
        <row r="2163">
          <cell r="F2163">
            <v>309535</v>
          </cell>
          <cell r="G2163" t="str">
            <v>Coralia Brenda Judith Ruano Hernandez</v>
          </cell>
        </row>
        <row r="2164">
          <cell r="F2164">
            <v>310711</v>
          </cell>
          <cell r="G2164" t="str">
            <v>Cristian Alfredo Jimenez Quino</v>
          </cell>
        </row>
        <row r="2165">
          <cell r="F2165">
            <v>312995</v>
          </cell>
          <cell r="G2165" t="str">
            <v>Cristian Esleiter Zuleta Batres</v>
          </cell>
        </row>
        <row r="2166">
          <cell r="F2166">
            <v>314701</v>
          </cell>
          <cell r="G2166" t="str">
            <v>Cristian Orlando Leonardo Cortez</v>
          </cell>
        </row>
        <row r="2167">
          <cell r="F2167">
            <v>314612</v>
          </cell>
          <cell r="G2167" t="str">
            <v>Cristian Romulo Rolando Cojulun Barrera</v>
          </cell>
        </row>
        <row r="2168">
          <cell r="F2168">
            <v>314468</v>
          </cell>
          <cell r="G2168" t="str">
            <v>Cristian Salvador Perez Quiroa</v>
          </cell>
        </row>
        <row r="2169">
          <cell r="F2169">
            <v>314670</v>
          </cell>
          <cell r="G2169" t="str">
            <v>Cristian Tomas Chuc Perez</v>
          </cell>
        </row>
        <row r="2170">
          <cell r="F2170">
            <v>315578</v>
          </cell>
          <cell r="G2170" t="str">
            <v>Cristian Ubaldo De Leon Ramirez</v>
          </cell>
        </row>
        <row r="2171">
          <cell r="F2171">
            <v>307449</v>
          </cell>
          <cell r="G2171" t="str">
            <v>Cristina De Jesus Hernandez Macajola</v>
          </cell>
        </row>
        <row r="2172">
          <cell r="F2172">
            <v>306823</v>
          </cell>
          <cell r="G2172" t="str">
            <v>Cristina Mariela Sapon Morales</v>
          </cell>
        </row>
        <row r="2173">
          <cell r="F2173">
            <v>313589</v>
          </cell>
          <cell r="G2173" t="str">
            <v>Cristobal Vinicio Chacon Rosana</v>
          </cell>
        </row>
        <row r="2174">
          <cell r="F2174">
            <v>310386</v>
          </cell>
          <cell r="G2174" t="str">
            <v>Cristy Charito Bran Guerra</v>
          </cell>
        </row>
        <row r="2175">
          <cell r="F2175">
            <v>314883</v>
          </cell>
          <cell r="G2175" t="str">
            <v>Cynthia Guisela Samayoa Aldana</v>
          </cell>
        </row>
        <row r="2176">
          <cell r="F2176">
            <v>313709</v>
          </cell>
          <cell r="G2176" t="str">
            <v>Cynthia Marisol Gonzalez Vargas</v>
          </cell>
        </row>
        <row r="2177">
          <cell r="F2177">
            <v>314097</v>
          </cell>
          <cell r="G2177" t="str">
            <v>Cynthia Rosaura Cruz Cosajay</v>
          </cell>
        </row>
        <row r="2178">
          <cell r="F2178">
            <v>314981</v>
          </cell>
          <cell r="G2178" t="str">
            <v>Dalila Marisol Ramos Galan</v>
          </cell>
        </row>
        <row r="2179">
          <cell r="F2179">
            <v>308765</v>
          </cell>
          <cell r="G2179" t="str">
            <v>Damaris Abigail Garcia Perez</v>
          </cell>
        </row>
        <row r="2180">
          <cell r="F2180">
            <v>315256</v>
          </cell>
          <cell r="G2180" t="str">
            <v>Damaris Abigail Urizar Martinez</v>
          </cell>
        </row>
        <row r="2181">
          <cell r="F2181">
            <v>312949</v>
          </cell>
          <cell r="G2181" t="str">
            <v>Damaris Liseth Sagastume Pinto</v>
          </cell>
        </row>
        <row r="2182">
          <cell r="F2182">
            <v>314411</v>
          </cell>
          <cell r="G2182" t="str">
            <v>Damaris Paola Gonzalez Gallardo</v>
          </cell>
        </row>
        <row r="2183">
          <cell r="F2183">
            <v>314179</v>
          </cell>
          <cell r="G2183" t="str">
            <v>Damaris Sucely Mendez Roche</v>
          </cell>
        </row>
        <row r="2184">
          <cell r="F2184">
            <v>314276</v>
          </cell>
          <cell r="G2184" t="str">
            <v>Damaris Violeta Gonzalez Miguel</v>
          </cell>
        </row>
        <row r="2185">
          <cell r="F2185">
            <v>313514</v>
          </cell>
          <cell r="G2185" t="str">
            <v>Danae Melissa Xitumul Ruiz</v>
          </cell>
        </row>
        <row r="2186">
          <cell r="F2186">
            <v>313868</v>
          </cell>
          <cell r="G2186" t="str">
            <v>Danely Arleth Rubin Escobar</v>
          </cell>
        </row>
        <row r="2187">
          <cell r="F2187">
            <v>315480</v>
          </cell>
          <cell r="G2187" t="str">
            <v>Daneylie Abigalie Dardon Gomez</v>
          </cell>
        </row>
        <row r="2188">
          <cell r="F2188">
            <v>314406</v>
          </cell>
          <cell r="G2188" t="str">
            <v>Daniel Abrahan Castillo Hernandez</v>
          </cell>
        </row>
        <row r="2189">
          <cell r="F2189">
            <v>314646</v>
          </cell>
          <cell r="G2189" t="str">
            <v>Daniel Alfredo Aguirre Marroquin</v>
          </cell>
        </row>
        <row r="2190">
          <cell r="F2190">
            <v>305521</v>
          </cell>
          <cell r="G2190" t="str">
            <v>Daniel Antonio Aceituno Paredes</v>
          </cell>
        </row>
        <row r="2191">
          <cell r="F2191">
            <v>315568</v>
          </cell>
          <cell r="G2191" t="str">
            <v>Daniel Isai Moran Lima</v>
          </cell>
        </row>
        <row r="2192">
          <cell r="F2192">
            <v>310374</v>
          </cell>
          <cell r="G2192" t="str">
            <v>Daniela Amarilis Davila Juarez</v>
          </cell>
        </row>
        <row r="2193">
          <cell r="F2193">
            <v>315104</v>
          </cell>
          <cell r="G2193" t="str">
            <v>Dany Adalberto Choc Bac</v>
          </cell>
        </row>
        <row r="2194">
          <cell r="F2194">
            <v>314807</v>
          </cell>
          <cell r="G2194" t="str">
            <v>Daomi Mishel Larios Morales</v>
          </cell>
        </row>
        <row r="2195">
          <cell r="F2195">
            <v>312391</v>
          </cell>
          <cell r="G2195" t="str">
            <v>Daphne Pamela Lopez Rodriguez</v>
          </cell>
        </row>
        <row r="2196">
          <cell r="F2196">
            <v>312172</v>
          </cell>
          <cell r="G2196" t="str">
            <v>Darbin Alejandro Soto Rodriguez</v>
          </cell>
        </row>
        <row r="2197">
          <cell r="F2197">
            <v>314845</v>
          </cell>
          <cell r="G2197" t="str">
            <v>Darissa Anahi Galindo Monzon</v>
          </cell>
        </row>
        <row r="2198">
          <cell r="F2198">
            <v>312419</v>
          </cell>
          <cell r="G2198" t="str">
            <v>Darli Asuceli Florian Garcia</v>
          </cell>
        </row>
        <row r="2199">
          <cell r="F2199">
            <v>312836</v>
          </cell>
          <cell r="G2199" t="str">
            <v>Darlin Estefany Coyoy Rivas</v>
          </cell>
        </row>
        <row r="2200">
          <cell r="F2200">
            <v>312077</v>
          </cell>
          <cell r="G2200" t="str">
            <v>Darlin Pamela Aguilar De La Cruz</v>
          </cell>
        </row>
        <row r="2201">
          <cell r="F2201">
            <v>314775</v>
          </cell>
          <cell r="G2201" t="str">
            <v>Darlyn Dayanara Cortez Ramirez</v>
          </cell>
        </row>
        <row r="2202">
          <cell r="F2202">
            <v>312223</v>
          </cell>
          <cell r="G2202" t="str">
            <v>Darlyn Guadalupe Barrios Yax</v>
          </cell>
        </row>
        <row r="2203">
          <cell r="F2203">
            <v>309926</v>
          </cell>
          <cell r="G2203" t="str">
            <v>Darwin Alexis Ponciano Cruz</v>
          </cell>
        </row>
        <row r="2204">
          <cell r="F2204">
            <v>315167</v>
          </cell>
          <cell r="G2204" t="str">
            <v>Darwin Omar Cabrera Cheguen</v>
          </cell>
        </row>
        <row r="2205">
          <cell r="F2205">
            <v>310390</v>
          </cell>
          <cell r="G2205" t="str">
            <v>Dauris Yomira Tellechea Lopez</v>
          </cell>
        </row>
        <row r="2206">
          <cell r="F2206">
            <v>202076</v>
          </cell>
          <cell r="G2206" t="str">
            <v>David De Jesus Quel Orozco</v>
          </cell>
        </row>
        <row r="2207">
          <cell r="F2207">
            <v>314891</v>
          </cell>
          <cell r="G2207" t="str">
            <v>David Emanuel Cachin Morales</v>
          </cell>
        </row>
        <row r="2208">
          <cell r="F2208">
            <v>309831</v>
          </cell>
          <cell r="G2208" t="str">
            <v>David Mejia Vicente</v>
          </cell>
        </row>
        <row r="2209">
          <cell r="F2209">
            <v>315533</v>
          </cell>
          <cell r="G2209" t="str">
            <v>Dayana Paola Lopez Bolanos</v>
          </cell>
        </row>
        <row r="2210">
          <cell r="F2210">
            <v>314017</v>
          </cell>
          <cell r="G2210" t="str">
            <v>Dayanna Beatriz Cachupe Chavac</v>
          </cell>
        </row>
        <row r="2211">
          <cell r="F2211">
            <v>314852</v>
          </cell>
          <cell r="G2211" t="str">
            <v>Daylin Ambrocia Cruz Lopez</v>
          </cell>
        </row>
        <row r="2212">
          <cell r="F2212">
            <v>313408</v>
          </cell>
          <cell r="G2212" t="str">
            <v>Dayne Dalu Sanchez Hernandez</v>
          </cell>
        </row>
        <row r="2213">
          <cell r="F2213">
            <v>315552</v>
          </cell>
          <cell r="G2213" t="str">
            <v>Debora Eunice Tzay Chuluc</v>
          </cell>
        </row>
        <row r="2214">
          <cell r="F2214">
            <v>313629</v>
          </cell>
          <cell r="G2214" t="str">
            <v>Debora Madahi Escobar Gomez</v>
          </cell>
        </row>
        <row r="2215">
          <cell r="F2215">
            <v>315270</v>
          </cell>
          <cell r="G2215" t="str">
            <v>Debora Paola Sepez Cuc</v>
          </cell>
        </row>
        <row r="2216">
          <cell r="F2216">
            <v>314353</v>
          </cell>
          <cell r="G2216" t="str">
            <v>Deisy Gabriela Pineda Paiz</v>
          </cell>
        </row>
        <row r="2217">
          <cell r="F2217">
            <v>302751</v>
          </cell>
          <cell r="G2217" t="str">
            <v>Delia Virginia Piedrasanta Parra</v>
          </cell>
        </row>
        <row r="2218">
          <cell r="F2218">
            <v>201031</v>
          </cell>
          <cell r="G2218" t="str">
            <v>Delio Maynor Lopez Barrios</v>
          </cell>
        </row>
        <row r="2219">
          <cell r="F2219">
            <v>311758</v>
          </cell>
          <cell r="G2219" t="str">
            <v>Delmy Fabiola Orellana Barrientos</v>
          </cell>
        </row>
        <row r="2220">
          <cell r="F2220">
            <v>307870</v>
          </cell>
          <cell r="G2220" t="str">
            <v>Delmy Francisca Lopez Perez</v>
          </cell>
        </row>
        <row r="2221">
          <cell r="F2221">
            <v>314901</v>
          </cell>
          <cell r="G2221" t="str">
            <v>Delmy Vanesa Morales Ramirez</v>
          </cell>
        </row>
        <row r="2222">
          <cell r="F2222">
            <v>306256</v>
          </cell>
          <cell r="G2222" t="str">
            <v>Delwin Leonel Vasquez Barrera</v>
          </cell>
        </row>
        <row r="2223">
          <cell r="F2223">
            <v>314540</v>
          </cell>
          <cell r="G2223" t="str">
            <v>Denilson Laureano De Paz Galdamez</v>
          </cell>
        </row>
        <row r="2224">
          <cell r="F2224">
            <v>312158</v>
          </cell>
          <cell r="G2224" t="str">
            <v>Derick Juan David Coti Camas</v>
          </cell>
        </row>
        <row r="2225">
          <cell r="F2225">
            <v>315437</v>
          </cell>
          <cell r="G2225" t="str">
            <v>Deysi Liliana Caal Oxom</v>
          </cell>
        </row>
        <row r="2226">
          <cell r="F2226">
            <v>309692</v>
          </cell>
          <cell r="G2226" t="str">
            <v>Deysi Margoth Lopez Monroy</v>
          </cell>
        </row>
        <row r="2227">
          <cell r="F2227">
            <v>309418</v>
          </cell>
          <cell r="G2227" t="str">
            <v>Deysi Noemi Aranoli Carias Pimentel</v>
          </cell>
        </row>
        <row r="2228">
          <cell r="F2228">
            <v>313797</v>
          </cell>
          <cell r="G2228" t="str">
            <v>Deysi Paola Lopez Yanes De Conde</v>
          </cell>
        </row>
        <row r="2229">
          <cell r="F2229">
            <v>312166</v>
          </cell>
          <cell r="G2229" t="str">
            <v>Deysi Roxana Pablo Ramirez</v>
          </cell>
        </row>
        <row r="2230">
          <cell r="F2230">
            <v>313856</v>
          </cell>
          <cell r="G2230" t="str">
            <v>Diana Andrea Castillo Mejia</v>
          </cell>
        </row>
        <row r="2231">
          <cell r="F2231">
            <v>310411</v>
          </cell>
          <cell r="G2231" t="str">
            <v>Diana Elizabeth Ayfan Del Cid</v>
          </cell>
        </row>
        <row r="2232">
          <cell r="F2232">
            <v>315070</v>
          </cell>
          <cell r="G2232" t="str">
            <v>Diana Guisela Satey De Leon</v>
          </cell>
        </row>
        <row r="2233">
          <cell r="F2233">
            <v>315089</v>
          </cell>
          <cell r="G2233" t="str">
            <v>Diana Lizeth Acabal Pansay</v>
          </cell>
        </row>
        <row r="2234">
          <cell r="F2234">
            <v>315209</v>
          </cell>
          <cell r="G2234" t="str">
            <v>Diana Mishel Perez Flores</v>
          </cell>
        </row>
        <row r="2235">
          <cell r="F2235">
            <v>314964</v>
          </cell>
          <cell r="G2235" t="str">
            <v>Diana Priscila Reyes Bran</v>
          </cell>
        </row>
        <row r="2236">
          <cell r="F2236">
            <v>315545</v>
          </cell>
          <cell r="G2236" t="str">
            <v>Diego Alejandro Monroy Barillas</v>
          </cell>
        </row>
        <row r="2237">
          <cell r="F2237">
            <v>314603</v>
          </cell>
          <cell r="G2237" t="str">
            <v>Diego Antonio Dubon Suyen</v>
          </cell>
        </row>
        <row r="2238">
          <cell r="F2238">
            <v>314912</v>
          </cell>
          <cell r="G2238" t="str">
            <v>Diego Ezequiel Samayoa Toledo</v>
          </cell>
        </row>
        <row r="2239">
          <cell r="F2239">
            <v>314021</v>
          </cell>
          <cell r="G2239" t="str">
            <v>Diego Josue David Dieguez Vivar</v>
          </cell>
        </row>
        <row r="2240">
          <cell r="F2240">
            <v>314609</v>
          </cell>
          <cell r="G2240" t="str">
            <v>Dilma Carolina Zetino Zepeda</v>
          </cell>
        </row>
        <row r="2241">
          <cell r="F2241">
            <v>315393</v>
          </cell>
          <cell r="G2241" t="str">
            <v>Dina Azucena Ortiz Crispin</v>
          </cell>
        </row>
        <row r="2242">
          <cell r="F2242">
            <v>301534</v>
          </cell>
          <cell r="G2242" t="str">
            <v>Donald Alejandro Mendez Mayen</v>
          </cell>
        </row>
        <row r="2243">
          <cell r="F2243">
            <v>314070</v>
          </cell>
          <cell r="G2243" t="str">
            <v>Donetta Diaz Oroman</v>
          </cell>
        </row>
        <row r="2244">
          <cell r="F2244">
            <v>313316</v>
          </cell>
          <cell r="G2244" t="str">
            <v>Dora Estefany Garcia Zetino</v>
          </cell>
        </row>
        <row r="2245">
          <cell r="F2245">
            <v>308707</v>
          </cell>
          <cell r="G2245" t="str">
            <v>Dorcas Raquel Palacios Reyes</v>
          </cell>
        </row>
        <row r="2246">
          <cell r="F2246">
            <v>308921</v>
          </cell>
          <cell r="G2246" t="str">
            <v>Doris Elizabeth Sandoval Gonzalez</v>
          </cell>
        </row>
        <row r="2247">
          <cell r="F2247">
            <v>315057</v>
          </cell>
          <cell r="G2247" t="str">
            <v>Dorman Fernando Gomez Perez</v>
          </cell>
        </row>
        <row r="2248">
          <cell r="F2248">
            <v>312651</v>
          </cell>
          <cell r="G2248" t="str">
            <v>Douglas Alberto Luna</v>
          </cell>
        </row>
        <row r="2249">
          <cell r="F2249">
            <v>314635</v>
          </cell>
          <cell r="G2249" t="str">
            <v>Douglas Armando Garcia Machic</v>
          </cell>
        </row>
        <row r="2250">
          <cell r="F2250">
            <v>313351</v>
          </cell>
          <cell r="G2250" t="str">
            <v>Douglas Nehemias Paz Agustin</v>
          </cell>
        </row>
        <row r="2251">
          <cell r="F2251">
            <v>309154</v>
          </cell>
          <cell r="G2251" t="str">
            <v>Duglas Alexander Ramirez</v>
          </cell>
        </row>
        <row r="2252">
          <cell r="F2252">
            <v>310593</v>
          </cell>
          <cell r="G2252" t="str">
            <v>Dulce Estrellita Boche Pineda</v>
          </cell>
        </row>
        <row r="2253">
          <cell r="F2253">
            <v>312578</v>
          </cell>
          <cell r="G2253" t="str">
            <v>Dulce Fabiola Cabrera Alvarado</v>
          </cell>
        </row>
        <row r="2254">
          <cell r="F2254">
            <v>314977</v>
          </cell>
          <cell r="G2254" t="str">
            <v>Dulce Gollin Garcia</v>
          </cell>
        </row>
        <row r="2255">
          <cell r="F2255">
            <v>315028</v>
          </cell>
          <cell r="G2255" t="str">
            <v>Dulce Maria Barillas Pineda</v>
          </cell>
        </row>
        <row r="2256">
          <cell r="F2256">
            <v>314016</v>
          </cell>
          <cell r="G2256" t="str">
            <v>Dulce Maria De Los Angeles Carranza Poitan</v>
          </cell>
        </row>
        <row r="2257">
          <cell r="F2257">
            <v>314338</v>
          </cell>
          <cell r="G2257" t="str">
            <v>Dulce Maria Sican Galicia</v>
          </cell>
        </row>
        <row r="2258">
          <cell r="F2258">
            <v>301052</v>
          </cell>
          <cell r="G2258" t="str">
            <v>Dulsse Gabriela Muñoz Giordano</v>
          </cell>
        </row>
        <row r="2259">
          <cell r="F2259">
            <v>313406</v>
          </cell>
          <cell r="G2259" t="str">
            <v>Duncan Vladimir Fuentes Marroquin</v>
          </cell>
        </row>
        <row r="2260">
          <cell r="F2260">
            <v>315551</v>
          </cell>
          <cell r="G2260" t="str">
            <v>Dylan Anderson Rodriguez Paredes</v>
          </cell>
        </row>
        <row r="2261">
          <cell r="F2261">
            <v>301579</v>
          </cell>
          <cell r="G2261" t="str">
            <v>Eber Manuel Valdes Samayoa</v>
          </cell>
        </row>
        <row r="2262">
          <cell r="F2262">
            <v>314077</v>
          </cell>
          <cell r="G2262" t="str">
            <v>Eddy Estuardo Lool Calderon</v>
          </cell>
        </row>
        <row r="2263">
          <cell r="F2263">
            <v>304630</v>
          </cell>
          <cell r="G2263" t="str">
            <v>Eddy Jose Cabrera Rivas</v>
          </cell>
        </row>
        <row r="2264">
          <cell r="F2264">
            <v>315163</v>
          </cell>
          <cell r="G2264" t="str">
            <v>Edgar Alejandro Alvarado Juarez</v>
          </cell>
        </row>
        <row r="2265">
          <cell r="F2265">
            <v>314231</v>
          </cell>
          <cell r="G2265" t="str">
            <v>Edgar Alfonso Escoto Asig</v>
          </cell>
        </row>
        <row r="2266">
          <cell r="F2266">
            <v>312910</v>
          </cell>
          <cell r="G2266" t="str">
            <v>Edgar Augusto Lara Joachin</v>
          </cell>
        </row>
        <row r="2267">
          <cell r="F2267">
            <v>314531</v>
          </cell>
          <cell r="G2267" t="str">
            <v>Edgar Josue Lopez Cahuec</v>
          </cell>
        </row>
        <row r="2268">
          <cell r="F2268">
            <v>309428</v>
          </cell>
          <cell r="G2268" t="str">
            <v>Edgar Manrique Flores Sanchez</v>
          </cell>
        </row>
        <row r="2269">
          <cell r="F2269">
            <v>313559</v>
          </cell>
          <cell r="G2269" t="str">
            <v>Edgar Ricardo Lopez Valenzuela</v>
          </cell>
        </row>
        <row r="2270">
          <cell r="F2270">
            <v>314916</v>
          </cell>
          <cell r="G2270" t="str">
            <v>Edgar Samuel Chavez Garcia</v>
          </cell>
        </row>
        <row r="2271">
          <cell r="F2271">
            <v>313861</v>
          </cell>
          <cell r="G2271" t="str">
            <v>Edith Guadalupe Del Cid Orellana</v>
          </cell>
        </row>
        <row r="2272">
          <cell r="F2272">
            <v>304240</v>
          </cell>
          <cell r="G2272" t="str">
            <v>Edna Fabiola Miranda Nufio</v>
          </cell>
        </row>
        <row r="2273">
          <cell r="F2273">
            <v>313770</v>
          </cell>
          <cell r="G2273" t="str">
            <v>Edna Rubi Hernandez Retana</v>
          </cell>
        </row>
        <row r="2274">
          <cell r="F2274">
            <v>308533</v>
          </cell>
          <cell r="G2274" t="str">
            <v>Eduardo Antonio Sotoj Zepeda</v>
          </cell>
        </row>
        <row r="2275">
          <cell r="F2275">
            <v>315502</v>
          </cell>
          <cell r="G2275" t="str">
            <v>Eduardo Eliu Camey Coyoy</v>
          </cell>
        </row>
        <row r="2276">
          <cell r="F2276">
            <v>315483</v>
          </cell>
          <cell r="G2276" t="str">
            <v>Eduardo Jose Perez Pichilla</v>
          </cell>
        </row>
        <row r="2277">
          <cell r="F2277">
            <v>306695</v>
          </cell>
          <cell r="G2277" t="str">
            <v>Eduvina Lisbeth Chilel Garcia</v>
          </cell>
        </row>
        <row r="2278">
          <cell r="F2278">
            <v>313804</v>
          </cell>
          <cell r="G2278" t="str">
            <v>Edvin Daniel Compa Oroxom</v>
          </cell>
        </row>
        <row r="2279">
          <cell r="F2279">
            <v>305736</v>
          </cell>
          <cell r="G2279" t="str">
            <v>Edvin Estuardo Ordoñez Gonzalez</v>
          </cell>
        </row>
        <row r="2280">
          <cell r="F2280">
            <v>313327</v>
          </cell>
          <cell r="G2280" t="str">
            <v>Edvin Raul Chavez Monroy</v>
          </cell>
        </row>
        <row r="2281">
          <cell r="F2281">
            <v>309209</v>
          </cell>
          <cell r="G2281" t="str">
            <v>Edward Andoni Alvarez Agueda</v>
          </cell>
        </row>
        <row r="2282">
          <cell r="F2282">
            <v>311219</v>
          </cell>
          <cell r="G2282" t="str">
            <v>Edward Oswaldo Mo Macz</v>
          </cell>
        </row>
        <row r="2283">
          <cell r="F2283">
            <v>315174</v>
          </cell>
          <cell r="G2283" t="str">
            <v>Edwin Adolfo Soberanis Mazariegos</v>
          </cell>
        </row>
        <row r="2284">
          <cell r="F2284">
            <v>312540</v>
          </cell>
          <cell r="G2284" t="str">
            <v>Edwin Alexander Davila Xitumul</v>
          </cell>
        </row>
        <row r="2285">
          <cell r="F2285">
            <v>313701</v>
          </cell>
          <cell r="G2285" t="str">
            <v>Edwin Ernesto Sut Chinol</v>
          </cell>
        </row>
        <row r="2286">
          <cell r="F2286">
            <v>312557</v>
          </cell>
          <cell r="G2286" t="str">
            <v>Edwin Romeo Eleazar Ochoa Lopez</v>
          </cell>
        </row>
        <row r="2287">
          <cell r="F2287">
            <v>311167</v>
          </cell>
          <cell r="G2287" t="str">
            <v>Edy Giancarlo Moreno Pineda</v>
          </cell>
        </row>
        <row r="2288">
          <cell r="F2288">
            <v>312542</v>
          </cell>
          <cell r="G2288" t="str">
            <v>Elba Eulalia Esquite Lemus</v>
          </cell>
        </row>
        <row r="2289">
          <cell r="F2289">
            <v>303412</v>
          </cell>
          <cell r="G2289" t="str">
            <v>Elder Antonio Mendez Tobar</v>
          </cell>
        </row>
        <row r="2290">
          <cell r="F2290">
            <v>315436</v>
          </cell>
          <cell r="G2290" t="str">
            <v>Elder Frankiln Cax Dionicio</v>
          </cell>
        </row>
        <row r="2291">
          <cell r="F2291">
            <v>311891</v>
          </cell>
          <cell r="G2291" t="str">
            <v>Elder Uzias Jordan Perez</v>
          </cell>
        </row>
        <row r="2292">
          <cell r="F2292">
            <v>309812</v>
          </cell>
          <cell r="G2292" t="str">
            <v>Elena Yazmin Valdez Gallegos</v>
          </cell>
        </row>
        <row r="2293">
          <cell r="F2293">
            <v>314275</v>
          </cell>
          <cell r="G2293" t="str">
            <v>Elias Jose Daniel Estrada Nufio</v>
          </cell>
        </row>
        <row r="2294">
          <cell r="F2294">
            <v>307588</v>
          </cell>
          <cell r="G2294" t="str">
            <v>Elida Noemi Monroy Ortega</v>
          </cell>
        </row>
        <row r="2295">
          <cell r="F2295">
            <v>315463</v>
          </cell>
          <cell r="G2295" t="str">
            <v>Elin Magali Gallardo Velasquez</v>
          </cell>
        </row>
        <row r="2296">
          <cell r="F2296">
            <v>310755</v>
          </cell>
          <cell r="G2296" t="str">
            <v>Elisa Clementina Mazariegos Andrade</v>
          </cell>
        </row>
        <row r="2297">
          <cell r="F2297">
            <v>314466</v>
          </cell>
          <cell r="G2297" t="str">
            <v>Eliseo Gonzalez De Leon</v>
          </cell>
        </row>
        <row r="2298">
          <cell r="F2298">
            <v>310043</v>
          </cell>
          <cell r="G2298" t="str">
            <v>Elizangela Jazmin Barillas Ramirez</v>
          </cell>
        </row>
        <row r="2299">
          <cell r="F2299">
            <v>314443</v>
          </cell>
          <cell r="G2299" t="str">
            <v>Elmer Antonio Muñoz Alvarez</v>
          </cell>
        </row>
        <row r="2300">
          <cell r="F2300">
            <v>314763</v>
          </cell>
          <cell r="G2300" t="str">
            <v>Elsa Edith Alixjandra Morales Cordon</v>
          </cell>
        </row>
        <row r="2301">
          <cell r="F2301">
            <v>311227</v>
          </cell>
          <cell r="G2301" t="str">
            <v>Elsa Karina Siquibache Perez</v>
          </cell>
        </row>
        <row r="2302">
          <cell r="F2302">
            <v>308968</v>
          </cell>
          <cell r="G2302" t="str">
            <v>Eluizer Amadeus De Leon De Leon</v>
          </cell>
        </row>
        <row r="2303">
          <cell r="F2303">
            <v>314871</v>
          </cell>
          <cell r="G2303" t="str">
            <v>Elvis Ariel Juarez Solis</v>
          </cell>
        </row>
        <row r="2304">
          <cell r="F2304">
            <v>313368</v>
          </cell>
          <cell r="G2304" t="str">
            <v>Elvis Orlando Lopez Marroquin</v>
          </cell>
        </row>
        <row r="2305">
          <cell r="F2305">
            <v>314342</v>
          </cell>
          <cell r="G2305" t="str">
            <v>Emanuel Perez Garnillo</v>
          </cell>
        </row>
        <row r="2306">
          <cell r="F2306">
            <v>312736</v>
          </cell>
          <cell r="G2306" t="str">
            <v>Emely Johanna Urbina Beltran</v>
          </cell>
        </row>
        <row r="2307">
          <cell r="F2307">
            <v>312762</v>
          </cell>
          <cell r="G2307" t="str">
            <v>Emerson Ezequiel Giron Lopez</v>
          </cell>
        </row>
        <row r="2308">
          <cell r="F2308">
            <v>303591</v>
          </cell>
          <cell r="G2308" t="str">
            <v>Emerson Josue Lopez Hernandez</v>
          </cell>
        </row>
        <row r="2309">
          <cell r="F2309">
            <v>312165</v>
          </cell>
          <cell r="G2309" t="str">
            <v>Emily Jisselle Rosales Paz</v>
          </cell>
        </row>
        <row r="2310">
          <cell r="F2310">
            <v>313560</v>
          </cell>
          <cell r="G2310" t="str">
            <v>Emy Noemi Vicente Herrera</v>
          </cell>
        </row>
        <row r="2311">
          <cell r="F2311">
            <v>315047</v>
          </cell>
          <cell r="G2311" t="str">
            <v>Erick Adolfo Orellana Lopez</v>
          </cell>
        </row>
        <row r="2312">
          <cell r="F2312">
            <v>311598</v>
          </cell>
          <cell r="G2312" t="str">
            <v>Erick Antonio Perez Perez</v>
          </cell>
        </row>
        <row r="2313">
          <cell r="F2313">
            <v>311742</v>
          </cell>
          <cell r="G2313" t="str">
            <v>Erick Estuardo Morales Samayoa</v>
          </cell>
        </row>
        <row r="2314">
          <cell r="F2314">
            <v>308758</v>
          </cell>
          <cell r="G2314" t="str">
            <v>Erick Gamaliel Pineda Mendez</v>
          </cell>
        </row>
        <row r="2315">
          <cell r="F2315">
            <v>314371</v>
          </cell>
          <cell r="G2315" t="str">
            <v>Erick Guillermo Sierra Escobar</v>
          </cell>
        </row>
        <row r="2316">
          <cell r="F2316">
            <v>314095</v>
          </cell>
          <cell r="G2316" t="str">
            <v>Erick Joel Diaz Barrera</v>
          </cell>
        </row>
        <row r="2317">
          <cell r="F2317">
            <v>314408</v>
          </cell>
          <cell r="G2317" t="str">
            <v>Erick Josue Martinez Pineda</v>
          </cell>
        </row>
        <row r="2318">
          <cell r="F2318">
            <v>312434</v>
          </cell>
          <cell r="G2318" t="str">
            <v>Erick Manuel Umul Quiej</v>
          </cell>
        </row>
        <row r="2319">
          <cell r="F2319">
            <v>202410</v>
          </cell>
          <cell r="G2319" t="str">
            <v>Erick Oswaldo Aguilar Santiago</v>
          </cell>
        </row>
        <row r="2320">
          <cell r="F2320">
            <v>310750</v>
          </cell>
          <cell r="G2320" t="str">
            <v>Erick Uriel Sandoval Herrera</v>
          </cell>
        </row>
        <row r="2321">
          <cell r="F2321">
            <v>304557</v>
          </cell>
          <cell r="G2321" t="str">
            <v>Ericka Arceli Gonzalez Astorga</v>
          </cell>
        </row>
        <row r="2322">
          <cell r="F2322">
            <v>308593</v>
          </cell>
          <cell r="G2322" t="str">
            <v>Ericka Beatriz Tiu Arriola</v>
          </cell>
        </row>
        <row r="2323">
          <cell r="F2323">
            <v>310893</v>
          </cell>
          <cell r="G2323" t="str">
            <v>Ericka Florentina Hernandez Bermudes</v>
          </cell>
        </row>
        <row r="2324">
          <cell r="F2324">
            <v>310845</v>
          </cell>
          <cell r="G2324" t="str">
            <v>Ericka Gricelda Beatriz Calderon Lopez</v>
          </cell>
        </row>
        <row r="2325">
          <cell r="F2325">
            <v>313654</v>
          </cell>
          <cell r="G2325" t="str">
            <v>Ericka Mabel Choc Vasquez</v>
          </cell>
        </row>
        <row r="2326">
          <cell r="F2326">
            <v>308152</v>
          </cell>
          <cell r="G2326" t="str">
            <v>Ericka Nathali Huitz Ortega</v>
          </cell>
        </row>
        <row r="2327">
          <cell r="F2327">
            <v>313812</v>
          </cell>
          <cell r="G2327" t="str">
            <v>Erickson Amilcar Vasquez Garrido</v>
          </cell>
        </row>
        <row r="2328">
          <cell r="F2328">
            <v>303616</v>
          </cell>
          <cell r="G2328" t="str">
            <v>Erik Leonel Alva</v>
          </cell>
        </row>
        <row r="2329">
          <cell r="F2329">
            <v>310011</v>
          </cell>
          <cell r="G2329" t="str">
            <v>Erika Alejandra Hernandez Vega</v>
          </cell>
        </row>
        <row r="2330">
          <cell r="F2330">
            <v>314808</v>
          </cell>
          <cell r="G2330" t="str">
            <v>Erika Carolina Lopez Chiroy</v>
          </cell>
        </row>
        <row r="2331">
          <cell r="F2331">
            <v>306497</v>
          </cell>
          <cell r="G2331" t="str">
            <v>Erika Ixtan Canil</v>
          </cell>
        </row>
        <row r="2332">
          <cell r="F2332">
            <v>314703</v>
          </cell>
          <cell r="G2332" t="str">
            <v>Erlinda Elizabeth Cabrera</v>
          </cell>
        </row>
        <row r="2333">
          <cell r="F2333">
            <v>315535</v>
          </cell>
          <cell r="G2333" t="str">
            <v>Ernesto Perez Tecun</v>
          </cell>
        </row>
        <row r="2334">
          <cell r="F2334">
            <v>313727</v>
          </cell>
          <cell r="G2334" t="str">
            <v>Erwin Antonio Lorenzo Zamora</v>
          </cell>
        </row>
        <row r="2335">
          <cell r="F2335">
            <v>315123</v>
          </cell>
          <cell r="G2335" t="str">
            <v>Esdras Daniel Pablo Solis</v>
          </cell>
        </row>
        <row r="2336">
          <cell r="F2336">
            <v>315491</v>
          </cell>
          <cell r="G2336" t="str">
            <v>Esdras Eduardo Hernadez Morales</v>
          </cell>
        </row>
        <row r="2337">
          <cell r="F2337">
            <v>314068</v>
          </cell>
          <cell r="G2337" t="str">
            <v>Esdras Manases Vasquez Vasquez</v>
          </cell>
        </row>
        <row r="2338">
          <cell r="F2338">
            <v>313871</v>
          </cell>
          <cell r="G2338" t="str">
            <v>Eskarleth Julieta Coloma Camey</v>
          </cell>
        </row>
        <row r="2339">
          <cell r="F2339">
            <v>312554</v>
          </cell>
          <cell r="G2339" t="str">
            <v>Esmaylin Alexis Melchor Lopez</v>
          </cell>
        </row>
        <row r="2340">
          <cell r="F2340">
            <v>315510</v>
          </cell>
          <cell r="G2340" t="str">
            <v>Esteban Alfonso Gonzalez Osuna</v>
          </cell>
        </row>
        <row r="2341">
          <cell r="F2341">
            <v>313644</v>
          </cell>
          <cell r="G2341" t="str">
            <v>Estefani Elizabeth Tzul Macario</v>
          </cell>
        </row>
        <row r="2342">
          <cell r="F2342">
            <v>312323</v>
          </cell>
          <cell r="G2342" t="str">
            <v>Estefani Mishel Carpio Alvarado</v>
          </cell>
        </row>
        <row r="2343">
          <cell r="F2343">
            <v>313428</v>
          </cell>
          <cell r="G2343" t="str">
            <v>Estefany Catalina Suazo Garcia</v>
          </cell>
        </row>
        <row r="2344">
          <cell r="F2344">
            <v>311094</v>
          </cell>
          <cell r="G2344" t="str">
            <v>Estefany Virginia Perez Leiva</v>
          </cell>
        </row>
        <row r="2345">
          <cell r="F2345">
            <v>313151</v>
          </cell>
          <cell r="G2345" t="str">
            <v>Ester Yulissa Salazar Sanches</v>
          </cell>
        </row>
        <row r="2346">
          <cell r="F2346">
            <v>308702</v>
          </cell>
          <cell r="G2346" t="str">
            <v>Estuardo Alejandro Us Chanchavac</v>
          </cell>
        </row>
        <row r="2347">
          <cell r="F2347">
            <v>315564</v>
          </cell>
          <cell r="G2347" t="str">
            <v>Esvin Rolando Orozco Mulul</v>
          </cell>
        </row>
        <row r="2348">
          <cell r="F2348">
            <v>314285</v>
          </cell>
          <cell r="G2348" t="str">
            <v>Eswin Antonio Carrillo Barrera</v>
          </cell>
        </row>
        <row r="2349">
          <cell r="F2349">
            <v>311882</v>
          </cell>
          <cell r="G2349" t="str">
            <v>Eswin Aroldo Ordoñez Robles</v>
          </cell>
        </row>
        <row r="2350">
          <cell r="F2350">
            <v>315041</v>
          </cell>
          <cell r="G2350" t="str">
            <v>Eugenia Azucely Lopez De De Aguirre</v>
          </cell>
        </row>
        <row r="2351">
          <cell r="F2351">
            <v>313219</v>
          </cell>
          <cell r="G2351" t="str">
            <v>Eunice Alejandrina Simon Gonzalez</v>
          </cell>
        </row>
        <row r="2352">
          <cell r="F2352">
            <v>314553</v>
          </cell>
          <cell r="G2352" t="str">
            <v>Eva Argentina Ramirez Perez</v>
          </cell>
        </row>
        <row r="2353">
          <cell r="F2353">
            <v>313803</v>
          </cell>
          <cell r="G2353" t="str">
            <v>Eva Yustinia Lopez Zuñiga</v>
          </cell>
        </row>
        <row r="2354">
          <cell r="F2354">
            <v>314445</v>
          </cell>
          <cell r="G2354" t="str">
            <v>Evelin Lorena Noguera García</v>
          </cell>
        </row>
        <row r="2355">
          <cell r="F2355">
            <v>314320</v>
          </cell>
          <cell r="G2355" t="str">
            <v>Evelin Maria Padilla Garcia</v>
          </cell>
        </row>
        <row r="2356">
          <cell r="F2356">
            <v>313699</v>
          </cell>
          <cell r="G2356" t="str">
            <v>Evelin Yulissa Lopez Villar</v>
          </cell>
        </row>
        <row r="2357">
          <cell r="F2357">
            <v>307498</v>
          </cell>
          <cell r="G2357" t="str">
            <v>Evelyn Julieta Lopez Peralta</v>
          </cell>
        </row>
        <row r="2358">
          <cell r="F2358">
            <v>312811</v>
          </cell>
          <cell r="G2358" t="str">
            <v>Evelyn Maritza Chumil Monroy</v>
          </cell>
        </row>
        <row r="2359">
          <cell r="F2359">
            <v>313353</v>
          </cell>
          <cell r="G2359" t="str">
            <v>Evelyn Marleny Rosales Cutz</v>
          </cell>
        </row>
        <row r="2360">
          <cell r="F2360">
            <v>313264</v>
          </cell>
          <cell r="G2360" t="str">
            <v>Evelyn Mishell Catalan Pixtun</v>
          </cell>
        </row>
        <row r="2361">
          <cell r="F2361">
            <v>314528</v>
          </cell>
          <cell r="G2361" t="str">
            <v>Evelyn Nohemi Morales Lopez</v>
          </cell>
        </row>
        <row r="2362">
          <cell r="F2362">
            <v>311933</v>
          </cell>
          <cell r="G2362" t="str">
            <v>Evelyn Rocio Chiquival Piquic</v>
          </cell>
        </row>
        <row r="2363">
          <cell r="F2363">
            <v>315213</v>
          </cell>
          <cell r="G2363" t="str">
            <v>Evelyn Susana Hernandez Ambrosio</v>
          </cell>
        </row>
        <row r="2364">
          <cell r="F2364">
            <v>311721</v>
          </cell>
          <cell r="G2364" t="str">
            <v>Evelyn Yaneth Aceituno Lara</v>
          </cell>
        </row>
        <row r="2365">
          <cell r="F2365">
            <v>313016</v>
          </cell>
          <cell r="G2365" t="str">
            <v>Ever Josue Del Valle Rivera</v>
          </cell>
        </row>
        <row r="2366">
          <cell r="F2366">
            <v>313552</v>
          </cell>
          <cell r="G2366" t="str">
            <v>Everilda Choc Caal</v>
          </cell>
        </row>
        <row r="2367">
          <cell r="F2367">
            <v>313091</v>
          </cell>
          <cell r="G2367" t="str">
            <v>Fabian De Jesus Ramirez Icute</v>
          </cell>
        </row>
        <row r="2368">
          <cell r="F2368">
            <v>312169</v>
          </cell>
          <cell r="G2368" t="str">
            <v>Fabiola Hernandez Bartolon</v>
          </cell>
        </row>
        <row r="2369">
          <cell r="F2369">
            <v>308284</v>
          </cell>
          <cell r="G2369" t="str">
            <v>Fabiola Ninett Beteta Barillas</v>
          </cell>
        </row>
        <row r="2370">
          <cell r="F2370">
            <v>312293</v>
          </cell>
          <cell r="G2370" t="str">
            <v>Fabricio Daniel Cajas Cifuentes</v>
          </cell>
        </row>
        <row r="2371">
          <cell r="F2371">
            <v>315582</v>
          </cell>
          <cell r="G2371" t="str">
            <v>Fatima Mercedes Montes Quezada</v>
          </cell>
        </row>
        <row r="2372">
          <cell r="F2372">
            <v>314263</v>
          </cell>
          <cell r="G2372" t="str">
            <v>Feliciana Isabel Ramirez Raymundo</v>
          </cell>
        </row>
        <row r="2373">
          <cell r="F2373">
            <v>314012</v>
          </cell>
          <cell r="G2373" t="str">
            <v>Felix Rodolfo Alvarado Jimenez</v>
          </cell>
        </row>
        <row r="2374">
          <cell r="F2374">
            <v>314349</v>
          </cell>
          <cell r="G2374" t="str">
            <v>Fernanda Lucia Lopez Estrada</v>
          </cell>
        </row>
        <row r="2375">
          <cell r="F2375">
            <v>312409</v>
          </cell>
          <cell r="G2375" t="str">
            <v>Fernanda Rene Villatoro Guarcas</v>
          </cell>
        </row>
        <row r="2376">
          <cell r="F2376">
            <v>314934</v>
          </cell>
          <cell r="G2376" t="str">
            <v>Fernando Jose Monzon Castañeda</v>
          </cell>
        </row>
        <row r="2377">
          <cell r="F2377">
            <v>315303</v>
          </cell>
          <cell r="G2377" t="str">
            <v>Flavio Ernesto Monzón Rummler</v>
          </cell>
        </row>
        <row r="2378">
          <cell r="F2378">
            <v>315309</v>
          </cell>
          <cell r="G2378" t="str">
            <v>Flor De Maria Lopez Garcia</v>
          </cell>
        </row>
        <row r="2379">
          <cell r="F2379">
            <v>307917</v>
          </cell>
          <cell r="G2379" t="str">
            <v>Flor De Maria Mux Ramos</v>
          </cell>
        </row>
        <row r="2380">
          <cell r="F2380">
            <v>315038</v>
          </cell>
          <cell r="G2380" t="str">
            <v>Flor Sylvestre Orellana Gonzalez</v>
          </cell>
        </row>
        <row r="2381">
          <cell r="F2381">
            <v>101729</v>
          </cell>
          <cell r="G2381" t="str">
            <v>Florencio Monterroso Estrada</v>
          </cell>
        </row>
        <row r="2382">
          <cell r="F2382">
            <v>314230</v>
          </cell>
          <cell r="G2382" t="str">
            <v>Floridalma Leticia Lopez Ramirez</v>
          </cell>
        </row>
        <row r="2383">
          <cell r="F2383">
            <v>314093</v>
          </cell>
          <cell r="G2383" t="str">
            <v>Floridalma Nicolas Yos</v>
          </cell>
        </row>
        <row r="2384">
          <cell r="F2384">
            <v>312717</v>
          </cell>
          <cell r="G2384" t="str">
            <v>Florita Reyes Roblero Morales</v>
          </cell>
        </row>
        <row r="2385">
          <cell r="F2385">
            <v>314785</v>
          </cell>
          <cell r="G2385" t="str">
            <v>Flory Azucena De Leon Ventura</v>
          </cell>
        </row>
        <row r="2386">
          <cell r="F2386">
            <v>310144</v>
          </cell>
          <cell r="G2386" t="str">
            <v>Francisco Javier Diaz Avila</v>
          </cell>
        </row>
        <row r="2387">
          <cell r="F2387">
            <v>315457</v>
          </cell>
          <cell r="G2387" t="str">
            <v>Francisco Joel Gomez Rodriguez</v>
          </cell>
        </row>
        <row r="2388">
          <cell r="F2388">
            <v>311612</v>
          </cell>
          <cell r="G2388" t="str">
            <v>Franklin Alexander Perez Paiz</v>
          </cell>
        </row>
        <row r="2389">
          <cell r="F2389">
            <v>315204</v>
          </cell>
          <cell r="G2389" t="str">
            <v>Gabriel Antonio Rodas Domingo</v>
          </cell>
        </row>
        <row r="2390">
          <cell r="F2390">
            <v>311548</v>
          </cell>
          <cell r="G2390" t="str">
            <v>Gabriela Alejandra Estrada Aroche</v>
          </cell>
        </row>
        <row r="2391">
          <cell r="F2391">
            <v>306667</v>
          </cell>
          <cell r="G2391" t="str">
            <v>Gabriela Elizabeth Flores Santos</v>
          </cell>
        </row>
        <row r="2392">
          <cell r="F2392">
            <v>314533</v>
          </cell>
          <cell r="G2392" t="str">
            <v>Gabriela Liseth Perez Monzon</v>
          </cell>
        </row>
        <row r="2393">
          <cell r="F2393">
            <v>311817</v>
          </cell>
          <cell r="G2393" t="str">
            <v>Gabriela Paola Macario Lopez</v>
          </cell>
        </row>
        <row r="2394">
          <cell r="F2394">
            <v>301309</v>
          </cell>
          <cell r="G2394" t="str">
            <v>Gabriela Pelaez Gonzalez</v>
          </cell>
        </row>
        <row r="2395">
          <cell r="F2395">
            <v>315530</v>
          </cell>
          <cell r="G2395" t="str">
            <v>Gabriela Raquel Pixtun Trujillo</v>
          </cell>
        </row>
        <row r="2396">
          <cell r="F2396">
            <v>315343</v>
          </cell>
          <cell r="G2396" t="str">
            <v>Gabriela Valeska Lemus Cotuc</v>
          </cell>
        </row>
        <row r="2397">
          <cell r="F2397">
            <v>309911</v>
          </cell>
          <cell r="G2397" t="str">
            <v>Gaby Beatriz Lopez Lopez</v>
          </cell>
        </row>
        <row r="2398">
          <cell r="F2398">
            <v>315485</v>
          </cell>
          <cell r="G2398" t="str">
            <v>Geraldy Daleska Cuyan Giron</v>
          </cell>
        </row>
        <row r="2399">
          <cell r="F2399">
            <v>307104</v>
          </cell>
          <cell r="G2399" t="str">
            <v>Gerber Ariel De Leon Elias</v>
          </cell>
        </row>
        <row r="2400">
          <cell r="F2400">
            <v>312975</v>
          </cell>
          <cell r="G2400" t="str">
            <v>Gerberth Aridmendi Arevalo Zepeda</v>
          </cell>
        </row>
        <row r="2401">
          <cell r="F2401">
            <v>306654</v>
          </cell>
          <cell r="G2401" t="str">
            <v>Gerson Arcadio Hernandez Barrios</v>
          </cell>
        </row>
        <row r="2402">
          <cell r="F2402">
            <v>315035</v>
          </cell>
          <cell r="G2402" t="str">
            <v>Gerson David Ortega Soto</v>
          </cell>
        </row>
        <row r="2403">
          <cell r="F2403">
            <v>315255</v>
          </cell>
          <cell r="G2403" t="str">
            <v>Gerson Rene Galicia Alvarez</v>
          </cell>
        </row>
        <row r="2404">
          <cell r="F2404">
            <v>313730</v>
          </cell>
          <cell r="G2404" t="str">
            <v>Gerson Rolando Alcantara Gonzalez</v>
          </cell>
        </row>
        <row r="2405">
          <cell r="F2405">
            <v>315273</v>
          </cell>
          <cell r="G2405" t="str">
            <v>Gladis Guadalupe Tuyuc Ramirez</v>
          </cell>
        </row>
        <row r="2406">
          <cell r="F2406">
            <v>309429</v>
          </cell>
          <cell r="G2406" t="str">
            <v>Gladis Mishel Aguilar Garcia</v>
          </cell>
        </row>
        <row r="2407">
          <cell r="F2407">
            <v>315265</v>
          </cell>
          <cell r="G2407" t="str">
            <v>Gladis Nohemi Noj Hernandez De De Leon</v>
          </cell>
        </row>
        <row r="2408">
          <cell r="F2408">
            <v>301514</v>
          </cell>
          <cell r="G2408" t="str">
            <v>Gladiz Maricela Guamuch Caracun De Lopez</v>
          </cell>
        </row>
        <row r="2409">
          <cell r="F2409">
            <v>309950</v>
          </cell>
          <cell r="G2409" t="str">
            <v>Gladys Maribel Chamale Cotzajay</v>
          </cell>
        </row>
        <row r="2410">
          <cell r="F2410">
            <v>315349</v>
          </cell>
          <cell r="G2410" t="str">
            <v>Gladys Marleny Rodriguez Tzoc</v>
          </cell>
        </row>
        <row r="2411">
          <cell r="F2411">
            <v>306248</v>
          </cell>
          <cell r="G2411" t="str">
            <v>Gladys Susana Marin De Leon</v>
          </cell>
        </row>
        <row r="2412">
          <cell r="F2412">
            <v>310719</v>
          </cell>
          <cell r="G2412" t="str">
            <v>Gladyz Ninett Sanchez Perez</v>
          </cell>
        </row>
        <row r="2413">
          <cell r="F2413">
            <v>309945</v>
          </cell>
          <cell r="G2413" t="str">
            <v>Glenda Flor De Maria Caal</v>
          </cell>
        </row>
        <row r="2414">
          <cell r="F2414">
            <v>314619</v>
          </cell>
          <cell r="G2414" t="str">
            <v>Glenda Isabel Perez Velasquez</v>
          </cell>
        </row>
        <row r="2415">
          <cell r="F2415">
            <v>315263</v>
          </cell>
          <cell r="G2415" t="str">
            <v>Glendy Aracely Arevalo Estrada</v>
          </cell>
        </row>
        <row r="2416">
          <cell r="F2416">
            <v>312140</v>
          </cell>
          <cell r="G2416" t="str">
            <v>Glendy Elizabeth Aspuac Xunux</v>
          </cell>
        </row>
        <row r="2417">
          <cell r="F2417">
            <v>304949</v>
          </cell>
          <cell r="G2417" t="str">
            <v>Glendy Modesta Orellana Sanabria</v>
          </cell>
        </row>
        <row r="2418">
          <cell r="F2418">
            <v>314189</v>
          </cell>
          <cell r="G2418" t="str">
            <v>Gloria Angelica Torres Franco</v>
          </cell>
        </row>
        <row r="2419">
          <cell r="F2419">
            <v>304943</v>
          </cell>
          <cell r="G2419" t="str">
            <v>Gloria Hernandez Reyes</v>
          </cell>
        </row>
        <row r="2420">
          <cell r="F2420">
            <v>314569</v>
          </cell>
          <cell r="G2420" t="str">
            <v>Gonzalo Danilo Castillo Miche</v>
          </cell>
        </row>
        <row r="2421">
          <cell r="F2421">
            <v>310114</v>
          </cell>
          <cell r="G2421" t="str">
            <v>Guadalupe Marroquin Mayen</v>
          </cell>
        </row>
        <row r="2422">
          <cell r="F2422">
            <v>313710</v>
          </cell>
          <cell r="G2422" t="str">
            <v>Gustavo Adolfo Mixtun Sunun</v>
          </cell>
        </row>
        <row r="2423">
          <cell r="F2423">
            <v>314863</v>
          </cell>
          <cell r="G2423" t="str">
            <v>Gustavo Manuel Cifuentes De Mata</v>
          </cell>
        </row>
        <row r="2424">
          <cell r="F2424">
            <v>315412</v>
          </cell>
          <cell r="G2424" t="str">
            <v>Hairo Andre Contreras Paz</v>
          </cell>
        </row>
        <row r="2425">
          <cell r="F2425">
            <v>311419</v>
          </cell>
          <cell r="G2425" t="str">
            <v>Hallari Michel Orozco Chapen</v>
          </cell>
        </row>
        <row r="2426">
          <cell r="F2426">
            <v>312961</v>
          </cell>
          <cell r="G2426" t="str">
            <v>Hans Estuard Milian Alarcon</v>
          </cell>
        </row>
        <row r="2427">
          <cell r="F2427">
            <v>315569</v>
          </cell>
          <cell r="G2427" t="str">
            <v>Heber Benjamin Gomez Ramirez</v>
          </cell>
        </row>
        <row r="2428">
          <cell r="F2428">
            <v>315175</v>
          </cell>
          <cell r="G2428" t="str">
            <v>Heber Nehemias Velasquez Lorenzo</v>
          </cell>
        </row>
        <row r="2429">
          <cell r="F2429">
            <v>315576</v>
          </cell>
          <cell r="G2429" t="str">
            <v>Heber Uziel Ruiz Escobar</v>
          </cell>
        </row>
        <row r="2430">
          <cell r="F2430">
            <v>315154</v>
          </cell>
          <cell r="G2430" t="str">
            <v>Hector Estuardo Velasquez Carvajal</v>
          </cell>
        </row>
        <row r="2431">
          <cell r="F2431">
            <v>312588</v>
          </cell>
          <cell r="G2431" t="str">
            <v>Hector Manuel Pojoy Berduo</v>
          </cell>
        </row>
        <row r="2432">
          <cell r="F2432">
            <v>309925</v>
          </cell>
          <cell r="G2432" t="str">
            <v>Hector Marco Tulio Torres Garcia</v>
          </cell>
        </row>
        <row r="2433">
          <cell r="F2433">
            <v>312114</v>
          </cell>
          <cell r="G2433" t="str">
            <v>Hegner Aquino Mateo Recinos</v>
          </cell>
        </row>
        <row r="2434">
          <cell r="F2434">
            <v>310694</v>
          </cell>
          <cell r="G2434" t="str">
            <v>Heidy Carolina Monterroso Monterroso</v>
          </cell>
        </row>
        <row r="2435">
          <cell r="F2435">
            <v>315300</v>
          </cell>
          <cell r="G2435" t="str">
            <v>Heidy Karina Gil Quinti</v>
          </cell>
        </row>
        <row r="2436">
          <cell r="F2436">
            <v>314029</v>
          </cell>
          <cell r="G2436" t="str">
            <v>Heidy Noely Yupe Hernandez</v>
          </cell>
        </row>
        <row r="2437">
          <cell r="F2437">
            <v>313510</v>
          </cell>
          <cell r="G2437" t="str">
            <v>Heidy Patricia Santizo López</v>
          </cell>
        </row>
        <row r="2438">
          <cell r="F2438">
            <v>308951</v>
          </cell>
          <cell r="G2438" t="str">
            <v>Heidy Sucely Boc Monroy</v>
          </cell>
        </row>
        <row r="2439">
          <cell r="F2439">
            <v>301847</v>
          </cell>
          <cell r="G2439" t="str">
            <v>Heidy Yanet Reyes Presencin</v>
          </cell>
        </row>
        <row r="2440">
          <cell r="F2440">
            <v>314009</v>
          </cell>
          <cell r="G2440" t="str">
            <v>Heily Marie Taracena Diaz</v>
          </cell>
        </row>
        <row r="2441">
          <cell r="F2441">
            <v>303959</v>
          </cell>
          <cell r="G2441" t="str">
            <v>Helen Editt Solorzano Estrada</v>
          </cell>
        </row>
        <row r="2442">
          <cell r="F2442">
            <v>308028</v>
          </cell>
          <cell r="G2442" t="str">
            <v>Helen Eunice Hernandez Recinos</v>
          </cell>
        </row>
        <row r="2443">
          <cell r="F2443">
            <v>302479</v>
          </cell>
          <cell r="G2443" t="str">
            <v>Helen Xiomara Roldan Sagastume</v>
          </cell>
        </row>
        <row r="2444">
          <cell r="F2444">
            <v>313041</v>
          </cell>
          <cell r="G2444" t="str">
            <v>Hellen Marisol Velasquez Ciprian</v>
          </cell>
        </row>
        <row r="2445">
          <cell r="F2445">
            <v>313729</v>
          </cell>
          <cell r="G2445" t="str">
            <v>Henry David Lopez Perez</v>
          </cell>
        </row>
        <row r="2446">
          <cell r="F2446">
            <v>307713</v>
          </cell>
          <cell r="G2446" t="str">
            <v>Henry Donaldo Rodriguez Perez</v>
          </cell>
        </row>
        <row r="2447">
          <cell r="F2447">
            <v>315304</v>
          </cell>
          <cell r="G2447" t="str">
            <v>Henry Gabriel Morales Chinchilla</v>
          </cell>
        </row>
        <row r="2448">
          <cell r="F2448">
            <v>314630</v>
          </cell>
          <cell r="G2448" t="str">
            <v>Henry Misael Serech Ramon</v>
          </cell>
        </row>
        <row r="2449">
          <cell r="F2449">
            <v>312139</v>
          </cell>
          <cell r="G2449" t="str">
            <v>Herber Ardany Lucho Samayoa</v>
          </cell>
        </row>
        <row r="2450">
          <cell r="F2450">
            <v>310725</v>
          </cell>
          <cell r="G2450" t="str">
            <v>Herber Humberto Cax Gonzales</v>
          </cell>
        </row>
        <row r="2451">
          <cell r="F2451">
            <v>309034</v>
          </cell>
          <cell r="G2451" t="str">
            <v>Herbert Josue Mucia Garcia</v>
          </cell>
        </row>
        <row r="2452">
          <cell r="F2452">
            <v>315218</v>
          </cell>
          <cell r="G2452" t="str">
            <v>Herberth Alberto Barrios Perez</v>
          </cell>
        </row>
        <row r="2453">
          <cell r="F2453">
            <v>315050</v>
          </cell>
          <cell r="G2453" t="str">
            <v>Hercy Dayana Hidalgo Romero</v>
          </cell>
        </row>
        <row r="2454">
          <cell r="F2454">
            <v>312377</v>
          </cell>
          <cell r="G2454" t="str">
            <v>Hesler Jonathan Quevedo De La Cruz</v>
          </cell>
        </row>
        <row r="2455">
          <cell r="F2455">
            <v>315495</v>
          </cell>
          <cell r="G2455" t="str">
            <v>Heydee Johana Marisol Cho Del Valle</v>
          </cell>
        </row>
        <row r="2456">
          <cell r="F2456">
            <v>302285</v>
          </cell>
          <cell r="G2456" t="str">
            <v>Heydi Yaneth Sales Mazariegos</v>
          </cell>
        </row>
        <row r="2457">
          <cell r="F2457">
            <v>309528</v>
          </cell>
          <cell r="G2457" t="str">
            <v>Heydi Zuleyma Gue Cac</v>
          </cell>
        </row>
        <row r="2458">
          <cell r="F2458">
            <v>310612</v>
          </cell>
          <cell r="G2458" t="str">
            <v>Heydy Mariela Santiago Armas</v>
          </cell>
        </row>
        <row r="2459">
          <cell r="F2459">
            <v>301649</v>
          </cell>
          <cell r="G2459" t="str">
            <v>Hilda Paola Lopez Cano</v>
          </cell>
        </row>
        <row r="2460">
          <cell r="F2460">
            <v>306404</v>
          </cell>
          <cell r="G2460" t="str">
            <v>Hugo Leonel Tahual Ramos</v>
          </cell>
        </row>
        <row r="2461">
          <cell r="F2461">
            <v>313743</v>
          </cell>
          <cell r="G2461" t="str">
            <v>Hugo Rolando Ruiz Alquijay</v>
          </cell>
        </row>
        <row r="2462">
          <cell r="F2462">
            <v>310888</v>
          </cell>
          <cell r="G2462" t="str">
            <v>Hugo Vinicio Chavez Barrios</v>
          </cell>
        </row>
        <row r="2463">
          <cell r="F2463">
            <v>302261</v>
          </cell>
          <cell r="G2463" t="str">
            <v>Idalia Ester Espino Lopez</v>
          </cell>
        </row>
        <row r="2464">
          <cell r="F2464">
            <v>304392</v>
          </cell>
          <cell r="G2464" t="str">
            <v>Ilda Gricelda Garcia Zacarias</v>
          </cell>
        </row>
        <row r="2465">
          <cell r="F2465">
            <v>313703</v>
          </cell>
          <cell r="G2465" t="str">
            <v>Ilda Magnolia Lopez Ramirez</v>
          </cell>
        </row>
        <row r="2466">
          <cell r="F2466">
            <v>310432</v>
          </cell>
          <cell r="G2466" t="str">
            <v>Ilda Merary Calachij Mendez</v>
          </cell>
        </row>
        <row r="2467">
          <cell r="F2467">
            <v>309389</v>
          </cell>
          <cell r="G2467" t="str">
            <v>Ilsy Meliza Matzir Lebon</v>
          </cell>
        </row>
        <row r="2468">
          <cell r="F2468">
            <v>303674</v>
          </cell>
          <cell r="G2468" t="str">
            <v>Imelda Elizabeth Castro Rodas</v>
          </cell>
        </row>
        <row r="2469">
          <cell r="F2469">
            <v>301644</v>
          </cell>
          <cell r="G2469" t="str">
            <v>Imelda Eugenia Recinos Martinez</v>
          </cell>
        </row>
        <row r="2470">
          <cell r="F2470">
            <v>307030</v>
          </cell>
          <cell r="G2470" t="str">
            <v>Ingrid Alejandra Juarez Yanes</v>
          </cell>
        </row>
        <row r="2471">
          <cell r="F2471">
            <v>315503</v>
          </cell>
          <cell r="G2471" t="str">
            <v>Ingrid Benita Tojin Chuc</v>
          </cell>
        </row>
        <row r="2472">
          <cell r="F2472">
            <v>312398</v>
          </cell>
          <cell r="G2472" t="str">
            <v>Ingrid Esteffany Salazar Sosa</v>
          </cell>
        </row>
        <row r="2473">
          <cell r="F2473">
            <v>301199</v>
          </cell>
          <cell r="G2473" t="str">
            <v>Ingrid Haydee Minchez Monzon</v>
          </cell>
        </row>
        <row r="2474">
          <cell r="F2474">
            <v>304317</v>
          </cell>
          <cell r="G2474" t="str">
            <v>Ingrid Johana Muñoz Choc</v>
          </cell>
        </row>
        <row r="2475">
          <cell r="F2475">
            <v>311286</v>
          </cell>
          <cell r="G2475" t="str">
            <v>Ingrid Lorena Anleu Morales</v>
          </cell>
        </row>
        <row r="2476">
          <cell r="F2476">
            <v>311133</v>
          </cell>
          <cell r="G2476" t="str">
            <v>Ingrid Mariela Maldonado Tubac</v>
          </cell>
        </row>
        <row r="2477">
          <cell r="F2477">
            <v>313304</v>
          </cell>
          <cell r="G2477" t="str">
            <v>Ingrid Yojana Ramos Sacalxot</v>
          </cell>
        </row>
        <row r="2478">
          <cell r="F2478">
            <v>311997</v>
          </cell>
          <cell r="G2478" t="str">
            <v>Irene Lizbeth Rodas Cuc</v>
          </cell>
        </row>
        <row r="2479">
          <cell r="F2479">
            <v>313128</v>
          </cell>
          <cell r="G2479" t="str">
            <v>Iris Elizabeth Cardona Gonzalez</v>
          </cell>
        </row>
        <row r="2480">
          <cell r="F2480">
            <v>314232</v>
          </cell>
          <cell r="G2480" t="str">
            <v>Iris Yulisa Camposeco Funes</v>
          </cell>
        </row>
        <row r="2481">
          <cell r="F2481">
            <v>312920</v>
          </cell>
          <cell r="G2481" t="str">
            <v>Irma Leticia Raquec Yos</v>
          </cell>
        </row>
        <row r="2482">
          <cell r="F2482">
            <v>314336</v>
          </cell>
          <cell r="G2482" t="str">
            <v>Isaac David Ismael Calderon Socop</v>
          </cell>
        </row>
        <row r="2483">
          <cell r="F2483">
            <v>315186</v>
          </cell>
          <cell r="G2483" t="str">
            <v>Isabelita Retana Zepeda</v>
          </cell>
        </row>
        <row r="2484">
          <cell r="F2484">
            <v>311913</v>
          </cell>
          <cell r="G2484" t="str">
            <v>Isai Bernabe Quiroa Alvarez</v>
          </cell>
        </row>
        <row r="2485">
          <cell r="F2485">
            <v>315302</v>
          </cell>
          <cell r="G2485" t="str">
            <v>Isai De Jesus Cabrera Tirado</v>
          </cell>
        </row>
        <row r="2486">
          <cell r="F2486">
            <v>314983</v>
          </cell>
          <cell r="G2486" t="str">
            <v>Ismael Josafat Barrios</v>
          </cell>
        </row>
        <row r="2487">
          <cell r="F2487">
            <v>313569</v>
          </cell>
          <cell r="G2487" t="str">
            <v>Ismar Manfredo Gomez Batres</v>
          </cell>
        </row>
        <row r="2488">
          <cell r="F2488">
            <v>315034</v>
          </cell>
          <cell r="G2488" t="str">
            <v>Jackeline Andrea Yancor Wilhelm</v>
          </cell>
        </row>
        <row r="2489">
          <cell r="F2489">
            <v>315352</v>
          </cell>
          <cell r="G2489" t="str">
            <v>Jackeline Ester Vasquez Pernillo</v>
          </cell>
        </row>
        <row r="2490">
          <cell r="F2490">
            <v>100717</v>
          </cell>
          <cell r="G2490" t="str">
            <v>Jackeline Larisa De Leon Roldan</v>
          </cell>
        </row>
        <row r="2491">
          <cell r="F2491">
            <v>313656</v>
          </cell>
          <cell r="G2491" t="str">
            <v>Jackelinne Judith Paz Morales</v>
          </cell>
        </row>
        <row r="2492">
          <cell r="F2492">
            <v>312255</v>
          </cell>
          <cell r="G2492" t="str">
            <v>Jacqueline Mercedes Portuguez Simaj</v>
          </cell>
        </row>
        <row r="2493">
          <cell r="F2493">
            <v>314780</v>
          </cell>
          <cell r="G2493" t="str">
            <v>Jacqueline Michell Arroyo Mendoza</v>
          </cell>
        </row>
        <row r="2494">
          <cell r="F2494">
            <v>301265</v>
          </cell>
          <cell r="G2494" t="str">
            <v>Jaime Estuardo Gonzalez Lopez</v>
          </cell>
        </row>
        <row r="2495">
          <cell r="F2495">
            <v>314552</v>
          </cell>
          <cell r="G2495" t="str">
            <v>Jaime Ottoniel Del Aguila Pineda</v>
          </cell>
        </row>
        <row r="2496">
          <cell r="F2496">
            <v>301608</v>
          </cell>
          <cell r="G2496" t="str">
            <v>Jaime Rene Guzman Muy</v>
          </cell>
        </row>
        <row r="2497">
          <cell r="F2497">
            <v>314866</v>
          </cell>
          <cell r="G2497" t="str">
            <v>Jaime Wilfredo Chub Coc</v>
          </cell>
        </row>
        <row r="2498">
          <cell r="F2498">
            <v>314935</v>
          </cell>
          <cell r="G2498" t="str">
            <v>Jairo Anibal Veliz Carrera</v>
          </cell>
        </row>
        <row r="2499">
          <cell r="F2499">
            <v>313086</v>
          </cell>
          <cell r="G2499" t="str">
            <v>Jairo Onesimo Aguilar Cabrera</v>
          </cell>
        </row>
        <row r="2500">
          <cell r="F2500">
            <v>314146</v>
          </cell>
          <cell r="G2500" t="str">
            <v>Jairo Saul Lopez Quinteros</v>
          </cell>
        </row>
        <row r="2501">
          <cell r="F2501">
            <v>315130</v>
          </cell>
          <cell r="G2501" t="str">
            <v>Jakelyn Estrella Erazo Asencio</v>
          </cell>
        </row>
        <row r="2502">
          <cell r="F2502">
            <v>315546</v>
          </cell>
          <cell r="G2502" t="str">
            <v>James Alexander Marquez Salazar</v>
          </cell>
        </row>
        <row r="2503">
          <cell r="F2503">
            <v>314261</v>
          </cell>
          <cell r="G2503" t="str">
            <v>Jannely Darlene Telon Giron</v>
          </cell>
        </row>
        <row r="2504">
          <cell r="F2504">
            <v>313187</v>
          </cell>
          <cell r="G2504" t="str">
            <v>Janyer Violeta Aguirre Alvarez</v>
          </cell>
        </row>
        <row r="2505">
          <cell r="F2505">
            <v>308525</v>
          </cell>
          <cell r="G2505" t="str">
            <v>Jaquelin Paola Lopez Bocel</v>
          </cell>
        </row>
        <row r="2506">
          <cell r="F2506">
            <v>308189</v>
          </cell>
          <cell r="G2506" t="str">
            <v>Jaquelin Rocxana Cantey De Leon</v>
          </cell>
        </row>
        <row r="2507">
          <cell r="F2507">
            <v>312758</v>
          </cell>
          <cell r="G2507" t="str">
            <v>Jaqueline Gabriela Vasquez Icute De Padilla</v>
          </cell>
        </row>
        <row r="2508">
          <cell r="F2508">
            <v>301462</v>
          </cell>
          <cell r="G2508" t="str">
            <v>Jaqueline Johana Hernandez Masaya</v>
          </cell>
        </row>
        <row r="2509">
          <cell r="F2509">
            <v>310027</v>
          </cell>
          <cell r="G2509" t="str">
            <v>Jaqueline Mishel Zetino Culan</v>
          </cell>
        </row>
        <row r="2510">
          <cell r="F2510">
            <v>313663</v>
          </cell>
          <cell r="G2510" t="str">
            <v>Jaqueline Mishell Perez Sanic</v>
          </cell>
        </row>
        <row r="2511">
          <cell r="F2511">
            <v>314697</v>
          </cell>
          <cell r="G2511" t="str">
            <v>Jaqueline Noemi Cojon Franco</v>
          </cell>
        </row>
        <row r="2512">
          <cell r="F2512">
            <v>314526</v>
          </cell>
          <cell r="G2512" t="str">
            <v>Jaqueline Sarai Reynoso Perez</v>
          </cell>
        </row>
        <row r="2513">
          <cell r="F2513">
            <v>314952</v>
          </cell>
          <cell r="G2513" t="str">
            <v>Jaqueline Stephanie Espinoza Espinoza</v>
          </cell>
        </row>
        <row r="2514">
          <cell r="F2514">
            <v>315467</v>
          </cell>
          <cell r="G2514" t="str">
            <v>Jaqueline Vanessa Cardona Del Cid</v>
          </cell>
        </row>
        <row r="2515">
          <cell r="F2515">
            <v>314066</v>
          </cell>
          <cell r="G2515" t="str">
            <v>Jaquelyn Marleny Fernandez</v>
          </cell>
        </row>
        <row r="2516">
          <cell r="F2516">
            <v>314639</v>
          </cell>
          <cell r="G2516" t="str">
            <v>Jarod Emanuel Prado Sanchez</v>
          </cell>
        </row>
        <row r="2517">
          <cell r="F2517">
            <v>311320</v>
          </cell>
          <cell r="G2517" t="str">
            <v>Jasly Elisama Escobar Mayen</v>
          </cell>
        </row>
        <row r="2518">
          <cell r="F2518">
            <v>304531</v>
          </cell>
          <cell r="G2518" t="str">
            <v>Jasmin Cristabel Rosales</v>
          </cell>
        </row>
        <row r="2519">
          <cell r="F2519">
            <v>315500</v>
          </cell>
          <cell r="G2519" t="str">
            <v>Jasson Daniel Morales Garcia</v>
          </cell>
        </row>
        <row r="2520">
          <cell r="F2520">
            <v>315383</v>
          </cell>
          <cell r="G2520" t="str">
            <v>Javier Estuardo Calderon Caceres</v>
          </cell>
        </row>
        <row r="2521">
          <cell r="F2521">
            <v>307598</v>
          </cell>
          <cell r="G2521" t="str">
            <v>Javier Ignacio Monzon Leon</v>
          </cell>
        </row>
        <row r="2522">
          <cell r="F2522">
            <v>312743</v>
          </cell>
          <cell r="G2522" t="str">
            <v>Jayro Vinicio Alvarado Rodriguez</v>
          </cell>
        </row>
        <row r="2523">
          <cell r="F2523">
            <v>313435</v>
          </cell>
          <cell r="G2523" t="str">
            <v>Jefferson Marvin Baudilio Aldana Lozano</v>
          </cell>
        </row>
        <row r="2524">
          <cell r="F2524">
            <v>310987</v>
          </cell>
          <cell r="G2524" t="str">
            <v>Jeffrey Donely Alvarez Garcia</v>
          </cell>
        </row>
        <row r="2525">
          <cell r="F2525">
            <v>315307</v>
          </cell>
          <cell r="G2525" t="str">
            <v>Jeicob Manrique Argueta Ovalle</v>
          </cell>
        </row>
        <row r="2526">
          <cell r="F2526">
            <v>313167</v>
          </cell>
          <cell r="G2526" t="str">
            <v>Jency Julissa Chavarria Garcia</v>
          </cell>
        </row>
        <row r="2527">
          <cell r="F2527">
            <v>309592</v>
          </cell>
          <cell r="G2527" t="str">
            <v>Jenifer Estrella Alvarez Cruz</v>
          </cell>
        </row>
        <row r="2528">
          <cell r="F2528">
            <v>308871</v>
          </cell>
          <cell r="G2528" t="str">
            <v>Jenifer Lisset Chicol Solis</v>
          </cell>
        </row>
        <row r="2529">
          <cell r="F2529">
            <v>310744</v>
          </cell>
          <cell r="G2529" t="str">
            <v>Jenifer Lucrecia Herrera Gonzalez</v>
          </cell>
        </row>
        <row r="2530">
          <cell r="F2530">
            <v>312022</v>
          </cell>
          <cell r="G2530" t="str">
            <v>Jenifer Maria Lopez Jimenez</v>
          </cell>
        </row>
        <row r="2531">
          <cell r="F2531">
            <v>311998</v>
          </cell>
          <cell r="G2531" t="str">
            <v>Jenifer Patricia Ruano Camo</v>
          </cell>
        </row>
        <row r="2532">
          <cell r="F2532">
            <v>314393</v>
          </cell>
          <cell r="G2532" t="str">
            <v>Jeniffer Yadaris Villegas Montepeque</v>
          </cell>
        </row>
        <row r="2533">
          <cell r="F2533">
            <v>312144</v>
          </cell>
          <cell r="G2533" t="str">
            <v>Jennie Beatriz Aguilar Gonzalez</v>
          </cell>
        </row>
        <row r="2534">
          <cell r="F2534">
            <v>310751</v>
          </cell>
          <cell r="G2534" t="str">
            <v>Jennifer Alejandra Escobar De Leon</v>
          </cell>
        </row>
        <row r="2535">
          <cell r="F2535">
            <v>311804</v>
          </cell>
          <cell r="G2535" t="str">
            <v>Jennifer Carolina Xitimul Aguilar</v>
          </cell>
        </row>
        <row r="2536">
          <cell r="F2536">
            <v>315185</v>
          </cell>
          <cell r="G2536" t="str">
            <v>Jennifer Estefany Argueta De Leon</v>
          </cell>
        </row>
        <row r="2537">
          <cell r="F2537">
            <v>313611</v>
          </cell>
          <cell r="G2537" t="str">
            <v>Jennifer Mishel Reyes Solis</v>
          </cell>
        </row>
        <row r="2538">
          <cell r="F2538">
            <v>314306</v>
          </cell>
          <cell r="G2538" t="str">
            <v>Jennifer Noemi Soch Castro</v>
          </cell>
        </row>
        <row r="2539">
          <cell r="F2539">
            <v>312876</v>
          </cell>
          <cell r="G2539" t="str">
            <v>Jennifer Pahola Calderon Lopez</v>
          </cell>
        </row>
        <row r="2540">
          <cell r="F2540">
            <v>311421</v>
          </cell>
          <cell r="G2540" t="str">
            <v>Jennifer Scarlett Garcia Perez</v>
          </cell>
        </row>
        <row r="2541">
          <cell r="F2541">
            <v>312270</v>
          </cell>
          <cell r="G2541" t="str">
            <v>Jennifer Vanessa Rodriguez Hernandez</v>
          </cell>
        </row>
        <row r="2542">
          <cell r="F2542">
            <v>313387</v>
          </cell>
          <cell r="G2542" t="str">
            <v>Jennifer Waleska Arévalo Barrios</v>
          </cell>
        </row>
        <row r="2543">
          <cell r="F2543">
            <v>312117</v>
          </cell>
          <cell r="G2543" t="str">
            <v>Jenniffer Jazmin Ramos Madriles</v>
          </cell>
        </row>
        <row r="2544">
          <cell r="F2544">
            <v>310238</v>
          </cell>
          <cell r="G2544" t="str">
            <v>Jennyfer Cristina Zamora Rosales</v>
          </cell>
        </row>
        <row r="2545">
          <cell r="F2545">
            <v>312732</v>
          </cell>
          <cell r="G2545" t="str">
            <v>Jerson Herminio Melchor Vasquez</v>
          </cell>
        </row>
        <row r="2546">
          <cell r="F2546">
            <v>314962</v>
          </cell>
          <cell r="G2546" t="str">
            <v>Jessica Alejandra Castillo Alvarado</v>
          </cell>
        </row>
        <row r="2547">
          <cell r="F2547">
            <v>314100</v>
          </cell>
          <cell r="G2547" t="str">
            <v>Jessica Elizabeth Perez Noriega</v>
          </cell>
        </row>
        <row r="2548">
          <cell r="F2548">
            <v>311601</v>
          </cell>
          <cell r="G2548" t="str">
            <v>Jessica Haydee Garcia Cuyuche</v>
          </cell>
        </row>
        <row r="2549">
          <cell r="F2549">
            <v>314620</v>
          </cell>
          <cell r="G2549" t="str">
            <v>Jessica Jasmin Baltazar Fuentes</v>
          </cell>
        </row>
        <row r="2550">
          <cell r="F2550">
            <v>302841</v>
          </cell>
          <cell r="G2550" t="str">
            <v>Jessica Maria Jose Santizo Guzman</v>
          </cell>
        </row>
        <row r="2551">
          <cell r="F2551">
            <v>306420</v>
          </cell>
          <cell r="G2551" t="str">
            <v>Jessica Paola Espinoza Solares</v>
          </cell>
        </row>
        <row r="2552">
          <cell r="F2552">
            <v>313826</v>
          </cell>
          <cell r="G2552" t="str">
            <v>Jesus Alberto Vasquez</v>
          </cell>
        </row>
        <row r="2553">
          <cell r="F2553">
            <v>314641</v>
          </cell>
          <cell r="G2553" t="str">
            <v>Jesus Emanuel Ramos Perez</v>
          </cell>
        </row>
        <row r="2554">
          <cell r="F2554">
            <v>314554</v>
          </cell>
          <cell r="G2554" t="str">
            <v>Jhonatan Alexis Ramos Tecun</v>
          </cell>
        </row>
        <row r="2555">
          <cell r="F2555">
            <v>309115</v>
          </cell>
          <cell r="G2555" t="str">
            <v>Jhony Ivan Perez Castillo</v>
          </cell>
        </row>
        <row r="2556">
          <cell r="F2556">
            <v>311171</v>
          </cell>
          <cell r="G2556" t="str">
            <v>Jhoselyn Guadalupe Aquino Maldonado</v>
          </cell>
        </row>
        <row r="2557">
          <cell r="F2557">
            <v>311987</v>
          </cell>
          <cell r="G2557" t="str">
            <v>Jhosseline Stefanie Zermeño Ayala</v>
          </cell>
        </row>
        <row r="2558">
          <cell r="F2558">
            <v>315116</v>
          </cell>
          <cell r="G2558" t="str">
            <v>Jocelyn Fabiola Negro Vasquez</v>
          </cell>
        </row>
        <row r="2559">
          <cell r="F2559">
            <v>314644</v>
          </cell>
          <cell r="G2559" t="str">
            <v>Joel Bernardino Pu Vicente</v>
          </cell>
        </row>
        <row r="2560">
          <cell r="F2560">
            <v>314368</v>
          </cell>
          <cell r="G2560" t="str">
            <v>Johanna Cecilia Hernandez Ixtecoc</v>
          </cell>
        </row>
        <row r="2561">
          <cell r="F2561">
            <v>314339</v>
          </cell>
          <cell r="G2561" t="str">
            <v>Jonatan Estuardo Lopez Gonzalez</v>
          </cell>
        </row>
        <row r="2562">
          <cell r="F2562">
            <v>313157</v>
          </cell>
          <cell r="G2562" t="str">
            <v>Jonatan Guillermo Soto Urbina</v>
          </cell>
        </row>
        <row r="2563">
          <cell r="F2563">
            <v>315492</v>
          </cell>
          <cell r="G2563" t="str">
            <v>Jonathan Daniel Perez Marroquin</v>
          </cell>
        </row>
        <row r="2564">
          <cell r="F2564">
            <v>315156</v>
          </cell>
          <cell r="G2564" t="str">
            <v>Jonathan Donely Sandoval Soch</v>
          </cell>
        </row>
        <row r="2565">
          <cell r="F2565">
            <v>315451</v>
          </cell>
          <cell r="G2565" t="str">
            <v>Jonathan Estuardo Boteo Hernandez</v>
          </cell>
        </row>
        <row r="2566">
          <cell r="F2566">
            <v>314228</v>
          </cell>
          <cell r="G2566" t="str">
            <v>Jordi Alexander Yuman Ramos</v>
          </cell>
        </row>
        <row r="2567">
          <cell r="F2567">
            <v>305955</v>
          </cell>
          <cell r="G2567" t="str">
            <v>Jorge Alfredo Gutierrez Rodriguez</v>
          </cell>
        </row>
        <row r="2568">
          <cell r="F2568">
            <v>309695</v>
          </cell>
          <cell r="G2568" t="str">
            <v>Jorge Andres Sunum Sacul</v>
          </cell>
        </row>
        <row r="2569">
          <cell r="F2569">
            <v>310641</v>
          </cell>
          <cell r="G2569" t="str">
            <v>Jorge Antonio Ramirez Sicay</v>
          </cell>
        </row>
        <row r="2570">
          <cell r="F2570">
            <v>300150</v>
          </cell>
          <cell r="G2570" t="str">
            <v>Jorge Ckristian Murga</v>
          </cell>
        </row>
        <row r="2571">
          <cell r="F2571">
            <v>315114</v>
          </cell>
          <cell r="G2571" t="str">
            <v>Jorge Enrique Tzic Cruz</v>
          </cell>
        </row>
        <row r="2572">
          <cell r="F2572">
            <v>300590</v>
          </cell>
          <cell r="G2572" t="str">
            <v>Jorge Luis Hernandez Corado</v>
          </cell>
        </row>
        <row r="2573">
          <cell r="F2573">
            <v>315173</v>
          </cell>
          <cell r="G2573" t="str">
            <v>Jorge Luis Morales Lopez</v>
          </cell>
        </row>
        <row r="2574">
          <cell r="F2574">
            <v>315067</v>
          </cell>
          <cell r="G2574" t="str">
            <v>Jorge Luis Rizo Melgar</v>
          </cell>
        </row>
        <row r="2575">
          <cell r="F2575">
            <v>309498</v>
          </cell>
          <cell r="G2575" t="str">
            <v>Jorge Ramiro Ixpec Tinti</v>
          </cell>
        </row>
        <row r="2576">
          <cell r="F2576">
            <v>313405</v>
          </cell>
          <cell r="G2576" t="str">
            <v>Josabet Anai Paz Lobos</v>
          </cell>
        </row>
        <row r="2577">
          <cell r="F2577">
            <v>315268</v>
          </cell>
          <cell r="G2577" t="str">
            <v>Jose Alberto Alveno Chacon</v>
          </cell>
        </row>
        <row r="2578">
          <cell r="F2578">
            <v>312319</v>
          </cell>
          <cell r="G2578" t="str">
            <v>Jose Alberto Sosa</v>
          </cell>
        </row>
        <row r="2579">
          <cell r="F2579">
            <v>315039</v>
          </cell>
          <cell r="G2579" t="str">
            <v>Jose Alejandro Hernandez Escobar</v>
          </cell>
        </row>
        <row r="2580">
          <cell r="F2580">
            <v>310674</v>
          </cell>
          <cell r="G2580" t="str">
            <v>Jose Armando Bamaca De Leon</v>
          </cell>
        </row>
        <row r="2581">
          <cell r="F2581">
            <v>313612</v>
          </cell>
          <cell r="G2581" t="str">
            <v>Jose Baldemar Galicia Muñoz</v>
          </cell>
        </row>
        <row r="2582">
          <cell r="F2582">
            <v>314216</v>
          </cell>
          <cell r="G2582" t="str">
            <v>Jose Bernardo Yax Pop</v>
          </cell>
        </row>
        <row r="2583">
          <cell r="F2583">
            <v>314504</v>
          </cell>
          <cell r="G2583" t="str">
            <v>Jose Carlos Lopez Santisteban</v>
          </cell>
        </row>
        <row r="2584">
          <cell r="F2584">
            <v>310673</v>
          </cell>
          <cell r="G2584" t="str">
            <v>Jose Carlos Orozco Lopez</v>
          </cell>
        </row>
        <row r="2585">
          <cell r="F2585">
            <v>308982</v>
          </cell>
          <cell r="G2585" t="str">
            <v>Jose Daniel Sosa Torres</v>
          </cell>
        </row>
        <row r="2586">
          <cell r="F2586">
            <v>314510</v>
          </cell>
          <cell r="G2586" t="str">
            <v>Jose David Flores Enriquez</v>
          </cell>
        </row>
        <row r="2587">
          <cell r="F2587">
            <v>315261</v>
          </cell>
          <cell r="G2587" t="str">
            <v>Jose Emmanuel Ixcajo Higueros</v>
          </cell>
        </row>
        <row r="2588">
          <cell r="F2588">
            <v>313766</v>
          </cell>
          <cell r="G2588" t="str">
            <v>Jose Francisco Aquino Monterroso</v>
          </cell>
        </row>
        <row r="2589">
          <cell r="F2589">
            <v>315415</v>
          </cell>
          <cell r="G2589" t="str">
            <v>Jose Guillermo Marroquin Alvarado</v>
          </cell>
        </row>
        <row r="2590">
          <cell r="F2590">
            <v>306915</v>
          </cell>
          <cell r="G2590" t="str">
            <v>Jose Luis Chinchilla</v>
          </cell>
        </row>
        <row r="2591">
          <cell r="F2591">
            <v>309765</v>
          </cell>
          <cell r="G2591" t="str">
            <v>Jose Luis Velasquez Miche</v>
          </cell>
        </row>
        <row r="2592">
          <cell r="F2592">
            <v>314262</v>
          </cell>
          <cell r="G2592" t="str">
            <v>Jose Manuel Carreto Lopez</v>
          </cell>
        </row>
        <row r="2593">
          <cell r="F2593">
            <v>315487</v>
          </cell>
          <cell r="G2593" t="str">
            <v>Jose Manuel Vasquez Osoy</v>
          </cell>
        </row>
        <row r="2594">
          <cell r="F2594">
            <v>304892</v>
          </cell>
          <cell r="G2594" t="str">
            <v>Jose Mario Alberto Ordoñez Quiñonez</v>
          </cell>
        </row>
        <row r="2595">
          <cell r="F2595">
            <v>313023</v>
          </cell>
          <cell r="G2595" t="str">
            <v>Jose Miguel Angel Noj Aguilar</v>
          </cell>
        </row>
        <row r="2596">
          <cell r="F2596">
            <v>312573</v>
          </cell>
          <cell r="G2596" t="str">
            <v>Jose Miguel Santos Roca</v>
          </cell>
        </row>
        <row r="2597">
          <cell r="F2597">
            <v>311802</v>
          </cell>
          <cell r="G2597" t="str">
            <v>Jose Roberto Samayoa Bernal</v>
          </cell>
        </row>
        <row r="2598">
          <cell r="F2598">
            <v>314614</v>
          </cell>
          <cell r="G2598" t="str">
            <v>Jose Rodrigo Choc Turcios</v>
          </cell>
        </row>
        <row r="2599">
          <cell r="F2599">
            <v>314729</v>
          </cell>
          <cell r="G2599" t="str">
            <v>Joselin Rocio Galicia Mendez</v>
          </cell>
        </row>
        <row r="2600">
          <cell r="F2600">
            <v>315496</v>
          </cell>
          <cell r="G2600" t="str">
            <v>Joseline Otilia Lorenzana Obando</v>
          </cell>
        </row>
        <row r="2601">
          <cell r="F2601">
            <v>310302</v>
          </cell>
          <cell r="G2601" t="str">
            <v>Joselyn Amparo Jolon Arenas</v>
          </cell>
        </row>
        <row r="2602">
          <cell r="F2602">
            <v>315573</v>
          </cell>
          <cell r="G2602" t="str">
            <v>Joselyn Marilu Lima Hernandez</v>
          </cell>
        </row>
        <row r="2603">
          <cell r="F2603">
            <v>313361</v>
          </cell>
          <cell r="G2603" t="str">
            <v>Joselyne Elizabeth Sanchez Rodriguez</v>
          </cell>
        </row>
        <row r="2604">
          <cell r="F2604">
            <v>309870</v>
          </cell>
          <cell r="G2604" t="str">
            <v>Joselyne Gabriela Ruiz Serra</v>
          </cell>
        </row>
        <row r="2605">
          <cell r="F2605">
            <v>311407</v>
          </cell>
          <cell r="G2605" t="str">
            <v>Joshelyn Andrea Ozuna Rosales</v>
          </cell>
        </row>
        <row r="2606">
          <cell r="F2606">
            <v>315066</v>
          </cell>
          <cell r="G2606" t="str">
            <v>Joshua Leonel Pardo Carrera</v>
          </cell>
        </row>
        <row r="2607">
          <cell r="F2607">
            <v>314433</v>
          </cell>
          <cell r="G2607" t="str">
            <v>Josselin Azucena Cortez Hernandez</v>
          </cell>
        </row>
        <row r="2608">
          <cell r="F2608">
            <v>315560</v>
          </cell>
          <cell r="G2608" t="str">
            <v>Josseline Maribel Sarceno Guerra</v>
          </cell>
        </row>
        <row r="2609">
          <cell r="F2609">
            <v>314268</v>
          </cell>
          <cell r="G2609" t="str">
            <v>Josseline Mishel Flores Baren</v>
          </cell>
        </row>
        <row r="2610">
          <cell r="F2610">
            <v>313034</v>
          </cell>
          <cell r="G2610" t="str">
            <v>Josselyn Raab Morales Arana</v>
          </cell>
        </row>
        <row r="2611">
          <cell r="F2611">
            <v>314989</v>
          </cell>
          <cell r="G2611" t="str">
            <v>Josue Adrian Gutierrez Garcia</v>
          </cell>
        </row>
        <row r="2612">
          <cell r="F2612">
            <v>308461</v>
          </cell>
          <cell r="G2612" t="str">
            <v>Josue Gamaliel Rivera</v>
          </cell>
        </row>
        <row r="2613">
          <cell r="F2613">
            <v>315155</v>
          </cell>
          <cell r="G2613" t="str">
            <v>Josue Helaman Delgado Rivera</v>
          </cell>
        </row>
        <row r="2614">
          <cell r="F2614">
            <v>315011</v>
          </cell>
          <cell r="G2614" t="str">
            <v>Josue Ivan Escobar De Leon</v>
          </cell>
        </row>
        <row r="2615">
          <cell r="F2615">
            <v>313389</v>
          </cell>
          <cell r="G2615" t="str">
            <v>Josue Leonel Hernandez Diaz</v>
          </cell>
        </row>
        <row r="2616">
          <cell r="F2616">
            <v>301059</v>
          </cell>
          <cell r="G2616" t="str">
            <v>Jovita Vasquez Cuestas</v>
          </cell>
        </row>
        <row r="2617">
          <cell r="F2617">
            <v>314492</v>
          </cell>
          <cell r="G2617" t="str">
            <v>Juan Antonio Alvarez Paniagua</v>
          </cell>
        </row>
        <row r="2618">
          <cell r="F2618">
            <v>313594</v>
          </cell>
          <cell r="G2618" t="str">
            <v>Juan Carlos Enrique Molina Ramirez</v>
          </cell>
        </row>
        <row r="2619">
          <cell r="F2619">
            <v>314452</v>
          </cell>
          <cell r="G2619" t="str">
            <v>Juan Carlos Ivan Garcia Garcia</v>
          </cell>
        </row>
        <row r="2620">
          <cell r="F2620">
            <v>307279</v>
          </cell>
          <cell r="G2620" t="str">
            <v>Juan Carlos Perez Cahueque</v>
          </cell>
        </row>
        <row r="2621">
          <cell r="F2621">
            <v>315455</v>
          </cell>
          <cell r="G2621" t="str">
            <v>Juan Daniel Davila Juarez</v>
          </cell>
        </row>
        <row r="2622">
          <cell r="F2622">
            <v>312318</v>
          </cell>
          <cell r="G2622" t="str">
            <v>Juan Enrique Garcia</v>
          </cell>
        </row>
        <row r="2623">
          <cell r="F2623">
            <v>314669</v>
          </cell>
          <cell r="G2623" t="str">
            <v>Juan Enrique Jul Coc</v>
          </cell>
        </row>
        <row r="2624">
          <cell r="F2624">
            <v>311223</v>
          </cell>
          <cell r="G2624" t="str">
            <v>Juan Francisco Gudiel Castillo</v>
          </cell>
        </row>
        <row r="2625">
          <cell r="F2625">
            <v>313343</v>
          </cell>
          <cell r="G2625" t="str">
            <v>Juan Francisco Lopez Salic</v>
          </cell>
        </row>
        <row r="2626">
          <cell r="F2626">
            <v>300401</v>
          </cell>
          <cell r="G2626" t="str">
            <v>Juan Gabriel Mendoza Alvarez</v>
          </cell>
        </row>
        <row r="2627">
          <cell r="F2627">
            <v>313617</v>
          </cell>
          <cell r="G2627" t="str">
            <v>Juan Isael Amador</v>
          </cell>
        </row>
        <row r="2628">
          <cell r="F2628">
            <v>314961</v>
          </cell>
          <cell r="G2628" t="str">
            <v>Juan Jose Cifuentes Chavez</v>
          </cell>
        </row>
        <row r="2629">
          <cell r="F2629">
            <v>300919</v>
          </cell>
          <cell r="G2629" t="str">
            <v>Juan Jose Rodriguez Catu</v>
          </cell>
        </row>
        <row r="2630">
          <cell r="F2630">
            <v>313044</v>
          </cell>
          <cell r="G2630" t="str">
            <v>Juan Luis Ajcet Xicay</v>
          </cell>
        </row>
        <row r="2631">
          <cell r="F2631">
            <v>314665</v>
          </cell>
          <cell r="G2631" t="str">
            <v>Juan Manuel Lopez Hernandez</v>
          </cell>
        </row>
        <row r="2632">
          <cell r="F2632">
            <v>315275</v>
          </cell>
          <cell r="G2632" t="str">
            <v>Juana Del Carmen Arias Lopez</v>
          </cell>
        </row>
        <row r="2633">
          <cell r="F2633">
            <v>314557</v>
          </cell>
          <cell r="G2633" t="str">
            <v>Juana Ester Alvarez Tuluxan</v>
          </cell>
        </row>
        <row r="2634">
          <cell r="F2634">
            <v>313604</v>
          </cell>
          <cell r="G2634" t="str">
            <v>Julia Damaris Raquel Ramirez Torres</v>
          </cell>
        </row>
        <row r="2635">
          <cell r="F2635">
            <v>315411</v>
          </cell>
          <cell r="G2635" t="str">
            <v>Julio Alberto Guerra Jacinto</v>
          </cell>
        </row>
        <row r="2636">
          <cell r="F2636">
            <v>306242</v>
          </cell>
          <cell r="G2636" t="str">
            <v>Julio Amilcar Oswaldo Ico Rey</v>
          </cell>
        </row>
        <row r="2637">
          <cell r="F2637">
            <v>310693</v>
          </cell>
          <cell r="G2637" t="str">
            <v>Julio Antonio Gonzalez Izaguirre</v>
          </cell>
        </row>
        <row r="2638">
          <cell r="F2638">
            <v>302559</v>
          </cell>
          <cell r="G2638" t="str">
            <v>Julio Belarmino Mendez Camey</v>
          </cell>
        </row>
        <row r="2639">
          <cell r="F2639">
            <v>314740</v>
          </cell>
          <cell r="G2639" t="str">
            <v>Julio Cesar Cuellar Revolorio</v>
          </cell>
        </row>
        <row r="2640">
          <cell r="F2640">
            <v>308266</v>
          </cell>
          <cell r="G2640" t="str">
            <v>Julio Cesar De Leon Huinac</v>
          </cell>
        </row>
        <row r="2641">
          <cell r="F2641">
            <v>311388</v>
          </cell>
          <cell r="G2641" t="str">
            <v>Julio David Ambrosio Hernandez</v>
          </cell>
        </row>
        <row r="2642">
          <cell r="F2642">
            <v>313493</v>
          </cell>
          <cell r="G2642" t="str">
            <v>Julio Rene Medina Mendez</v>
          </cell>
        </row>
        <row r="2643">
          <cell r="F2643">
            <v>314194</v>
          </cell>
          <cell r="G2643" t="str">
            <v>Junior Stiven Gonzalez Fuentes</v>
          </cell>
        </row>
        <row r="2644">
          <cell r="F2644">
            <v>308411</v>
          </cell>
          <cell r="G2644" t="str">
            <v>Karen Alejandra Cotoc Valdes</v>
          </cell>
        </row>
        <row r="2645">
          <cell r="F2645">
            <v>313225</v>
          </cell>
          <cell r="G2645" t="str">
            <v>Karen Deniss Lucas Chavez</v>
          </cell>
        </row>
        <row r="2646">
          <cell r="F2646">
            <v>311553</v>
          </cell>
          <cell r="G2646" t="str">
            <v>Karen Elizabeth Racancoj Tin</v>
          </cell>
        </row>
        <row r="2647">
          <cell r="F2647">
            <v>312029</v>
          </cell>
          <cell r="G2647" t="str">
            <v>Karen Faviola Lutin Sanchez</v>
          </cell>
        </row>
        <row r="2648">
          <cell r="F2648">
            <v>314954</v>
          </cell>
          <cell r="G2648" t="str">
            <v>Karen Jeanet Pacheco Gomez</v>
          </cell>
        </row>
        <row r="2649">
          <cell r="F2649">
            <v>305618</v>
          </cell>
          <cell r="G2649" t="str">
            <v>Karen Julisa Fernandez Vides</v>
          </cell>
        </row>
        <row r="2650">
          <cell r="F2650">
            <v>308561</v>
          </cell>
          <cell r="G2650" t="str">
            <v>Karen Leticia Vasquez Castañeda</v>
          </cell>
        </row>
        <row r="2651">
          <cell r="F2651">
            <v>313722</v>
          </cell>
          <cell r="G2651" t="str">
            <v>Karen Marilu Chavez Suchite</v>
          </cell>
        </row>
        <row r="2652">
          <cell r="F2652">
            <v>315110</v>
          </cell>
          <cell r="G2652" t="str">
            <v>Karen Marleny Perez Fuentes</v>
          </cell>
        </row>
        <row r="2653">
          <cell r="F2653">
            <v>311616</v>
          </cell>
          <cell r="G2653" t="str">
            <v>Karen Meliza Saavedra Morataya</v>
          </cell>
        </row>
        <row r="2654">
          <cell r="F2654">
            <v>309014</v>
          </cell>
          <cell r="G2654" t="str">
            <v>Karen Mishelle Chavez Segura</v>
          </cell>
        </row>
        <row r="2655">
          <cell r="F2655">
            <v>314217</v>
          </cell>
          <cell r="G2655" t="str">
            <v>Karen Nohemi Perez Santos</v>
          </cell>
        </row>
        <row r="2656">
          <cell r="F2656">
            <v>315274</v>
          </cell>
          <cell r="G2656" t="str">
            <v>Karen Rubi Perez Calderon</v>
          </cell>
        </row>
        <row r="2657">
          <cell r="F2657">
            <v>308426</v>
          </cell>
          <cell r="G2657" t="str">
            <v>Karen Susana Marcos Yupe</v>
          </cell>
        </row>
        <row r="2658">
          <cell r="F2658">
            <v>311722</v>
          </cell>
          <cell r="G2658" t="str">
            <v>Karen Verali Sagastume Oliveros</v>
          </cell>
        </row>
        <row r="2659">
          <cell r="F2659">
            <v>308244</v>
          </cell>
          <cell r="G2659" t="str">
            <v>Karen Yamileth Rosales Alarcon</v>
          </cell>
        </row>
        <row r="2660">
          <cell r="F2660">
            <v>312215</v>
          </cell>
          <cell r="G2660" t="str">
            <v>Karin Liseth Son Chonay</v>
          </cell>
        </row>
        <row r="2661">
          <cell r="F2661">
            <v>301583</v>
          </cell>
          <cell r="G2661" t="str">
            <v>Karin Yesenia Nova Posadas</v>
          </cell>
        </row>
        <row r="2662">
          <cell r="F2662">
            <v>313918</v>
          </cell>
          <cell r="G2662" t="str">
            <v>Karina Lizeth Pineda Ortiz</v>
          </cell>
        </row>
        <row r="2663">
          <cell r="F2663">
            <v>312403</v>
          </cell>
          <cell r="G2663" t="str">
            <v>Karla Elizabeth Lopez Tupul</v>
          </cell>
        </row>
        <row r="2664">
          <cell r="F2664">
            <v>304664</v>
          </cell>
          <cell r="G2664" t="str">
            <v>Karla Eunice Godinez Mendoza</v>
          </cell>
        </row>
        <row r="2665">
          <cell r="F2665">
            <v>315490</v>
          </cell>
          <cell r="G2665" t="str">
            <v>Karla Jasmin Pelen Rafael</v>
          </cell>
        </row>
        <row r="2666">
          <cell r="F2666">
            <v>314673</v>
          </cell>
          <cell r="G2666" t="str">
            <v>Karla Maria Montejo Martinez</v>
          </cell>
        </row>
        <row r="2667">
          <cell r="F2667">
            <v>313079</v>
          </cell>
          <cell r="G2667" t="str">
            <v>Karla Mariela Lopez Salguero</v>
          </cell>
        </row>
        <row r="2668">
          <cell r="F2668">
            <v>314464</v>
          </cell>
          <cell r="G2668" t="str">
            <v>Karla Melisa Trejo Lopez</v>
          </cell>
        </row>
        <row r="2669">
          <cell r="F2669">
            <v>314206</v>
          </cell>
          <cell r="G2669" t="str">
            <v>Karla Nineth Guzman Carrera De Velasquez</v>
          </cell>
        </row>
        <row r="2670">
          <cell r="F2670">
            <v>314831</v>
          </cell>
          <cell r="G2670" t="str">
            <v>Karla Paola Solorzano Monroy</v>
          </cell>
        </row>
        <row r="2671">
          <cell r="F2671">
            <v>309957</v>
          </cell>
          <cell r="G2671" t="str">
            <v>Karla Veronica Zepeda Moran</v>
          </cell>
        </row>
        <row r="2672">
          <cell r="F2672">
            <v>310487</v>
          </cell>
          <cell r="G2672" t="str">
            <v>Karla Yaneth Vasquez Gomez</v>
          </cell>
        </row>
        <row r="2673">
          <cell r="F2673">
            <v>314444</v>
          </cell>
          <cell r="G2673" t="str">
            <v>Karla Yanira Francisco Morales</v>
          </cell>
        </row>
        <row r="2674">
          <cell r="F2674">
            <v>305608</v>
          </cell>
          <cell r="G2674" t="str">
            <v>Karla Yanira Franco Perez</v>
          </cell>
        </row>
        <row r="2675">
          <cell r="F2675">
            <v>312982</v>
          </cell>
          <cell r="G2675" t="str">
            <v>Karla Yessenia Garcia Lopez</v>
          </cell>
        </row>
        <row r="2676">
          <cell r="F2676">
            <v>314044</v>
          </cell>
          <cell r="G2676" t="str">
            <v>Karol Liset Reyes Alvarez</v>
          </cell>
        </row>
        <row r="2677">
          <cell r="F2677">
            <v>311039</v>
          </cell>
          <cell r="G2677" t="str">
            <v>Karolyn Gisselle Palma Ramirez</v>
          </cell>
        </row>
        <row r="2678">
          <cell r="F2678">
            <v>309255</v>
          </cell>
          <cell r="G2678" t="str">
            <v>Katerin Mariela Miranda Perez</v>
          </cell>
        </row>
        <row r="2679">
          <cell r="F2679">
            <v>308909</v>
          </cell>
          <cell r="G2679" t="str">
            <v>Katerine Andrea Mansilla Vasquez</v>
          </cell>
        </row>
        <row r="2680">
          <cell r="F2680">
            <v>314344</v>
          </cell>
          <cell r="G2680" t="str">
            <v>Katherin Maria Del Rosario Curiales Catalan</v>
          </cell>
        </row>
        <row r="2681">
          <cell r="F2681">
            <v>311930</v>
          </cell>
          <cell r="G2681" t="str">
            <v>Katherine Andreina Rodriguez Flores</v>
          </cell>
        </row>
        <row r="2682">
          <cell r="F2682">
            <v>314987</v>
          </cell>
          <cell r="G2682" t="str">
            <v>Katherine Dayana Sinay Colindres</v>
          </cell>
        </row>
        <row r="2683">
          <cell r="F2683">
            <v>313018</v>
          </cell>
          <cell r="G2683" t="str">
            <v>Katherine Guissele Camey Gonzalez</v>
          </cell>
        </row>
        <row r="2684">
          <cell r="F2684">
            <v>305303</v>
          </cell>
          <cell r="G2684" t="str">
            <v>Katherine Stephani Cazanga Giron</v>
          </cell>
        </row>
        <row r="2685">
          <cell r="F2685">
            <v>310764</v>
          </cell>
          <cell r="G2685" t="str">
            <v>Katherine Yorleny Montepeque Echeverria</v>
          </cell>
        </row>
        <row r="2686">
          <cell r="F2686">
            <v>312313</v>
          </cell>
          <cell r="G2686" t="str">
            <v>Katherinne Marleny Ruano Vasquez</v>
          </cell>
        </row>
        <row r="2687">
          <cell r="F2687">
            <v>312966</v>
          </cell>
          <cell r="G2687" t="str">
            <v>Katheryn Nohemi Pineda Sun</v>
          </cell>
        </row>
        <row r="2688">
          <cell r="F2688">
            <v>314949</v>
          </cell>
          <cell r="G2688" t="str">
            <v>Kathleen Yadira Martinez Salazar</v>
          </cell>
        </row>
        <row r="2689">
          <cell r="F2689">
            <v>307014</v>
          </cell>
          <cell r="G2689" t="str">
            <v>Keila Abigail Lopez Argueta</v>
          </cell>
        </row>
        <row r="2690">
          <cell r="F2690">
            <v>315508</v>
          </cell>
          <cell r="G2690" t="str">
            <v>Keila Betsaida Mendoza Pineda</v>
          </cell>
        </row>
        <row r="2691">
          <cell r="F2691">
            <v>315062</v>
          </cell>
          <cell r="G2691" t="str">
            <v>Keili Yanira Arceno Solano</v>
          </cell>
        </row>
        <row r="2692">
          <cell r="F2692">
            <v>314165</v>
          </cell>
          <cell r="G2692" t="str">
            <v>Kelly Dayanna Patzan Giron</v>
          </cell>
        </row>
        <row r="2693">
          <cell r="F2693">
            <v>315570</v>
          </cell>
          <cell r="G2693" t="str">
            <v>Kemberly Del Rosario Zecena Ramos</v>
          </cell>
        </row>
        <row r="2694">
          <cell r="F2694">
            <v>314804</v>
          </cell>
          <cell r="G2694" t="str">
            <v>Kendy Daniela Ramirez Lopez</v>
          </cell>
        </row>
        <row r="2695">
          <cell r="F2695">
            <v>313433</v>
          </cell>
          <cell r="G2695" t="str">
            <v>Kenia Estefania Mateo Castro</v>
          </cell>
        </row>
        <row r="2696">
          <cell r="F2696">
            <v>314991</v>
          </cell>
          <cell r="G2696" t="str">
            <v>Kevin Alberto Castillo Matias</v>
          </cell>
        </row>
        <row r="2697">
          <cell r="F2697">
            <v>314026</v>
          </cell>
          <cell r="G2697" t="str">
            <v>Kevin Alberto Lopez Ortiz</v>
          </cell>
        </row>
        <row r="2698">
          <cell r="F2698">
            <v>315246</v>
          </cell>
          <cell r="G2698" t="str">
            <v>Kevin Alexander Escobar Cante</v>
          </cell>
        </row>
        <row r="2699">
          <cell r="F2699">
            <v>312218</v>
          </cell>
          <cell r="G2699" t="str">
            <v>Kevin Amilcar Cor Guzman</v>
          </cell>
        </row>
        <row r="2700">
          <cell r="F2700">
            <v>311369</v>
          </cell>
          <cell r="G2700" t="str">
            <v>Kevin Antonio Perez Gonzalez</v>
          </cell>
        </row>
        <row r="2701">
          <cell r="F2701">
            <v>314627</v>
          </cell>
          <cell r="G2701" t="str">
            <v>Kevin Daniel Chonay Perez</v>
          </cell>
        </row>
        <row r="2702">
          <cell r="F2702">
            <v>311228</v>
          </cell>
          <cell r="G2702" t="str">
            <v>Kevin Doley Alexander Gomez Lopez</v>
          </cell>
        </row>
        <row r="2703">
          <cell r="F2703">
            <v>309148</v>
          </cell>
          <cell r="G2703" t="str">
            <v>Kevin Estuardo Yac Garcia</v>
          </cell>
        </row>
        <row r="2704">
          <cell r="F2704">
            <v>311643</v>
          </cell>
          <cell r="G2704" t="str">
            <v>Kevin Javier Ortiz Gonzalez</v>
          </cell>
        </row>
        <row r="2705">
          <cell r="F2705">
            <v>311034</v>
          </cell>
          <cell r="G2705" t="str">
            <v>Kevin Jordano Barrios Chin</v>
          </cell>
        </row>
        <row r="2706">
          <cell r="F2706">
            <v>314011</v>
          </cell>
          <cell r="G2706" t="str">
            <v>Kevin Jose Mijangos Vasquez</v>
          </cell>
        </row>
        <row r="2707">
          <cell r="F2707">
            <v>314743</v>
          </cell>
          <cell r="G2707" t="str">
            <v>Kevin Josue Sevilla Nieto</v>
          </cell>
        </row>
        <row r="2708">
          <cell r="F2708">
            <v>311639</v>
          </cell>
          <cell r="G2708" t="str">
            <v>Kevin Omar Ortiz Contreras</v>
          </cell>
        </row>
        <row r="2709">
          <cell r="F2709">
            <v>310538</v>
          </cell>
          <cell r="G2709" t="str">
            <v>Kevin Orlando Ventura Lopez</v>
          </cell>
        </row>
        <row r="2710">
          <cell r="F2710">
            <v>311932</v>
          </cell>
          <cell r="G2710" t="str">
            <v>Kevin Rene Medrano Sarceño</v>
          </cell>
        </row>
        <row r="2711">
          <cell r="F2711">
            <v>308269</v>
          </cell>
          <cell r="G2711" t="str">
            <v>Kevin Ruben Perez Lopez</v>
          </cell>
        </row>
        <row r="2712">
          <cell r="F2712">
            <v>313566</v>
          </cell>
          <cell r="G2712" t="str">
            <v>Kevin Saul Rodriguez Vasquez</v>
          </cell>
        </row>
        <row r="2713">
          <cell r="F2713">
            <v>313520</v>
          </cell>
          <cell r="G2713" t="str">
            <v>Kevin Winston Chavez Alvarez</v>
          </cell>
        </row>
        <row r="2714">
          <cell r="F2714">
            <v>312178</v>
          </cell>
          <cell r="G2714" t="str">
            <v>Keyla Cristy Dubon Pernillo</v>
          </cell>
        </row>
        <row r="2715">
          <cell r="F2715">
            <v>305666</v>
          </cell>
          <cell r="G2715" t="str">
            <v>Kezmi Romani Garcia Mendez</v>
          </cell>
        </row>
        <row r="2716">
          <cell r="F2716">
            <v>314754</v>
          </cell>
          <cell r="G2716" t="str">
            <v>Kimberly Anayanci Tello Morales</v>
          </cell>
        </row>
        <row r="2717">
          <cell r="F2717">
            <v>314051</v>
          </cell>
          <cell r="G2717" t="str">
            <v>Kimberly Dayanna Herrera Marroquin</v>
          </cell>
        </row>
        <row r="2718">
          <cell r="F2718">
            <v>313302</v>
          </cell>
          <cell r="G2718" t="str">
            <v>Kimberly Guadalupe Mulul Pelico</v>
          </cell>
        </row>
        <row r="2719">
          <cell r="F2719">
            <v>314218</v>
          </cell>
          <cell r="G2719" t="str">
            <v>Kimberly Guadalupe Soto</v>
          </cell>
        </row>
        <row r="2720">
          <cell r="F2720">
            <v>305285</v>
          </cell>
          <cell r="G2720" t="str">
            <v>Kimberly Judith Lopez Amaya</v>
          </cell>
        </row>
        <row r="2721">
          <cell r="F2721">
            <v>309753</v>
          </cell>
          <cell r="G2721" t="str">
            <v>Kimberly Melissa Juarez Ramirez</v>
          </cell>
        </row>
        <row r="2722">
          <cell r="F2722">
            <v>312174</v>
          </cell>
          <cell r="G2722" t="str">
            <v>Kimberly Mishel Merida Cortez</v>
          </cell>
        </row>
        <row r="2723">
          <cell r="F2723">
            <v>310926</v>
          </cell>
          <cell r="G2723" t="str">
            <v>Kimberly Nohemi Alvarado Toj</v>
          </cell>
        </row>
        <row r="2724">
          <cell r="F2724">
            <v>315095</v>
          </cell>
          <cell r="G2724" t="str">
            <v>Kimberly Suseli Ibarra Barahona</v>
          </cell>
        </row>
        <row r="2725">
          <cell r="F2725">
            <v>313601</v>
          </cell>
          <cell r="G2725" t="str">
            <v>Kimberly Yasmin Alvarado Veliz</v>
          </cell>
        </row>
        <row r="2726">
          <cell r="F2726">
            <v>310820</v>
          </cell>
          <cell r="G2726" t="str">
            <v>Kleidy Smaily Lopez Lopez De Vicente</v>
          </cell>
        </row>
        <row r="2727">
          <cell r="F2727">
            <v>315345</v>
          </cell>
          <cell r="G2727" t="str">
            <v>Klisman Julio Rolando Lopez Garcia</v>
          </cell>
        </row>
        <row r="2728">
          <cell r="F2728">
            <v>315369</v>
          </cell>
          <cell r="G2728" t="str">
            <v>Krisla Mayte Madrigales Palencia</v>
          </cell>
        </row>
        <row r="2729">
          <cell r="F2729">
            <v>314417</v>
          </cell>
          <cell r="G2729" t="str">
            <v>Krisley Mary Dayana Mazariegos Vega</v>
          </cell>
        </row>
        <row r="2730">
          <cell r="F2730">
            <v>311096</v>
          </cell>
          <cell r="G2730" t="str">
            <v>Larry Noel Gomez Cuellar</v>
          </cell>
        </row>
        <row r="2731">
          <cell r="F2731">
            <v>315400</v>
          </cell>
          <cell r="G2731" t="str">
            <v>Laura Cecilia De Leon Zapeta</v>
          </cell>
        </row>
        <row r="2732">
          <cell r="F2732">
            <v>312722</v>
          </cell>
          <cell r="G2732" t="str">
            <v>Laura Dairis Analy Zeceña Minera</v>
          </cell>
        </row>
        <row r="2733">
          <cell r="F2733">
            <v>314274</v>
          </cell>
          <cell r="G2733" t="str">
            <v>Laura Estefania Cardona Mateo</v>
          </cell>
        </row>
        <row r="2734">
          <cell r="F2734">
            <v>309643</v>
          </cell>
          <cell r="G2734" t="str">
            <v>Laura Gabriela Hernandez Merida</v>
          </cell>
        </row>
        <row r="2735">
          <cell r="F2735">
            <v>312253</v>
          </cell>
          <cell r="G2735" t="str">
            <v>Laura Jajairy Ramirez Veron</v>
          </cell>
        </row>
        <row r="2736">
          <cell r="F2736">
            <v>315183</v>
          </cell>
          <cell r="G2736" t="str">
            <v>Laura Lisbeth Gonzalez Ajin</v>
          </cell>
        </row>
        <row r="2737">
          <cell r="F2737">
            <v>315144</v>
          </cell>
          <cell r="G2737" t="str">
            <v>Lazaro Castro Cajanti</v>
          </cell>
        </row>
        <row r="2738">
          <cell r="F2738">
            <v>314220</v>
          </cell>
          <cell r="G2738" t="str">
            <v>Lea Maria Lopez Agustin</v>
          </cell>
        </row>
        <row r="2739">
          <cell r="F2739">
            <v>303284</v>
          </cell>
          <cell r="G2739" t="str">
            <v>Legbi Evangelina Martinez Vicente</v>
          </cell>
        </row>
        <row r="2740">
          <cell r="F2740">
            <v>304200</v>
          </cell>
          <cell r="G2740" t="str">
            <v>Legna Magali Juarez Aroche</v>
          </cell>
        </row>
        <row r="2741">
          <cell r="F2741">
            <v>310692</v>
          </cell>
          <cell r="G2741" t="str">
            <v>Leidy Ana Deisy Macz Valey</v>
          </cell>
        </row>
        <row r="2742">
          <cell r="F2742">
            <v>303971</v>
          </cell>
          <cell r="G2742" t="str">
            <v>Leidy Marisol Perez Arias</v>
          </cell>
        </row>
        <row r="2743">
          <cell r="F2743">
            <v>312969</v>
          </cell>
          <cell r="G2743" t="str">
            <v>Lely Herrera Molina</v>
          </cell>
        </row>
        <row r="2744">
          <cell r="F2744">
            <v>315278</v>
          </cell>
          <cell r="G2744" t="str">
            <v>Leon Vicente Estuardo Ical Chub</v>
          </cell>
        </row>
        <row r="2745">
          <cell r="F2745">
            <v>306895</v>
          </cell>
          <cell r="G2745" t="str">
            <v>Leonardo Bocel Lopez</v>
          </cell>
        </row>
        <row r="2746">
          <cell r="F2746">
            <v>315257</v>
          </cell>
          <cell r="G2746" t="str">
            <v>Lesli Carolina Iquique Chamale</v>
          </cell>
        </row>
        <row r="2747">
          <cell r="F2747">
            <v>310605</v>
          </cell>
          <cell r="G2747" t="str">
            <v>Lesli Paola Mendez Palencia</v>
          </cell>
        </row>
        <row r="2748">
          <cell r="F2748">
            <v>307367</v>
          </cell>
          <cell r="G2748" t="str">
            <v>Lesli Paola Vasquez Villalta</v>
          </cell>
        </row>
        <row r="2749">
          <cell r="F2749">
            <v>314870</v>
          </cell>
          <cell r="G2749" t="str">
            <v>Leslie Karina Peliz Garcia</v>
          </cell>
        </row>
        <row r="2750">
          <cell r="F2750">
            <v>314382</v>
          </cell>
          <cell r="G2750" t="str">
            <v>Leslie Veronica Varela Echeverria</v>
          </cell>
        </row>
        <row r="2751">
          <cell r="F2751">
            <v>310067</v>
          </cell>
          <cell r="G2751" t="str">
            <v>Lesly Alejandra Estrada Chacon</v>
          </cell>
        </row>
        <row r="2752">
          <cell r="F2752">
            <v>307352</v>
          </cell>
          <cell r="G2752" t="str">
            <v>Lesly Anali Monterroso Ramirez</v>
          </cell>
        </row>
        <row r="2753">
          <cell r="F2753">
            <v>310143</v>
          </cell>
          <cell r="G2753" t="str">
            <v>Lesly Aurora Hernandez Godoy</v>
          </cell>
        </row>
        <row r="2754">
          <cell r="F2754">
            <v>312833</v>
          </cell>
          <cell r="G2754" t="str">
            <v>Lesly Fabiola Solorzano Garcia</v>
          </cell>
        </row>
        <row r="2755">
          <cell r="F2755">
            <v>315132</v>
          </cell>
          <cell r="G2755" t="str">
            <v>Lesly Lisseth Ligorria Torres</v>
          </cell>
        </row>
        <row r="2756">
          <cell r="F2756">
            <v>309366</v>
          </cell>
          <cell r="G2756" t="str">
            <v>Lesly Maribel Hidalgo Barrios</v>
          </cell>
        </row>
        <row r="2757">
          <cell r="F2757">
            <v>314328</v>
          </cell>
          <cell r="G2757" t="str">
            <v>Lesly Marileny De Leon De Leon</v>
          </cell>
        </row>
        <row r="2758">
          <cell r="F2758">
            <v>315317</v>
          </cell>
          <cell r="G2758" t="str">
            <v>Lesly Nereyda Ixquiac Vidaurre</v>
          </cell>
        </row>
        <row r="2759">
          <cell r="F2759">
            <v>313889</v>
          </cell>
          <cell r="G2759" t="str">
            <v>Lesly Noemi Morales Molina</v>
          </cell>
        </row>
        <row r="2760">
          <cell r="F2760">
            <v>310261</v>
          </cell>
          <cell r="G2760" t="str">
            <v>Lesly Rosibel Asencio Estrada</v>
          </cell>
        </row>
        <row r="2761">
          <cell r="F2761">
            <v>311985</v>
          </cell>
          <cell r="G2761" t="str">
            <v>Lesly Vanessa Jerez Herrera</v>
          </cell>
        </row>
        <row r="2762">
          <cell r="F2762">
            <v>307718</v>
          </cell>
          <cell r="G2762" t="str">
            <v>Lesly Yohanna Ramirez Sarceño</v>
          </cell>
        </row>
        <row r="2763">
          <cell r="F2763">
            <v>307269</v>
          </cell>
          <cell r="G2763" t="str">
            <v>Lester Alexander Rodriguez Arevalo</v>
          </cell>
        </row>
        <row r="2764">
          <cell r="F2764">
            <v>102070</v>
          </cell>
          <cell r="G2764" t="str">
            <v>Lester Giovanni Barrios Gonzalez</v>
          </cell>
        </row>
        <row r="2765">
          <cell r="F2765">
            <v>313030</v>
          </cell>
          <cell r="G2765" t="str">
            <v>Lester Ottoniel Martinez Gonzalez</v>
          </cell>
        </row>
        <row r="2766">
          <cell r="F2766">
            <v>314628</v>
          </cell>
          <cell r="G2766" t="str">
            <v>Levy Jhafreth Molina Castellanos</v>
          </cell>
        </row>
        <row r="2767">
          <cell r="F2767">
            <v>315074</v>
          </cell>
          <cell r="G2767" t="str">
            <v>Leyvis Anihela Melendez Garcia</v>
          </cell>
        </row>
        <row r="2768">
          <cell r="F2768">
            <v>310347</v>
          </cell>
          <cell r="G2768" t="str">
            <v>Lidia Sarahi Rodriguez Zamora</v>
          </cell>
        </row>
        <row r="2769">
          <cell r="F2769">
            <v>313802</v>
          </cell>
          <cell r="G2769" t="str">
            <v>Ligia Delfina Caal Coy</v>
          </cell>
        </row>
        <row r="2770">
          <cell r="F2770">
            <v>303594</v>
          </cell>
          <cell r="G2770" t="str">
            <v>Ligia Iveth Marroquin Lechuga</v>
          </cell>
        </row>
        <row r="2771">
          <cell r="F2771">
            <v>311440</v>
          </cell>
          <cell r="G2771" t="str">
            <v>Lili Azucena Perez Yantuch</v>
          </cell>
        </row>
        <row r="2772">
          <cell r="F2772">
            <v>310148</v>
          </cell>
          <cell r="G2772" t="str">
            <v>Lilian Carolina Quiñonez Garcia</v>
          </cell>
        </row>
        <row r="2773">
          <cell r="F2773">
            <v>300280</v>
          </cell>
          <cell r="G2773" t="str">
            <v>Lilian Del Carmen Franco Curin</v>
          </cell>
        </row>
        <row r="2774">
          <cell r="F2774">
            <v>306962</v>
          </cell>
          <cell r="G2774" t="str">
            <v>Lilian Elizabeth Diaz Rivera</v>
          </cell>
        </row>
        <row r="2775">
          <cell r="F2775">
            <v>314279</v>
          </cell>
          <cell r="G2775" t="str">
            <v>Lilian Evelyn Sajbochol Garcia</v>
          </cell>
        </row>
        <row r="2776">
          <cell r="F2776">
            <v>305035</v>
          </cell>
          <cell r="G2776" t="str">
            <v>Lilian Nohemi Santos Bailon</v>
          </cell>
        </row>
        <row r="2777">
          <cell r="F2777">
            <v>314899</v>
          </cell>
          <cell r="G2777" t="str">
            <v>Lilian Vanessa Tezó Monterroso</v>
          </cell>
        </row>
        <row r="2778">
          <cell r="F2778">
            <v>314728</v>
          </cell>
          <cell r="G2778" t="str">
            <v>Lilian Yomara Perez Ajxup</v>
          </cell>
        </row>
        <row r="2779">
          <cell r="F2779">
            <v>313768</v>
          </cell>
          <cell r="G2779" t="str">
            <v>Liliana Marisela Chamorro Tax</v>
          </cell>
        </row>
        <row r="2780">
          <cell r="F2780">
            <v>314091</v>
          </cell>
          <cell r="G2780" t="str">
            <v>Linda Gineli Segura Perez</v>
          </cell>
        </row>
        <row r="2781">
          <cell r="F2781">
            <v>310198</v>
          </cell>
          <cell r="G2781" t="str">
            <v>Linsi Mishell Batz Marroquin</v>
          </cell>
        </row>
        <row r="2782">
          <cell r="F2782">
            <v>309262</v>
          </cell>
          <cell r="G2782" t="str">
            <v>Lisbeth Carolina Hernandez Urrutia</v>
          </cell>
        </row>
        <row r="2783">
          <cell r="F2783">
            <v>315486</v>
          </cell>
          <cell r="G2783" t="str">
            <v>Lisbeth Jeaneth Sucup</v>
          </cell>
        </row>
        <row r="2784">
          <cell r="F2784">
            <v>311492</v>
          </cell>
          <cell r="G2784" t="str">
            <v>Liseth Aldai De La Cruz Lopez</v>
          </cell>
        </row>
        <row r="2785">
          <cell r="F2785">
            <v>315403</v>
          </cell>
          <cell r="G2785" t="str">
            <v>Lizbeth Liliana Peren Velasquez</v>
          </cell>
        </row>
        <row r="2786">
          <cell r="F2786">
            <v>312792</v>
          </cell>
          <cell r="G2786" t="str">
            <v>Llori Eriselda Zuñiga Gomez</v>
          </cell>
        </row>
        <row r="2787">
          <cell r="F2787">
            <v>314774</v>
          </cell>
          <cell r="G2787" t="str">
            <v>Loida Eunice Celada Panjoj</v>
          </cell>
        </row>
        <row r="2788">
          <cell r="F2788">
            <v>310872</v>
          </cell>
          <cell r="G2788" t="str">
            <v>Loida Raquel Juarez Ixpata</v>
          </cell>
        </row>
        <row r="2789">
          <cell r="F2789">
            <v>312765</v>
          </cell>
          <cell r="G2789" t="str">
            <v>Londy Yazmin Gonzalez Ramirez</v>
          </cell>
        </row>
        <row r="2790">
          <cell r="F2790">
            <v>303967</v>
          </cell>
          <cell r="G2790" t="str">
            <v>Loren Alejandra Gutierrez Perez</v>
          </cell>
        </row>
        <row r="2791">
          <cell r="F2791">
            <v>311367</v>
          </cell>
          <cell r="G2791" t="str">
            <v>Lorena Elisbeth Gomez Ajanel</v>
          </cell>
        </row>
        <row r="2792">
          <cell r="F2792">
            <v>310502</v>
          </cell>
          <cell r="G2792" t="str">
            <v>Lourdes Cristina Flores Tahuite</v>
          </cell>
        </row>
        <row r="2793">
          <cell r="F2793">
            <v>315124</v>
          </cell>
          <cell r="G2793" t="str">
            <v>Lourdes Guadalupe Solorzano Herrera</v>
          </cell>
        </row>
        <row r="2794">
          <cell r="F2794">
            <v>313529</v>
          </cell>
          <cell r="G2794" t="str">
            <v>Lucia Adali Alvarado Juarez</v>
          </cell>
        </row>
        <row r="2795">
          <cell r="F2795">
            <v>314022</v>
          </cell>
          <cell r="G2795" t="str">
            <v>Lucinda Nova Garcia</v>
          </cell>
        </row>
        <row r="2796">
          <cell r="F2796">
            <v>309747</v>
          </cell>
          <cell r="G2796" t="str">
            <v>Ludwin Enrique Pineda Soto</v>
          </cell>
        </row>
        <row r="2797">
          <cell r="F2797">
            <v>315489</v>
          </cell>
          <cell r="G2797" t="str">
            <v>Ludwyn Alejandro Estrada Giron</v>
          </cell>
        </row>
        <row r="2798">
          <cell r="F2798">
            <v>313595</v>
          </cell>
          <cell r="G2798" t="str">
            <v>Luis Alan Caceros Chub</v>
          </cell>
        </row>
        <row r="2799">
          <cell r="F2799">
            <v>311207</v>
          </cell>
          <cell r="G2799" t="str">
            <v>Luis Alberto Figueroa Vasquez</v>
          </cell>
        </row>
        <row r="2800">
          <cell r="F2800">
            <v>304473</v>
          </cell>
          <cell r="G2800" t="str">
            <v>Luis Alberto Najera Solis</v>
          </cell>
        </row>
        <row r="2801">
          <cell r="F2801">
            <v>314202</v>
          </cell>
          <cell r="G2801" t="str">
            <v>Luis Antonio Cotzajay Quelex</v>
          </cell>
        </row>
        <row r="2802">
          <cell r="F2802">
            <v>302484</v>
          </cell>
          <cell r="G2802" t="str">
            <v>Luis Armando Ramirez De Leon</v>
          </cell>
        </row>
        <row r="2803">
          <cell r="F2803">
            <v>315385</v>
          </cell>
          <cell r="G2803" t="str">
            <v>Luis Carlos Xitimul Ramirez</v>
          </cell>
        </row>
        <row r="2804">
          <cell r="F2804">
            <v>308614</v>
          </cell>
          <cell r="G2804" t="str">
            <v>Luis De Jesus Julian Lopez</v>
          </cell>
        </row>
        <row r="2805">
          <cell r="F2805">
            <v>315222</v>
          </cell>
          <cell r="G2805" t="str">
            <v>Luis Diego Figueroa Coronado</v>
          </cell>
        </row>
        <row r="2806">
          <cell r="F2806">
            <v>306213</v>
          </cell>
          <cell r="G2806" t="str">
            <v>Luis Eduardo Corado Lara</v>
          </cell>
        </row>
        <row r="2807">
          <cell r="F2807">
            <v>315363</v>
          </cell>
          <cell r="G2807" t="str">
            <v>Luis Eduardo Fuentes Flores</v>
          </cell>
        </row>
        <row r="2808">
          <cell r="F2808">
            <v>314162</v>
          </cell>
          <cell r="G2808" t="str">
            <v>Luis Eduardo Gonzalez Arriaza</v>
          </cell>
        </row>
        <row r="2809">
          <cell r="F2809">
            <v>311975</v>
          </cell>
          <cell r="G2809" t="str">
            <v>Luis Eduardo Ramirez Arriaza</v>
          </cell>
        </row>
        <row r="2810">
          <cell r="F2810">
            <v>300922</v>
          </cell>
          <cell r="G2810" t="str">
            <v>Luis Ernesto Medrano Chajon</v>
          </cell>
        </row>
        <row r="2811">
          <cell r="F2811">
            <v>308519</v>
          </cell>
          <cell r="G2811" t="str">
            <v>Luis Felipe Cuzal Gomez</v>
          </cell>
        </row>
        <row r="2812">
          <cell r="F2812">
            <v>314812</v>
          </cell>
          <cell r="G2812" t="str">
            <v>Luis Fernando Alvarado Tocay</v>
          </cell>
        </row>
        <row r="2813">
          <cell r="F2813">
            <v>304509</v>
          </cell>
          <cell r="G2813" t="str">
            <v>Luis Fernando Jerez Perez</v>
          </cell>
        </row>
        <row r="2814">
          <cell r="F2814">
            <v>313479</v>
          </cell>
          <cell r="G2814" t="str">
            <v>Luis Fernando Lopez Lopez</v>
          </cell>
        </row>
        <row r="2815">
          <cell r="F2815">
            <v>310923</v>
          </cell>
          <cell r="G2815" t="str">
            <v>Luis Fernando Lopez Lopez</v>
          </cell>
        </row>
        <row r="2816">
          <cell r="F2816">
            <v>307904</v>
          </cell>
          <cell r="G2816" t="str">
            <v>Luis Fernando Martin Mateo</v>
          </cell>
        </row>
        <row r="2817">
          <cell r="F2817">
            <v>312303</v>
          </cell>
          <cell r="G2817" t="str">
            <v>Luis Fernando Morales Chocoy</v>
          </cell>
        </row>
        <row r="2818">
          <cell r="F2818">
            <v>314124</v>
          </cell>
          <cell r="G2818" t="str">
            <v>Luis Fernando Perez Torres</v>
          </cell>
        </row>
        <row r="2819">
          <cell r="F2819">
            <v>306713</v>
          </cell>
          <cell r="G2819" t="str">
            <v>Luis Fernando Santos Aguilar</v>
          </cell>
        </row>
        <row r="2820">
          <cell r="F2820">
            <v>315342</v>
          </cell>
          <cell r="G2820" t="str">
            <v>Luis Fernando Valle Cuyun</v>
          </cell>
        </row>
        <row r="2821">
          <cell r="F2821">
            <v>312257</v>
          </cell>
          <cell r="G2821" t="str">
            <v>Luis Giovanni Coronado Vasquez</v>
          </cell>
        </row>
        <row r="2822">
          <cell r="F2822">
            <v>307113</v>
          </cell>
          <cell r="G2822" t="str">
            <v>Luis Pedro Herrera España</v>
          </cell>
        </row>
        <row r="2823">
          <cell r="F2823">
            <v>303961</v>
          </cell>
          <cell r="G2823" t="str">
            <v>Luis Rene Morales Lopez</v>
          </cell>
        </row>
        <row r="2824">
          <cell r="F2824">
            <v>308796</v>
          </cell>
          <cell r="G2824" t="str">
            <v>Luis Tito Rene Esquivel Yancor</v>
          </cell>
        </row>
        <row r="2825">
          <cell r="F2825">
            <v>307862</v>
          </cell>
          <cell r="G2825" t="str">
            <v>Luisa Fernanda Castro Garcia</v>
          </cell>
        </row>
        <row r="2826">
          <cell r="F2826">
            <v>310734</v>
          </cell>
          <cell r="G2826" t="str">
            <v>Lupita Genesis Samanta Granados Valenzuela</v>
          </cell>
        </row>
        <row r="2827">
          <cell r="F2827">
            <v>309761</v>
          </cell>
          <cell r="G2827" t="str">
            <v>Lusi Angelica Coyoy Hernandez</v>
          </cell>
        </row>
        <row r="2828">
          <cell r="F2828">
            <v>310867</v>
          </cell>
          <cell r="G2828" t="str">
            <v>Madelin Raquel Garcia Punay</v>
          </cell>
        </row>
        <row r="2829">
          <cell r="F2829">
            <v>310796</v>
          </cell>
          <cell r="G2829" t="str">
            <v>Madelyn Estefany Vega Velasquez</v>
          </cell>
        </row>
        <row r="2830">
          <cell r="F2830">
            <v>314563</v>
          </cell>
          <cell r="G2830" t="str">
            <v>Madelyn Siomara Mazul De Leon</v>
          </cell>
        </row>
        <row r="2831">
          <cell r="F2831">
            <v>304658</v>
          </cell>
          <cell r="G2831" t="str">
            <v>Madelyn Virginia Lopez Ortega</v>
          </cell>
        </row>
        <row r="2832">
          <cell r="F2832">
            <v>315181</v>
          </cell>
          <cell r="G2832" t="str">
            <v>Magda Beatriz Galvez Fernandez</v>
          </cell>
        </row>
        <row r="2833">
          <cell r="F2833">
            <v>311615</v>
          </cell>
          <cell r="G2833" t="str">
            <v>Magda Corina Gutierrez Yool</v>
          </cell>
        </row>
        <row r="2834">
          <cell r="F2834">
            <v>312044</v>
          </cell>
          <cell r="G2834" t="str">
            <v>Magda Danira Catalan Paz</v>
          </cell>
        </row>
        <row r="2835">
          <cell r="F2835">
            <v>307582</v>
          </cell>
          <cell r="G2835" t="str">
            <v>Mahely Elva Maria Franco Gualim</v>
          </cell>
        </row>
        <row r="2836">
          <cell r="F2836">
            <v>301669</v>
          </cell>
          <cell r="G2836" t="str">
            <v>Manfredo Alexander Castillo Quex</v>
          </cell>
        </row>
        <row r="2837">
          <cell r="F2837">
            <v>309811</v>
          </cell>
          <cell r="G2837" t="str">
            <v>Manfredo Isaias Orozco Perez</v>
          </cell>
        </row>
        <row r="2838">
          <cell r="F2838">
            <v>314136</v>
          </cell>
          <cell r="G2838" t="str">
            <v>Manlio Alcides Godinez Yanez</v>
          </cell>
        </row>
        <row r="2839">
          <cell r="F2839">
            <v>315094</v>
          </cell>
          <cell r="G2839" t="str">
            <v>Manuel Enrique Espinoza Cermeño</v>
          </cell>
        </row>
        <row r="2840">
          <cell r="F2840">
            <v>312835</v>
          </cell>
          <cell r="G2840" t="str">
            <v>Manuel Estuardo Arriaga Garcia</v>
          </cell>
        </row>
        <row r="2841">
          <cell r="F2841">
            <v>314608</v>
          </cell>
          <cell r="G2841" t="str">
            <v>Marbin Yobani Calderon Vicente</v>
          </cell>
        </row>
        <row r="2842">
          <cell r="F2842">
            <v>314041</v>
          </cell>
          <cell r="G2842" t="str">
            <v>Marcela Isabel Medrano Ajquiy</v>
          </cell>
        </row>
        <row r="2843">
          <cell r="F2843">
            <v>308478</v>
          </cell>
          <cell r="G2843" t="str">
            <v>Marco Antonio Tejada Herrera</v>
          </cell>
        </row>
        <row r="2844">
          <cell r="F2844">
            <v>315216</v>
          </cell>
          <cell r="G2844" t="str">
            <v>Marcos Avilio Santizo Roman</v>
          </cell>
        </row>
        <row r="2845">
          <cell r="F2845">
            <v>312919</v>
          </cell>
          <cell r="G2845" t="str">
            <v>Marcos Daniel Miranda Ordoñez</v>
          </cell>
        </row>
        <row r="2846">
          <cell r="F2846">
            <v>306192</v>
          </cell>
          <cell r="G2846" t="str">
            <v>Marenda Mishel Galeano Lopez</v>
          </cell>
        </row>
        <row r="2847">
          <cell r="F2847">
            <v>311597</v>
          </cell>
          <cell r="G2847" t="str">
            <v>Maria Alejandra Estrada Morales</v>
          </cell>
        </row>
        <row r="2848">
          <cell r="F2848">
            <v>315488</v>
          </cell>
          <cell r="G2848" t="str">
            <v>Maria Alejandra Lanuza Perez</v>
          </cell>
        </row>
        <row r="2849">
          <cell r="F2849">
            <v>315414</v>
          </cell>
          <cell r="G2849" t="str">
            <v>Maria Alejandra Perez Martinez</v>
          </cell>
        </row>
        <row r="2850">
          <cell r="F2850">
            <v>314383</v>
          </cell>
          <cell r="G2850" t="str">
            <v>Maria De La Luz Masaya Moreno</v>
          </cell>
        </row>
        <row r="2851">
          <cell r="F2851">
            <v>314419</v>
          </cell>
          <cell r="G2851" t="str">
            <v>Maria De Los Angeles Hernandez Oliva</v>
          </cell>
        </row>
        <row r="2852">
          <cell r="F2852">
            <v>309455</v>
          </cell>
          <cell r="G2852" t="str">
            <v>Maria Del Rosario De Leon Puac</v>
          </cell>
        </row>
        <row r="2853">
          <cell r="F2853">
            <v>310240</v>
          </cell>
          <cell r="G2853" t="str">
            <v>Maria Del Rosario Sion Calel</v>
          </cell>
        </row>
        <row r="2854">
          <cell r="F2854">
            <v>311583</v>
          </cell>
          <cell r="G2854" t="str">
            <v>Maria Elizabeth Recinos Villagran</v>
          </cell>
        </row>
        <row r="2855">
          <cell r="F2855">
            <v>315128</v>
          </cell>
          <cell r="G2855" t="str">
            <v>Maria Eugenia Alvarez Lopez</v>
          </cell>
        </row>
        <row r="2856">
          <cell r="F2856">
            <v>309571</v>
          </cell>
          <cell r="G2856" t="str">
            <v>Maria Fernanda Aldana Fernandez</v>
          </cell>
        </row>
        <row r="2857">
          <cell r="F2857">
            <v>305630</v>
          </cell>
          <cell r="G2857" t="str">
            <v>Maria Fernanda Duran Barrera De De De Leon</v>
          </cell>
        </row>
        <row r="2858">
          <cell r="F2858">
            <v>315325</v>
          </cell>
          <cell r="G2858" t="str">
            <v>Maria Fernanda García Patzán</v>
          </cell>
        </row>
        <row r="2859">
          <cell r="F2859">
            <v>315310</v>
          </cell>
          <cell r="G2859" t="str">
            <v>Maria Fernanda Reyes Trinidad</v>
          </cell>
        </row>
        <row r="2860">
          <cell r="F2860">
            <v>314265</v>
          </cell>
          <cell r="G2860" t="str">
            <v>Maria Fernanda Sanches Yoc</v>
          </cell>
        </row>
        <row r="2861">
          <cell r="F2861">
            <v>313724</v>
          </cell>
          <cell r="G2861" t="str">
            <v>Maria Fernanda Tomas</v>
          </cell>
        </row>
        <row r="2862">
          <cell r="F2862">
            <v>315252</v>
          </cell>
          <cell r="G2862" t="str">
            <v>Maria Gabriela Giron De Leon</v>
          </cell>
        </row>
        <row r="2863">
          <cell r="F2863">
            <v>309515</v>
          </cell>
          <cell r="G2863" t="str">
            <v>Maria Guadalupe Marroquin Camargo</v>
          </cell>
        </row>
        <row r="2864">
          <cell r="F2864">
            <v>313732</v>
          </cell>
          <cell r="G2864" t="str">
            <v>Maria Isabel Martinez</v>
          </cell>
        </row>
        <row r="2865">
          <cell r="F2865">
            <v>314027</v>
          </cell>
          <cell r="G2865" t="str">
            <v>Maria Isabel Reyes Aguirre</v>
          </cell>
        </row>
        <row r="2866">
          <cell r="F2866">
            <v>311474</v>
          </cell>
          <cell r="G2866" t="str">
            <v>Maria Jose Alvarado Lopez De Barrientos</v>
          </cell>
        </row>
        <row r="2867">
          <cell r="F2867">
            <v>312356</v>
          </cell>
          <cell r="G2867" t="str">
            <v>Maria Jose Fernandez Melendez</v>
          </cell>
        </row>
        <row r="2868">
          <cell r="F2868">
            <v>313800</v>
          </cell>
          <cell r="G2868" t="str">
            <v>Maria Jose Flores Alvarez</v>
          </cell>
        </row>
        <row r="2869">
          <cell r="F2869">
            <v>314566</v>
          </cell>
          <cell r="G2869" t="str">
            <v>Maria Jose Gonzalez Orellana</v>
          </cell>
        </row>
        <row r="2870">
          <cell r="F2870">
            <v>311569</v>
          </cell>
          <cell r="G2870" t="str">
            <v>Maria Jose Gramajo Garcia De Monzon</v>
          </cell>
        </row>
        <row r="2871">
          <cell r="F2871">
            <v>313095</v>
          </cell>
          <cell r="G2871" t="str">
            <v>Maria Jose Meza De Leon</v>
          </cell>
        </row>
        <row r="2872">
          <cell r="F2872">
            <v>300191</v>
          </cell>
          <cell r="G2872" t="str">
            <v>Maria Jose Salazar Rueda</v>
          </cell>
        </row>
        <row r="2873">
          <cell r="F2873">
            <v>314226</v>
          </cell>
          <cell r="G2873" t="str">
            <v>Maria Josee Morales Vaides</v>
          </cell>
        </row>
        <row r="2874">
          <cell r="F2874">
            <v>315362</v>
          </cell>
          <cell r="G2874" t="str">
            <v>Maria Lourdes Ajpuz Julajuj</v>
          </cell>
        </row>
        <row r="2875">
          <cell r="F2875">
            <v>306697</v>
          </cell>
          <cell r="G2875" t="str">
            <v>Maria Luisa Ramos Lopez</v>
          </cell>
        </row>
        <row r="2876">
          <cell r="F2876">
            <v>314180</v>
          </cell>
          <cell r="G2876" t="str">
            <v>Maria Ruby Tzamol Pacay</v>
          </cell>
        </row>
        <row r="2877">
          <cell r="F2877">
            <v>311686</v>
          </cell>
          <cell r="G2877" t="str">
            <v>Maria Teresa Recinos Estrada</v>
          </cell>
        </row>
        <row r="2878">
          <cell r="F2878">
            <v>315351</v>
          </cell>
          <cell r="G2878" t="str">
            <v>Maria Vicenta Lopez Mancilla</v>
          </cell>
        </row>
        <row r="2879">
          <cell r="F2879">
            <v>311755</v>
          </cell>
          <cell r="G2879" t="str">
            <v>Marian Rebeca Gallardo Alvarez</v>
          </cell>
        </row>
        <row r="2880">
          <cell r="F2880">
            <v>313660</v>
          </cell>
          <cell r="G2880" t="str">
            <v>Mariana Del Rosario Escobar Sanchez</v>
          </cell>
        </row>
        <row r="2881">
          <cell r="F2881">
            <v>314169</v>
          </cell>
          <cell r="G2881" t="str">
            <v>Mariano Jose Lopez Cojon</v>
          </cell>
        </row>
        <row r="2882">
          <cell r="F2882">
            <v>314341</v>
          </cell>
          <cell r="G2882" t="str">
            <v>Mariano Jose Trujillo Baldizon</v>
          </cell>
        </row>
        <row r="2883">
          <cell r="F2883">
            <v>314050</v>
          </cell>
          <cell r="G2883" t="str">
            <v>Mariela Alejandra Batz De Leon</v>
          </cell>
        </row>
        <row r="2884">
          <cell r="F2884">
            <v>311273</v>
          </cell>
          <cell r="G2884" t="str">
            <v>Marili Cecilia Ramirez Cardona</v>
          </cell>
        </row>
        <row r="2885">
          <cell r="F2885">
            <v>312576</v>
          </cell>
          <cell r="G2885" t="str">
            <v>Marilin Melisa Lopez Yoc</v>
          </cell>
        </row>
        <row r="2886">
          <cell r="F2886">
            <v>314530</v>
          </cell>
          <cell r="G2886" t="str">
            <v>Marilyn Alexandra Davila Chavez</v>
          </cell>
        </row>
        <row r="2887">
          <cell r="F2887">
            <v>315099</v>
          </cell>
          <cell r="G2887" t="str">
            <v>Marilyn Yulissa Alvarez Toscano</v>
          </cell>
        </row>
        <row r="2888">
          <cell r="F2888">
            <v>311405</v>
          </cell>
          <cell r="G2888" t="str">
            <v>Marina Elena Giron Roldan</v>
          </cell>
        </row>
        <row r="2889">
          <cell r="F2889">
            <v>314803</v>
          </cell>
          <cell r="G2889" t="str">
            <v>Mario David Quilo Hernandez</v>
          </cell>
        </row>
        <row r="2890">
          <cell r="F2890">
            <v>306487</v>
          </cell>
          <cell r="G2890" t="str">
            <v>Mario Estuardo Chavez Zelada</v>
          </cell>
        </row>
        <row r="2891">
          <cell r="F2891">
            <v>315445</v>
          </cell>
          <cell r="G2891" t="str">
            <v>Mario Guberlindo Gonzalez Velasquez</v>
          </cell>
        </row>
        <row r="2892">
          <cell r="F2892">
            <v>313107</v>
          </cell>
          <cell r="G2892" t="str">
            <v>Mario Jose Mejia Escobar</v>
          </cell>
        </row>
        <row r="2893">
          <cell r="F2893">
            <v>314737</v>
          </cell>
          <cell r="G2893" t="str">
            <v>Mario Rene Lopez Gudiel</v>
          </cell>
        </row>
        <row r="2894">
          <cell r="F2894">
            <v>309842</v>
          </cell>
          <cell r="G2894" t="str">
            <v>Maritza Morales Tzoc</v>
          </cell>
        </row>
        <row r="2895">
          <cell r="F2895">
            <v>312996</v>
          </cell>
          <cell r="G2895" t="str">
            <v>Marlen Aida Pelaez Ramirez</v>
          </cell>
        </row>
        <row r="2896">
          <cell r="F2896">
            <v>310203</v>
          </cell>
          <cell r="G2896" t="str">
            <v>Marlen Brigitt Rosales De Leon</v>
          </cell>
        </row>
        <row r="2897">
          <cell r="F2897">
            <v>314089</v>
          </cell>
          <cell r="G2897" t="str">
            <v>Marlin Yesenia Chacon Garcia</v>
          </cell>
        </row>
        <row r="2898">
          <cell r="F2898">
            <v>314054</v>
          </cell>
          <cell r="G2898" t="str">
            <v>Marlon Eduardo Arreaga Escobar</v>
          </cell>
        </row>
        <row r="2899">
          <cell r="F2899">
            <v>315505</v>
          </cell>
          <cell r="G2899" t="str">
            <v>Marlon Eduardo Medrano Sandoval</v>
          </cell>
        </row>
        <row r="2900">
          <cell r="F2900">
            <v>310727</v>
          </cell>
          <cell r="G2900" t="str">
            <v>Marlon Ivan Dardon Hernandez</v>
          </cell>
        </row>
        <row r="2901">
          <cell r="F2901">
            <v>315341</v>
          </cell>
          <cell r="G2901" t="str">
            <v>Marlon Miguelangel Morales Jerez</v>
          </cell>
        </row>
        <row r="2902">
          <cell r="F2902">
            <v>311604</v>
          </cell>
          <cell r="G2902" t="str">
            <v>Marolet Patricia Palacios Argueta</v>
          </cell>
        </row>
        <row r="2903">
          <cell r="F2903">
            <v>310466</v>
          </cell>
          <cell r="G2903" t="str">
            <v>Marta Emilia Moran Lopez</v>
          </cell>
        </row>
        <row r="2904">
          <cell r="F2904">
            <v>314611</v>
          </cell>
          <cell r="G2904" t="str">
            <v>Marta Iris Martinez Sete</v>
          </cell>
        </row>
        <row r="2905">
          <cell r="F2905">
            <v>312109</v>
          </cell>
          <cell r="G2905" t="str">
            <v>Martha Julia Shar Velasquez</v>
          </cell>
        </row>
        <row r="2906">
          <cell r="F2906">
            <v>315103</v>
          </cell>
          <cell r="G2906" t="str">
            <v>Martin Aroldo Lorenzana Flores</v>
          </cell>
        </row>
        <row r="2907">
          <cell r="F2907">
            <v>315481</v>
          </cell>
          <cell r="G2907" t="str">
            <v>Marvin Alejandro Puac Mulul</v>
          </cell>
        </row>
        <row r="2908">
          <cell r="F2908">
            <v>306655</v>
          </cell>
          <cell r="G2908" t="str">
            <v>Marvin Alexander Choguix Chex</v>
          </cell>
        </row>
        <row r="2909">
          <cell r="F2909">
            <v>311176</v>
          </cell>
          <cell r="G2909" t="str">
            <v>Marvin Andolfo Garcia De Leon</v>
          </cell>
        </row>
        <row r="2910">
          <cell r="F2910">
            <v>315475</v>
          </cell>
          <cell r="G2910" t="str">
            <v>Marvin Eduardo Coxaj Sanic</v>
          </cell>
        </row>
        <row r="2911">
          <cell r="F2911">
            <v>312374</v>
          </cell>
          <cell r="G2911" t="str">
            <v>Marvin Eleazar Sunun Acuta</v>
          </cell>
        </row>
        <row r="2912">
          <cell r="F2912">
            <v>310680</v>
          </cell>
          <cell r="G2912" t="str">
            <v>Marvin Estuardo Xiloj De Leon</v>
          </cell>
        </row>
        <row r="2913">
          <cell r="F2913">
            <v>315460</v>
          </cell>
          <cell r="G2913" t="str">
            <v>Marvin Leonel Hernandez Alvarez</v>
          </cell>
        </row>
        <row r="2914">
          <cell r="F2914">
            <v>307409</v>
          </cell>
          <cell r="G2914" t="str">
            <v>Marvin Rodolfo Santizo Rosales</v>
          </cell>
        </row>
        <row r="2915">
          <cell r="F2915">
            <v>313194</v>
          </cell>
          <cell r="G2915" t="str">
            <v>Mary Isabel Xiloj Tajiboy</v>
          </cell>
        </row>
        <row r="2916">
          <cell r="F2916">
            <v>314092</v>
          </cell>
          <cell r="G2916" t="str">
            <v>Maryory Marilu Ramos Reyes</v>
          </cell>
        </row>
        <row r="2917">
          <cell r="F2917">
            <v>314207</v>
          </cell>
          <cell r="G2917" t="str">
            <v>Maryury Yasmin Suret Mejia</v>
          </cell>
        </row>
        <row r="2918">
          <cell r="F2918">
            <v>314618</v>
          </cell>
          <cell r="G2918" t="str">
            <v>Mauro Gilberto Rax Suc</v>
          </cell>
        </row>
        <row r="2919">
          <cell r="F2919">
            <v>304166</v>
          </cell>
          <cell r="G2919" t="str">
            <v>Maviela Bibianeth Castillo Avila</v>
          </cell>
        </row>
        <row r="2920">
          <cell r="F2920">
            <v>309285</v>
          </cell>
          <cell r="G2920" t="str">
            <v>Mavilin Griselda Jacome Molina</v>
          </cell>
        </row>
        <row r="2921">
          <cell r="F2921">
            <v>315042</v>
          </cell>
          <cell r="G2921" t="str">
            <v>Mayki Waleska Alvarez Guzman</v>
          </cell>
        </row>
        <row r="2922">
          <cell r="F2922">
            <v>314691</v>
          </cell>
          <cell r="G2922" t="str">
            <v>Maylin Fernanda Cifuentes Guevara</v>
          </cell>
        </row>
        <row r="2923">
          <cell r="F2923">
            <v>314857</v>
          </cell>
          <cell r="G2923" t="str">
            <v>Maynor Alexander Chen Franco</v>
          </cell>
        </row>
        <row r="2924">
          <cell r="F2924">
            <v>315320</v>
          </cell>
          <cell r="G2924" t="str">
            <v>Maynor David Montufar De La Cruz</v>
          </cell>
        </row>
        <row r="2925">
          <cell r="F2925">
            <v>314784</v>
          </cell>
          <cell r="G2925" t="str">
            <v>Mayra Alejandra Perez Cordero</v>
          </cell>
        </row>
        <row r="2926">
          <cell r="F2926">
            <v>307616</v>
          </cell>
          <cell r="G2926" t="str">
            <v>Mayra Ester Lopez Gonzalez</v>
          </cell>
        </row>
        <row r="2927">
          <cell r="F2927">
            <v>304234</v>
          </cell>
          <cell r="G2927" t="str">
            <v>Mayra Julieta Sincal Coy</v>
          </cell>
        </row>
        <row r="2928">
          <cell r="F2928">
            <v>314324</v>
          </cell>
          <cell r="G2928" t="str">
            <v>Mayra Karina Soc Ovalle</v>
          </cell>
        </row>
        <row r="2929">
          <cell r="F2929">
            <v>313096</v>
          </cell>
          <cell r="G2929" t="str">
            <v>Mayra Noemi Godoy Carrera</v>
          </cell>
        </row>
        <row r="2930">
          <cell r="F2930">
            <v>315528</v>
          </cell>
          <cell r="G2930" t="str">
            <v>Melanie Azucena Choc Garcia</v>
          </cell>
        </row>
        <row r="2931">
          <cell r="F2931">
            <v>309903</v>
          </cell>
          <cell r="G2931" t="str">
            <v>Melanie Vanessa Chacon Godoy</v>
          </cell>
        </row>
        <row r="2932">
          <cell r="F2932">
            <v>301165</v>
          </cell>
          <cell r="G2932" t="str">
            <v>Melissa Lissette Recinos Massella</v>
          </cell>
        </row>
        <row r="2933">
          <cell r="F2933">
            <v>314782</v>
          </cell>
          <cell r="G2933" t="str">
            <v>Melissandra Ruiz Ramirez</v>
          </cell>
        </row>
        <row r="2934">
          <cell r="F2934">
            <v>314053</v>
          </cell>
          <cell r="G2934" t="str">
            <v>Melody Arelis Elvira Monterroso</v>
          </cell>
        </row>
        <row r="2935">
          <cell r="F2935">
            <v>314777</v>
          </cell>
          <cell r="G2935" t="str">
            <v>Melvin Antonio Hernandez Gutierrez</v>
          </cell>
        </row>
        <row r="2936">
          <cell r="F2936">
            <v>315452</v>
          </cell>
          <cell r="G2936" t="str">
            <v>Melvin Everardo Morales Navas</v>
          </cell>
        </row>
        <row r="2937">
          <cell r="F2937">
            <v>315416</v>
          </cell>
          <cell r="G2937" t="str">
            <v>Melvin Hermenegildo Yagut Monterroso</v>
          </cell>
        </row>
        <row r="2938">
          <cell r="F2938">
            <v>315107</v>
          </cell>
          <cell r="G2938" t="str">
            <v>Merari Abigail Orantes Gonzalez</v>
          </cell>
        </row>
        <row r="2939">
          <cell r="F2939">
            <v>304528</v>
          </cell>
          <cell r="G2939" t="str">
            <v>Merari Abigail Veliz Samayoa</v>
          </cell>
        </row>
        <row r="2940">
          <cell r="F2940">
            <v>311310</v>
          </cell>
          <cell r="G2940" t="str">
            <v>Merari Madai Arana Erazo</v>
          </cell>
        </row>
        <row r="2941">
          <cell r="F2941">
            <v>314447</v>
          </cell>
          <cell r="G2941" t="str">
            <v>Mercy Roxana Galvez Canales</v>
          </cell>
        </row>
        <row r="2942">
          <cell r="F2942">
            <v>314610</v>
          </cell>
          <cell r="G2942" t="str">
            <v>Merly Carolina Lopez Laynez</v>
          </cell>
        </row>
        <row r="2943">
          <cell r="F2943">
            <v>315402</v>
          </cell>
          <cell r="G2943" t="str">
            <v>Merly Sorayda Ramirez Mendez</v>
          </cell>
        </row>
        <row r="2944">
          <cell r="F2944">
            <v>315499</v>
          </cell>
          <cell r="G2944" t="str">
            <v>Miguel Angel Arias Maquin</v>
          </cell>
        </row>
        <row r="2945">
          <cell r="F2945">
            <v>302368</v>
          </cell>
          <cell r="G2945" t="str">
            <v>Miguel Angel Moya Cabnal</v>
          </cell>
        </row>
        <row r="2946">
          <cell r="F2946">
            <v>307315</v>
          </cell>
          <cell r="G2946" t="str">
            <v>Miguel Angel Vicente Morales</v>
          </cell>
        </row>
        <row r="2947">
          <cell r="F2947">
            <v>307063</v>
          </cell>
          <cell r="G2947" t="str">
            <v>Miguel Omar Zuleta Solorzano</v>
          </cell>
        </row>
        <row r="2948">
          <cell r="F2948">
            <v>311165</v>
          </cell>
          <cell r="G2948" t="str">
            <v>Miguel Orlando Sebastian Juchan</v>
          </cell>
        </row>
        <row r="2949">
          <cell r="F2949">
            <v>310954</v>
          </cell>
          <cell r="G2949" t="str">
            <v>Mildre Fabiola Gomez Barillas</v>
          </cell>
        </row>
        <row r="2950">
          <cell r="F2950">
            <v>315346</v>
          </cell>
          <cell r="G2950" t="str">
            <v>Mildred Elizabeth Solis Quevedo</v>
          </cell>
        </row>
        <row r="2951">
          <cell r="F2951">
            <v>314330</v>
          </cell>
          <cell r="G2951" t="str">
            <v>Mildred Magaly Ortega Pac</v>
          </cell>
        </row>
        <row r="2952">
          <cell r="F2952">
            <v>314985</v>
          </cell>
          <cell r="G2952" t="str">
            <v>Mildred Magaly Sul Lopez</v>
          </cell>
        </row>
        <row r="2953">
          <cell r="F2953">
            <v>309503</v>
          </cell>
          <cell r="G2953" t="str">
            <v>Mildred Yaneth Figueroa Garcia</v>
          </cell>
        </row>
        <row r="2954">
          <cell r="F2954">
            <v>301826</v>
          </cell>
          <cell r="G2954" t="str">
            <v>Mildred Yanett Cruz Alvarez</v>
          </cell>
        </row>
        <row r="2955">
          <cell r="F2955">
            <v>313864</v>
          </cell>
          <cell r="G2955" t="str">
            <v>Milena Maria Mendez Cheguen</v>
          </cell>
        </row>
        <row r="2956">
          <cell r="F2956">
            <v>314919</v>
          </cell>
          <cell r="G2956" t="str">
            <v>Milton Enrique Yax Sosa</v>
          </cell>
        </row>
        <row r="2957">
          <cell r="F2957">
            <v>312699</v>
          </cell>
          <cell r="G2957" t="str">
            <v>Milton Rene Estrada Coc</v>
          </cell>
        </row>
        <row r="2958">
          <cell r="F2958">
            <v>310468</v>
          </cell>
          <cell r="G2958" t="str">
            <v>Milton Roberto Juarez Lemus</v>
          </cell>
        </row>
        <row r="2959">
          <cell r="F2959">
            <v>313534</v>
          </cell>
          <cell r="G2959" t="str">
            <v>Milver Moises Maldonado Pelico</v>
          </cell>
        </row>
        <row r="2960">
          <cell r="F2960">
            <v>314555</v>
          </cell>
          <cell r="G2960" t="str">
            <v>Milvia Fernanda Talento Urbina</v>
          </cell>
        </row>
        <row r="2961">
          <cell r="F2961">
            <v>301347</v>
          </cell>
          <cell r="G2961" t="str">
            <v>Miriam Betsabe Rodas Perez</v>
          </cell>
        </row>
        <row r="2962">
          <cell r="F2962">
            <v>313439</v>
          </cell>
          <cell r="G2962" t="str">
            <v>Miriam Elizabeth Pérez Guerra</v>
          </cell>
        </row>
        <row r="2963">
          <cell r="F2963">
            <v>307748</v>
          </cell>
          <cell r="G2963" t="str">
            <v>Miriam Judith Cermeño Cetino</v>
          </cell>
        </row>
        <row r="2964">
          <cell r="F2964">
            <v>313772</v>
          </cell>
          <cell r="G2964" t="str">
            <v>Miriam Mineidy Moscoso Mayen</v>
          </cell>
        </row>
        <row r="2965">
          <cell r="F2965">
            <v>306649</v>
          </cell>
          <cell r="G2965" t="str">
            <v>Miriam Stefanie Hernandez Subuyuj</v>
          </cell>
        </row>
        <row r="2966">
          <cell r="F2966">
            <v>201909</v>
          </cell>
          <cell r="G2966" t="str">
            <v>Mirian Del Carmen Guzman Maldonado</v>
          </cell>
        </row>
        <row r="2967">
          <cell r="F2967">
            <v>314023</v>
          </cell>
          <cell r="G2967" t="str">
            <v>Mirna Consuelo Muñoz Ordoñez</v>
          </cell>
        </row>
        <row r="2968">
          <cell r="F2968">
            <v>315506</v>
          </cell>
          <cell r="G2968" t="str">
            <v>Mirna Elizabeth Zolote Patzan</v>
          </cell>
        </row>
        <row r="2969">
          <cell r="F2969">
            <v>101866</v>
          </cell>
          <cell r="G2969" t="str">
            <v>Mirna Violeta Carrillo Gonzalez</v>
          </cell>
        </row>
        <row r="2970">
          <cell r="F2970">
            <v>310687</v>
          </cell>
          <cell r="G2970" t="str">
            <v>Mirna Yesenia Umaña Ramos</v>
          </cell>
        </row>
        <row r="2971">
          <cell r="F2971">
            <v>313842</v>
          </cell>
          <cell r="G2971" t="str">
            <v>Mirza Johana Cosigua Rabinal</v>
          </cell>
        </row>
        <row r="2972">
          <cell r="F2972">
            <v>313441</v>
          </cell>
          <cell r="G2972" t="str">
            <v>Moises Dario Flores Amaya</v>
          </cell>
        </row>
        <row r="2973">
          <cell r="F2973">
            <v>313480</v>
          </cell>
          <cell r="G2973" t="str">
            <v>Monica Cecilia Perez Lopez</v>
          </cell>
        </row>
        <row r="2974">
          <cell r="F2974">
            <v>313674</v>
          </cell>
          <cell r="G2974" t="str">
            <v>Monica Gabriela Canizales Santos</v>
          </cell>
        </row>
        <row r="2975">
          <cell r="F2975">
            <v>307706</v>
          </cell>
          <cell r="G2975" t="str">
            <v>Monica Guadalupe Garcia Rivera</v>
          </cell>
        </row>
        <row r="2976">
          <cell r="F2976">
            <v>314918</v>
          </cell>
          <cell r="G2976" t="str">
            <v>Monica Isabel Castillo Avila</v>
          </cell>
        </row>
        <row r="2977">
          <cell r="F2977">
            <v>313553</v>
          </cell>
          <cell r="G2977" t="str">
            <v>Monica Laj De La Cruz</v>
          </cell>
        </row>
        <row r="2978">
          <cell r="F2978">
            <v>308910</v>
          </cell>
          <cell r="G2978" t="str">
            <v>Monica Lisseth Marroquin Salazar</v>
          </cell>
        </row>
        <row r="2979">
          <cell r="F2979">
            <v>302232</v>
          </cell>
          <cell r="G2979" t="str">
            <v>Monica Lizbeth Franco Chacon</v>
          </cell>
        </row>
        <row r="2980">
          <cell r="F2980">
            <v>311945</v>
          </cell>
          <cell r="G2980" t="str">
            <v>Monica Michelle Diaz De Leon De Baltazar</v>
          </cell>
        </row>
        <row r="2981">
          <cell r="F2981">
            <v>315559</v>
          </cell>
          <cell r="G2981" t="str">
            <v>Monica Mishell Perez Ballesteros</v>
          </cell>
        </row>
        <row r="2982">
          <cell r="F2982">
            <v>313346</v>
          </cell>
          <cell r="G2982" t="str">
            <v>Monica Mishell Rendon Gamboa</v>
          </cell>
        </row>
        <row r="2983">
          <cell r="F2983">
            <v>314616</v>
          </cell>
          <cell r="G2983" t="str">
            <v>Monica Raquel Palacios Piedrasanta</v>
          </cell>
        </row>
        <row r="2984">
          <cell r="F2984">
            <v>314653</v>
          </cell>
          <cell r="G2984" t="str">
            <v>Monica Yulissa Sun Pacay</v>
          </cell>
        </row>
        <row r="2985">
          <cell r="F2985">
            <v>311311</v>
          </cell>
          <cell r="G2985" t="str">
            <v>Monica Yulissa Vicente Velasquez</v>
          </cell>
        </row>
        <row r="2986">
          <cell r="F2986">
            <v>313427</v>
          </cell>
          <cell r="G2986" t="str">
            <v>Mynor Genaro Salazar Merida</v>
          </cell>
        </row>
        <row r="2987">
          <cell r="F2987">
            <v>201518</v>
          </cell>
          <cell r="G2987" t="str">
            <v>Myriam Aracely Rivera Gonzalez</v>
          </cell>
        </row>
        <row r="2988">
          <cell r="F2988">
            <v>315266</v>
          </cell>
          <cell r="G2988" t="str">
            <v>Myrka Jessel Rivera Camo</v>
          </cell>
        </row>
        <row r="2989">
          <cell r="F2989">
            <v>314223</v>
          </cell>
          <cell r="G2989" t="str">
            <v>Nadia Estefania Gramajo Archila</v>
          </cell>
        </row>
        <row r="2990">
          <cell r="F2990">
            <v>314959</v>
          </cell>
          <cell r="G2990" t="str">
            <v>Nanci Magali Noj Santos</v>
          </cell>
        </row>
        <row r="2991">
          <cell r="F2991">
            <v>302592</v>
          </cell>
          <cell r="G2991" t="str">
            <v>Nanci Paola Con Morales</v>
          </cell>
        </row>
        <row r="2992">
          <cell r="F2992">
            <v>301700</v>
          </cell>
          <cell r="G2992" t="str">
            <v>Nanci Yanira Navas Garcia</v>
          </cell>
        </row>
        <row r="2993">
          <cell r="F2993">
            <v>312111</v>
          </cell>
          <cell r="G2993" t="str">
            <v>Nancy Corina Quiñonez Rodriguez</v>
          </cell>
        </row>
        <row r="2994">
          <cell r="F2994">
            <v>303538</v>
          </cell>
          <cell r="G2994" t="str">
            <v>Nancy Magaly Izaguirre Galicia</v>
          </cell>
        </row>
        <row r="2995">
          <cell r="F2995">
            <v>305223</v>
          </cell>
          <cell r="G2995" t="str">
            <v>Nancy Pahola De Leon Patzan</v>
          </cell>
        </row>
        <row r="2996">
          <cell r="F2996">
            <v>311423</v>
          </cell>
          <cell r="G2996" t="str">
            <v>Nancy Paola Jimenez Pamal</v>
          </cell>
        </row>
        <row r="2997">
          <cell r="F2997">
            <v>310510</v>
          </cell>
          <cell r="G2997" t="str">
            <v>Nancy Paola Morales Rodriguez</v>
          </cell>
        </row>
        <row r="2998">
          <cell r="F2998">
            <v>312587</v>
          </cell>
          <cell r="G2998" t="str">
            <v>Nancy Roxana Chuy Ponce</v>
          </cell>
        </row>
        <row r="2999">
          <cell r="F2999">
            <v>314745</v>
          </cell>
          <cell r="G2999" t="str">
            <v>Nancy Yaneth Vasquez Chiguichon</v>
          </cell>
        </row>
        <row r="3000">
          <cell r="F3000">
            <v>309809</v>
          </cell>
          <cell r="G3000" t="str">
            <v>Nancy Yessenia Set Iquite</v>
          </cell>
        </row>
        <row r="3001">
          <cell r="F3001">
            <v>311261</v>
          </cell>
          <cell r="G3001" t="str">
            <v>Nasly Abigail Cazian Lopez</v>
          </cell>
        </row>
        <row r="3002">
          <cell r="F3002">
            <v>312545</v>
          </cell>
          <cell r="G3002" t="str">
            <v>Nataly Pamela Fransheska Aguilar Escobar</v>
          </cell>
        </row>
        <row r="3003">
          <cell r="F3003">
            <v>314192</v>
          </cell>
          <cell r="G3003" t="str">
            <v>Neftaly Eliseo Aguilar Hernandez</v>
          </cell>
        </row>
        <row r="3004">
          <cell r="F3004">
            <v>314024</v>
          </cell>
          <cell r="G3004" t="str">
            <v>Nelson Aurelio Portillo Martinez</v>
          </cell>
        </row>
        <row r="3005">
          <cell r="F3005">
            <v>314913</v>
          </cell>
          <cell r="G3005" t="str">
            <v>Nelson Humberto Caal Güe</v>
          </cell>
        </row>
        <row r="3006">
          <cell r="F3006">
            <v>314631</v>
          </cell>
          <cell r="G3006" t="str">
            <v>Nelsy Adali Nova Vivar</v>
          </cell>
        </row>
        <row r="3007">
          <cell r="F3007">
            <v>309216</v>
          </cell>
          <cell r="G3007" t="str">
            <v>Nery Daniel Chipin Lindo</v>
          </cell>
        </row>
        <row r="3008">
          <cell r="F3008">
            <v>313499</v>
          </cell>
          <cell r="G3008" t="str">
            <v>Nestor Donaldo Xiloj Quiej</v>
          </cell>
        </row>
        <row r="3009">
          <cell r="F3009">
            <v>312176</v>
          </cell>
          <cell r="G3009" t="str">
            <v>Nestor Edgardo Gutierrez Lazaro</v>
          </cell>
        </row>
        <row r="3010">
          <cell r="F3010">
            <v>309178</v>
          </cell>
          <cell r="G3010" t="str">
            <v>Nestor Enmanuel Retana Castellanos</v>
          </cell>
        </row>
        <row r="3011">
          <cell r="F3011">
            <v>313878</v>
          </cell>
          <cell r="G3011" t="str">
            <v>Nestor Orlando Aguilar Santos</v>
          </cell>
        </row>
        <row r="3012">
          <cell r="F3012">
            <v>305532</v>
          </cell>
          <cell r="G3012" t="str">
            <v>Nicolas Ajiquichi Ibate</v>
          </cell>
        </row>
        <row r="3013">
          <cell r="F3013">
            <v>312763</v>
          </cell>
          <cell r="G3013" t="str">
            <v>Nicolas Walter Toma Zacarias</v>
          </cell>
        </row>
        <row r="3014">
          <cell r="F3014">
            <v>315413</v>
          </cell>
          <cell r="G3014" t="str">
            <v>Nicomedes Israel Echeverria Pacheco</v>
          </cell>
        </row>
        <row r="3015">
          <cell r="F3015">
            <v>310907</v>
          </cell>
          <cell r="G3015" t="str">
            <v>Nidia Dalila Bantes Segura De Manchame</v>
          </cell>
        </row>
        <row r="3016">
          <cell r="F3016">
            <v>314818</v>
          </cell>
          <cell r="G3016" t="str">
            <v>Nidia Lucy Herrera Lopez</v>
          </cell>
        </row>
        <row r="3017">
          <cell r="F3017">
            <v>301486</v>
          </cell>
          <cell r="G3017" t="str">
            <v>Nidia Maribel Carpio Roca</v>
          </cell>
        </row>
        <row r="3018">
          <cell r="F3018">
            <v>306850</v>
          </cell>
          <cell r="G3018" t="str">
            <v>Nilda Julieta Boror Xuya</v>
          </cell>
        </row>
        <row r="3019">
          <cell r="F3019">
            <v>311624</v>
          </cell>
          <cell r="G3019" t="str">
            <v>Noe Amos Marroquin Sicajol</v>
          </cell>
        </row>
        <row r="3020">
          <cell r="F3020">
            <v>309912</v>
          </cell>
          <cell r="G3020" t="str">
            <v>Noelia Azucena Garcia Mazariegos</v>
          </cell>
        </row>
        <row r="3021">
          <cell r="F3021">
            <v>102045</v>
          </cell>
          <cell r="G3021" t="str">
            <v>Noemi Ruth Hernandez Urrutia</v>
          </cell>
        </row>
        <row r="3022">
          <cell r="F3022">
            <v>310375</v>
          </cell>
          <cell r="G3022" t="str">
            <v>Nora Lisseth Lam Sanchez</v>
          </cell>
        </row>
        <row r="3023">
          <cell r="F3023">
            <v>313429</v>
          </cell>
          <cell r="G3023" t="str">
            <v>Norman Alessandro Madrid Garcia</v>
          </cell>
        </row>
        <row r="3024">
          <cell r="F3024">
            <v>309744</v>
          </cell>
          <cell r="G3024" t="str">
            <v>Odalis Ruby Garcia Siquina</v>
          </cell>
        </row>
        <row r="3025">
          <cell r="F3025">
            <v>315554</v>
          </cell>
          <cell r="G3025" t="str">
            <v>Odalys Faviola Reyes Rivera</v>
          </cell>
        </row>
        <row r="3026">
          <cell r="F3026">
            <v>315037</v>
          </cell>
          <cell r="G3026" t="str">
            <v>Odiel Armando Guerra Aguirre</v>
          </cell>
        </row>
        <row r="3027">
          <cell r="F3027">
            <v>307511</v>
          </cell>
          <cell r="G3027" t="str">
            <v>Odra Arcadia Barduel Sarat</v>
          </cell>
        </row>
        <row r="3028">
          <cell r="F3028">
            <v>310763</v>
          </cell>
          <cell r="G3028" t="str">
            <v>Olga Gabriela Lopez Tzic</v>
          </cell>
        </row>
        <row r="3029">
          <cell r="F3029">
            <v>309989</v>
          </cell>
          <cell r="G3029" t="str">
            <v>Olga Maricela Guarcas Tol</v>
          </cell>
        </row>
        <row r="3030">
          <cell r="F3030">
            <v>315281</v>
          </cell>
          <cell r="G3030" t="str">
            <v>Olinda Juarez Figueno</v>
          </cell>
        </row>
        <row r="3031">
          <cell r="F3031">
            <v>312972</v>
          </cell>
          <cell r="G3031" t="str">
            <v>Omar Anibal Barreda Valenzuela</v>
          </cell>
        </row>
        <row r="3032">
          <cell r="F3032">
            <v>302263</v>
          </cell>
          <cell r="G3032" t="str">
            <v>Oneida Del Carmen Corzo Morales</v>
          </cell>
        </row>
        <row r="3033">
          <cell r="F3033">
            <v>308263</v>
          </cell>
          <cell r="G3033" t="str">
            <v>Oscar Eduardo Xoyon Gomez</v>
          </cell>
        </row>
        <row r="3034">
          <cell r="F3034">
            <v>314104</v>
          </cell>
          <cell r="G3034" t="str">
            <v>Oscar Emilio Gomez Orozco</v>
          </cell>
        </row>
        <row r="3035">
          <cell r="F3035">
            <v>314270</v>
          </cell>
          <cell r="G3035" t="str">
            <v>Oscar Enrique Garcia Gualip</v>
          </cell>
        </row>
        <row r="3036">
          <cell r="F3036">
            <v>315507</v>
          </cell>
          <cell r="G3036" t="str">
            <v>Oscar Estuardo Mancilla Najarro</v>
          </cell>
        </row>
        <row r="3037">
          <cell r="F3037">
            <v>314914</v>
          </cell>
          <cell r="G3037" t="str">
            <v>Oscar Geovany Patzan Patzan</v>
          </cell>
        </row>
        <row r="3038">
          <cell r="F3038">
            <v>308805</v>
          </cell>
          <cell r="G3038" t="str">
            <v>Oscar Israel Thiel Hidalgo</v>
          </cell>
        </row>
        <row r="3039">
          <cell r="F3039">
            <v>315115</v>
          </cell>
          <cell r="G3039" t="str">
            <v>Osman Amilcar Zarate Ixcoy</v>
          </cell>
        </row>
        <row r="3040">
          <cell r="F3040">
            <v>315497</v>
          </cell>
          <cell r="G3040" t="str">
            <v>Osman Ivan Boanerges Coc Coronado</v>
          </cell>
        </row>
        <row r="3041">
          <cell r="F3041">
            <v>310031</v>
          </cell>
          <cell r="G3041" t="str">
            <v>Osvin Daniel Gomez Gonzalez</v>
          </cell>
        </row>
        <row r="3042">
          <cell r="F3042">
            <v>307209</v>
          </cell>
          <cell r="G3042" t="str">
            <v>Oswaldo Marcelino Huix Gomez</v>
          </cell>
        </row>
        <row r="3043">
          <cell r="F3043">
            <v>309656</v>
          </cell>
          <cell r="G3043" t="str">
            <v>Otto Alejandro Barahona Lopez</v>
          </cell>
        </row>
        <row r="3044">
          <cell r="F3044">
            <v>312335</v>
          </cell>
          <cell r="G3044" t="str">
            <v>Otto Leonel Zavala Rodas</v>
          </cell>
        </row>
        <row r="3045">
          <cell r="F3045">
            <v>314894</v>
          </cell>
          <cell r="G3045" t="str">
            <v>Ottoniel Amilcar Gomez Rodriguez</v>
          </cell>
        </row>
        <row r="3046">
          <cell r="F3046">
            <v>315122</v>
          </cell>
          <cell r="G3046" t="str">
            <v>Ottoniel De Jesus Castellanos Ordoñez</v>
          </cell>
        </row>
        <row r="3047">
          <cell r="F3047">
            <v>315454</v>
          </cell>
          <cell r="G3047" t="str">
            <v>Pablo Jose Barillas Sobalvarro</v>
          </cell>
        </row>
        <row r="3048">
          <cell r="F3048">
            <v>314010</v>
          </cell>
          <cell r="G3048" t="str">
            <v>Pablo Raul Calimayor</v>
          </cell>
        </row>
        <row r="3049">
          <cell r="F3049">
            <v>313530</v>
          </cell>
          <cell r="G3049" t="str">
            <v>Paola Veronica Cardenas Toscano</v>
          </cell>
        </row>
        <row r="3050">
          <cell r="F3050">
            <v>314884</v>
          </cell>
          <cell r="G3050" t="str">
            <v>Paula Eliza Santos Corado</v>
          </cell>
        </row>
        <row r="3051">
          <cell r="F3051">
            <v>309035</v>
          </cell>
          <cell r="G3051" t="str">
            <v>Pedro Alexander Sazo Machac</v>
          </cell>
        </row>
        <row r="3052">
          <cell r="F3052">
            <v>308158</v>
          </cell>
          <cell r="G3052" t="str">
            <v>Pedro David Ixcoy Chiquin</v>
          </cell>
        </row>
        <row r="3053">
          <cell r="F3053">
            <v>314694</v>
          </cell>
          <cell r="G3053" t="str">
            <v>Pedro Karol Gomez Lopez</v>
          </cell>
        </row>
        <row r="3054">
          <cell r="F3054">
            <v>311221</v>
          </cell>
          <cell r="G3054" t="str">
            <v>Pedro Natanahel Caxaj Rodriguez</v>
          </cell>
        </row>
        <row r="3055">
          <cell r="F3055">
            <v>314951</v>
          </cell>
          <cell r="G3055" t="str">
            <v>Pedro Rene Ramirez Guzman</v>
          </cell>
        </row>
        <row r="3056">
          <cell r="F3056">
            <v>306911</v>
          </cell>
          <cell r="G3056" t="str">
            <v>Perla Michelle Giron Galdamez</v>
          </cell>
        </row>
        <row r="3057">
          <cell r="F3057">
            <v>303664</v>
          </cell>
          <cell r="G3057" t="str">
            <v>Priscila Merari Sosa Sanabria</v>
          </cell>
        </row>
        <row r="3058">
          <cell r="F3058">
            <v>314450</v>
          </cell>
          <cell r="G3058" t="str">
            <v>Rafael Anibal Sut Tucubal</v>
          </cell>
        </row>
        <row r="3059">
          <cell r="F3059">
            <v>315367</v>
          </cell>
          <cell r="G3059" t="str">
            <v>Raul Adrian Priego Castellanos</v>
          </cell>
        </row>
        <row r="3060">
          <cell r="F3060">
            <v>311720</v>
          </cell>
          <cell r="G3060" t="str">
            <v>Raul Estuardo Roquel Suyuc</v>
          </cell>
        </row>
        <row r="3061">
          <cell r="F3061">
            <v>313341</v>
          </cell>
          <cell r="G3061" t="str">
            <v>Raul Geovanny Garcia Fuentes</v>
          </cell>
        </row>
        <row r="3062">
          <cell r="F3062">
            <v>309191</v>
          </cell>
          <cell r="G3062" t="str">
            <v>Raul Matias Matias</v>
          </cell>
        </row>
        <row r="3063">
          <cell r="F3063">
            <v>315321</v>
          </cell>
          <cell r="G3063" t="str">
            <v>Reina Lorena Canán</v>
          </cell>
        </row>
        <row r="3064">
          <cell r="F3064">
            <v>312312</v>
          </cell>
          <cell r="G3064" t="str">
            <v>Remigio Alexander Gonzalez Suchite</v>
          </cell>
        </row>
        <row r="3065">
          <cell r="F3065">
            <v>306619</v>
          </cell>
          <cell r="G3065" t="str">
            <v>Reyna Angelica Ba Vega</v>
          </cell>
        </row>
        <row r="3066">
          <cell r="F3066">
            <v>315347</v>
          </cell>
          <cell r="G3066" t="str">
            <v>Reyna Floridalma Donis Marroquin</v>
          </cell>
        </row>
        <row r="3067">
          <cell r="F3067">
            <v>314960</v>
          </cell>
          <cell r="G3067" t="str">
            <v>Reyna Sebastiana Reyes Zurdo</v>
          </cell>
        </row>
        <row r="3068">
          <cell r="F3068">
            <v>315170</v>
          </cell>
          <cell r="G3068" t="str">
            <v>Ricardo Alexander Morales Moran</v>
          </cell>
        </row>
        <row r="3069">
          <cell r="F3069">
            <v>315179</v>
          </cell>
          <cell r="G3069" t="str">
            <v>Ricardo Alfonso Chan Lopez</v>
          </cell>
        </row>
        <row r="3070">
          <cell r="F3070">
            <v>311846</v>
          </cell>
          <cell r="G3070" t="str">
            <v>Ricardo Antonio Vasquez Meza</v>
          </cell>
        </row>
        <row r="3071">
          <cell r="F3071">
            <v>314666</v>
          </cell>
          <cell r="G3071" t="str">
            <v>Ricardo Esau Hernandez Baten</v>
          </cell>
        </row>
        <row r="3072">
          <cell r="F3072">
            <v>310610</v>
          </cell>
          <cell r="G3072" t="str">
            <v>Ricky Edson Lux Cassia</v>
          </cell>
        </row>
        <row r="3073">
          <cell r="F3073">
            <v>314813</v>
          </cell>
          <cell r="G3073" t="str">
            <v>Roberto Ardon Ramos</v>
          </cell>
        </row>
        <row r="3074">
          <cell r="F3074">
            <v>312901</v>
          </cell>
          <cell r="G3074" t="str">
            <v>Roberto Augusto Silva Hernandez</v>
          </cell>
        </row>
        <row r="3075">
          <cell r="F3075">
            <v>308852</v>
          </cell>
          <cell r="G3075" t="str">
            <v>Roberto Caal Sente</v>
          </cell>
        </row>
        <row r="3076">
          <cell r="F3076">
            <v>306098</v>
          </cell>
          <cell r="G3076" t="str">
            <v>Roderico Simeon Lopez Lopez</v>
          </cell>
        </row>
        <row r="3077">
          <cell r="F3077">
            <v>313517</v>
          </cell>
          <cell r="G3077" t="str">
            <v>Rogelio Waldemar Aldana Turcios</v>
          </cell>
        </row>
        <row r="3078">
          <cell r="F3078">
            <v>314945</v>
          </cell>
          <cell r="G3078" t="str">
            <v>Rolando Esau Solis Santos</v>
          </cell>
        </row>
        <row r="3079">
          <cell r="F3079">
            <v>313403</v>
          </cell>
          <cell r="G3079" t="str">
            <v>Rolman Eliseo Bautista Mazariegos</v>
          </cell>
        </row>
        <row r="3080">
          <cell r="F3080">
            <v>314776</v>
          </cell>
          <cell r="G3080" t="str">
            <v>Romario Humberto Perez Us</v>
          </cell>
        </row>
        <row r="3081">
          <cell r="F3081">
            <v>315539</v>
          </cell>
          <cell r="G3081" t="str">
            <v>Ronald Arturo Sanchez Mijangos</v>
          </cell>
        </row>
        <row r="3082">
          <cell r="F3082">
            <v>314096</v>
          </cell>
          <cell r="G3082" t="str">
            <v>Ronald Erickson Hernandez Bamac</v>
          </cell>
        </row>
        <row r="3083">
          <cell r="F3083">
            <v>307943</v>
          </cell>
          <cell r="G3083" t="str">
            <v>Ronald Guillermo Garcia</v>
          </cell>
        </row>
        <row r="3084">
          <cell r="F3084">
            <v>315118</v>
          </cell>
          <cell r="G3084" t="str">
            <v>Ronald Ottoniel Ramos Argueta</v>
          </cell>
        </row>
        <row r="3085">
          <cell r="F3085">
            <v>315165</v>
          </cell>
          <cell r="G3085" t="str">
            <v>Ronie Ernesto Gonzalez Alvarado</v>
          </cell>
        </row>
        <row r="3086">
          <cell r="F3086">
            <v>312877</v>
          </cell>
          <cell r="G3086" t="str">
            <v>Rony David Ruano Vasquez</v>
          </cell>
        </row>
        <row r="3087">
          <cell r="F3087">
            <v>310267</v>
          </cell>
          <cell r="G3087" t="str">
            <v>Rony Josue Giron Roca</v>
          </cell>
        </row>
        <row r="3088">
          <cell r="F3088">
            <v>314930</v>
          </cell>
          <cell r="G3088" t="str">
            <v>Rony Oswaldo Gonzalez Lemus</v>
          </cell>
        </row>
        <row r="3089">
          <cell r="F3089">
            <v>315305</v>
          </cell>
          <cell r="G3089" t="str">
            <v>Rosa Isabel Garcia Menchu De Itzep</v>
          </cell>
        </row>
        <row r="3090">
          <cell r="F3090">
            <v>305255</v>
          </cell>
          <cell r="G3090" t="str">
            <v>Rosa Maria Raxtun Estrada</v>
          </cell>
        </row>
        <row r="3091">
          <cell r="F3091">
            <v>313771</v>
          </cell>
          <cell r="G3091" t="str">
            <v>Rosa Maribel Par Gutierrez De Parada</v>
          </cell>
        </row>
        <row r="3092">
          <cell r="F3092">
            <v>315353</v>
          </cell>
          <cell r="G3092" t="str">
            <v>Rosa Mariela Muñoz Samayoa</v>
          </cell>
        </row>
        <row r="3093">
          <cell r="F3093">
            <v>301835</v>
          </cell>
          <cell r="G3093" t="str">
            <v>Rosa Melia Isales Reyes</v>
          </cell>
        </row>
        <row r="3094">
          <cell r="F3094">
            <v>315389</v>
          </cell>
          <cell r="G3094" t="str">
            <v>Rosa Yadira Salguero Ceballos</v>
          </cell>
        </row>
        <row r="3095">
          <cell r="F3095">
            <v>312729</v>
          </cell>
          <cell r="G3095" t="str">
            <v>Rosalbina Magdali Alvarado Ramirez</v>
          </cell>
        </row>
        <row r="3096">
          <cell r="F3096">
            <v>300594</v>
          </cell>
          <cell r="G3096" t="str">
            <v>Rosaura Grisleny Perez Rios</v>
          </cell>
        </row>
        <row r="3097">
          <cell r="F3097">
            <v>303901</v>
          </cell>
          <cell r="G3097" t="str">
            <v>Rosmery Ana Lee Cojom Rodriguez</v>
          </cell>
        </row>
        <row r="3098">
          <cell r="F3098">
            <v>312040</v>
          </cell>
          <cell r="G3098" t="str">
            <v>Rosmery Figueroa Ramirez</v>
          </cell>
        </row>
        <row r="3099">
          <cell r="F3099">
            <v>313606</v>
          </cell>
          <cell r="G3099" t="str">
            <v>Rossana Alejandra Rodas Salguero</v>
          </cell>
        </row>
        <row r="3100">
          <cell r="F3100">
            <v>310534</v>
          </cell>
          <cell r="G3100" t="str">
            <v>Rossel Jose Hernandez Oliva</v>
          </cell>
        </row>
        <row r="3101">
          <cell r="F3101">
            <v>315045</v>
          </cell>
          <cell r="G3101" t="str">
            <v>Roxana Leticia Avila Villatoro</v>
          </cell>
        </row>
        <row r="3102">
          <cell r="F3102">
            <v>314308</v>
          </cell>
          <cell r="G3102" t="str">
            <v>Ruben Dario Peñate Aquino</v>
          </cell>
        </row>
        <row r="3103">
          <cell r="F3103">
            <v>311511</v>
          </cell>
          <cell r="G3103" t="str">
            <v>Ruby Alejandra Merida Rivas</v>
          </cell>
        </row>
        <row r="3104">
          <cell r="F3104">
            <v>312888</v>
          </cell>
          <cell r="G3104" t="str">
            <v>Rudy Alexander Gramajo Reyes</v>
          </cell>
        </row>
        <row r="3105">
          <cell r="F3105">
            <v>314814</v>
          </cell>
          <cell r="G3105" t="str">
            <v>Rudy Fernando Lopez Ajcabal</v>
          </cell>
        </row>
        <row r="3106">
          <cell r="F3106">
            <v>311551</v>
          </cell>
          <cell r="G3106" t="str">
            <v>Ruth Betsabe Campos Vargas</v>
          </cell>
        </row>
        <row r="3107">
          <cell r="F3107">
            <v>312546</v>
          </cell>
          <cell r="G3107" t="str">
            <v>Ruth Hermelinda Cardona Blanco</v>
          </cell>
        </row>
        <row r="3108">
          <cell r="F3108">
            <v>313599</v>
          </cell>
          <cell r="G3108" t="str">
            <v>Ruth Noemi Solis Contreras</v>
          </cell>
        </row>
        <row r="3109">
          <cell r="F3109">
            <v>301658</v>
          </cell>
          <cell r="G3109" t="str">
            <v>Ruth Nohemi Contreras Hernandez</v>
          </cell>
        </row>
        <row r="3110">
          <cell r="F3110">
            <v>301786</v>
          </cell>
          <cell r="G3110" t="str">
            <v>Ruth Nohemi Perez Esteban</v>
          </cell>
        </row>
        <row r="3111">
          <cell r="F3111">
            <v>314606</v>
          </cell>
          <cell r="G3111" t="str">
            <v>Saida Yasmin Garcia Xot</v>
          </cell>
        </row>
        <row r="3112">
          <cell r="F3112">
            <v>312383</v>
          </cell>
          <cell r="G3112" t="str">
            <v>Samuel Everardo Garcia Lemus</v>
          </cell>
        </row>
        <row r="3113">
          <cell r="F3113">
            <v>313592</v>
          </cell>
          <cell r="G3113" t="str">
            <v>Samuel Nehemias Nuñez Michicoj</v>
          </cell>
        </row>
        <row r="3114">
          <cell r="F3114">
            <v>305099</v>
          </cell>
          <cell r="G3114" t="str">
            <v>Sandi Anavela Mejia Alvarado</v>
          </cell>
        </row>
        <row r="3115">
          <cell r="F3115">
            <v>312923</v>
          </cell>
          <cell r="G3115" t="str">
            <v>Sandra Esmeralda Martinez Baeza</v>
          </cell>
        </row>
        <row r="3116">
          <cell r="F3116">
            <v>314420</v>
          </cell>
          <cell r="G3116" t="str">
            <v>Sandra Jeaneth Ajcuc Garcia</v>
          </cell>
        </row>
        <row r="3117">
          <cell r="F3117">
            <v>301460</v>
          </cell>
          <cell r="G3117" t="str">
            <v>Sandra Judith Vasquez Fernandez</v>
          </cell>
        </row>
        <row r="3118">
          <cell r="F3118">
            <v>312012</v>
          </cell>
          <cell r="G3118" t="str">
            <v>Sandra Lucrecia Hernandez Aceituno</v>
          </cell>
        </row>
        <row r="3119">
          <cell r="F3119">
            <v>200872</v>
          </cell>
          <cell r="G3119" t="str">
            <v>Sandra Maritza Mus Chaman</v>
          </cell>
        </row>
        <row r="3120">
          <cell r="F3120">
            <v>314820</v>
          </cell>
          <cell r="G3120" t="str">
            <v>Sandra Mishell Amarilis Gutierrez Palma</v>
          </cell>
        </row>
        <row r="3121">
          <cell r="F3121">
            <v>313875</v>
          </cell>
          <cell r="G3121" t="str">
            <v>Sandra Patricia Mejia Raguex</v>
          </cell>
        </row>
        <row r="3122">
          <cell r="F3122">
            <v>311092</v>
          </cell>
          <cell r="G3122" t="str">
            <v>Sandra Patricia Ochoa Sanchez</v>
          </cell>
        </row>
        <row r="3123">
          <cell r="F3123">
            <v>306416</v>
          </cell>
          <cell r="G3123" t="str">
            <v>Sandy Claribel Barrientos Caal</v>
          </cell>
        </row>
        <row r="3124">
          <cell r="F3124">
            <v>315024</v>
          </cell>
          <cell r="G3124" t="str">
            <v>Sandy Jasmyn Gonzalez Catun</v>
          </cell>
        </row>
        <row r="3125">
          <cell r="F3125">
            <v>312908</v>
          </cell>
          <cell r="G3125" t="str">
            <v>Sandy Maria Flores</v>
          </cell>
        </row>
        <row r="3126">
          <cell r="F3126">
            <v>313078</v>
          </cell>
          <cell r="G3126" t="str">
            <v>Sandy Maribel Herrera Mazariegos</v>
          </cell>
        </row>
        <row r="3127">
          <cell r="F3127">
            <v>301438</v>
          </cell>
          <cell r="G3127" t="str">
            <v>Sandy Mariela Batres Orozco</v>
          </cell>
        </row>
        <row r="3128">
          <cell r="F3128">
            <v>313622</v>
          </cell>
          <cell r="G3128" t="str">
            <v>Sandy Nohemy Sontay Agueda</v>
          </cell>
        </row>
        <row r="3129">
          <cell r="F3129">
            <v>315408</v>
          </cell>
          <cell r="G3129" t="str">
            <v>Sandy Suset Morales Barrientos</v>
          </cell>
        </row>
        <row r="3130">
          <cell r="F3130">
            <v>307105</v>
          </cell>
          <cell r="G3130" t="str">
            <v>Santiago Isaias Barreno Rosales</v>
          </cell>
        </row>
        <row r="3131">
          <cell r="F3131">
            <v>315254</v>
          </cell>
          <cell r="G3131" t="str">
            <v>Santos Ismael Najera Culajay</v>
          </cell>
        </row>
        <row r="3132">
          <cell r="F3132">
            <v>313402</v>
          </cell>
          <cell r="G3132" t="str">
            <v>Santos Valentin Coroy Ruyan</v>
          </cell>
        </row>
        <row r="3133">
          <cell r="F3133">
            <v>312501</v>
          </cell>
          <cell r="G3133" t="str">
            <v>Sara Elizabeth Guzman Linares</v>
          </cell>
        </row>
        <row r="3134">
          <cell r="F3134">
            <v>313492</v>
          </cell>
          <cell r="G3134" t="str">
            <v>Sarvia Bitia Orellana Ortiz</v>
          </cell>
        </row>
        <row r="3135">
          <cell r="F3135">
            <v>309816</v>
          </cell>
          <cell r="G3135" t="str">
            <v>Sayra Elizabeth Reyes Zuñiga</v>
          </cell>
        </row>
        <row r="3136">
          <cell r="F3136">
            <v>314956</v>
          </cell>
          <cell r="G3136" t="str">
            <v>Sebastian Geovanny Calel Ixtuc</v>
          </cell>
        </row>
        <row r="3137">
          <cell r="F3137">
            <v>314855</v>
          </cell>
          <cell r="G3137" t="str">
            <v>Selvin Adan Garcia Portillo</v>
          </cell>
        </row>
        <row r="3138">
          <cell r="F3138">
            <v>312294</v>
          </cell>
          <cell r="G3138" t="str">
            <v>Selvin Geronimo Aguilar</v>
          </cell>
        </row>
        <row r="3139">
          <cell r="F3139">
            <v>302278</v>
          </cell>
          <cell r="G3139" t="str">
            <v>Selvin Manolo Montepeque Merida</v>
          </cell>
        </row>
        <row r="3140">
          <cell r="F3140">
            <v>314266</v>
          </cell>
          <cell r="G3140" t="str">
            <v>Selvin Rodolfo De La Cruz Contreras</v>
          </cell>
        </row>
        <row r="3141">
          <cell r="F3141">
            <v>301308</v>
          </cell>
          <cell r="G3141" t="str">
            <v>Selvyn Ivan Sierra Ramirez</v>
          </cell>
        </row>
        <row r="3142">
          <cell r="F3142">
            <v>312346</v>
          </cell>
          <cell r="G3142" t="str">
            <v>Sendy Vanessa Villagran Garcia</v>
          </cell>
        </row>
        <row r="3143">
          <cell r="F3143">
            <v>314559</v>
          </cell>
          <cell r="G3143" t="str">
            <v>Sergio Alejandro Aguilar Perez</v>
          </cell>
        </row>
        <row r="3144">
          <cell r="F3144">
            <v>101896</v>
          </cell>
          <cell r="G3144" t="str">
            <v>Sergio Estuardo Mejia Lopez</v>
          </cell>
        </row>
        <row r="3145">
          <cell r="F3145">
            <v>315294</v>
          </cell>
          <cell r="G3145" t="str">
            <v>Sergio Obdulio Chali Chocojay</v>
          </cell>
        </row>
        <row r="3146">
          <cell r="F3146">
            <v>314079</v>
          </cell>
          <cell r="G3146" t="str">
            <v>Sharon Klarivel Santis Najarro</v>
          </cell>
        </row>
        <row r="3147">
          <cell r="F3147">
            <v>311147</v>
          </cell>
          <cell r="G3147" t="str">
            <v>Shaury Jazmeny Garcia Arias</v>
          </cell>
        </row>
        <row r="3148">
          <cell r="F3148">
            <v>310599</v>
          </cell>
          <cell r="G3148" t="str">
            <v>Sheila Nineth Mendez Lopez</v>
          </cell>
        </row>
        <row r="3149">
          <cell r="F3149">
            <v>315541</v>
          </cell>
          <cell r="G3149" t="str">
            <v>Sheily Nahomy Oliva Morales</v>
          </cell>
        </row>
        <row r="3150">
          <cell r="F3150">
            <v>304805</v>
          </cell>
          <cell r="G3150" t="str">
            <v>Sheily Raquel Angel Arreaga</v>
          </cell>
        </row>
        <row r="3151">
          <cell r="F3151">
            <v>312357</v>
          </cell>
          <cell r="G3151" t="str">
            <v>Shirley Andrea Lopez Lopez</v>
          </cell>
        </row>
        <row r="3152">
          <cell r="F3152">
            <v>311646</v>
          </cell>
          <cell r="G3152" t="str">
            <v>Shirley Leticia Lissette Lopez Guzman</v>
          </cell>
        </row>
        <row r="3153">
          <cell r="F3153">
            <v>312096</v>
          </cell>
          <cell r="G3153" t="str">
            <v>Silvia Edelmira Garcia Donis</v>
          </cell>
        </row>
        <row r="3154">
          <cell r="F3154">
            <v>301371</v>
          </cell>
          <cell r="G3154" t="str">
            <v>Silvia Gabriela Gonzalez Siliezar</v>
          </cell>
        </row>
        <row r="3155">
          <cell r="F3155">
            <v>313328</v>
          </cell>
          <cell r="G3155" t="str">
            <v>Silvia Leticia Morales Perez</v>
          </cell>
        </row>
        <row r="3156">
          <cell r="F3156">
            <v>309948</v>
          </cell>
          <cell r="G3156" t="str">
            <v>Silvia Lucrecia Gonzalez Char</v>
          </cell>
        </row>
        <row r="3157">
          <cell r="F3157">
            <v>305230</v>
          </cell>
          <cell r="G3157" t="str">
            <v>Silvia Marleni Rac Yoc</v>
          </cell>
        </row>
        <row r="3158">
          <cell r="F3158">
            <v>305427</v>
          </cell>
          <cell r="G3158" t="str">
            <v>Silvia Noemi Calderon</v>
          </cell>
        </row>
        <row r="3159">
          <cell r="F3159">
            <v>306034</v>
          </cell>
          <cell r="G3159" t="str">
            <v>Silvia Patricia Gonzalez Hernandez</v>
          </cell>
        </row>
        <row r="3160">
          <cell r="F3160">
            <v>310105</v>
          </cell>
          <cell r="G3160" t="str">
            <v>Simeon Valentin Gomez Flores</v>
          </cell>
        </row>
        <row r="3161">
          <cell r="F3161">
            <v>313981</v>
          </cell>
          <cell r="G3161" t="str">
            <v>Sindy Beatriz Perez Sanchez</v>
          </cell>
        </row>
        <row r="3162">
          <cell r="F3162">
            <v>314976</v>
          </cell>
          <cell r="G3162" t="str">
            <v>Sindy Carolina Ramirez Pur</v>
          </cell>
        </row>
        <row r="3163">
          <cell r="F3163">
            <v>312881</v>
          </cell>
          <cell r="G3163" t="str">
            <v>Sindy Karina Ramirez Lopez</v>
          </cell>
        </row>
        <row r="3164">
          <cell r="F3164">
            <v>310066</v>
          </cell>
          <cell r="G3164" t="str">
            <v>Sindy Paola Vargas Calderon</v>
          </cell>
        </row>
        <row r="3165">
          <cell r="F3165">
            <v>315466</v>
          </cell>
          <cell r="G3165" t="str">
            <v>Siomara Victoria Valle Sac</v>
          </cell>
        </row>
        <row r="3166">
          <cell r="F3166">
            <v>313593</v>
          </cell>
          <cell r="G3166" t="str">
            <v>Slayker Andony Santiago Natareno</v>
          </cell>
        </row>
        <row r="3167">
          <cell r="F3167">
            <v>315439</v>
          </cell>
          <cell r="G3167" t="str">
            <v>Smaylin Sarita Villatoro Angel</v>
          </cell>
        </row>
        <row r="3168">
          <cell r="F3168">
            <v>310731</v>
          </cell>
          <cell r="G3168" t="str">
            <v>Sofia Etelvina Lopez Perez</v>
          </cell>
        </row>
        <row r="3169">
          <cell r="F3169">
            <v>314735</v>
          </cell>
          <cell r="G3169" t="str">
            <v>Sofia Ines Bermudez Avila</v>
          </cell>
        </row>
        <row r="3170">
          <cell r="F3170">
            <v>315340</v>
          </cell>
          <cell r="G3170" t="str">
            <v>Stefanny Manuela Azaneth Garcia Garcia</v>
          </cell>
        </row>
        <row r="3171">
          <cell r="F3171">
            <v>308054</v>
          </cell>
          <cell r="G3171" t="str">
            <v>Stephanie Abigail De Los Angeles Villalta</v>
          </cell>
        </row>
        <row r="3172">
          <cell r="F3172">
            <v>303382</v>
          </cell>
          <cell r="G3172" t="str">
            <v>Sucely Abigail Nerios Rodriguez</v>
          </cell>
        </row>
        <row r="3173">
          <cell r="F3173">
            <v>314787</v>
          </cell>
          <cell r="G3173" t="str">
            <v>Sucely Analy Arias Paredes</v>
          </cell>
        </row>
        <row r="3174">
          <cell r="F3174">
            <v>310671</v>
          </cell>
          <cell r="G3174" t="str">
            <v>Sucely Paola Godinez Gomez De Perez</v>
          </cell>
        </row>
        <row r="3175">
          <cell r="F3175">
            <v>315386</v>
          </cell>
          <cell r="G3175" t="str">
            <v>Sulibeth Estela Ortega Mendez</v>
          </cell>
        </row>
        <row r="3176">
          <cell r="F3176">
            <v>314347</v>
          </cell>
          <cell r="G3176" t="str">
            <v>Suri Mireidy Perez Estrada</v>
          </cell>
        </row>
        <row r="3177">
          <cell r="F3177">
            <v>313630</v>
          </cell>
          <cell r="G3177" t="str">
            <v>Susan Andrea Perez Lima</v>
          </cell>
        </row>
        <row r="3178">
          <cell r="F3178">
            <v>313395</v>
          </cell>
          <cell r="G3178" t="str">
            <v>Susan Maria Jose Rodas Carranza</v>
          </cell>
        </row>
        <row r="3179">
          <cell r="F3179">
            <v>309883</v>
          </cell>
          <cell r="G3179" t="str">
            <v>Susana Alvarado Gonzalez</v>
          </cell>
        </row>
        <row r="3180">
          <cell r="F3180">
            <v>307664</v>
          </cell>
          <cell r="G3180" t="str">
            <v>Susana Jeanneth Lemus Pineda</v>
          </cell>
        </row>
        <row r="3181">
          <cell r="F3181">
            <v>315313</v>
          </cell>
          <cell r="G3181" t="str">
            <v>Tayme Gabriela Uzu Ramirez</v>
          </cell>
        </row>
        <row r="3182">
          <cell r="F3182">
            <v>314575</v>
          </cell>
          <cell r="G3182" t="str">
            <v>Telma Esperanza Santos Orantes</v>
          </cell>
        </row>
        <row r="3183">
          <cell r="F3183">
            <v>302658</v>
          </cell>
          <cell r="G3183" t="str">
            <v>Telma Sucely Solis Merida</v>
          </cell>
        </row>
        <row r="3184">
          <cell r="F3184">
            <v>315048</v>
          </cell>
          <cell r="G3184" t="str">
            <v>Thania Lucia Romero Garcia</v>
          </cell>
        </row>
        <row r="3185">
          <cell r="F3185">
            <v>302332</v>
          </cell>
          <cell r="G3185" t="str">
            <v>Thelma Patricia Mena Melchor</v>
          </cell>
        </row>
        <row r="3186">
          <cell r="F3186">
            <v>314108</v>
          </cell>
          <cell r="G3186" t="str">
            <v>Thelma Yolanda De Candelaria Garcia Sanchez</v>
          </cell>
        </row>
        <row r="3187">
          <cell r="F3187">
            <v>315049</v>
          </cell>
          <cell r="G3187" t="str">
            <v>Tomas Amador Manuel Martin</v>
          </cell>
        </row>
        <row r="3188">
          <cell r="F3188">
            <v>315373</v>
          </cell>
          <cell r="G3188" t="str">
            <v>Tomas Xiloj Mejia</v>
          </cell>
        </row>
        <row r="3189">
          <cell r="F3189">
            <v>311866</v>
          </cell>
          <cell r="G3189" t="str">
            <v>Treisy Lisbeth Orozco Orozco</v>
          </cell>
        </row>
        <row r="3190">
          <cell r="F3190">
            <v>310220</v>
          </cell>
          <cell r="G3190" t="str">
            <v>Urias Samuel Velasquez Ardeano</v>
          </cell>
        </row>
        <row r="3191">
          <cell r="F3191">
            <v>305903</v>
          </cell>
          <cell r="G3191" t="str">
            <v>Valeska Paola Rivas Gomez</v>
          </cell>
        </row>
        <row r="3192">
          <cell r="F3192">
            <v>314544</v>
          </cell>
          <cell r="G3192" t="str">
            <v>Velvet Sofia Estrada Ruiz</v>
          </cell>
        </row>
        <row r="3193">
          <cell r="F3193">
            <v>314405</v>
          </cell>
          <cell r="G3193" t="str">
            <v>Veronica Alejandra Barahona Santa Cruz</v>
          </cell>
        </row>
        <row r="3194">
          <cell r="F3194">
            <v>311048</v>
          </cell>
          <cell r="G3194" t="str">
            <v>Veronica Dalila Barrios Hernandez</v>
          </cell>
        </row>
        <row r="3195">
          <cell r="F3195">
            <v>311005</v>
          </cell>
          <cell r="G3195" t="str">
            <v>Veronica Sierra Xo</v>
          </cell>
        </row>
        <row r="3196">
          <cell r="F3196">
            <v>304024</v>
          </cell>
          <cell r="G3196" t="str">
            <v>Vicky Roxana Lopez Hernandez</v>
          </cell>
        </row>
        <row r="3197">
          <cell r="F3197">
            <v>300999</v>
          </cell>
          <cell r="G3197" t="str">
            <v>Victor Adolfo Barrios Monzon</v>
          </cell>
        </row>
        <row r="3198">
          <cell r="F3198">
            <v>309689</v>
          </cell>
          <cell r="G3198" t="str">
            <v>Victor Demecio Leon Villeda</v>
          </cell>
        </row>
        <row r="3199">
          <cell r="F3199">
            <v>311258</v>
          </cell>
          <cell r="G3199" t="str">
            <v>Victor Otoniel Sebastian Cardona</v>
          </cell>
        </row>
        <row r="3200">
          <cell r="F3200">
            <v>314367</v>
          </cell>
          <cell r="G3200" t="str">
            <v>Victoria Maria Llamas Perez</v>
          </cell>
        </row>
        <row r="3201">
          <cell r="F3201">
            <v>315399</v>
          </cell>
          <cell r="G3201" t="str">
            <v>Vilma Rossibel Mendez Vasquez</v>
          </cell>
        </row>
        <row r="3202">
          <cell r="F3202">
            <v>312875</v>
          </cell>
          <cell r="G3202" t="str">
            <v>Virginia Nohemi Perez Ajtum</v>
          </cell>
        </row>
        <row r="3203">
          <cell r="F3203">
            <v>313671</v>
          </cell>
          <cell r="G3203" t="str">
            <v>Virginia Yesenia Merida Lopez De Lopez</v>
          </cell>
        </row>
        <row r="3204">
          <cell r="F3204">
            <v>315529</v>
          </cell>
          <cell r="G3204" t="str">
            <v>Vivian Alejandra Ramirez Samayoa</v>
          </cell>
        </row>
        <row r="3205">
          <cell r="F3205">
            <v>310009</v>
          </cell>
          <cell r="G3205" t="str">
            <v>Vivian Celeste De Leon Rian</v>
          </cell>
        </row>
        <row r="3206">
          <cell r="F3206">
            <v>308693</v>
          </cell>
          <cell r="G3206" t="str">
            <v>Vivian Dinora Fuentes Carrillo</v>
          </cell>
        </row>
        <row r="3207">
          <cell r="F3207">
            <v>300347</v>
          </cell>
          <cell r="G3207" t="str">
            <v>Vivian Roxana Piedrasanta Rodriguez</v>
          </cell>
        </row>
        <row r="3208">
          <cell r="F3208">
            <v>306597</v>
          </cell>
          <cell r="G3208" t="str">
            <v>Vivian Samara Sanchez Lopez</v>
          </cell>
        </row>
        <row r="3209">
          <cell r="F3209">
            <v>312772</v>
          </cell>
          <cell r="G3209" t="str">
            <v>Viviana Isabet Machic Tiño</v>
          </cell>
        </row>
        <row r="3210">
          <cell r="F3210">
            <v>314636</v>
          </cell>
          <cell r="G3210" t="str">
            <v>Walkiria Anais Herrera Castillo</v>
          </cell>
        </row>
        <row r="3211">
          <cell r="F3211">
            <v>301033</v>
          </cell>
          <cell r="G3211" t="str">
            <v>Walter Daniel Perea Flores</v>
          </cell>
        </row>
        <row r="3212">
          <cell r="F3212">
            <v>305935</v>
          </cell>
          <cell r="G3212" t="str">
            <v>Walter David De Leon Gomez</v>
          </cell>
        </row>
        <row r="3213">
          <cell r="F3213">
            <v>315324</v>
          </cell>
          <cell r="G3213" t="str">
            <v>Walter Estuardo Guerra López</v>
          </cell>
        </row>
        <row r="3214">
          <cell r="F3214">
            <v>310994</v>
          </cell>
          <cell r="G3214" t="str">
            <v>Walter Geovany Hernandez Hernandez</v>
          </cell>
        </row>
        <row r="3215">
          <cell r="F3215">
            <v>315577</v>
          </cell>
          <cell r="G3215" t="str">
            <v>Walter Yovany Sequec Lopic</v>
          </cell>
        </row>
        <row r="3216">
          <cell r="F3216">
            <v>312305</v>
          </cell>
          <cell r="G3216" t="str">
            <v>Wanda Marisol Cabrera Lemus</v>
          </cell>
        </row>
        <row r="3217">
          <cell r="F3217">
            <v>313388</v>
          </cell>
          <cell r="G3217" t="str">
            <v>Wander Andres Grijlava Porras</v>
          </cell>
        </row>
        <row r="3218">
          <cell r="F3218">
            <v>312738</v>
          </cell>
          <cell r="G3218" t="str">
            <v>Wendoly Beatriz Morales Cornel</v>
          </cell>
        </row>
        <row r="3219">
          <cell r="F3219">
            <v>304802</v>
          </cell>
          <cell r="G3219" t="str">
            <v>Wendy Alejandra Cuyan Alvarez</v>
          </cell>
        </row>
        <row r="3220">
          <cell r="F3220">
            <v>315438</v>
          </cell>
          <cell r="G3220" t="str">
            <v>Wendy Alejandra Monzon Lopez</v>
          </cell>
        </row>
        <row r="3221">
          <cell r="F3221">
            <v>309177</v>
          </cell>
          <cell r="G3221" t="str">
            <v>Wendy Carolina Lopez Alvizuriz</v>
          </cell>
        </row>
        <row r="3222">
          <cell r="F3222">
            <v>315364</v>
          </cell>
          <cell r="G3222" t="str">
            <v>Wendy Corina Najera Vasquez</v>
          </cell>
        </row>
        <row r="3223">
          <cell r="F3223">
            <v>308431</v>
          </cell>
          <cell r="G3223" t="str">
            <v>Wendy Jessenia Arredondo Lopez</v>
          </cell>
        </row>
        <row r="3224">
          <cell r="F3224">
            <v>315096</v>
          </cell>
          <cell r="G3224" t="str">
            <v>Wendy Mariela Diaz Hernandez</v>
          </cell>
        </row>
        <row r="3225">
          <cell r="F3225">
            <v>314551</v>
          </cell>
          <cell r="G3225" t="str">
            <v>Wendy Nineth Perez Roque</v>
          </cell>
        </row>
        <row r="3226">
          <cell r="F3226">
            <v>312886</v>
          </cell>
          <cell r="G3226" t="str">
            <v>Wendy Paola Baquiax Cu</v>
          </cell>
        </row>
        <row r="3227">
          <cell r="F3227">
            <v>306851</v>
          </cell>
          <cell r="G3227" t="str">
            <v>Wendy Paola De Paz Prado</v>
          </cell>
        </row>
        <row r="3228">
          <cell r="F3228">
            <v>313707</v>
          </cell>
          <cell r="G3228" t="str">
            <v>Wendy Paola Rodriguez Gonzalez</v>
          </cell>
        </row>
        <row r="3229">
          <cell r="F3229">
            <v>314055</v>
          </cell>
          <cell r="G3229" t="str">
            <v>Wendy Patricia Lopez Gonzalez</v>
          </cell>
        </row>
        <row r="3230">
          <cell r="F3230">
            <v>310388</v>
          </cell>
          <cell r="G3230" t="str">
            <v>Wendy Susana Chinchilla Cotill</v>
          </cell>
        </row>
        <row r="3231">
          <cell r="F3231">
            <v>315106</v>
          </cell>
          <cell r="G3231" t="str">
            <v>Wendy Victoria Rodriguez Chacon</v>
          </cell>
        </row>
        <row r="3232">
          <cell r="F3232">
            <v>314063</v>
          </cell>
          <cell r="G3232" t="str">
            <v>Wensler David Obando Polanco</v>
          </cell>
        </row>
        <row r="3233">
          <cell r="F3233">
            <v>308069</v>
          </cell>
          <cell r="G3233" t="str">
            <v>Wilda Yohandra Atz Cruz</v>
          </cell>
        </row>
        <row r="3234">
          <cell r="F3234">
            <v>313300</v>
          </cell>
          <cell r="G3234" t="str">
            <v>Wilfido Abraham Cardona Garcia</v>
          </cell>
        </row>
        <row r="3235">
          <cell r="F3235">
            <v>309284</v>
          </cell>
          <cell r="G3235" t="str">
            <v>Wilian Aroldo Lucero Cardona</v>
          </cell>
        </row>
        <row r="3236">
          <cell r="F3236">
            <v>314821</v>
          </cell>
          <cell r="G3236" t="str">
            <v>William Alexander Tobias Gomez</v>
          </cell>
        </row>
        <row r="3237">
          <cell r="F3237">
            <v>314881</v>
          </cell>
          <cell r="G3237" t="str">
            <v>William Eduardo Velasquez Castillo</v>
          </cell>
        </row>
        <row r="3238">
          <cell r="F3238">
            <v>313027</v>
          </cell>
          <cell r="G3238" t="str">
            <v>William Rodolfo Yool Tucux</v>
          </cell>
        </row>
        <row r="3239">
          <cell r="F3239">
            <v>314221</v>
          </cell>
          <cell r="G3239" t="str">
            <v>Willian Baldemar Castillo Ramirez</v>
          </cell>
        </row>
        <row r="3240">
          <cell r="F3240">
            <v>314947</v>
          </cell>
          <cell r="G3240" t="str">
            <v>Wilmer Arnoldo Diaz Martinez</v>
          </cell>
        </row>
        <row r="3241">
          <cell r="F3241">
            <v>306656</v>
          </cell>
          <cell r="G3241" t="str">
            <v>Wilmer Benjamin Vasquez Puac</v>
          </cell>
        </row>
        <row r="3242">
          <cell r="F3242">
            <v>314391</v>
          </cell>
          <cell r="G3242" t="str">
            <v>Wilmer Esteban Lopez Hernandez</v>
          </cell>
        </row>
        <row r="3243">
          <cell r="F3243">
            <v>308506</v>
          </cell>
          <cell r="G3243" t="str">
            <v>Wilmer Estuardo Salama Golon</v>
          </cell>
        </row>
        <row r="3244">
          <cell r="F3244">
            <v>308686</v>
          </cell>
          <cell r="G3244" t="str">
            <v>Wilson Arnoldo Lopez Revolorio</v>
          </cell>
        </row>
        <row r="3245">
          <cell r="F3245">
            <v>312770</v>
          </cell>
          <cell r="G3245" t="str">
            <v>Wilson Manuel Zuñiga Perez</v>
          </cell>
        </row>
        <row r="3246">
          <cell r="F3246">
            <v>300978</v>
          </cell>
          <cell r="G3246" t="str">
            <v>Wuangler Geovane Cal Sucup</v>
          </cell>
        </row>
        <row r="3247">
          <cell r="F3247">
            <v>305989</v>
          </cell>
          <cell r="G3247" t="str">
            <v>Wuilson Ottoniel Hernandez Alonzo</v>
          </cell>
        </row>
        <row r="3248">
          <cell r="F3248">
            <v>314819</v>
          </cell>
          <cell r="G3248" t="str">
            <v>Xiomara Karina Rendon Peinado</v>
          </cell>
        </row>
        <row r="3249">
          <cell r="F3249">
            <v>306493</v>
          </cell>
          <cell r="G3249" t="str">
            <v>Yackelin Maribel Zamora Medina</v>
          </cell>
        </row>
        <row r="3250">
          <cell r="F3250">
            <v>309963</v>
          </cell>
          <cell r="G3250" t="str">
            <v>Yajaira Emiliana Reyes Zapet</v>
          </cell>
        </row>
        <row r="3251">
          <cell r="F3251">
            <v>312248</v>
          </cell>
          <cell r="G3251" t="str">
            <v>Yakelin Consuelo Zapeta Perez</v>
          </cell>
        </row>
        <row r="3252">
          <cell r="F3252">
            <v>310159</v>
          </cell>
          <cell r="G3252" t="str">
            <v>Yaquelin Dinora Xicara Mejia</v>
          </cell>
        </row>
        <row r="3253">
          <cell r="F3253">
            <v>309920</v>
          </cell>
          <cell r="G3253" t="str">
            <v>Yaquelin Karina Virula Patzan</v>
          </cell>
        </row>
        <row r="3254">
          <cell r="F3254">
            <v>312505</v>
          </cell>
          <cell r="G3254" t="str">
            <v>Yaquelin Yessenia Sapon Gonzalez</v>
          </cell>
        </row>
        <row r="3255">
          <cell r="F3255">
            <v>309463</v>
          </cell>
          <cell r="G3255" t="str">
            <v>Yasmin Paola Sicay Marroquin</v>
          </cell>
        </row>
        <row r="3256">
          <cell r="F3256">
            <v>313857</v>
          </cell>
          <cell r="G3256" t="str">
            <v>Yefersson Zabala Aviles</v>
          </cell>
        </row>
        <row r="3257">
          <cell r="F3257">
            <v>313628</v>
          </cell>
          <cell r="G3257" t="str">
            <v>Yefry Jesus Soto</v>
          </cell>
        </row>
        <row r="3258">
          <cell r="F3258">
            <v>310318</v>
          </cell>
          <cell r="G3258" t="str">
            <v>Yeimi Yareli Moscoso Guzman</v>
          </cell>
        </row>
        <row r="3259">
          <cell r="F3259">
            <v>313558</v>
          </cell>
          <cell r="G3259" t="str">
            <v>Yener Catarino Chilel Velasquez</v>
          </cell>
        </row>
        <row r="3260">
          <cell r="F3260">
            <v>303083</v>
          </cell>
          <cell r="G3260" t="str">
            <v>Yeni Elizabeth Carrillo Barrios</v>
          </cell>
        </row>
        <row r="3261">
          <cell r="F3261">
            <v>313221</v>
          </cell>
          <cell r="G3261" t="str">
            <v>Yeni Jannet Morales Sintud</v>
          </cell>
        </row>
        <row r="3262">
          <cell r="F3262">
            <v>315374</v>
          </cell>
          <cell r="G3262" t="str">
            <v>Yeni Sabrina Ordonez Gonzalez De Chicas</v>
          </cell>
        </row>
        <row r="3263">
          <cell r="F3263">
            <v>314613</v>
          </cell>
          <cell r="G3263" t="str">
            <v>Yenifer Alicia Yessenia Tzib Lemus</v>
          </cell>
        </row>
        <row r="3264">
          <cell r="F3264">
            <v>308434</v>
          </cell>
          <cell r="G3264" t="str">
            <v>Yenifer Antonieta Borja Aragon</v>
          </cell>
        </row>
        <row r="3265">
          <cell r="F3265">
            <v>313725</v>
          </cell>
          <cell r="G3265" t="str">
            <v>Yenner Antonio Perez Castro</v>
          </cell>
        </row>
        <row r="3266">
          <cell r="F3266">
            <v>314562</v>
          </cell>
          <cell r="G3266" t="str">
            <v>Yesenia Noemi Gutierrez Argueta</v>
          </cell>
        </row>
        <row r="3267">
          <cell r="F3267">
            <v>311581</v>
          </cell>
          <cell r="G3267" t="str">
            <v>Yesi Lisbet Fuentes Velarde</v>
          </cell>
        </row>
        <row r="3268">
          <cell r="F3268">
            <v>312579</v>
          </cell>
          <cell r="G3268" t="str">
            <v>Yesica Elizabet Marroquin Vielman</v>
          </cell>
        </row>
        <row r="3269">
          <cell r="F3269">
            <v>315433</v>
          </cell>
          <cell r="G3269" t="str">
            <v>Yessica Paola Perez Poma</v>
          </cell>
        </row>
        <row r="3270">
          <cell r="F3270">
            <v>311486</v>
          </cell>
          <cell r="G3270" t="str">
            <v>Yolisma Yaneth Vasquez Najera</v>
          </cell>
        </row>
        <row r="3271">
          <cell r="F3271">
            <v>315060</v>
          </cell>
          <cell r="G3271" t="str">
            <v>Yonatan Alexander Perez Scott</v>
          </cell>
        </row>
        <row r="3272">
          <cell r="F3272">
            <v>312632</v>
          </cell>
          <cell r="G3272" t="str">
            <v>Yonatan Nazareth Zapeta Gomez</v>
          </cell>
        </row>
        <row r="3273">
          <cell r="F3273">
            <v>312988</v>
          </cell>
          <cell r="G3273" t="str">
            <v>Yonathan Neftali Moran Velasquez</v>
          </cell>
        </row>
        <row r="3274">
          <cell r="F3274">
            <v>305872</v>
          </cell>
          <cell r="G3274" t="str">
            <v>Yoni Adan Gutierrez Veliz</v>
          </cell>
        </row>
        <row r="3275">
          <cell r="F3275">
            <v>312087</v>
          </cell>
          <cell r="G3275" t="str">
            <v>Yoni Yosuen Rodriguez Sosa</v>
          </cell>
        </row>
        <row r="3276">
          <cell r="F3276">
            <v>312317</v>
          </cell>
          <cell r="G3276" t="str">
            <v>Yoselin Alejandra Barrios Reyes</v>
          </cell>
        </row>
        <row r="3277">
          <cell r="F3277">
            <v>313057</v>
          </cell>
          <cell r="G3277" t="str">
            <v>Yoselin Alejandra Moran Burgos</v>
          </cell>
        </row>
        <row r="3278">
          <cell r="F3278">
            <v>314700</v>
          </cell>
          <cell r="G3278" t="str">
            <v>Yoselin Andrea Cipriano Garcia</v>
          </cell>
        </row>
        <row r="3279">
          <cell r="F3279">
            <v>314280</v>
          </cell>
          <cell r="G3279" t="str">
            <v>Yoselin Ninet Lopez Quibaja</v>
          </cell>
        </row>
        <row r="3280">
          <cell r="F3280">
            <v>314388</v>
          </cell>
          <cell r="G3280" t="str">
            <v>Yubithza Azucena Gamez Agustin De Cordova</v>
          </cell>
        </row>
        <row r="3281">
          <cell r="F3281">
            <v>310717</v>
          </cell>
          <cell r="G3281" t="str">
            <v>Yuliana Elizabeth Hernandez Lopez</v>
          </cell>
        </row>
        <row r="3282">
          <cell r="F3282">
            <v>314472</v>
          </cell>
          <cell r="G3282" t="str">
            <v>Yuri Madali Cabrera Garcia</v>
          </cell>
        </row>
        <row r="3283">
          <cell r="F3283">
            <v>310871</v>
          </cell>
          <cell r="G3283" t="str">
            <v>Yuri Vanessa Bac Caal</v>
          </cell>
        </row>
        <row r="3284">
          <cell r="F3284">
            <v>302802</v>
          </cell>
          <cell r="G3284" t="str">
            <v>Yuri Yesenia Beza Ramirez</v>
          </cell>
        </row>
        <row r="3285">
          <cell r="F3285">
            <v>310778</v>
          </cell>
          <cell r="G3285" t="str">
            <v>Zacarias Rigoberto Cuc Tiul</v>
          </cell>
        </row>
        <row r="3286">
          <cell r="F3286">
            <v>309651</v>
          </cell>
          <cell r="G3286" t="str">
            <v>Zaira Eloiza Orantes Ramirez</v>
          </cell>
        </row>
        <row r="3287">
          <cell r="F3287">
            <v>315308</v>
          </cell>
          <cell r="G3287" t="str">
            <v>Zalma Esmeralda Flores Tojin</v>
          </cell>
        </row>
        <row r="3288">
          <cell r="F3288">
            <v>306856</v>
          </cell>
          <cell r="G3288" t="str">
            <v>Zoraida Marisol Martinez Perez</v>
          </cell>
        </row>
        <row r="3289">
          <cell r="F3289">
            <v>313411</v>
          </cell>
          <cell r="G3289" t="str">
            <v>Zulema Noemy Aristondo Lopez</v>
          </cell>
        </row>
        <row r="3290">
          <cell r="F3290">
            <v>312665</v>
          </cell>
          <cell r="G3290" t="str">
            <v>Zulma Damaris Menchu Mendez</v>
          </cell>
        </row>
        <row r="3291">
          <cell r="F3291">
            <v>314042</v>
          </cell>
          <cell r="G3291" t="str">
            <v>Zulmy Paola Mateo Salazar</v>
          </cell>
        </row>
        <row r="3292">
          <cell r="F3292">
            <v>313161</v>
          </cell>
          <cell r="G3292" t="str">
            <v>Zuly Beatriz De Jesus Lopez Martinez</v>
          </cell>
        </row>
        <row r="3293">
          <cell r="F3293">
            <v>314783</v>
          </cell>
          <cell r="G3293" t="str">
            <v>Jency Noeli Estrada Paredes</v>
          </cell>
        </row>
        <row r="3294">
          <cell r="F3294">
            <v>311880</v>
          </cell>
          <cell r="G3294" t="str">
            <v>Patricia Alejandra Ramos Velasquez</v>
          </cell>
        </row>
        <row r="3295">
          <cell r="F3295">
            <v>313031</v>
          </cell>
          <cell r="G3295" t="str">
            <v>Lesly Sucely Ramirez Maxin</v>
          </cell>
        </row>
        <row r="3296">
          <cell r="F3296">
            <v>313155</v>
          </cell>
          <cell r="G3296" t="str">
            <v>Aylin Jiceli Romero Cruz</v>
          </cell>
        </row>
        <row r="3297">
          <cell r="F3297">
            <v>314858</v>
          </cell>
          <cell r="G3297" t="str">
            <v>Henry De Jesus Mujo Garcia</v>
          </cell>
        </row>
        <row r="3298">
          <cell r="F3298">
            <v>315188</v>
          </cell>
          <cell r="G3298" t="str">
            <v>Zoila Edmunda Pirir Tezen</v>
          </cell>
        </row>
        <row r="3299">
          <cell r="F3299">
            <v>314690</v>
          </cell>
          <cell r="G3299" t="str">
            <v>Scarlet Iveth Rosales Rivera</v>
          </cell>
        </row>
        <row r="3300">
          <cell r="F3300">
            <v>309417</v>
          </cell>
          <cell r="G3300" t="str">
            <v>Lisbeth Sarai Gutierrez Oscal</v>
          </cell>
        </row>
        <row r="3301">
          <cell r="F3301">
            <v>314284</v>
          </cell>
          <cell r="G3301" t="str">
            <v>William Alexander Gonzalez Mendoza</v>
          </cell>
        </row>
        <row r="3302">
          <cell r="F3302">
            <v>312424</v>
          </cell>
          <cell r="G3302" t="str">
            <v>Andrea Fernanda Martin Flores</v>
          </cell>
        </row>
        <row r="3303">
          <cell r="F3303">
            <v>313081</v>
          </cell>
          <cell r="G3303" t="str">
            <v>Alba Mariana Higueros Micheo</v>
          </cell>
        </row>
        <row r="3304">
          <cell r="F3304">
            <v>315184</v>
          </cell>
          <cell r="G3304" t="str">
            <v>Leysly Rubi Panchoy Rivera</v>
          </cell>
        </row>
        <row r="3305">
          <cell r="F3305">
            <v>315248</v>
          </cell>
          <cell r="G3305" t="str">
            <v>Claudia Marissa Chuquiej Granados</v>
          </cell>
        </row>
        <row r="3306">
          <cell r="F3306">
            <v>314982</v>
          </cell>
          <cell r="G3306" t="str">
            <v>Alvin David Cush Roman</v>
          </cell>
        </row>
        <row r="3307">
          <cell r="F3307">
            <v>312859</v>
          </cell>
          <cell r="G3307" t="str">
            <v>Wilson Eli Pineda Argueta</v>
          </cell>
        </row>
        <row r="3308">
          <cell r="F3308">
            <v>315040</v>
          </cell>
          <cell r="G3308" t="str">
            <v>Renny Camilo Ixcopal Ramirez</v>
          </cell>
        </row>
        <row r="3309">
          <cell r="F3309">
            <v>315061</v>
          </cell>
          <cell r="G3309" t="str">
            <v>Durvin Dayanara Mejicanos Ramos</v>
          </cell>
        </row>
        <row r="3310">
          <cell r="F3310">
            <v>314923</v>
          </cell>
          <cell r="G3310" t="str">
            <v>Sergio Alexander Urizar Godínez</v>
          </cell>
        </row>
        <row r="3311">
          <cell r="F3311">
            <v>314511</v>
          </cell>
          <cell r="G3311" t="str">
            <v>Dulce Maria Fajardo Ramos</v>
          </cell>
        </row>
        <row r="3312">
          <cell r="F3312">
            <v>315316</v>
          </cell>
          <cell r="G3312" t="str">
            <v>Axel Alexander Lemus Ovando</v>
          </cell>
        </row>
        <row r="3313">
          <cell r="F3313">
            <v>314538</v>
          </cell>
          <cell r="G3313" t="str">
            <v>Cristofer Melgar Ortega</v>
          </cell>
        </row>
        <row r="3314">
          <cell r="F3314">
            <v>315046</v>
          </cell>
          <cell r="G3314" t="str">
            <v>Maria Damaris Noemi Asig Cu</v>
          </cell>
        </row>
        <row r="3315">
          <cell r="F3315">
            <v>314652</v>
          </cell>
          <cell r="G3315" t="str">
            <v>Leyvi Diana Morales Garrido</v>
          </cell>
        </row>
        <row r="3316">
          <cell r="F3316">
            <v>314440</v>
          </cell>
          <cell r="G3316" t="str">
            <v>Luis Alexsander Barco Ramirez</v>
          </cell>
        </row>
        <row r="3317">
          <cell r="F3317">
            <v>315249</v>
          </cell>
          <cell r="G3317" t="str">
            <v>Estuardo Rocael Chivalan Caal</v>
          </cell>
        </row>
        <row r="3318">
          <cell r="F3318">
            <v>315301</v>
          </cell>
          <cell r="G3318" t="str">
            <v>Carlos Edmundo Hernandez Miranda</v>
          </cell>
        </row>
        <row r="3319">
          <cell r="F3319">
            <v>313008</v>
          </cell>
          <cell r="G3319" t="str">
            <v>Jose Guillermo Ixen Queche</v>
          </cell>
        </row>
        <row r="3320">
          <cell r="F3320">
            <v>309110</v>
          </cell>
          <cell r="G3320" t="str">
            <v>Josselyn Fabiola Xunic Taquiej</v>
          </cell>
        </row>
        <row r="3321">
          <cell r="F3321">
            <v>312944</v>
          </cell>
          <cell r="G3321" t="str">
            <v>Lesly Araceli Mendez Gonzalez</v>
          </cell>
        </row>
        <row r="3322">
          <cell r="F3322">
            <v>314043</v>
          </cell>
          <cell r="G3322" t="str">
            <v>Luis Miguel Camaja Recinos</v>
          </cell>
        </row>
        <row r="3323">
          <cell r="F3323">
            <v>308753</v>
          </cell>
          <cell r="G3323" t="str">
            <v>Wilson Estuardo Vicente Tzun</v>
          </cell>
        </row>
        <row r="3324">
          <cell r="F3324">
            <v>312219</v>
          </cell>
          <cell r="G3324" t="str">
            <v>Yenifer Magali Arana Tezen</v>
          </cell>
        </row>
        <row r="3325">
          <cell r="F3325">
            <v>314664</v>
          </cell>
          <cell r="G3325" t="str">
            <v>Favio Juan Manuel Citalan Gomez</v>
          </cell>
        </row>
        <row r="3326">
          <cell r="F3326">
            <v>315314</v>
          </cell>
          <cell r="G3326" t="str">
            <v>Katherine Maria Pereira Estacuy</v>
          </cell>
        </row>
        <row r="3327">
          <cell r="F3327">
            <v>309750</v>
          </cell>
          <cell r="G3327" t="str">
            <v>Maria Teresa Hom Guit</v>
          </cell>
        </row>
        <row r="3328">
          <cell r="F3328">
            <v>307867</v>
          </cell>
          <cell r="G3328" t="str">
            <v>Alex Jose Bamaca Baltazar</v>
          </cell>
        </row>
        <row r="3329">
          <cell r="F3329">
            <v>313410</v>
          </cell>
          <cell r="G3329" t="str">
            <v>Esmeralda Claribel Velasquez Hernandez</v>
          </cell>
        </row>
        <row r="3330">
          <cell r="F3330">
            <v>315157</v>
          </cell>
          <cell r="G3330" t="str">
            <v>Nancy Rocio Maldonado Lopez</v>
          </cell>
        </row>
        <row r="3331">
          <cell r="F3331">
            <v>303878</v>
          </cell>
          <cell r="G3331" t="str">
            <v>Milka Patricia Merida Muñoz</v>
          </cell>
        </row>
        <row r="3332">
          <cell r="F3332">
            <v>315187</v>
          </cell>
          <cell r="G3332" t="str">
            <v>Luis Fernando Ramos Reynoso</v>
          </cell>
        </row>
        <row r="3333">
          <cell r="F3333">
            <v>310537</v>
          </cell>
          <cell r="G3333" t="str">
            <v>Astrid Anybeth Ochoa Sac</v>
          </cell>
        </row>
        <row r="3334">
          <cell r="F3334">
            <v>314578</v>
          </cell>
          <cell r="G3334" t="str">
            <v>Ana Gabriela Garcia Ajanel</v>
          </cell>
        </row>
        <row r="3335">
          <cell r="F3335">
            <v>315331</v>
          </cell>
          <cell r="G3335" t="str">
            <v>Dallynn Eunice Perez Herrera</v>
          </cell>
        </row>
        <row r="3336">
          <cell r="F3336">
            <v>314950</v>
          </cell>
          <cell r="G3336" t="str">
            <v>Saul Rodrigo Monterroso Belteton</v>
          </cell>
        </row>
        <row r="3337">
          <cell r="F3337">
            <v>312575</v>
          </cell>
          <cell r="G3337" t="str">
            <v>Sugey Alejandrina Ramirez Zepeda</v>
          </cell>
        </row>
        <row r="3338">
          <cell r="F3338">
            <v>309102</v>
          </cell>
          <cell r="G3338" t="str">
            <v>Josselyn Jasmin Asencio Revolorio De Lopez</v>
          </cell>
        </row>
        <row r="3339">
          <cell r="F3339">
            <v>313516</v>
          </cell>
          <cell r="G3339" t="str">
            <v>Mayra Leticia Diaz Armas</v>
          </cell>
        </row>
        <row r="3340">
          <cell r="F3340">
            <v>314786</v>
          </cell>
          <cell r="G3340" t="str">
            <v>Andrea Stephany Villeda Bran</v>
          </cell>
        </row>
        <row r="3341">
          <cell r="F3341">
            <v>313482</v>
          </cell>
          <cell r="G3341" t="str">
            <v>Alexandra Stefania Estrada Flores</v>
          </cell>
        </row>
        <row r="3342">
          <cell r="F3342">
            <v>313642</v>
          </cell>
          <cell r="G3342" t="str">
            <v>Jose Luis Landaverry Arana</v>
          </cell>
        </row>
        <row r="3343">
          <cell r="F3343">
            <v>314734</v>
          </cell>
          <cell r="G3343" t="str">
            <v>Maria Teresa Barrientos Perdomo</v>
          </cell>
        </row>
        <row r="3344">
          <cell r="F3344">
            <v>312551</v>
          </cell>
          <cell r="G3344" t="str">
            <v>Zenia Estefania Alvarado Alvarado</v>
          </cell>
        </row>
        <row r="3345">
          <cell r="F3345">
            <v>311524</v>
          </cell>
          <cell r="G3345" t="str">
            <v>Iris Marleny Alvarado Barrios</v>
          </cell>
        </row>
        <row r="3346">
          <cell r="F3346">
            <v>309360</v>
          </cell>
          <cell r="G3346" t="str">
            <v>Diana Violeta Yaguas Carin</v>
          </cell>
        </row>
        <row r="3347">
          <cell r="F3347">
            <v>309560</v>
          </cell>
          <cell r="G3347" t="str">
            <v>Astrid Gabriela Carin Castillo</v>
          </cell>
        </row>
        <row r="3348">
          <cell r="F3348">
            <v>313834</v>
          </cell>
          <cell r="G3348" t="str">
            <v>Luis Fernando Cuque Marquez</v>
          </cell>
        </row>
        <row r="3349">
          <cell r="F3349">
            <v>312983</v>
          </cell>
          <cell r="G3349" t="str">
            <v>Jennifer Jeaneth Patzan Urizar</v>
          </cell>
        </row>
        <row r="3350">
          <cell r="F3350">
            <v>313043</v>
          </cell>
          <cell r="G3350" t="str">
            <v>Saul Alexander Sicay Ramirez</v>
          </cell>
        </row>
        <row r="3351">
          <cell r="F3351">
            <v>315052</v>
          </cell>
          <cell r="G3351" t="str">
            <v>Ana Ruth Garcia Garcia</v>
          </cell>
        </row>
        <row r="3352">
          <cell r="F3352">
            <v>311322</v>
          </cell>
          <cell r="G3352" t="str">
            <v>Valerie Andrea Rivas Del Valle</v>
          </cell>
        </row>
        <row r="3353">
          <cell r="F3353">
            <v>313852</v>
          </cell>
          <cell r="G3353" t="str">
            <v>Brandon Steven Quiñonez Garcia</v>
          </cell>
        </row>
        <row r="3354">
          <cell r="F3354">
            <v>310326</v>
          </cell>
          <cell r="G3354" t="str">
            <v>Bryan Daniel Donado Ortiz</v>
          </cell>
        </row>
        <row r="3355">
          <cell r="F3355">
            <v>312039</v>
          </cell>
          <cell r="G3355" t="str">
            <v>Lourdes Yamileth Escobar Recinos</v>
          </cell>
        </row>
        <row r="3356">
          <cell r="F3356">
            <v>315030</v>
          </cell>
          <cell r="G3356" t="str">
            <v>Daniel Antonio Gonzalez Del Cid</v>
          </cell>
        </row>
        <row r="3357">
          <cell r="F3357">
            <v>314898</v>
          </cell>
          <cell r="G3357" t="str">
            <v>Jose Danilo Chacar Saguach</v>
          </cell>
        </row>
        <row r="3358">
          <cell r="F3358">
            <v>315306</v>
          </cell>
          <cell r="G3358" t="str">
            <v>Karen Melissa Munoz Guevara</v>
          </cell>
        </row>
        <row r="3359">
          <cell r="F3359">
            <v>315370</v>
          </cell>
          <cell r="G3359" t="str">
            <v>Mario Eduardo Reyes Argueta</v>
          </cell>
        </row>
        <row r="3360">
          <cell r="F3360">
            <v>315354</v>
          </cell>
          <cell r="G3360" t="str">
            <v>Diego Rodrigo Morales Camacho</v>
          </cell>
        </row>
        <row r="3361">
          <cell r="F3361">
            <v>314676</v>
          </cell>
          <cell r="G3361" t="str">
            <v>Irvin Lizardo Miranda Guzman</v>
          </cell>
        </row>
        <row r="3362">
          <cell r="F3362">
            <v>314069</v>
          </cell>
          <cell r="G3362" t="str">
            <v>Yesenia Nataly Alvarado Sarpec</v>
          </cell>
        </row>
        <row r="3363">
          <cell r="F3363">
            <v>315328</v>
          </cell>
          <cell r="G3363" t="str">
            <v xml:space="preserve">Ludwin Oscar David Chavez </v>
          </cell>
        </row>
        <row r="3364">
          <cell r="F3364">
            <v>314629</v>
          </cell>
          <cell r="G3364" t="str">
            <v>Heidy Azucena Martinez Garcia</v>
          </cell>
        </row>
        <row r="3365">
          <cell r="F3365">
            <v>314358</v>
          </cell>
          <cell r="G3365" t="str">
            <v>Manuel Eduardo Garcia Diaz</v>
          </cell>
        </row>
        <row r="3366">
          <cell r="F3366">
            <v>314090</v>
          </cell>
          <cell r="G3366" t="str">
            <v>Dayana Mishell Mazariegos Gomez</v>
          </cell>
        </row>
        <row r="3367">
          <cell r="F3367">
            <v>311202</v>
          </cell>
          <cell r="G3367" t="str">
            <v>Vilma Lizeth Caal Yantuche</v>
          </cell>
        </row>
        <row r="3368">
          <cell r="F3368">
            <v>314693</v>
          </cell>
          <cell r="G3368" t="str">
            <v>Oscar Javier Veliz Galvez</v>
          </cell>
        </row>
        <row r="3369">
          <cell r="F3369">
            <v>307008</v>
          </cell>
          <cell r="G3369" t="str">
            <v>Evelyn Rebeca Lopez Socoy</v>
          </cell>
        </row>
        <row r="3370">
          <cell r="F3370">
            <v>313003</v>
          </cell>
          <cell r="G3370" t="str">
            <v>Jonathan Renato Chete Urias</v>
          </cell>
        </row>
        <row r="3371">
          <cell r="F3371">
            <v>315224</v>
          </cell>
          <cell r="G3371" t="str">
            <v>Dina Nohemi Solano Juarez</v>
          </cell>
        </row>
        <row r="3372">
          <cell r="F3372">
            <v>315178</v>
          </cell>
          <cell r="G3372" t="str">
            <v>Melany Nohemi Velasquez Solorzano</v>
          </cell>
        </row>
        <row r="3373">
          <cell r="F3373">
            <v>314040</v>
          </cell>
          <cell r="G3373" t="str">
            <v>Cindy Abigail Patzan Perez</v>
          </cell>
        </row>
        <row r="3374">
          <cell r="F3374">
            <v>315172</v>
          </cell>
          <cell r="G3374" t="str">
            <v>Merlyn Esther Pérez Girón</v>
          </cell>
        </row>
        <row r="3375">
          <cell r="F3375">
            <v>314726</v>
          </cell>
          <cell r="G3375" t="str">
            <v>Bryan Roberto Sanchez Echeverria</v>
          </cell>
        </row>
        <row r="3376">
          <cell r="F3376">
            <v>306350</v>
          </cell>
          <cell r="G3376" t="str">
            <v>Andrea Eunice Velasquez Mazariegos</v>
          </cell>
        </row>
        <row r="3377">
          <cell r="F3377">
            <v>314282</v>
          </cell>
          <cell r="G3377" t="str">
            <v>Yolanda Genoveva Lopez Bamaca</v>
          </cell>
        </row>
        <row r="3378">
          <cell r="F3378">
            <v>314675</v>
          </cell>
          <cell r="G3378" t="str">
            <v>Edson Romeo Maldonado Reyes</v>
          </cell>
        </row>
        <row r="3379">
          <cell r="F3379">
            <v>313056</v>
          </cell>
          <cell r="G3379" t="str">
            <v>Suceli Isamar Orozco Fuentes</v>
          </cell>
        </row>
        <row r="3380">
          <cell r="F3380">
            <v>311573</v>
          </cell>
          <cell r="G3380" t="str">
            <v>Karen Gabriela Uz Shalix</v>
          </cell>
        </row>
        <row r="3381">
          <cell r="F3381">
            <v>313661</v>
          </cell>
          <cell r="G3381" t="str">
            <v>Mario Jose Herrera De Leon</v>
          </cell>
        </row>
        <row r="3382">
          <cell r="F3382">
            <v>314134</v>
          </cell>
          <cell r="G3382" t="str">
            <v>Rogelia Emperatriz Ortiz Alcantara</v>
          </cell>
        </row>
        <row r="3383">
          <cell r="F3383">
            <v>315207</v>
          </cell>
          <cell r="G3383" t="str">
            <v>Yeison Lemuel Lopez Vasquez</v>
          </cell>
        </row>
        <row r="3384">
          <cell r="F3384">
            <v>312659</v>
          </cell>
          <cell r="G3384" t="str">
            <v>Danny Johana Perez Reyes</v>
          </cell>
        </row>
        <row r="3385">
          <cell r="F3385">
            <v>315587</v>
          </cell>
          <cell r="G3385" t="str">
            <v>Pedro Jose Castañeda Velasquez</v>
          </cell>
        </row>
        <row r="3386">
          <cell r="F3386">
            <v>315590</v>
          </cell>
          <cell r="G3386" t="str">
            <v>Jamileth Andreina Arreaga Quin</v>
          </cell>
        </row>
        <row r="3387">
          <cell r="F3387">
            <v>315602</v>
          </cell>
          <cell r="G3387" t="str">
            <v>Ventura Rivera, Rhode Esperanza</v>
          </cell>
        </row>
        <row r="3388">
          <cell r="F3388">
            <v>315607</v>
          </cell>
          <cell r="G3388" t="str">
            <v>Ruiz Castillo, Maria Antonia</v>
          </cell>
        </row>
        <row r="3389">
          <cell r="F3389">
            <v>315611</v>
          </cell>
          <cell r="G3389" t="str">
            <v>Cordova Newbery, Allison Alejandra</v>
          </cell>
        </row>
        <row r="3390">
          <cell r="F3390">
            <v>315612</v>
          </cell>
          <cell r="G3390" t="str">
            <v>Castanon Lopez, Brandon Eliberto</v>
          </cell>
        </row>
        <row r="3391">
          <cell r="F3391">
            <v>315616</v>
          </cell>
          <cell r="G3391" t="str">
            <v>Diaz Calderon, Josue Noe</v>
          </cell>
        </row>
        <row r="3392">
          <cell r="F3392">
            <v>315629</v>
          </cell>
          <cell r="G3392" t="str">
            <v>Rucuch Choguaj, Miguel</v>
          </cell>
        </row>
        <row r="3393">
          <cell r="F3393">
            <v>315630</v>
          </cell>
          <cell r="G3393" t="str">
            <v>Zavala Soto, Alisson Yisel</v>
          </cell>
        </row>
        <row r="3394">
          <cell r="F3394">
            <v>309658</v>
          </cell>
          <cell r="G3394" t="str">
            <v xml:space="preserve">Otto Alejandro Barahona López </v>
          </cell>
        </row>
        <row r="3395">
          <cell r="F3395">
            <v>301291</v>
          </cell>
          <cell r="G3395" t="str">
            <v>Alexandra Carolina Valdez Vasquez</v>
          </cell>
        </row>
        <row r="3396">
          <cell r="F3396">
            <v>307550</v>
          </cell>
          <cell r="G3396" t="str">
            <v>Aura Marleny Perez Ventura</v>
          </cell>
        </row>
        <row r="3397">
          <cell r="F3397">
            <v>312210</v>
          </cell>
          <cell r="G3397" t="str">
            <v>Carlos Enrique Saenz Cardona</v>
          </cell>
        </row>
        <row r="3398">
          <cell r="F3398">
            <v>304801</v>
          </cell>
          <cell r="G3398" t="str">
            <v>Celeste Azucena Estrada Salvador De Estrada</v>
          </cell>
        </row>
        <row r="3399">
          <cell r="F3399">
            <v>314684</v>
          </cell>
          <cell r="G3399" t="str">
            <v>Escarlet Liliana Molina Herrera De Bolaños</v>
          </cell>
        </row>
        <row r="3400">
          <cell r="F3400">
            <v>309956</v>
          </cell>
          <cell r="G3400" t="str">
            <v>Heidy Celeste San Jose Diaz</v>
          </cell>
        </row>
        <row r="3401">
          <cell r="F3401">
            <v>314978</v>
          </cell>
          <cell r="G3401" t="str">
            <v>Jhoseline Esmeralda Medina Rivas</v>
          </cell>
        </row>
        <row r="3402">
          <cell r="F3402">
            <v>302674</v>
          </cell>
          <cell r="G3402" t="str">
            <v>Karen Elizabeth Roman Castellanos</v>
          </cell>
        </row>
        <row r="3403">
          <cell r="F3403">
            <v>315147</v>
          </cell>
          <cell r="G3403" t="str">
            <v>Karin Zulema Molina Fonseca</v>
          </cell>
        </row>
        <row r="3404">
          <cell r="F3404">
            <v>312838</v>
          </cell>
          <cell r="G3404" t="str">
            <v>Katherine Lucia Carranza Ortega</v>
          </cell>
        </row>
        <row r="3405">
          <cell r="F3405">
            <v>305064</v>
          </cell>
          <cell r="G3405" t="str">
            <v>Lilian Jose Lopez Quevedo</v>
          </cell>
        </row>
        <row r="3406">
          <cell r="F3406">
            <v>308754</v>
          </cell>
          <cell r="G3406" t="str">
            <v>Luis Alberto Perez Barrios</v>
          </cell>
        </row>
        <row r="3407">
          <cell r="F3407">
            <v>313396</v>
          </cell>
          <cell r="G3407" t="str">
            <v>Luz Mariela Donis Gonzalez</v>
          </cell>
        </row>
        <row r="3408">
          <cell r="F3408">
            <v>306330</v>
          </cell>
          <cell r="G3408" t="str">
            <v>Maria Andree Gonzalez</v>
          </cell>
        </row>
        <row r="3409">
          <cell r="F3409">
            <v>307198</v>
          </cell>
          <cell r="G3409" t="str">
            <v>Maria Gabriela Coloma Morales</v>
          </cell>
        </row>
        <row r="3410">
          <cell r="F3410">
            <v>307786</v>
          </cell>
          <cell r="G3410" t="str">
            <v>Marvin Alfredo Asturias Mendez</v>
          </cell>
        </row>
        <row r="3411">
          <cell r="F3411">
            <v>300268</v>
          </cell>
          <cell r="G3411" t="str">
            <v>Monica Carolina Pappa Dominguez</v>
          </cell>
        </row>
        <row r="3412">
          <cell r="F3412">
            <v>313636</v>
          </cell>
          <cell r="G3412" t="str">
            <v>Pablo Cesar Oliva Lopez</v>
          </cell>
        </row>
        <row r="3413">
          <cell r="F3413">
            <v>307702</v>
          </cell>
          <cell r="G3413" t="str">
            <v>Rosmeri Elizabeth Alvarez Lopez De Corado</v>
          </cell>
        </row>
        <row r="3414">
          <cell r="F3414">
            <v>314648</v>
          </cell>
          <cell r="G3414" t="str">
            <v>Sergio Vinicio Natareno Paredes</v>
          </cell>
        </row>
        <row r="3415">
          <cell r="F3415">
            <v>309567</v>
          </cell>
          <cell r="G3415" t="str">
            <v>Sindy Elizabeth Chavez Guzman</v>
          </cell>
        </row>
        <row r="3416">
          <cell r="F3416">
            <v>313649</v>
          </cell>
          <cell r="G3416" t="str">
            <v>Victor Hugo Turriz Flores</v>
          </cell>
        </row>
        <row r="3417">
          <cell r="F3417">
            <v>302684</v>
          </cell>
          <cell r="G3417" t="str">
            <v>Ana Melisa Giron Gonzalez</v>
          </cell>
        </row>
        <row r="3418">
          <cell r="F3418">
            <v>302866</v>
          </cell>
          <cell r="G3418" t="str">
            <v>Maria Magdalena Solis Carrera</v>
          </cell>
        </row>
        <row r="3419">
          <cell r="F3419">
            <v>313111</v>
          </cell>
          <cell r="G3419" t="str">
            <v>Mynor Arturo Barrios Reyes</v>
          </cell>
        </row>
        <row r="3420">
          <cell r="F3420">
            <v>313203</v>
          </cell>
          <cell r="G3420" t="str">
            <v>Marvin Alejandro Lopez Solis</v>
          </cell>
        </row>
        <row r="3421">
          <cell r="F3421">
            <v>302596</v>
          </cell>
          <cell r="G3421" t="str">
            <v>Victor Alfonso Ortega Torres</v>
          </cell>
        </row>
        <row r="3422">
          <cell r="F3422">
            <v>310241</v>
          </cell>
          <cell r="G3422" t="str">
            <v>Heidi Marleny Fajardo Ortiz De Cojon</v>
          </cell>
        </row>
        <row r="3423">
          <cell r="F3423">
            <v>313342</v>
          </cell>
          <cell r="G3423" t="str">
            <v>Magda Karina Mendoza Hernandez</v>
          </cell>
        </row>
        <row r="3424">
          <cell r="F3424">
            <v>301234</v>
          </cell>
          <cell r="G3424" t="str">
            <v>Ana Bertha Guzman Yaggi</v>
          </cell>
        </row>
        <row r="3425">
          <cell r="F3425">
            <v>307154</v>
          </cell>
          <cell r="G3425" t="str">
            <v>Evelin Gicela Burgos Franco</v>
          </cell>
        </row>
        <row r="3426">
          <cell r="F3426">
            <v>305181</v>
          </cell>
          <cell r="G3426" t="str">
            <v>Jose Luis Chay Machic</v>
          </cell>
        </row>
        <row r="3427">
          <cell r="F3427">
            <v>303552</v>
          </cell>
          <cell r="G3427" t="str">
            <v>Liliam Lisseth Santizo Mejia De Cordova</v>
          </cell>
        </row>
        <row r="3428">
          <cell r="F3428">
            <v>303704</v>
          </cell>
          <cell r="G3428" t="str">
            <v>Lisbeth Noemi Hernandez Giron</v>
          </cell>
        </row>
        <row r="3429">
          <cell r="F3429">
            <v>102171</v>
          </cell>
          <cell r="G3429" t="str">
            <v>Maritza Isabel Hernandez Cruz</v>
          </cell>
        </row>
        <row r="3430">
          <cell r="F3430">
            <v>310126</v>
          </cell>
          <cell r="G3430" t="str">
            <v>Jony Estuardo Gamarro Chinchilla</v>
          </cell>
        </row>
        <row r="3431">
          <cell r="F3431">
            <v>307812</v>
          </cell>
          <cell r="G3431" t="str">
            <v>Kevin Josue Moscoso Espino</v>
          </cell>
        </row>
        <row r="3432">
          <cell r="F3432">
            <v>308137</v>
          </cell>
          <cell r="G3432" t="str">
            <v>Oscar Rene Zacarias Jordan</v>
          </cell>
        </row>
        <row r="3433">
          <cell r="F3433">
            <v>311466</v>
          </cell>
          <cell r="G3433" t="str">
            <v>Edgar Estuardo Guerra Romero</v>
          </cell>
        </row>
        <row r="3434">
          <cell r="F3434">
            <v>301374</v>
          </cell>
          <cell r="G3434" t="str">
            <v>Karla Paola Martinez Salazar</v>
          </cell>
        </row>
        <row r="3435">
          <cell r="F3435">
            <v>313446</v>
          </cell>
          <cell r="G3435" t="str">
            <v>Ursula Deyanira Molina Mendoza</v>
          </cell>
        </row>
        <row r="3436">
          <cell r="F3436">
            <v>313780</v>
          </cell>
          <cell r="G3436" t="str">
            <v>Habraham Cesar Torres Alfaro</v>
          </cell>
        </row>
        <row r="3437">
          <cell r="F3437">
            <v>313576</v>
          </cell>
          <cell r="G3437" t="str">
            <v>Hilda Janina Diaz</v>
          </cell>
        </row>
        <row r="3438">
          <cell r="F3438">
            <v>314171</v>
          </cell>
          <cell r="G3438" t="str">
            <v>Jose Alejandro Carrera Tecun</v>
          </cell>
        </row>
        <row r="3439">
          <cell r="F3439">
            <v>313022</v>
          </cell>
          <cell r="G3439" t="str">
            <v>Karim Yaneth Mendez Hidalgo</v>
          </cell>
        </row>
        <row r="3440">
          <cell r="F3440">
            <v>313141</v>
          </cell>
          <cell r="G3440" t="str">
            <v>Edith Carolina Rojas Moreno</v>
          </cell>
        </row>
        <row r="3441">
          <cell r="F3441">
            <v>312615</v>
          </cell>
          <cell r="G3441" t="str">
            <v>Juan Jose Sarceño Siquiej</v>
          </cell>
        </row>
        <row r="3442">
          <cell r="F3442">
            <v>312858</v>
          </cell>
          <cell r="G3442" t="str">
            <v>Juan Pablo Marroquin Franco</v>
          </cell>
        </row>
        <row r="3443">
          <cell r="F3443">
            <v>314739</v>
          </cell>
          <cell r="G3443" t="str">
            <v>Elmer Josue Chinchilla Mendoza</v>
          </cell>
        </row>
        <row r="3444">
          <cell r="F3444">
            <v>315299</v>
          </cell>
          <cell r="G3444" t="str">
            <v>Luis Rodrigo Polanco Marroquin</v>
          </cell>
        </row>
        <row r="3445">
          <cell r="F3445">
            <v>315357</v>
          </cell>
          <cell r="G3445" t="str">
            <v>Linda Garcia          </v>
          </cell>
        </row>
        <row r="3446">
          <cell r="F3446">
            <v>315315</v>
          </cell>
          <cell r="G3446" t="str">
            <v xml:space="preserve">Shirley Guadalupe Munguia Gil </v>
          </cell>
        </row>
        <row r="3447">
          <cell r="F3447">
            <v>315477</v>
          </cell>
          <cell r="G3447" t="str">
            <v xml:space="preserve">Yesenia Guadalupe Ajcu Castillo </v>
          </cell>
        </row>
        <row r="3448">
          <cell r="F3448">
            <v>314170</v>
          </cell>
          <cell r="G3448" t="str">
            <v>Herman Gabriel Mendez Castellanos</v>
          </cell>
        </row>
        <row r="3449">
          <cell r="F3449">
            <v>312053</v>
          </cell>
          <cell r="G3449" t="str">
            <v xml:space="preserve"> Erick Estuardo Gonzalez Culajay</v>
          </cell>
        </row>
        <row r="3450">
          <cell r="F3450">
            <v>309795</v>
          </cell>
          <cell r="G3450" t="str">
            <v xml:space="preserve"> Evelin Johana Perez Fajardo De Estayul</v>
          </cell>
        </row>
        <row r="3451">
          <cell r="F3451">
            <v>308490</v>
          </cell>
          <cell r="G3451" t="str">
            <v xml:space="preserve"> Gabriela Poitan Ordoñez De Garcia</v>
          </cell>
        </row>
        <row r="3452">
          <cell r="F3452">
            <v>311663</v>
          </cell>
          <cell r="G3452" t="str">
            <v xml:space="preserve"> Jenny Betzabel Solis De Hernandez</v>
          </cell>
        </row>
        <row r="3453">
          <cell r="F3453">
            <v>300878</v>
          </cell>
          <cell r="G3453" t="str">
            <v xml:space="preserve"> Juan Francisco Lara Villavicencio</v>
          </cell>
        </row>
        <row r="3454">
          <cell r="F3454">
            <v>311195</v>
          </cell>
          <cell r="G3454" t="str">
            <v xml:space="preserve"> Julia Mariela Lourdette Gonzalez Rosales</v>
          </cell>
        </row>
        <row r="3455">
          <cell r="F3455">
            <v>311073</v>
          </cell>
          <cell r="G3455" t="str">
            <v xml:space="preserve"> Julio Roberto Castellanos Ordoñez</v>
          </cell>
        </row>
        <row r="3456">
          <cell r="F3456">
            <v>309602</v>
          </cell>
          <cell r="G3456" t="str">
            <v xml:space="preserve"> Linda Aracely Garcia Beteta De Cuxulic</v>
          </cell>
        </row>
        <row r="3457">
          <cell r="F3457">
            <v>311706</v>
          </cell>
          <cell r="G3457" t="str">
            <v xml:space="preserve"> Mailyn Anely Chavez Gonzalez</v>
          </cell>
        </row>
        <row r="3458">
          <cell r="F3458">
            <v>311347</v>
          </cell>
          <cell r="G3458" t="str">
            <v xml:space="preserve"> Mario Adolfo Telon Pedroza</v>
          </cell>
        </row>
        <row r="3459">
          <cell r="F3459">
            <v>311236</v>
          </cell>
          <cell r="G3459" t="str">
            <v xml:space="preserve"> Marlon Aroldo De Leon Juarez</v>
          </cell>
        </row>
        <row r="3460">
          <cell r="F3460">
            <v>304620</v>
          </cell>
          <cell r="G3460" t="str">
            <v xml:space="preserve"> Mayra Judith Marroquin Guevara De Melendez</v>
          </cell>
        </row>
        <row r="3461">
          <cell r="F3461">
            <v>311196</v>
          </cell>
          <cell r="G3461" t="str">
            <v xml:space="preserve"> Nancy Mariela Estrada Calel De Samayoa</v>
          </cell>
        </row>
        <row r="3462">
          <cell r="F3462">
            <v>309398</v>
          </cell>
          <cell r="G3462" t="str">
            <v xml:space="preserve"> Sindy Yesenia Fuentes Alvarez De Flores</v>
          </cell>
        </row>
        <row r="3463">
          <cell r="F3463">
            <v>311588</v>
          </cell>
          <cell r="G3463" t="str">
            <v xml:space="preserve"> Wendy Carolina Flores Garcia</v>
          </cell>
        </row>
        <row r="3464">
          <cell r="F3464">
            <v>313885</v>
          </cell>
          <cell r="G3464" t="str">
            <v>Adrian Emanuel Turcios Azurdia</v>
          </cell>
        </row>
        <row r="3465">
          <cell r="F3465">
            <v>314224</v>
          </cell>
          <cell r="G3465" t="str">
            <v>Ana Ruth Wong Mejia</v>
          </cell>
        </row>
        <row r="3466">
          <cell r="F3466">
            <v>314304</v>
          </cell>
          <cell r="G3466" t="str">
            <v>Brenda Yaneth Perez Lucas</v>
          </cell>
        </row>
        <row r="3467">
          <cell r="F3467">
            <v>313839</v>
          </cell>
          <cell r="G3467" t="str">
            <v>Carlos Enrique Dighero Lopez</v>
          </cell>
        </row>
        <row r="3468">
          <cell r="F3468">
            <v>311901</v>
          </cell>
          <cell r="G3468" t="str">
            <v>Edith Veranice Palacios</v>
          </cell>
        </row>
        <row r="3469">
          <cell r="F3469">
            <v>314439</v>
          </cell>
          <cell r="G3469" t="str">
            <v>Hersson Eduardo Leal Garcia</v>
          </cell>
        </row>
        <row r="3470">
          <cell r="F3470">
            <v>313884</v>
          </cell>
          <cell r="G3470" t="str">
            <v>Jasminia Sarai Cotzajay Peñate</v>
          </cell>
        </row>
        <row r="3471">
          <cell r="F3471">
            <v>309852</v>
          </cell>
          <cell r="G3471" t="str">
            <v>Jonathan Rene Villavicencio Soto</v>
          </cell>
        </row>
        <row r="3472">
          <cell r="F3472">
            <v>312709</v>
          </cell>
          <cell r="G3472" t="str">
            <v>Jorge Alfonso Hernandez Chinchilla</v>
          </cell>
        </row>
        <row r="3473">
          <cell r="F3473">
            <v>314436</v>
          </cell>
          <cell r="G3473" t="str">
            <v xml:space="preserve">Jorge Francisco Saban Lopez </v>
          </cell>
        </row>
        <row r="3474">
          <cell r="F3474">
            <v>313114</v>
          </cell>
          <cell r="G3474" t="str">
            <v xml:space="preserve">Jose Albino Albeño Galicia </v>
          </cell>
        </row>
        <row r="3475">
          <cell r="F3475">
            <v>308558</v>
          </cell>
          <cell r="G3475" t="str">
            <v>Jose Emilio Yuman Roche</v>
          </cell>
        </row>
        <row r="3476">
          <cell r="F3476">
            <v>313233</v>
          </cell>
          <cell r="G3476" t="str">
            <v>Jose Miguel Silva Contreras</v>
          </cell>
        </row>
        <row r="3477">
          <cell r="F3477">
            <v>313739</v>
          </cell>
          <cell r="G3477" t="str">
            <v>Lester Onelio Lopez Rosales</v>
          </cell>
        </row>
        <row r="3478">
          <cell r="F3478">
            <v>315361</v>
          </cell>
          <cell r="G3478" t="str">
            <v>Luis Fernando Roche Valenzuela</v>
          </cell>
        </row>
        <row r="3479">
          <cell r="F3479">
            <v>314103</v>
          </cell>
          <cell r="G3479" t="str">
            <v>Luisa Fernanda Marroquin Tiguila</v>
          </cell>
        </row>
        <row r="3480">
          <cell r="F3480">
            <v>313680</v>
          </cell>
          <cell r="G3480" t="str">
            <v>Marco Antonio Salazar Alinzo</v>
          </cell>
        </row>
        <row r="3481">
          <cell r="F3481">
            <v>314359</v>
          </cell>
          <cell r="G3481" t="str">
            <v>Maynor Alexander Perez Surque</v>
          </cell>
        </row>
        <row r="3482">
          <cell r="F3482">
            <v>309332</v>
          </cell>
          <cell r="G3482" t="str">
            <v>Melani Mishell Vasquez Castillo</v>
          </cell>
        </row>
        <row r="3483">
          <cell r="F3483">
            <v>314547</v>
          </cell>
          <cell r="G3483" t="str">
            <v>Nancy Elizabeth Lopez Perez</v>
          </cell>
        </row>
        <row r="3484">
          <cell r="F3484">
            <v>314370</v>
          </cell>
          <cell r="G3484" t="str">
            <v>Olga Roxana Gomez</v>
          </cell>
        </row>
        <row r="3485">
          <cell r="F3485">
            <v>315419</v>
          </cell>
          <cell r="G3485" t="str">
            <v>Rubeldi Ajaniel Roblero Gonzales</v>
          </cell>
        </row>
        <row r="3486">
          <cell r="F3486">
            <v>314769</v>
          </cell>
          <cell r="G3486" t="str">
            <v>Abel Eduardo Lopez Lopez</v>
          </cell>
        </row>
        <row r="3487">
          <cell r="F3487">
            <v>314839</v>
          </cell>
          <cell r="G3487" t="str">
            <v>Ana Gabriela Samayoa Lopez</v>
          </cell>
        </row>
        <row r="3488">
          <cell r="F3488">
            <v>315422</v>
          </cell>
          <cell r="G3488" t="str">
            <v xml:space="preserve">Carlos Alberto Roque </v>
          </cell>
        </row>
        <row r="3489">
          <cell r="F3489">
            <v>314836</v>
          </cell>
          <cell r="G3489" t="str">
            <v xml:space="preserve">Carlos David Ajmac </v>
          </cell>
        </row>
        <row r="3490">
          <cell r="F3490">
            <v>314759</v>
          </cell>
          <cell r="G3490" t="str">
            <v>Carlos Roberto Hernandez Gonzalez</v>
          </cell>
        </row>
        <row r="3491">
          <cell r="F3491">
            <v>314757</v>
          </cell>
          <cell r="G3491" t="str">
            <v>Cristal Estephania Juarroz Muñoz</v>
          </cell>
        </row>
        <row r="3492">
          <cell r="F3492">
            <v>314817</v>
          </cell>
          <cell r="G3492" t="str">
            <v>Cristian Orlando Monzon De Leon</v>
          </cell>
        </row>
        <row r="3493">
          <cell r="F3493">
            <v>314815</v>
          </cell>
          <cell r="G3493" t="str">
            <v>Gabriela Elizabeth Alvarez Mix</v>
          </cell>
        </row>
        <row r="3494">
          <cell r="F3494">
            <v>315421</v>
          </cell>
          <cell r="G3494" t="str">
            <v xml:space="preserve">Gladis Morales Cutzal </v>
          </cell>
        </row>
        <row r="3495">
          <cell r="F3495">
            <v>314794</v>
          </cell>
          <cell r="G3495" t="str">
            <v>Herbert Wellington Rodriguez Ramirez</v>
          </cell>
        </row>
        <row r="3496">
          <cell r="F3496">
            <v>314760</v>
          </cell>
          <cell r="G3496" t="str">
            <v>Jadurani Devi Dasi Archila Lool</v>
          </cell>
        </row>
        <row r="3497">
          <cell r="F3497">
            <v>314838</v>
          </cell>
          <cell r="G3497" t="str">
            <v>Jenifer Lucerito Sique Mayorga</v>
          </cell>
        </row>
        <row r="3498">
          <cell r="F3498">
            <v>314790</v>
          </cell>
          <cell r="G3498" t="str">
            <v>Johana Vidalia Chach Ixcoy</v>
          </cell>
        </row>
        <row r="3499">
          <cell r="F3499">
            <v>314846</v>
          </cell>
          <cell r="G3499" t="str">
            <v>Jonnathan Josue Rodas Florian</v>
          </cell>
        </row>
        <row r="3500">
          <cell r="F3500">
            <v>314761</v>
          </cell>
          <cell r="G3500" t="str">
            <v>Jorge Eduardo Fonseca Palacios</v>
          </cell>
        </row>
        <row r="3501">
          <cell r="F3501">
            <v>314842</v>
          </cell>
          <cell r="G3501" t="str">
            <v>Jose Geovanni Castañeda Galindo</v>
          </cell>
        </row>
        <row r="3502">
          <cell r="F3502">
            <v>314756</v>
          </cell>
          <cell r="G3502" t="str">
            <v>Juan Manuel Gomez Sampuel</v>
          </cell>
        </row>
        <row r="3503">
          <cell r="F3503">
            <v>315366</v>
          </cell>
          <cell r="G3503" t="str">
            <v xml:space="preserve">Mario Enrique Morales Escobar </v>
          </cell>
        </row>
        <row r="3504">
          <cell r="F3504">
            <v>315392</v>
          </cell>
          <cell r="G3504" t="str">
            <v xml:space="preserve">Mijail Erick Joaquín Morales Ortiz </v>
          </cell>
        </row>
        <row r="3505">
          <cell r="F3505">
            <v>314843</v>
          </cell>
          <cell r="G3505" t="str">
            <v>Nancy Pahola Arevalo Yuman</v>
          </cell>
        </row>
        <row r="3506">
          <cell r="F3506">
            <v>314791</v>
          </cell>
          <cell r="G3506" t="str">
            <v>Norman Scott Castillo Rivera</v>
          </cell>
        </row>
        <row r="3507">
          <cell r="F3507">
            <v>314799</v>
          </cell>
          <cell r="G3507" t="str">
            <v>Rusbelindo  Miguel Lopez</v>
          </cell>
        </row>
        <row r="3508">
          <cell r="F3508">
            <v>314751</v>
          </cell>
          <cell r="G3508" t="str">
            <v>Ana Lucia Veliz Solares</v>
          </cell>
        </row>
        <row r="3509">
          <cell r="F3509">
            <v>315169</v>
          </cell>
          <cell r="G3509" t="str">
            <v>Andy Oswaldo Pineda Arriola</v>
          </cell>
        </row>
        <row r="3510">
          <cell r="F3510">
            <v>314903</v>
          </cell>
          <cell r="G3510" t="str">
            <v>Cindy Julissa Herrera</v>
          </cell>
        </row>
        <row r="3511">
          <cell r="F3511">
            <v>314800</v>
          </cell>
          <cell r="G3511" t="str">
            <v>Elmer Eduardo Castillo</v>
          </cell>
        </row>
        <row r="3512">
          <cell r="F3512">
            <v>314748</v>
          </cell>
          <cell r="G3512" t="str">
            <v>Freddy Reynaldo Velarde Valenzuela</v>
          </cell>
        </row>
        <row r="3513">
          <cell r="F3513">
            <v>314795</v>
          </cell>
          <cell r="G3513" t="str">
            <v>Gustavo Ernesto Altan Gonzalez</v>
          </cell>
        </row>
        <row r="3514">
          <cell r="F3514">
            <v>315148</v>
          </cell>
          <cell r="G3514" t="str">
            <v>Irene Beatriz Pena Orellana</v>
          </cell>
        </row>
        <row r="3515">
          <cell r="F3515">
            <v>314906</v>
          </cell>
          <cell r="G3515" t="str">
            <v>Juan Pedro Tiney Cax</v>
          </cell>
        </row>
        <row r="3516">
          <cell r="F3516">
            <v>315322</v>
          </cell>
          <cell r="G3516" t="str">
            <v>Lester Juan Jose Arevalo Reynoso</v>
          </cell>
        </row>
        <row r="3517">
          <cell r="F3517">
            <v>315368</v>
          </cell>
          <cell r="G3517" t="str">
            <v>Marlon Enrique Del Cid Roque</v>
          </cell>
        </row>
        <row r="3518">
          <cell r="F3518">
            <v>315093</v>
          </cell>
          <cell r="G3518" t="str">
            <v>Miriam Eugenia Santizo Montenegro</v>
          </cell>
        </row>
        <row r="3519">
          <cell r="F3519">
            <v>314902</v>
          </cell>
          <cell r="G3519" t="str">
            <v>Roberto Alejandro Alvarez Abularach</v>
          </cell>
        </row>
        <row r="3520">
          <cell r="F3520">
            <v>314755</v>
          </cell>
          <cell r="G3520" t="str">
            <v>Sergio David Gonzalez Perez</v>
          </cell>
        </row>
        <row r="3521">
          <cell r="F3521">
            <v>314967</v>
          </cell>
          <cell r="G3521" t="str">
            <v>Sergio Javier Cortez Tunchez</v>
          </cell>
        </row>
        <row r="3522">
          <cell r="F3522">
            <v>314968</v>
          </cell>
          <cell r="G3522" t="str">
            <v>Sharon Dayana Ninoshka López Márquez</v>
          </cell>
        </row>
        <row r="3523">
          <cell r="F3523">
            <v>311961</v>
          </cell>
          <cell r="G3523" t="str">
            <v xml:space="preserve"> Abner Eli Gonzalez Gonzalez</v>
          </cell>
        </row>
        <row r="3524">
          <cell r="F3524">
            <v>311188</v>
          </cell>
          <cell r="G3524" t="str">
            <v xml:space="preserve"> Ana Ester Cuyan Aguilar De Dominguez</v>
          </cell>
        </row>
        <row r="3525">
          <cell r="F3525">
            <v>311894</v>
          </cell>
          <cell r="G3525" t="str">
            <v xml:space="preserve"> Christyan Stuardo Ronquillo Saravia</v>
          </cell>
        </row>
        <row r="3526">
          <cell r="F3526">
            <v>308901</v>
          </cell>
          <cell r="G3526" t="str">
            <v xml:space="preserve"> David Estuardo Rosales Corado</v>
          </cell>
        </row>
        <row r="3527">
          <cell r="F3527">
            <v>312069</v>
          </cell>
          <cell r="G3527" t="str">
            <v xml:space="preserve"> De Leon Cach Roberto Carlos</v>
          </cell>
        </row>
        <row r="3528">
          <cell r="F3528">
            <v>310331</v>
          </cell>
          <cell r="G3528" t="str">
            <v xml:space="preserve"> Elda Luzbina Valdez Guerra De Fuentes</v>
          </cell>
        </row>
        <row r="3529">
          <cell r="F3529">
            <v>310822</v>
          </cell>
          <cell r="G3529" t="str">
            <v xml:space="preserve"> Jennifer Leticia Gonzalez Pineda</v>
          </cell>
        </row>
        <row r="3530">
          <cell r="F3530">
            <v>308012</v>
          </cell>
          <cell r="G3530" t="str">
            <v xml:space="preserve"> Jocelyn Sucel Yantuche Chin</v>
          </cell>
        </row>
        <row r="3531">
          <cell r="F3531">
            <v>312160</v>
          </cell>
          <cell r="G3531" t="str">
            <v xml:space="preserve"> Jose Rigoberto Osorio Abarca</v>
          </cell>
        </row>
        <row r="3532">
          <cell r="F3532">
            <v>311465</v>
          </cell>
          <cell r="G3532" t="str">
            <v xml:space="preserve"> Kevin Alejandro Corado Estrada</v>
          </cell>
        </row>
        <row r="3533">
          <cell r="F3533">
            <v>311294</v>
          </cell>
          <cell r="G3533" t="str">
            <v xml:space="preserve"> Lotar Robson Araujo Perez</v>
          </cell>
        </row>
        <row r="3534">
          <cell r="F3534">
            <v>310910</v>
          </cell>
          <cell r="G3534" t="str">
            <v xml:space="preserve"> Luis Fernando Lopez Vasquez</v>
          </cell>
        </row>
        <row r="3535">
          <cell r="F3535">
            <v>304279</v>
          </cell>
          <cell r="G3535" t="str">
            <v xml:space="preserve"> Marlon Estuardo Hernandez</v>
          </cell>
        </row>
        <row r="3536">
          <cell r="F3536">
            <v>308911</v>
          </cell>
          <cell r="G3536" t="str">
            <v xml:space="preserve"> Rudy Fernando Orozco Tejeda</v>
          </cell>
        </row>
        <row r="3537">
          <cell r="F3537">
            <v>310214</v>
          </cell>
          <cell r="G3537" t="str">
            <v xml:space="preserve"> Vivian Pamela Rodas Lopez</v>
          </cell>
        </row>
        <row r="3538">
          <cell r="F3538">
            <v>314928</v>
          </cell>
          <cell r="G3538" t="str">
            <v xml:space="preserve">
Brandon Steve Juarez Arrazola </v>
          </cell>
        </row>
        <row r="3539">
          <cell r="F3539">
            <v>313239</v>
          </cell>
          <cell r="G3539" t="str">
            <v>Addy Aida Cifuentes Coronado</v>
          </cell>
        </row>
        <row r="3540">
          <cell r="F3540">
            <v>313694</v>
          </cell>
          <cell r="G3540" t="str">
            <v>Alex Humberto Montezuma</v>
          </cell>
        </row>
        <row r="3541">
          <cell r="F3541">
            <v>313241</v>
          </cell>
          <cell r="G3541" t="str">
            <v>Angel Arturo Mauricio Ayapan</v>
          </cell>
        </row>
        <row r="3542">
          <cell r="F3542">
            <v>314323</v>
          </cell>
          <cell r="G3542" t="str">
            <v>Angel Arturo Mauricio Ayapan</v>
          </cell>
        </row>
        <row r="3543">
          <cell r="F3543">
            <v>312327</v>
          </cell>
          <cell r="G3543" t="str">
            <v>Armando Andree Quiñonez Flores</v>
          </cell>
        </row>
        <row r="3544">
          <cell r="F3544">
            <v>313749</v>
          </cell>
          <cell r="G3544" t="str">
            <v>Cesar Haroldo Ixcayau Castro</v>
          </cell>
        </row>
        <row r="3545">
          <cell r="F3545">
            <v>313840</v>
          </cell>
          <cell r="G3545" t="str">
            <v>Claudia Maria Orozco Garcia</v>
          </cell>
        </row>
        <row r="3546">
          <cell r="F3546">
            <v>314119</v>
          </cell>
          <cell r="G3546" t="str">
            <v>Cristian David Urizar Canteo</v>
          </cell>
        </row>
        <row r="3547">
          <cell r="F3547">
            <v>313242</v>
          </cell>
          <cell r="G3547" t="str">
            <v>Guillermo Alejandro Pirir</v>
          </cell>
        </row>
        <row r="3548">
          <cell r="F3548">
            <v>313539</v>
          </cell>
          <cell r="G3548" t="str">
            <v>Joaquin Alonso Murillo Perez</v>
          </cell>
        </row>
        <row r="3549">
          <cell r="F3549">
            <v>314082</v>
          </cell>
          <cell r="G3549" t="str">
            <v>Johanna Amarilis Hernandez Perez</v>
          </cell>
        </row>
        <row r="3550">
          <cell r="F3550">
            <v>313983</v>
          </cell>
          <cell r="G3550" t="str">
            <v>Jose Anibal Reyes Sandoval</v>
          </cell>
        </row>
        <row r="3551">
          <cell r="F3551">
            <v>308875</v>
          </cell>
          <cell r="G3551" t="str">
            <v>Joselyn Manuela Sandoval De Leon</v>
          </cell>
        </row>
        <row r="3552">
          <cell r="F3552">
            <v>313240</v>
          </cell>
          <cell r="G3552" t="str">
            <v>Karen Jamara Luna Menendez</v>
          </cell>
        </row>
        <row r="3553">
          <cell r="F3553">
            <v>314083</v>
          </cell>
          <cell r="G3553" t="str">
            <v>Luis Alfredo Ruben Castillo Mejia</v>
          </cell>
        </row>
        <row r="3554">
          <cell r="F3554">
            <v>312489</v>
          </cell>
          <cell r="G3554" t="str">
            <v>Marliz Irene Bonifaz Lopez</v>
          </cell>
        </row>
        <row r="3555">
          <cell r="F3555">
            <v>313823</v>
          </cell>
          <cell r="G3555" t="str">
            <v>Mildred Mazciel Almazan Lemus Codigo</v>
          </cell>
        </row>
        <row r="3556">
          <cell r="F3556">
            <v>313289</v>
          </cell>
          <cell r="G3556" t="str">
            <v>Orellana Alvarez, Nestor Giovanni</v>
          </cell>
        </row>
        <row r="3557">
          <cell r="F3557">
            <v>312476</v>
          </cell>
          <cell r="G3557" t="str">
            <v>Oscar Oswaldo Ramirez Tahuite</v>
          </cell>
        </row>
        <row r="3558">
          <cell r="F3558">
            <v>313392</v>
          </cell>
          <cell r="G3558" t="str">
            <v>Sandra Marisol Ramirez Solis</v>
          </cell>
        </row>
        <row r="3559">
          <cell r="F3559">
            <v>315101</v>
          </cell>
          <cell r="G3559" t="str">
            <v>Alvaro Oswaldo De La Rosa Hernandez</v>
          </cell>
        </row>
        <row r="3560">
          <cell r="F3560">
            <v>314905</v>
          </cell>
          <cell r="G3560" t="str">
            <v>Antonio Carlos Alvarenga Diaz</v>
          </cell>
        </row>
        <row r="3561">
          <cell r="F3561">
            <v>314885</v>
          </cell>
          <cell r="G3561" t="str">
            <v>Edi Ibander Osoy Lopez</v>
          </cell>
        </row>
        <row r="3562">
          <cell r="F3562">
            <v>314750</v>
          </cell>
          <cell r="G3562" t="str">
            <v>Eswin Leonel Fernandez Diaz</v>
          </cell>
        </row>
        <row r="3563">
          <cell r="F3563">
            <v>314753</v>
          </cell>
          <cell r="G3563" t="str">
            <v>Gabriel Antonio Mucur Arriaga</v>
          </cell>
        </row>
        <row r="3564">
          <cell r="F3564">
            <v>315318</v>
          </cell>
          <cell r="G3564" t="str">
            <v>Gabriela Melissa Arias Ovando</v>
          </cell>
        </row>
        <row r="3565">
          <cell r="F3565">
            <v>315164</v>
          </cell>
          <cell r="G3565" t="str">
            <v>Hernan Antonio Castro Guzman</v>
          </cell>
        </row>
        <row r="3566">
          <cell r="F3566">
            <v>315149</v>
          </cell>
          <cell r="G3566" t="str">
            <v>Jennifer Karla Maria De Leon Yoc</v>
          </cell>
        </row>
        <row r="3567">
          <cell r="F3567">
            <v>315065</v>
          </cell>
          <cell r="G3567" t="str">
            <v>Jennifer Veronica Flores Pineda</v>
          </cell>
        </row>
        <row r="3568">
          <cell r="F3568">
            <v>314797</v>
          </cell>
          <cell r="G3568" t="str">
            <v>Jimmy Alfredo Coronado Cabrera</v>
          </cell>
        </row>
        <row r="3569">
          <cell r="F3569">
            <v>314746</v>
          </cell>
          <cell r="G3569" t="str">
            <v>Jose Luis Quisquinay Inay</v>
          </cell>
        </row>
        <row r="3570">
          <cell r="F3570">
            <v>315231</v>
          </cell>
          <cell r="G3570" t="str">
            <v>Juan Fernando Alvarez Argueta</v>
          </cell>
        </row>
        <row r="3571">
          <cell r="F3571">
            <v>314752</v>
          </cell>
          <cell r="G3571" t="str">
            <v>Luis Arturo Fuentes Jerez</v>
          </cell>
        </row>
        <row r="3572">
          <cell r="F3572">
            <v>314990</v>
          </cell>
          <cell r="G3572" t="str">
            <v>Maria Fernanda Ambrocio Reyes</v>
          </cell>
        </row>
        <row r="3573">
          <cell r="F3573">
            <v>314966</v>
          </cell>
          <cell r="G3573" t="str">
            <v>Marlin Argelia Herrera Claveria</v>
          </cell>
        </row>
        <row r="3574">
          <cell r="F3574">
            <v>314904</v>
          </cell>
          <cell r="G3574" t="str">
            <v>Miguel Estuardo Marín</v>
          </cell>
        </row>
        <row r="3575">
          <cell r="F3575">
            <v>314796</v>
          </cell>
          <cell r="G3575" t="str">
            <v>Ricardo Antonio Ruiz Orozco</v>
          </cell>
        </row>
        <row r="3576">
          <cell r="F3576">
            <v>315365</v>
          </cell>
          <cell r="G3576" t="str">
            <v>Ruth Liliana Reyes Rivas</v>
          </cell>
        </row>
        <row r="3577">
          <cell r="F3577">
            <v>314758</v>
          </cell>
          <cell r="G3577" t="str">
            <v>Sergio Alejandro Estrada Velasco</v>
          </cell>
        </row>
        <row r="3578">
          <cell r="F3578">
            <v>312045</v>
          </cell>
          <cell r="G3578" t="str">
            <v xml:space="preserve"> Edgar Marco Tulio Sanchez Ochoa</v>
          </cell>
        </row>
        <row r="3579">
          <cell r="F3579">
            <v>309496</v>
          </cell>
          <cell r="G3579" t="str">
            <v xml:space="preserve"> Elcira Livduvina Perez Lopez De Merlos</v>
          </cell>
        </row>
        <row r="3580">
          <cell r="F3580">
            <v>311750</v>
          </cell>
          <cell r="G3580" t="str">
            <v xml:space="preserve"> Juan Toma Torrez</v>
          </cell>
        </row>
        <row r="3581">
          <cell r="F3581">
            <v>311539</v>
          </cell>
          <cell r="G3581" t="str">
            <v xml:space="preserve"> Luis Eduardo Garcia Gomez</v>
          </cell>
        </row>
        <row r="3582">
          <cell r="F3582">
            <v>311898</v>
          </cell>
          <cell r="G3582" t="str">
            <v xml:space="preserve"> Nori Liseth Bautista</v>
          </cell>
        </row>
        <row r="3583">
          <cell r="F3583">
            <v>312283</v>
          </cell>
          <cell r="G3583" t="str">
            <v xml:space="preserve"> Oscar Javier Galvez</v>
          </cell>
        </row>
        <row r="3584">
          <cell r="F3584">
            <v>311190</v>
          </cell>
          <cell r="G3584" t="str">
            <v xml:space="preserve"> Pedro Chas Morales</v>
          </cell>
        </row>
        <row r="3585">
          <cell r="F3585">
            <v>311632</v>
          </cell>
          <cell r="G3585" t="str">
            <v>Virginia Del Rosario Matilde Garcia Ico</v>
          </cell>
        </row>
        <row r="3586">
          <cell r="F3586">
            <v>311906</v>
          </cell>
          <cell r="G3586" t="str">
            <v xml:space="preserve"> Yenifer Alejandra Ordoñez</v>
          </cell>
        </row>
        <row r="3587">
          <cell r="F3587">
            <v>314705</v>
          </cell>
          <cell r="G3587" t="str">
            <v>Alex Eduardo Gil Paniagua</v>
          </cell>
        </row>
        <row r="3588">
          <cell r="F3588">
            <v>313182</v>
          </cell>
          <cell r="G3588" t="str">
            <v>Allan Kenneth Chiguichon Solis</v>
          </cell>
        </row>
        <row r="3589">
          <cell r="F3589">
            <v>314363</v>
          </cell>
          <cell r="G3589" t="str">
            <v xml:space="preserve">Anderson Noe Chunix Morales </v>
          </cell>
        </row>
        <row r="3590">
          <cell r="F3590">
            <v>314241</v>
          </cell>
          <cell r="G3590" t="str">
            <v>Andres Simon Sunun</v>
          </cell>
        </row>
        <row r="3591">
          <cell r="F3591">
            <v>309341</v>
          </cell>
          <cell r="G3591" t="str">
            <v>Angel Estuardo Perez Veliz</v>
          </cell>
        </row>
        <row r="3592">
          <cell r="F3592">
            <v>312093</v>
          </cell>
          <cell r="G3592" t="str">
            <v xml:space="preserve">Bobadilla Romero Alan Gonzalo </v>
          </cell>
        </row>
        <row r="3593">
          <cell r="F3593">
            <v>314080</v>
          </cell>
          <cell r="G3593" t="str">
            <v>Bryan Leonardo Lopez</v>
          </cell>
        </row>
        <row r="3594">
          <cell r="F3594">
            <v>314704</v>
          </cell>
          <cell r="G3594" t="str">
            <v xml:space="preserve">Cindy Damaris Villagran Castellano </v>
          </cell>
        </row>
        <row r="3595">
          <cell r="F3595">
            <v>314085</v>
          </cell>
          <cell r="G3595" t="str">
            <v>Cristian Ottoniel Lopez Alvarado</v>
          </cell>
        </row>
        <row r="3596">
          <cell r="F3596">
            <v>314364</v>
          </cell>
          <cell r="G3596" t="str">
            <v xml:space="preserve">Donel Omar Landaverry Solis </v>
          </cell>
        </row>
        <row r="3597">
          <cell r="F3597">
            <v>313373</v>
          </cell>
          <cell r="G3597" t="str">
            <v>Edgar Francisco Yanes Carrera</v>
          </cell>
        </row>
        <row r="3598">
          <cell r="F3598">
            <v>315056</v>
          </cell>
          <cell r="G3598" t="str">
            <v>Esvin David De Jesus Calanche</v>
          </cell>
        </row>
        <row r="3599">
          <cell r="F3599">
            <v>314118</v>
          </cell>
          <cell r="G3599" t="str">
            <v>Ginni Andrea Gramajo Lucas</v>
          </cell>
        </row>
        <row r="3600">
          <cell r="F3600">
            <v>313049</v>
          </cell>
          <cell r="G3600" t="str">
            <v>Herberth Ivan Garcia Davila</v>
          </cell>
        </row>
        <row r="3601">
          <cell r="F3601">
            <v>312162</v>
          </cell>
          <cell r="G3601" t="str">
            <v xml:space="preserve">Hernandez Andrea Yoselin Cristina </v>
          </cell>
        </row>
        <row r="3602">
          <cell r="F3602">
            <v>313692</v>
          </cell>
          <cell r="G3602" t="str">
            <v xml:space="preserve">Ingrid Leticia Paredes Pulido    </v>
          </cell>
        </row>
        <row r="3603">
          <cell r="F3603">
            <v>314500</v>
          </cell>
          <cell r="G3603" t="str">
            <v xml:space="preserve">Jairo Noel Linarez Gomez </v>
          </cell>
        </row>
        <row r="3604">
          <cell r="F3604">
            <v>312369</v>
          </cell>
          <cell r="G3604" t="str">
            <v>Jorge Luis Hernandez Juarez</v>
          </cell>
        </row>
        <row r="3605">
          <cell r="F3605">
            <v>314039</v>
          </cell>
          <cell r="G3605" t="str">
            <v>Juan Humberto Barrios Escobar</v>
          </cell>
        </row>
        <row r="3606">
          <cell r="F3606">
            <v>313540</v>
          </cell>
          <cell r="G3606" t="str">
            <v xml:space="preserve">Juan Manuel Macario Reyna </v>
          </cell>
        </row>
        <row r="3607">
          <cell r="F3607">
            <v>314355</v>
          </cell>
          <cell r="G3607" t="str">
            <v>Kevin Samuel Guamuch Guardado</v>
          </cell>
        </row>
        <row r="3608">
          <cell r="F3608">
            <v>314299</v>
          </cell>
          <cell r="G3608" t="str">
            <v>Lopez Morales, Andrea Lucia</v>
          </cell>
        </row>
        <row r="3609">
          <cell r="F3609">
            <v>314747</v>
          </cell>
          <cell r="G3609" t="str">
            <v>Mayra Azucena Perez Guzman</v>
          </cell>
        </row>
        <row r="3610">
          <cell r="F3610">
            <v>313572</v>
          </cell>
          <cell r="G3610" t="str">
            <v xml:space="preserve">Milton Hardany Dominguez Martinez </v>
          </cell>
        </row>
        <row r="3611">
          <cell r="F3611">
            <v>313541</v>
          </cell>
          <cell r="G3611" t="str">
            <v xml:space="preserve">Mirna Lorena Argueta Ayala </v>
          </cell>
        </row>
        <row r="3612">
          <cell r="F3612">
            <v>315319</v>
          </cell>
          <cell r="G3612" t="str">
            <v xml:space="preserve">Noe Rubell Garcia Cerna </v>
          </cell>
        </row>
        <row r="3613">
          <cell r="F3613">
            <v>314502</v>
          </cell>
          <cell r="G3613" t="str">
            <v>Reyna Elizabeth Panadero</v>
          </cell>
        </row>
        <row r="3614">
          <cell r="F3614">
            <v>313284</v>
          </cell>
          <cell r="G3614" t="str">
            <v>Sebastian Quino Morales</v>
          </cell>
        </row>
        <row r="3615">
          <cell r="F3615">
            <v>311460</v>
          </cell>
          <cell r="G3615" t="str">
            <v xml:space="preserve"> Ana Vilma Bamaca Cardona</v>
          </cell>
        </row>
        <row r="3616">
          <cell r="F3616">
            <v>306579</v>
          </cell>
          <cell r="G3616" t="str">
            <v xml:space="preserve"> Angel Emilio De Jesus Morales Ramirez</v>
          </cell>
        </row>
        <row r="3617">
          <cell r="F3617">
            <v>311234</v>
          </cell>
          <cell r="G3617" t="str">
            <v xml:space="preserve"> Astrid Marlene Diaz</v>
          </cell>
        </row>
        <row r="3618">
          <cell r="F3618">
            <v>308361</v>
          </cell>
          <cell r="G3618" t="str">
            <v xml:space="preserve"> Brenda Maribel Orozco Mendoza</v>
          </cell>
        </row>
        <row r="3619">
          <cell r="F3619">
            <v>311060</v>
          </cell>
          <cell r="G3619" t="str">
            <v xml:space="preserve"> Dora Lissette Higueros Trejo</v>
          </cell>
        </row>
        <row r="3620">
          <cell r="F3620">
            <v>305555</v>
          </cell>
          <cell r="G3620" t="str">
            <v xml:space="preserve"> Heber Antonio Olivares Alvarado</v>
          </cell>
        </row>
        <row r="3621">
          <cell r="F3621">
            <v>308210</v>
          </cell>
          <cell r="G3621" t="str">
            <v xml:space="preserve"> Isaias Ramirez Jimenez</v>
          </cell>
        </row>
        <row r="3622">
          <cell r="F3622">
            <v>310790</v>
          </cell>
          <cell r="G3622" t="str">
            <v xml:space="preserve"> Karina Del Rosario Castro Lopez De Guzman</v>
          </cell>
        </row>
        <row r="3623">
          <cell r="F3623">
            <v>309544</v>
          </cell>
          <cell r="G3623" t="str">
            <v xml:space="preserve"> Lorena Alexandra Lopez Yax</v>
          </cell>
        </row>
        <row r="3624">
          <cell r="F3624">
            <v>308493</v>
          </cell>
          <cell r="G3624" t="str">
            <v xml:space="preserve"> Sandra Beatriz Ardiano De Leon</v>
          </cell>
        </row>
        <row r="3625">
          <cell r="F3625">
            <v>312483</v>
          </cell>
          <cell r="G3625" t="str">
            <v>Berta Elizabeth Rodas Rosales</v>
          </cell>
        </row>
        <row r="3626">
          <cell r="F3626">
            <v>314431</v>
          </cell>
          <cell r="G3626" t="str">
            <v>Cristian Rene Contreras Sales</v>
          </cell>
        </row>
        <row r="3627">
          <cell r="F3627">
            <v>307394</v>
          </cell>
          <cell r="G3627" t="str">
            <v>Damaris Judith Rivas Benitez</v>
          </cell>
        </row>
        <row r="3628">
          <cell r="F3628">
            <v>311082</v>
          </cell>
          <cell r="G3628" t="str">
            <v>Janz Vincent Tunche</v>
          </cell>
        </row>
        <row r="3629">
          <cell r="F3629">
            <v>314301</v>
          </cell>
          <cell r="G3629" t="str">
            <v>Jose Carlos Puluc</v>
          </cell>
        </row>
        <row r="3630">
          <cell r="F3630">
            <v>308405</v>
          </cell>
          <cell r="G3630" t="str">
            <v>Juan Aquino Rac</v>
          </cell>
        </row>
        <row r="3631">
          <cell r="F3631">
            <v>312485</v>
          </cell>
          <cell r="G3631" t="str">
            <v>Juan Ramon Guerra Martinez</v>
          </cell>
        </row>
        <row r="3632">
          <cell r="F3632">
            <v>314527</v>
          </cell>
          <cell r="G3632" t="str">
            <v>Luis Fernando Rodas Pineda</v>
          </cell>
        </row>
        <row r="3633">
          <cell r="F3633">
            <v>312481</v>
          </cell>
          <cell r="G3633" t="str">
            <v>Magdalena Noemi Leonardo Ventura</v>
          </cell>
        </row>
        <row r="3634">
          <cell r="F3634">
            <v>312482</v>
          </cell>
          <cell r="G3634" t="str">
            <v>Mildred Elizabeth Rivera Tenas</v>
          </cell>
        </row>
        <row r="3635">
          <cell r="F3635">
            <v>307005</v>
          </cell>
          <cell r="G3635" t="str">
            <v>Miriam Leticia Romero Torres</v>
          </cell>
        </row>
        <row r="3636">
          <cell r="F3636">
            <v>314227</v>
          </cell>
          <cell r="G3636" t="str">
            <v xml:space="preserve">Mirna Janeth Ordoñez </v>
          </cell>
        </row>
        <row r="3637">
          <cell r="F3637">
            <v>308474</v>
          </cell>
          <cell r="G3637" t="str">
            <v>Victor Abraham Alvarado De La Cruz</v>
          </cell>
        </row>
        <row r="3638">
          <cell r="F3638">
            <v>312480</v>
          </cell>
          <cell r="G3638" t="str">
            <v>Wilson Moises Carias Santos</v>
          </cell>
        </row>
        <row r="3639">
          <cell r="F3639">
            <v>305051</v>
          </cell>
          <cell r="G3639" t="str">
            <v xml:space="preserve"> Amalia Cifuentes Gramajo</v>
          </cell>
        </row>
        <row r="3640">
          <cell r="F3640">
            <v>308201</v>
          </cell>
          <cell r="G3640" t="str">
            <v xml:space="preserve"> Amparo Janet Cardona Linares</v>
          </cell>
        </row>
        <row r="3641">
          <cell r="F3641">
            <v>311232</v>
          </cell>
          <cell r="G3641" t="str">
            <v xml:space="preserve"> Carlos Alberto Roque Galicia</v>
          </cell>
        </row>
        <row r="3642">
          <cell r="F3642">
            <v>310382</v>
          </cell>
          <cell r="G3642" t="str">
            <v xml:space="preserve"> David Gilberto Perez Mayorga</v>
          </cell>
        </row>
        <row r="3643">
          <cell r="F3643">
            <v>305796</v>
          </cell>
          <cell r="G3643" t="str">
            <v xml:space="preserve"> Elias Perez Sequen</v>
          </cell>
        </row>
        <row r="3644">
          <cell r="F3644">
            <v>310823</v>
          </cell>
          <cell r="G3644" t="str">
            <v xml:space="preserve"> Francisca Yesenia Aceytuno Quevedo</v>
          </cell>
        </row>
        <row r="3645">
          <cell r="F3645">
            <v>311152</v>
          </cell>
          <cell r="G3645" t="str">
            <v xml:space="preserve"> Heidi Natali Chacon De La Rosa De Diaz</v>
          </cell>
        </row>
        <row r="3646">
          <cell r="F3646">
            <v>309785</v>
          </cell>
          <cell r="G3646" t="str">
            <v xml:space="preserve"> Jose Esteban Diaz Montufar</v>
          </cell>
        </row>
        <row r="3647">
          <cell r="F3647">
            <v>310787</v>
          </cell>
          <cell r="G3647" t="str">
            <v xml:space="preserve"> Marilin Janeth Sanchez De Rodriguez</v>
          </cell>
        </row>
        <row r="3648">
          <cell r="F3648">
            <v>305520</v>
          </cell>
          <cell r="G3648" t="str">
            <v xml:space="preserve"> Milton Orlando Lopez</v>
          </cell>
        </row>
        <row r="3649">
          <cell r="F3649">
            <v>308978</v>
          </cell>
          <cell r="G3649" t="str">
            <v xml:space="preserve"> Oscar Amilcar Najera Segura</v>
          </cell>
        </row>
        <row r="3650">
          <cell r="F3650">
            <v>311776</v>
          </cell>
          <cell r="G3650" t="str">
            <v xml:space="preserve"> Susan Jackelinne Cristal Sanchez</v>
          </cell>
        </row>
        <row r="3651">
          <cell r="F3651">
            <v>309732</v>
          </cell>
          <cell r="G3651" t="str">
            <v xml:space="preserve"> Wilfredo Noe Tobar Valenzuela</v>
          </cell>
        </row>
        <row r="3652">
          <cell r="F3652">
            <v>314741</v>
          </cell>
          <cell r="G3652" t="str">
            <v>Angelica Lorena Garcia Gonzalez</v>
          </cell>
        </row>
        <row r="3653">
          <cell r="F3653">
            <v>314546</v>
          </cell>
          <cell r="G3653" t="str">
            <v xml:space="preserve">Cinthia Irene Paz Caal   </v>
          </cell>
        </row>
        <row r="3654">
          <cell r="F3654">
            <v>313746</v>
          </cell>
          <cell r="G3654" t="str">
            <v>Cristian Omar Cruz Mata</v>
          </cell>
        </row>
        <row r="3655">
          <cell r="F3655">
            <v>315327</v>
          </cell>
          <cell r="G3655" t="str">
            <v>Daninyer Alfonso Orellana Madrid</v>
          </cell>
        </row>
        <row r="3656">
          <cell r="F3656">
            <v>314084</v>
          </cell>
          <cell r="G3656" t="str">
            <v>Edgar Emilio Gomez Bobadilla</v>
          </cell>
        </row>
        <row r="3657">
          <cell r="F3657">
            <v>313195</v>
          </cell>
          <cell r="G3657" t="str">
            <v>Edna Helenin Benitez Guzman De Altan</v>
          </cell>
        </row>
        <row r="3658">
          <cell r="F3658">
            <v>313259</v>
          </cell>
          <cell r="G3658" t="str">
            <v>Edvin Orlando Tuis Guerra</v>
          </cell>
        </row>
        <row r="3659">
          <cell r="F3659">
            <v>314524</v>
          </cell>
          <cell r="G3659" t="str">
            <v>Francisco Antonio Davila Morales</v>
          </cell>
        </row>
        <row r="3660">
          <cell r="F3660">
            <v>314329</v>
          </cell>
          <cell r="G3660" t="str">
            <v>Fredy Joel Lopez Santiago</v>
          </cell>
        </row>
        <row r="3661">
          <cell r="F3661">
            <v>314305</v>
          </cell>
          <cell r="G3661" t="str">
            <v>Henry Gustavo Vasquez Robledo</v>
          </cell>
        </row>
        <row r="3662">
          <cell r="F3662">
            <v>311962</v>
          </cell>
          <cell r="G3662" t="str">
            <v>Hugo David Monroy Pichola</v>
          </cell>
        </row>
        <row r="3663">
          <cell r="F3663">
            <v>311075</v>
          </cell>
          <cell r="G3663" t="str">
            <v>Jorge Alberto Buch Patzan</v>
          </cell>
        </row>
        <row r="3664">
          <cell r="F3664">
            <v>311233</v>
          </cell>
          <cell r="G3664" t="str">
            <v>Maria Fernanda Del Rosario Orellana Lima De Orellana</v>
          </cell>
        </row>
        <row r="3665">
          <cell r="F3665">
            <v>314811</v>
          </cell>
          <cell r="G3665" t="str">
            <v>Marlon Estuardo Hernandez Moreira</v>
          </cell>
        </row>
        <row r="3666">
          <cell r="F3666">
            <v>313745</v>
          </cell>
          <cell r="G3666" t="str">
            <v>Milvia Alejandra Lopez Marroquin</v>
          </cell>
        </row>
        <row r="3667">
          <cell r="F3667">
            <v>312288</v>
          </cell>
          <cell r="G3667" t="str">
            <v>Miriam Marilisa Herrera Perez</v>
          </cell>
        </row>
        <row r="3668">
          <cell r="F3668">
            <v>312474</v>
          </cell>
          <cell r="G3668" t="str">
            <v>Nancy Paola Ramirez Garcia</v>
          </cell>
        </row>
        <row r="3669">
          <cell r="F3669">
            <v>313756</v>
          </cell>
          <cell r="G3669" t="str">
            <v>Walter Josue Corona Barrera</v>
          </cell>
        </row>
        <row r="3670">
          <cell r="F3670">
            <v>312284</v>
          </cell>
          <cell r="G3670" t="str">
            <v xml:space="preserve"> Arnoldo Coque Hernandez</v>
          </cell>
        </row>
        <row r="3671">
          <cell r="F3671">
            <v>312015</v>
          </cell>
          <cell r="G3671" t="str">
            <v xml:space="preserve"> Carlos Alfredo Cuc Cuxe</v>
          </cell>
        </row>
        <row r="3672">
          <cell r="F3672">
            <v>310710</v>
          </cell>
          <cell r="G3672" t="str">
            <v xml:space="preserve"> Edgar Enrique Garcia Cortave</v>
          </cell>
        </row>
        <row r="3673">
          <cell r="F3673">
            <v>311459</v>
          </cell>
          <cell r="G3673" t="str">
            <v xml:space="preserve"> Gandy Baygesus Sanchez Estrada</v>
          </cell>
        </row>
        <row r="3674">
          <cell r="F3674">
            <v>303585</v>
          </cell>
          <cell r="G3674" t="str">
            <v xml:space="preserve"> Gerber Estuardo Albizures Archila</v>
          </cell>
        </row>
        <row r="3675">
          <cell r="F3675">
            <v>310704</v>
          </cell>
          <cell r="G3675" t="str">
            <v xml:space="preserve"> Henry Samuel De Leon Menchu</v>
          </cell>
        </row>
        <row r="3676">
          <cell r="F3676">
            <v>311359</v>
          </cell>
          <cell r="G3676" t="str">
            <v xml:space="preserve"> Jania Nataly De Leon Ramirez De Suret</v>
          </cell>
        </row>
        <row r="3677">
          <cell r="F3677">
            <v>306643</v>
          </cell>
          <cell r="G3677" t="str">
            <v xml:space="preserve"> Marvin Saul Sical Ventura</v>
          </cell>
        </row>
        <row r="3678">
          <cell r="F3678">
            <v>307846</v>
          </cell>
          <cell r="G3678" t="str">
            <v xml:space="preserve"> Sandra Patricia Baran Avila</v>
          </cell>
        </row>
        <row r="3679">
          <cell r="F3679">
            <v>307962</v>
          </cell>
          <cell r="G3679" t="str">
            <v xml:space="preserve"> Selvyn David Payola Ayala</v>
          </cell>
        </row>
        <row r="3680">
          <cell r="F3680">
            <v>307891</v>
          </cell>
          <cell r="G3680" t="str">
            <v xml:space="preserve"> Susana Rodriguez Cordova</v>
          </cell>
        </row>
        <row r="3681">
          <cell r="F3681">
            <v>314936</v>
          </cell>
          <cell r="G3681" t="str">
            <v>Alex Fernando Garcia De Leon</v>
          </cell>
        </row>
        <row r="3682">
          <cell r="F3682">
            <v>313295</v>
          </cell>
          <cell r="G3682" t="str">
            <v>Amed Carlos Eduardo Matheu Cabrera</v>
          </cell>
        </row>
        <row r="3683">
          <cell r="F3683">
            <v>314413</v>
          </cell>
          <cell r="G3683" t="str">
            <v>Carmen Arely Perez Escobar</v>
          </cell>
        </row>
        <row r="3684">
          <cell r="F3684">
            <v>315237</v>
          </cell>
          <cell r="G3684" t="str">
            <v>Celia Mariela Castillo Beteta</v>
          </cell>
        </row>
        <row r="3685">
          <cell r="F3685">
            <v>311345</v>
          </cell>
          <cell r="G3685" t="str">
            <v>Darwin Ruben Martinez Ramirez</v>
          </cell>
        </row>
        <row r="3686">
          <cell r="F3686">
            <v>314250</v>
          </cell>
          <cell r="G3686" t="str">
            <v>Diego Armando Contreras Flores</v>
          </cell>
        </row>
        <row r="3687">
          <cell r="F3687">
            <v>314281</v>
          </cell>
          <cell r="G3687" t="str">
            <v>Edward Josue Cortez Belloso</v>
          </cell>
        </row>
        <row r="3688">
          <cell r="F3688">
            <v>313451</v>
          </cell>
          <cell r="G3688" t="str">
            <v>Erick Dionicio Alvarez Flores</v>
          </cell>
        </row>
        <row r="3689">
          <cell r="F3689">
            <v>313497</v>
          </cell>
          <cell r="G3689" t="str">
            <v>Francisco Roman Aceytuno Ramos</v>
          </cell>
        </row>
        <row r="3690">
          <cell r="F3690">
            <v>314013</v>
          </cell>
          <cell r="G3690" t="str">
            <v>Jose Orlando Lopez Matzar</v>
          </cell>
        </row>
        <row r="3691">
          <cell r="F3691">
            <v>313262</v>
          </cell>
          <cell r="G3691" t="str">
            <v>Juan Luis Soyos Tzoy</v>
          </cell>
        </row>
        <row r="3692">
          <cell r="F3692">
            <v>313583</v>
          </cell>
          <cell r="G3692" t="str">
            <v>Laiza Marleny Gomez Garcia De Gomez</v>
          </cell>
        </row>
        <row r="3693">
          <cell r="F3693">
            <v>314762</v>
          </cell>
          <cell r="G3693" t="str">
            <v>Mario Ernesto Alvarado Molina</v>
          </cell>
        </row>
        <row r="3694">
          <cell r="F3694">
            <v>311902</v>
          </cell>
          <cell r="G3694" t="str">
            <v>Mario Raul Monroy Monroy</v>
          </cell>
        </row>
        <row r="3695">
          <cell r="F3695">
            <v>313251</v>
          </cell>
          <cell r="G3695" t="str">
            <v>Mario Ricardo Gabriel Monterroso</v>
          </cell>
        </row>
        <row r="3696">
          <cell r="F3696">
            <v>312564</v>
          </cell>
          <cell r="G3696" t="str">
            <v xml:space="preserve">Marlyn Carolina Hernandez Escobar De Dubon </v>
          </cell>
        </row>
        <row r="3697">
          <cell r="F3697">
            <v>313011</v>
          </cell>
          <cell r="G3697" t="str">
            <v>Miguel David Boch Cifuentes</v>
          </cell>
        </row>
        <row r="3698">
          <cell r="F3698">
            <v>313750</v>
          </cell>
          <cell r="G3698" t="str">
            <v xml:space="preserve">Mildred Alejandra Sapon Ruano   </v>
          </cell>
        </row>
        <row r="3699">
          <cell r="F3699">
            <v>313212</v>
          </cell>
          <cell r="G3699" t="str">
            <v>Shirley Mariana Lopez Natarengo</v>
          </cell>
        </row>
        <row r="3700">
          <cell r="F3700">
            <v>313261</v>
          </cell>
          <cell r="G3700" t="str">
            <v>Viviana Maribel Ortiz Barrios</v>
          </cell>
        </row>
        <row r="3701">
          <cell r="F3701">
            <v>309678</v>
          </cell>
          <cell r="G3701" t="str">
            <v xml:space="preserve"> Carla Noemi Irias Alvarez</v>
          </cell>
        </row>
        <row r="3702">
          <cell r="F3702">
            <v>311704</v>
          </cell>
          <cell r="G3702" t="str">
            <v xml:space="preserve"> Celedonia Isabel Chan Batz De Iscaya</v>
          </cell>
        </row>
        <row r="3703">
          <cell r="F3703">
            <v>308464</v>
          </cell>
          <cell r="G3703" t="str">
            <v xml:space="preserve"> Enmanuel Antonio Ochoa Hernandez</v>
          </cell>
        </row>
        <row r="3704">
          <cell r="F3704">
            <v>311964</v>
          </cell>
          <cell r="G3704" t="str">
            <v xml:space="preserve"> Estephanie Michelle Mendez Cano De Rivera</v>
          </cell>
        </row>
        <row r="3705">
          <cell r="F3705">
            <v>311963</v>
          </cell>
          <cell r="G3705" t="str">
            <v xml:space="preserve"> Giovanni Noel Valdez Rodriguez</v>
          </cell>
        </row>
        <row r="3706">
          <cell r="F3706">
            <v>308771</v>
          </cell>
          <cell r="G3706" t="str">
            <v xml:space="preserve"> Gloria Estefanilla Espinoza Garcia</v>
          </cell>
        </row>
        <row r="3707">
          <cell r="F3707">
            <v>311530</v>
          </cell>
          <cell r="G3707" t="str">
            <v xml:space="preserve"> Laura Ninoshka Mogollon Galvez De Ortiz</v>
          </cell>
        </row>
        <row r="3708">
          <cell r="F3708">
            <v>309348</v>
          </cell>
          <cell r="G3708" t="str">
            <v xml:space="preserve"> Ludbind Alexander Noriega Chavez</v>
          </cell>
        </row>
        <row r="3709">
          <cell r="F3709">
            <v>303093</v>
          </cell>
          <cell r="G3709" t="str">
            <v xml:space="preserve"> Rony Armando Choche Perez</v>
          </cell>
        </row>
        <row r="3710">
          <cell r="F3710">
            <v>311838</v>
          </cell>
          <cell r="G3710" t="str">
            <v xml:space="preserve"> Sarah Noemy Sandoval Poggio</v>
          </cell>
        </row>
        <row r="3711">
          <cell r="F3711">
            <v>310071</v>
          </cell>
          <cell r="G3711" t="str">
            <v xml:space="preserve"> Victoria Aracely Gomez Ochoa</v>
          </cell>
        </row>
        <row r="3712">
          <cell r="F3712">
            <v>315129</v>
          </cell>
          <cell r="G3712" t="str">
            <v xml:space="preserve">Angel Israel Perez Perez </v>
          </cell>
        </row>
        <row r="3713">
          <cell r="F3713">
            <v>314522</v>
          </cell>
          <cell r="G3713" t="str">
            <v>Argentina Frisdy Juarez Lopez</v>
          </cell>
        </row>
        <row r="3714">
          <cell r="F3714">
            <v>311595</v>
          </cell>
          <cell r="G3714" t="str">
            <v>Billy Giovanny Avalos Castillo</v>
          </cell>
        </row>
        <row r="3715">
          <cell r="F3715">
            <v>312457</v>
          </cell>
          <cell r="G3715" t="str">
            <v>Edgar Estuardo Moran Lopez</v>
          </cell>
        </row>
        <row r="3716">
          <cell r="F3716">
            <v>313314</v>
          </cell>
          <cell r="G3716" t="str">
            <v>Elida Bertilia Donis Aguilar</v>
          </cell>
        </row>
        <row r="3717">
          <cell r="F3717">
            <v>313108</v>
          </cell>
          <cell r="G3717" t="str">
            <v>Evelyn Karina Lorenzana Gomez</v>
          </cell>
        </row>
        <row r="3718">
          <cell r="F3718">
            <v>313313</v>
          </cell>
          <cell r="G3718" t="str">
            <v>Francisco Roberto Contreras Bernardino</v>
          </cell>
        </row>
        <row r="3719">
          <cell r="F3719">
            <v>313757</v>
          </cell>
          <cell r="G3719" t="str">
            <v>Geydi Yanira Roque Esquivel</v>
          </cell>
        </row>
        <row r="3720">
          <cell r="F3720">
            <v>309122</v>
          </cell>
          <cell r="G3720" t="str">
            <v>Greyci Yulissa Aliñado Rodriguez</v>
          </cell>
        </row>
        <row r="3721">
          <cell r="F3721">
            <v>314362</v>
          </cell>
          <cell r="G3721" t="str">
            <v>Heber Adiel Dardon Batres</v>
          </cell>
        </row>
        <row r="3722">
          <cell r="F3722">
            <v>315073</v>
          </cell>
          <cell r="G3722" t="str">
            <v xml:space="preserve">Jose Manuel Molina Gaitan </v>
          </cell>
        </row>
        <row r="3723">
          <cell r="F3723">
            <v>314490</v>
          </cell>
          <cell r="G3723" t="str">
            <v xml:space="preserve">Josue Omar Rosas Vasquez </v>
          </cell>
        </row>
        <row r="3724">
          <cell r="F3724">
            <v>311662</v>
          </cell>
          <cell r="G3724" t="str">
            <v>Juan Antonio Juarez Recinos</v>
          </cell>
        </row>
        <row r="3725">
          <cell r="F3725">
            <v>312848</v>
          </cell>
          <cell r="G3725" t="str">
            <v>Juan Humberto Castillo Garcia</v>
          </cell>
        </row>
        <row r="3726">
          <cell r="F3726">
            <v>313196</v>
          </cell>
          <cell r="G3726" t="str">
            <v>Maria Fernanda Palencia Campo</v>
          </cell>
        </row>
        <row r="3727">
          <cell r="F3727">
            <v>315406</v>
          </cell>
          <cell r="G3727" t="str">
            <v>Maria Fernandez Perez Rangel</v>
          </cell>
        </row>
        <row r="3728">
          <cell r="F3728">
            <v>314302</v>
          </cell>
          <cell r="G3728" t="str">
            <v>Mario Rene Garcia Paredes</v>
          </cell>
        </row>
        <row r="3729">
          <cell r="F3729">
            <v>313758</v>
          </cell>
          <cell r="G3729" t="str">
            <v>Melani Andrea Salcedo Acevedo</v>
          </cell>
        </row>
        <row r="3730">
          <cell r="F3730">
            <v>314656</v>
          </cell>
          <cell r="G3730" t="str">
            <v>Nancy Johana Flores Barrera</v>
          </cell>
        </row>
        <row r="3731">
          <cell r="F3731">
            <v>313835</v>
          </cell>
          <cell r="G3731" t="str">
            <v>Rainer Daniel Melgar Chajon</v>
          </cell>
        </row>
        <row r="3732">
          <cell r="F3732">
            <v>312478</v>
          </cell>
          <cell r="G3732" t="str">
            <v>Walter Josue Ampudia Martinez</v>
          </cell>
        </row>
        <row r="3733">
          <cell r="F3733">
            <v>315200</v>
          </cell>
          <cell r="G3733" t="str">
            <v xml:space="preserve">Yeni Amarilis Ruano </v>
          </cell>
        </row>
        <row r="3734">
          <cell r="F3734">
            <v>315029</v>
          </cell>
          <cell r="G3734" t="str">
            <v>Camelia Bocel Tun</v>
          </cell>
        </row>
        <row r="3735">
          <cell r="F3735">
            <v>314847</v>
          </cell>
          <cell r="G3735" t="str">
            <v>Donald Jacshon Abac Velasquez</v>
          </cell>
        </row>
        <row r="3736">
          <cell r="F3736">
            <v>314911</v>
          </cell>
          <cell r="G3736" t="str">
            <v>Jose Armando Valdez Juarez</v>
          </cell>
        </row>
        <row r="3737">
          <cell r="F3737">
            <v>314907</v>
          </cell>
          <cell r="G3737" t="str">
            <v>Jose Gabriel Armas Sandoval</v>
          </cell>
        </row>
        <row r="3738">
          <cell r="F3738">
            <v>315190</v>
          </cell>
          <cell r="G3738" t="str">
            <v xml:space="preserve">Edy Alexander Gonzalez Ramos </v>
          </cell>
        </row>
        <row r="3739">
          <cell r="F3739">
            <v>315176</v>
          </cell>
          <cell r="G3739" t="str">
            <v xml:space="preserve">Etson Samuel Villatoro Saballos </v>
          </cell>
        </row>
        <row r="3740">
          <cell r="F3740">
            <v>315080</v>
          </cell>
          <cell r="G3740" t="str">
            <v>Horacio Rafael Molina Avila</v>
          </cell>
        </row>
        <row r="3741">
          <cell r="F3741">
            <v>315177</v>
          </cell>
          <cell r="G3741" t="str">
            <v xml:space="preserve">Keitlin Anahi Martinez Castillo </v>
          </cell>
        </row>
        <row r="3742">
          <cell r="F3742">
            <v>315189</v>
          </cell>
          <cell r="G3742" t="str">
            <v xml:space="preserve">Milthon Yobany Castillo Martinez </v>
          </cell>
        </row>
        <row r="3743">
          <cell r="F3743">
            <v>315469</v>
          </cell>
          <cell r="G3743" t="str">
            <v xml:space="preserve">Milvia Fabiola Velasquez </v>
          </cell>
        </row>
        <row r="3744">
          <cell r="F3744">
            <v>315360</v>
          </cell>
          <cell r="G3744" t="str">
            <v>Eneas Valdez Colop</v>
          </cell>
        </row>
        <row r="3745">
          <cell r="F3745">
            <v>315461</v>
          </cell>
          <cell r="G3745" t="str">
            <v>Teylor Cuyuch</v>
          </cell>
        </row>
        <row r="3746">
          <cell r="F3746">
            <v>315390</v>
          </cell>
          <cell r="G3746" t="str">
            <v>Jose Carlos Morales</v>
          </cell>
        </row>
        <row r="3747">
          <cell r="F3747">
            <v>315464</v>
          </cell>
          <cell r="G3747" t="str">
            <v>Maria Alejandra Mazariegos</v>
          </cell>
        </row>
        <row r="3748">
          <cell r="F3748">
            <v>315574</v>
          </cell>
          <cell r="G3748" t="str">
            <v>Maryury De Los Angeles Garcia Romero</v>
          </cell>
        </row>
        <row r="3749">
          <cell r="F3749">
            <v>315596</v>
          </cell>
          <cell r="G3749" t="str">
            <v>Etson Eduardo Hernandez Campos</v>
          </cell>
        </row>
        <row r="3750">
          <cell r="F3750">
            <v>315593</v>
          </cell>
          <cell r="G3750" t="str">
            <v>Flora Anabella Yaxcal Fernandez</v>
          </cell>
        </row>
        <row r="3751">
          <cell r="F3751">
            <v>315595</v>
          </cell>
          <cell r="G3751" t="str">
            <v xml:space="preserve">Jaqueline Paola Santizo Roman </v>
          </cell>
        </row>
        <row r="3752">
          <cell r="F3752">
            <v>315292</v>
          </cell>
          <cell r="G3752" t="str">
            <v>Mijail Erick Joaquin Morales Ortiz</v>
          </cell>
        </row>
        <row r="3753">
          <cell r="F3753">
            <v>860486</v>
          </cell>
          <cell r="G3753" t="str">
            <v>Brenda Lucrecia Velasquez Cifuentes</v>
          </cell>
        </row>
        <row r="3754">
          <cell r="F3754">
            <v>860236</v>
          </cell>
          <cell r="G3754" t="str">
            <v>Emmanuel Gonzalez</v>
          </cell>
        </row>
        <row r="3755">
          <cell r="F3755" t="str">
            <v>UN</v>
          </cell>
          <cell r="G3755" t="str">
            <v>UN</v>
          </cell>
        </row>
        <row r="3756">
          <cell r="F3756">
            <v>315625</v>
          </cell>
          <cell r="G3756" t="str">
            <v>CLAUDIA ELIZABETH CARRERA MARROQUIN</v>
          </cell>
        </row>
        <row r="3757">
          <cell r="F3757">
            <v>315666</v>
          </cell>
          <cell r="G3757" t="str">
            <v>SINDY AMARILIS SANCHEZ MONTERROSO</v>
          </cell>
        </row>
        <row r="3758">
          <cell r="F3758">
            <v>315691</v>
          </cell>
          <cell r="G3758" t="str">
            <v>JAIME RENE JUAREZ SANCHEZ</v>
          </cell>
        </row>
        <row r="3759">
          <cell r="F3759">
            <v>315750</v>
          </cell>
          <cell r="G3759" t="str">
            <v>KEILA PAOLA CALDERON LOPEZ</v>
          </cell>
        </row>
        <row r="3760">
          <cell r="F3760">
            <v>315721</v>
          </cell>
          <cell r="G3760" t="str">
            <v>HECTOR LEONEL MEJICANOS CRUZ</v>
          </cell>
        </row>
        <row r="3761">
          <cell r="F3761">
            <v>315847</v>
          </cell>
          <cell r="G3761" t="str">
            <v>YEFRI ESTUARDO LOPEZ VELASQUEZ</v>
          </cell>
        </row>
        <row r="3762">
          <cell r="F3762">
            <v>315833</v>
          </cell>
          <cell r="G3762" t="str">
            <v>MARIA DE LOS ANGELES MURALLES MURALLES</v>
          </cell>
        </row>
        <row r="3763">
          <cell r="F3763">
            <v>315621</v>
          </cell>
          <cell r="G3763" t="str">
            <v>SAYDA ROCIO JUAREZ SANJAY</v>
          </cell>
        </row>
        <row r="3764">
          <cell r="F3764">
            <v>315816</v>
          </cell>
          <cell r="G3764" t="str">
            <v>RANDALL  AREVALO RUIZ</v>
          </cell>
        </row>
        <row r="3765">
          <cell r="F3765">
            <v>315692</v>
          </cell>
          <cell r="G3765" t="str">
            <v>Jose David Jimenez Valle</v>
          </cell>
        </row>
        <row r="3766">
          <cell r="F3766">
            <v>315801</v>
          </cell>
          <cell r="G3766" t="str">
            <v>YENIFFER GUADALUPE CHIQUIN CARBONELL</v>
          </cell>
        </row>
        <row r="3767">
          <cell r="F3767">
            <v>315649</v>
          </cell>
          <cell r="G3767" t="str">
            <v>JOSE LEON CHOGUAJ TOJIN</v>
          </cell>
        </row>
        <row r="3768">
          <cell r="F3768">
            <v>315986</v>
          </cell>
          <cell r="G3768" t="str">
            <v>KELVYN AMERICO SOSA OCHOA</v>
          </cell>
        </row>
        <row r="3769">
          <cell r="F3769">
            <v>315693</v>
          </cell>
          <cell r="G3769" t="str">
            <v>barbara asibinac</v>
          </cell>
        </row>
        <row r="3770">
          <cell r="F3770">
            <v>315974</v>
          </cell>
          <cell r="G3770" t="str">
            <v>Ana Victoria Noj Galindo</v>
          </cell>
        </row>
        <row r="3771">
          <cell r="F3771">
            <v>316040</v>
          </cell>
          <cell r="G3771" t="str">
            <v>Douglas Armando Flores Mendoza</v>
          </cell>
        </row>
        <row r="3772">
          <cell r="F3772">
            <v>315825</v>
          </cell>
          <cell r="G3772" t="str">
            <v>Reina Elizabeth Chacon Vasquez</v>
          </cell>
        </row>
        <row r="3773">
          <cell r="F3773">
            <v>315597</v>
          </cell>
          <cell r="G3773" t="str">
            <v>Edgar Jhonatan Contreras Garcia</v>
          </cell>
        </row>
        <row r="3774">
          <cell r="F3774">
            <v>316083</v>
          </cell>
          <cell r="G3774" t="str">
            <v>Marlen Erendida Rivas Gonzalez</v>
          </cell>
        </row>
        <row r="3775">
          <cell r="F3775">
            <v>315665</v>
          </cell>
          <cell r="G3775" t="str">
            <v>jefferson jose antonio interano solis</v>
          </cell>
        </row>
        <row r="3776">
          <cell r="F3776">
            <v>315913</v>
          </cell>
          <cell r="G3776" t="str">
            <v>HERLY SARAI GONZALEZ VELASQUEZ</v>
          </cell>
        </row>
        <row r="3777">
          <cell r="F3777">
            <v>315765</v>
          </cell>
          <cell r="G3777" t="str">
            <v>JACQUELINE ESTER PATZAN TZUNUN</v>
          </cell>
        </row>
        <row r="3778">
          <cell r="F3778">
            <v>316051</v>
          </cell>
          <cell r="G3778" t="str">
            <v>CHRISTIN ANDREA CASTILLO CALDERON</v>
          </cell>
        </row>
        <row r="3779">
          <cell r="F3779">
            <v>315939</v>
          </cell>
          <cell r="G3779" t="str">
            <v>JOSE DAVID BAMACA</v>
          </cell>
        </row>
        <row r="3780">
          <cell r="F3780">
            <v>315744</v>
          </cell>
          <cell r="G3780" t="str">
            <v>JACKELINE SUSANA HERRARTE BOCHE</v>
          </cell>
        </row>
        <row r="3781">
          <cell r="F3781">
            <v>316187</v>
          </cell>
          <cell r="G3781" t="str">
            <v xml:space="preserve">ADY MICHELLE LOPEZ QUEL </v>
          </cell>
        </row>
        <row r="3782">
          <cell r="F3782">
            <v>315786</v>
          </cell>
          <cell r="G3782" t="str">
            <v>EDUARDO ISAIAS HERNANDEZ AMBROCIO</v>
          </cell>
        </row>
        <row r="3783">
          <cell r="F3783">
            <v>315803</v>
          </cell>
          <cell r="G3783" t="str">
            <v>DEYVID SAUL OSORIO COLIN</v>
          </cell>
        </row>
        <row r="3784">
          <cell r="F3784">
            <v>315893</v>
          </cell>
          <cell r="G3784" t="str">
            <v xml:space="preserve">BRYAN ALEXANDER LAINES MARROQUIN </v>
          </cell>
        </row>
        <row r="3785">
          <cell r="F3785">
            <v>315890</v>
          </cell>
          <cell r="G3785" t="str">
            <v>ERICK JOSUE PINEDA CACEROS</v>
          </cell>
        </row>
        <row r="3786">
          <cell r="F3786">
            <v>316190</v>
          </cell>
          <cell r="G3786" t="str">
            <v>JOSE MANUEL MELLADO ESQUIBEL</v>
          </cell>
        </row>
        <row r="3787">
          <cell r="F3787">
            <v>315843</v>
          </cell>
          <cell r="G3787" t="str">
            <v xml:space="preserve">JENNIFER YESSENIA PEREZ MORALES </v>
          </cell>
        </row>
        <row r="3788">
          <cell r="F3788">
            <v>315840</v>
          </cell>
          <cell r="G3788" t="str">
            <v>Cesar David Perez Garrido</v>
          </cell>
        </row>
        <row r="3789">
          <cell r="F3789">
            <v>315697</v>
          </cell>
          <cell r="G3789" t="str">
            <v xml:space="preserve">Karen Dayana Xiquin Sanchez </v>
          </cell>
        </row>
        <row r="3790">
          <cell r="F3790">
            <v>315946</v>
          </cell>
          <cell r="G3790" t="str">
            <v xml:space="preserve"> MANUEL ADAN SURUY JIMENEZ</v>
          </cell>
        </row>
        <row r="3791">
          <cell r="F3791">
            <v>315784</v>
          </cell>
          <cell r="G3791" t="str">
            <v xml:space="preserve">JORGE MARIO SIC </v>
          </cell>
        </row>
        <row r="3792">
          <cell r="F3792">
            <v>316001</v>
          </cell>
          <cell r="G3792" t="str">
            <v>WENDY DANIELA CAMEY MATEO</v>
          </cell>
        </row>
        <row r="3793">
          <cell r="F3793">
            <v>315777</v>
          </cell>
          <cell r="G3793" t="str">
            <v>Jonatan Mauricio Padilla Marroquin</v>
          </cell>
        </row>
        <row r="3794">
          <cell r="F3794">
            <v>315699</v>
          </cell>
          <cell r="G3794" t="str">
            <v>Gualfer Orlando Dieguez Ibanez</v>
          </cell>
        </row>
        <row r="3795">
          <cell r="F3795">
            <v>315994</v>
          </cell>
          <cell r="G3795" t="str">
            <v>Edwin Wilfredo Pineda Giron</v>
          </cell>
        </row>
        <row r="3796">
          <cell r="F3796">
            <v>315766</v>
          </cell>
          <cell r="G3796" t="str">
            <v>Edgar Omar de Jesus Andrade Monterroso</v>
          </cell>
        </row>
        <row r="3797">
          <cell r="F3797">
            <v>315987</v>
          </cell>
          <cell r="G3797" t="str">
            <v>FRANCISCO DANIEL ARGUETA RAMIREZ</v>
          </cell>
        </row>
        <row r="3798">
          <cell r="F3798">
            <v>316208</v>
          </cell>
          <cell r="G3798" t="str">
            <v>LEYCER ULICES CANA ANDRADE</v>
          </cell>
        </row>
        <row r="3799">
          <cell r="F3799">
            <v>316193</v>
          </cell>
          <cell r="G3799" t="str">
            <v>Maria de Lourdes Leb Nij</v>
          </cell>
        </row>
        <row r="3800">
          <cell r="F3800">
            <v>316176</v>
          </cell>
          <cell r="G3800" t="str">
            <v>ROSA ANGELICA ZURDO GONZALEZ</v>
          </cell>
        </row>
        <row r="3801">
          <cell r="F3801">
            <v>316293</v>
          </cell>
          <cell r="G3801" t="str">
            <v>LUCIO MOISES CHAVEZ CHAVEZ</v>
          </cell>
        </row>
        <row r="3802">
          <cell r="F3802">
            <v>316090</v>
          </cell>
          <cell r="G3802" t="str">
            <v>ASTRID SUCELY VELIZ CAAL</v>
          </cell>
        </row>
        <row r="3803">
          <cell r="F3803">
            <v>316057</v>
          </cell>
          <cell r="G3803" t="str">
            <v>ROGELIO ARMANDO ACEITUNO HERRERA</v>
          </cell>
        </row>
        <row r="3804">
          <cell r="F3804">
            <v>315962</v>
          </cell>
          <cell r="G3804" t="str">
            <v>Jennifer Celeste Delgado Garcia</v>
          </cell>
        </row>
        <row r="3805">
          <cell r="F3805">
            <v>316237</v>
          </cell>
          <cell r="G3805" t="str">
            <v>MARIA DEL ROSARIO ESPINOZA CRUZ</v>
          </cell>
        </row>
        <row r="3806">
          <cell r="F3806">
            <v>316054</v>
          </cell>
          <cell r="G3806" t="str">
            <v>Kevin Steve Barrera Galicia</v>
          </cell>
        </row>
        <row r="3807">
          <cell r="F3807">
            <v>315734</v>
          </cell>
          <cell r="G3807" t="str">
            <v>DULCE MARINA LOPEZ SOLIS</v>
          </cell>
        </row>
        <row r="3808">
          <cell r="F3808">
            <v>316098</v>
          </cell>
          <cell r="G3808" t="str">
            <v>KARLA ALEJANDRA CHAVEZ PEÑA</v>
          </cell>
        </row>
        <row r="3809">
          <cell r="F3809">
            <v>315679</v>
          </cell>
          <cell r="G3809" t="str">
            <v>ANGELA XIOMARA PONCIANO GONZALEZ</v>
          </cell>
        </row>
        <row r="3810">
          <cell r="F3810">
            <v>315769</v>
          </cell>
          <cell r="G3810" t="str">
            <v>URIAS VENANCIO LOPEZ COTON</v>
          </cell>
        </row>
        <row r="3811">
          <cell r="F3811">
            <v>316174</v>
          </cell>
          <cell r="G3811" t="str">
            <v>ENRIQUE ALFONSO LOPEZ RAMREZ</v>
          </cell>
        </row>
        <row r="3812">
          <cell r="F3812">
            <v>316152</v>
          </cell>
          <cell r="G3812" t="str">
            <v>Yenica Limni López Sebastian</v>
          </cell>
        </row>
        <row r="3813">
          <cell r="F3813">
            <v>315882</v>
          </cell>
          <cell r="G3813" t="str">
            <v>RUTH ANAI GOMEZ RAMIREZ</v>
          </cell>
        </row>
        <row r="3814">
          <cell r="F3814">
            <v>316241</v>
          </cell>
          <cell r="G3814" t="str">
            <v>ALLAN ESMAYLIN CABRERA PEREZ</v>
          </cell>
        </row>
        <row r="3815">
          <cell r="F3815">
            <v>315651</v>
          </cell>
          <cell r="G3815" t="str">
            <v>WALTER EDUARDO RODAS RIOS</v>
          </cell>
        </row>
        <row r="3816">
          <cell r="F3816">
            <v>316011</v>
          </cell>
          <cell r="G3816" t="str">
            <v>KEVIN MAUEL PEREZ OROZCO</v>
          </cell>
        </row>
        <row r="3817">
          <cell r="F3817">
            <v>316263</v>
          </cell>
          <cell r="G3817" t="str">
            <v>LUIS FERNANDO LOPEZ VASQUEZ</v>
          </cell>
        </row>
        <row r="3818">
          <cell r="F3818">
            <v>315661</v>
          </cell>
          <cell r="G3818" t="str">
            <v>MIGUEL ANGEL MENDEZ JUAREZ</v>
          </cell>
        </row>
        <row r="3819">
          <cell r="F3819">
            <v>316060</v>
          </cell>
          <cell r="G3819" t="str">
            <v>CARLOS ENRIQUE SOSA HERNANDEZ</v>
          </cell>
        </row>
        <row r="3820">
          <cell r="F3820">
            <v>315992</v>
          </cell>
          <cell r="G3820" t="str">
            <v>LISBETH VICTORIA GARCIA</v>
          </cell>
        </row>
        <row r="3821">
          <cell r="F3821">
            <v>316191</v>
          </cell>
          <cell r="G3821" t="str">
            <v>Katerin Mishel Acosta Lobos</v>
          </cell>
        </row>
        <row r="3822">
          <cell r="F3822">
            <v>316294</v>
          </cell>
          <cell r="G3822" t="str">
            <v>Carmen Fernanda Ramos Jimenez</v>
          </cell>
        </row>
        <row r="3823">
          <cell r="F3823">
            <v>90012428</v>
          </cell>
          <cell r="G3823" t="str">
            <v>Lesly Alejandra Urbina Chojolan</v>
          </cell>
        </row>
        <row r="3824">
          <cell r="F3824">
            <v>90013944</v>
          </cell>
          <cell r="G3824" t="str">
            <v>KARLA ROSARIO MARTINEZ SOTO</v>
          </cell>
        </row>
        <row r="3825">
          <cell r="F3825">
            <v>316240</v>
          </cell>
          <cell r="G3825" t="str">
            <v>WILMER GUILLERMO PEREZ CHAY</v>
          </cell>
        </row>
        <row r="3826">
          <cell r="F3826">
            <v>90014151</v>
          </cell>
          <cell r="G3826" t="str">
            <v>ANDERSON NOE MORALES MARROQUIN</v>
          </cell>
        </row>
        <row r="3827">
          <cell r="F3827">
            <v>90013720</v>
          </cell>
          <cell r="G3827" t="str">
            <v>OBED DANIEL RAMIREZ FUENTES</v>
          </cell>
        </row>
        <row r="3828">
          <cell r="F3828">
            <v>90012315</v>
          </cell>
          <cell r="G3828" t="str">
            <v>Lorenzo Antonio Herrera Tobar</v>
          </cell>
        </row>
        <row r="3829">
          <cell r="F3829">
            <v>90013833</v>
          </cell>
          <cell r="G3829" t="str">
            <v>Melane Alejandra Contreras Sicajan</v>
          </cell>
        </row>
        <row r="3830">
          <cell r="F3830">
            <v>90018997</v>
          </cell>
          <cell r="G3830" t="str">
            <v>Daniel Uvaldo Barreno Meneses</v>
          </cell>
        </row>
        <row r="3831">
          <cell r="F3831">
            <v>90014269</v>
          </cell>
          <cell r="G3831" t="str">
            <v>Lusvin Ariel Villacinda Flores</v>
          </cell>
        </row>
        <row r="3832">
          <cell r="F3832" t="str">
            <v>N/A</v>
          </cell>
          <cell r="G3832" t="str">
            <v>N/A</v>
          </cell>
        </row>
        <row r="3833">
          <cell r="F3833">
            <v>90014281</v>
          </cell>
          <cell r="G3833" t="str">
            <v>MARIO EMANUEL DE JESUS MENDOZA</v>
          </cell>
        </row>
        <row r="3834">
          <cell r="F3834">
            <v>316053</v>
          </cell>
          <cell r="G3834" t="str">
            <v>ANA LETICIA PAAU OXOM</v>
          </cell>
        </row>
        <row r="3835">
          <cell r="F3835">
            <v>315985</v>
          </cell>
          <cell r="G3835" t="str">
            <v>PEDRO ELIAS POP CAAL</v>
          </cell>
        </row>
        <row r="3836">
          <cell r="F3836">
            <v>90009270</v>
          </cell>
          <cell r="G3836" t="str">
            <v>Laura Yessenia Trabanino Interiano</v>
          </cell>
        </row>
        <row r="3837">
          <cell r="F3837">
            <v>315809</v>
          </cell>
          <cell r="G3837" t="str">
            <v>MARIA DOLORES VICTORIA TZOC BEB</v>
          </cell>
        </row>
        <row r="3838">
          <cell r="F3838">
            <v>90009269</v>
          </cell>
          <cell r="G3838" t="str">
            <v>WENDY MISHEL CONTRERAS MARTINEZ</v>
          </cell>
        </row>
        <row r="3839">
          <cell r="F3839">
            <v>90013521</v>
          </cell>
          <cell r="G3839" t="str">
            <v>CAREN ANTONIA SOTO JIMENEZ</v>
          </cell>
        </row>
        <row r="3840">
          <cell r="F3840">
            <v>316124</v>
          </cell>
          <cell r="G3840" t="str">
            <v>HENRY DAVID CORONADO GOMEZ</v>
          </cell>
        </row>
        <row r="3841">
          <cell r="F3841">
            <v>90009271</v>
          </cell>
          <cell r="G3841" t="str">
            <v>SENDER YANEZ</v>
          </cell>
        </row>
        <row r="3842">
          <cell r="F3842">
            <v>316000</v>
          </cell>
          <cell r="G3842" t="str">
            <v>MARLON SAUL CAAL GIRON</v>
          </cell>
        </row>
        <row r="3843">
          <cell r="F3843">
            <v>316423</v>
          </cell>
          <cell r="G3843" t="str">
            <v>JUAN CARLOS EMANUEL CRUZ CO</v>
          </cell>
        </row>
        <row r="3844">
          <cell r="F3844">
            <v>316273</v>
          </cell>
          <cell r="G3844" t="str">
            <v>FEDERICO ANTONIO COC CHOC</v>
          </cell>
        </row>
        <row r="3845">
          <cell r="F3845">
            <v>90014168</v>
          </cell>
          <cell r="G3845" t="str">
            <v>MIGUEL EUDILIO SABAN LOPEZ</v>
          </cell>
        </row>
        <row r="3846">
          <cell r="F3846">
            <v>316424</v>
          </cell>
          <cell r="G3846" t="str">
            <v>HENRY DAVID CORONADO GOMEZ</v>
          </cell>
        </row>
        <row r="3847">
          <cell r="F3847">
            <v>90013726</v>
          </cell>
          <cell r="G3847" t="str">
            <v>EUFEMIA MAZARIEGOS SANCHEZ</v>
          </cell>
        </row>
        <row r="3848">
          <cell r="F3848">
            <v>900015498</v>
          </cell>
          <cell r="G3848" t="str">
            <v>RODOLFO ANTONIO CHIQUIN REYES</v>
          </cell>
        </row>
        <row r="3849">
          <cell r="F3849">
            <v>90009264</v>
          </cell>
          <cell r="G3849" t="str">
            <v>RANDY ALEXIS TUT CUNIL</v>
          </cell>
        </row>
        <row r="3850">
          <cell r="F3850">
            <v>90014229</v>
          </cell>
          <cell r="G3850" t="str">
            <v>Candy Mayerli Salazar Rodriguez</v>
          </cell>
        </row>
        <row r="3851">
          <cell r="F3851">
            <v>90012459</v>
          </cell>
          <cell r="G3851" t="str">
            <v>Gewerson Josias Caal Coc</v>
          </cell>
        </row>
        <row r="3852">
          <cell r="F3852">
            <v>90010411</v>
          </cell>
          <cell r="G3852" t="str">
            <v>Claudia Liliana Munoz Jimenez</v>
          </cell>
        </row>
        <row r="3853">
          <cell r="F3853">
            <v>315812</v>
          </cell>
          <cell r="G3853" t="str">
            <v>JOSUE FELIPE LOPEZ TOJIN</v>
          </cell>
        </row>
        <row r="3854">
          <cell r="F3854">
            <v>316379</v>
          </cell>
          <cell r="G3854" t="str">
            <v>LOURDES MAYARI RAMIREZ RAMIREZ</v>
          </cell>
        </row>
        <row r="3855">
          <cell r="F3855">
            <v>315619</v>
          </cell>
          <cell r="G3855" t="str">
            <v>VIVIAN RODRIGUEZ</v>
          </cell>
        </row>
        <row r="3856">
          <cell r="F3856">
            <v>90009268</v>
          </cell>
          <cell r="G3856" t="str">
            <v>Yosselin Baleska Garcia Valdez</v>
          </cell>
        </row>
        <row r="3857">
          <cell r="F3857">
            <v>315862</v>
          </cell>
          <cell r="G3857" t="str">
            <v xml:space="preserve">KARLA LISBETT REYES PEREZ </v>
          </cell>
        </row>
        <row r="3858">
          <cell r="F3858">
            <v>316320</v>
          </cell>
          <cell r="G3858" t="str">
            <v>GONZALO PEREZ MIGUEL</v>
          </cell>
        </row>
        <row r="3859">
          <cell r="F3859">
            <v>316225</v>
          </cell>
          <cell r="G3859" t="str">
            <v xml:space="preserve">JACKELINE NAYELI MIGUEL DIAZ </v>
          </cell>
        </row>
        <row r="3860">
          <cell r="F3860">
            <v>316096</v>
          </cell>
          <cell r="G3860" t="str">
            <v>YENIFER DEL CARMEN PEREZ ALDANA</v>
          </cell>
        </row>
        <row r="3861">
          <cell r="F3861">
            <v>316218</v>
          </cell>
          <cell r="G3861" t="str">
            <v>HEILYN EUNICE RAMIREZ FLORIAN</v>
          </cell>
        </row>
        <row r="3862">
          <cell r="F3862">
            <v>316255</v>
          </cell>
          <cell r="G3862" t="str">
            <v>ANGELICA ISABELVELASQUEZ QUINTANILLA</v>
          </cell>
        </row>
        <row r="3863">
          <cell r="F3863">
            <v>315855</v>
          </cell>
          <cell r="G3863" t="str">
            <v>JASON RODOLFO JUAREZ BARRERA</v>
          </cell>
        </row>
        <row r="3864">
          <cell r="F3864">
            <v>315877</v>
          </cell>
          <cell r="G3864" t="str">
            <v>AURA CECILIA GREGORIO ASENCIO</v>
          </cell>
        </row>
        <row r="3865">
          <cell r="F3865">
            <v>90009267</v>
          </cell>
          <cell r="G3865" t="str">
            <v xml:space="preserve">DANIEL HUMBERTO MORALES CERVANTES </v>
          </cell>
        </row>
        <row r="3866">
          <cell r="F3866">
            <v>316304</v>
          </cell>
          <cell r="G3866" t="str">
            <v>VICTOR MANUEL DE LA CRUZ XITUMUL</v>
          </cell>
        </row>
        <row r="3867">
          <cell r="F3867">
            <v>90015498</v>
          </cell>
          <cell r="G3867" t="str">
            <v>RODOLFO ANTONIO CHIQUIN REYES</v>
          </cell>
        </row>
        <row r="3868">
          <cell r="F3868">
            <v>90018946</v>
          </cell>
          <cell r="G3868" t="str">
            <v xml:space="preserve">MARVELI BEBERLIN LOPEZ PEREZ </v>
          </cell>
        </row>
        <row r="3869">
          <cell r="F3869">
            <v>90015826</v>
          </cell>
          <cell r="G3869" t="str">
            <v>VIDALIA VANESSA MORALES PLEITEZ</v>
          </cell>
        </row>
        <row r="3870">
          <cell r="F3870">
            <v>315810</v>
          </cell>
          <cell r="G3870" t="str">
            <v>MAGDA MO</v>
          </cell>
        </row>
        <row r="3871">
          <cell r="F3871">
            <v>315799</v>
          </cell>
          <cell r="G3871" t="str">
            <v>YOSELIN PAOLA CASTILLO GUE</v>
          </cell>
        </row>
        <row r="3872">
          <cell r="F3872">
            <v>315975</v>
          </cell>
          <cell r="G3872" t="str">
            <v>ELIAS ISAAC GUEVARA HERNANDEZ</v>
          </cell>
        </row>
        <row r="3873">
          <cell r="F3873">
            <v>316151</v>
          </cell>
          <cell r="G3873" t="str">
            <v xml:space="preserve">KAROL MELINA MONTERROSO MARTIN </v>
          </cell>
        </row>
        <row r="3874">
          <cell r="F3874">
            <v>315617</v>
          </cell>
          <cell r="G3874" t="str">
            <v>LESTER MAURICIO PEREZ MARTINEZ</v>
          </cell>
        </row>
        <row r="3875">
          <cell r="F3875">
            <v>315859</v>
          </cell>
          <cell r="G3875" t="str">
            <v>CLAUDIA ROXANA BEB AC</v>
          </cell>
        </row>
        <row r="3876">
          <cell r="F3876">
            <v>316316</v>
          </cell>
          <cell r="G3876" t="str">
            <v>ALIDA ELIZABETH CAJ AMALEM</v>
          </cell>
        </row>
        <row r="3877">
          <cell r="F3877">
            <v>90009273</v>
          </cell>
          <cell r="G3877" t="str">
            <v>SILVIA ARACELY TZIU POP</v>
          </cell>
        </row>
        <row r="3878">
          <cell r="F3878">
            <v>316140</v>
          </cell>
          <cell r="G3878" t="str">
            <v>Daniel Alberto Alaya Guzman</v>
          </cell>
        </row>
        <row r="3879">
          <cell r="F3879">
            <v>90024066</v>
          </cell>
          <cell r="G3879" t="str">
            <v>Andrea Georgina Orellana Oliva</v>
          </cell>
        </row>
        <row r="3880">
          <cell r="F3880">
            <v>316360</v>
          </cell>
          <cell r="G3880" t="str">
            <v xml:space="preserve">IRMA MICHEL TOBAR NAJARRO </v>
          </cell>
        </row>
        <row r="3881">
          <cell r="F3881">
            <v>90024501</v>
          </cell>
          <cell r="G3881" t="str">
            <v xml:space="preserve">EDVIN ESTUARDO REVOLORIO MARROQUIN </v>
          </cell>
        </row>
        <row r="3882">
          <cell r="F3882">
            <v>90023865</v>
          </cell>
          <cell r="G3882" t="str">
            <v>BENITO ABAD JIMENEZ CARRILLO</v>
          </cell>
        </row>
        <row r="3883">
          <cell r="F3883">
            <v>90024074</v>
          </cell>
          <cell r="G3883" t="str">
            <v>KATHERINE MARIA JOSE ECHEVERRIA ERAZO</v>
          </cell>
        </row>
        <row r="3884">
          <cell r="F3884">
            <v>90023754</v>
          </cell>
          <cell r="G3884" t="str">
            <v>ABNER ELIAS PEC ICAL</v>
          </cell>
        </row>
        <row r="3885">
          <cell r="F3885">
            <v>90016326</v>
          </cell>
          <cell r="G3885" t="str">
            <v>BRENDA YESENIA MONROY AMADO</v>
          </cell>
        </row>
        <row r="3886">
          <cell r="F3886">
            <v>90024328</v>
          </cell>
          <cell r="G3886" t="str">
            <v>GABRIELA FERNANDA RUIZ CERVANTES</v>
          </cell>
        </row>
        <row r="3887">
          <cell r="F3887">
            <v>90024495</v>
          </cell>
          <cell r="G3887" t="str">
            <v>JAZMIN ESTEFANIE RIOS FLORES</v>
          </cell>
        </row>
        <row r="3888">
          <cell r="F3888">
            <v>90025188</v>
          </cell>
          <cell r="G3888" t="str">
            <v>SINDY GABRIELA RIVAS OCHOA</v>
          </cell>
        </row>
        <row r="3889">
          <cell r="F3889">
            <v>90023754</v>
          </cell>
          <cell r="G3889" t="str">
            <v>ABNER ELIAS PEC ICAL</v>
          </cell>
        </row>
        <row r="3890">
          <cell r="F3890">
            <v>90028655</v>
          </cell>
          <cell r="G3890" t="str">
            <v xml:space="preserve">INGRID JENIFER RECINOS RAMIREZ </v>
          </cell>
        </row>
        <row r="3891">
          <cell r="F3891">
            <v>90024122</v>
          </cell>
          <cell r="G3891" t="str">
            <v>ONEIDA MARISELA REYES CUC</v>
          </cell>
        </row>
        <row r="3892">
          <cell r="F3892">
            <v>315709</v>
          </cell>
          <cell r="G3892" t="str">
            <v>ROBIN DANIEL NIMACACHI TERET</v>
          </cell>
        </row>
        <row r="3893">
          <cell r="F3893">
            <v>90025190</v>
          </cell>
          <cell r="G3893" t="str">
            <v>JOSE LEONEL ABAC ORELLANA</v>
          </cell>
        </row>
        <row r="3894">
          <cell r="F3894">
            <v>90027833</v>
          </cell>
          <cell r="G3894" t="str">
            <v>Dulce Flor Jor Rax</v>
          </cell>
        </row>
        <row r="3895">
          <cell r="F3895">
            <v>90024412</v>
          </cell>
          <cell r="G3895" t="str">
            <v>ANGEL ALFONSO PEREZ VELASQUEZ</v>
          </cell>
        </row>
        <row r="3896">
          <cell r="F3896">
            <v>90028954</v>
          </cell>
          <cell r="G3896" t="str">
            <v xml:space="preserve">JONATAN MAREL GUERRA GUERRA </v>
          </cell>
        </row>
        <row r="3897">
          <cell r="F3897">
            <v>90025533</v>
          </cell>
          <cell r="G3897" t="str">
            <v xml:space="preserve">DENIS RAFAEL TUT CUCUL </v>
          </cell>
        </row>
        <row r="3898">
          <cell r="F3898">
            <v>90027823</v>
          </cell>
          <cell r="G3898" t="str">
            <v xml:space="preserve">FRANCISCO MIGUEL JORDAN LOPEZ </v>
          </cell>
        </row>
        <row r="3899">
          <cell r="F3899">
            <v>90027821</v>
          </cell>
          <cell r="G3899" t="str">
            <v>Merlin Areli Gomez Sagastume</v>
          </cell>
        </row>
        <row r="3900">
          <cell r="F3900">
            <v>90033087</v>
          </cell>
          <cell r="G3900" t="str">
            <v xml:space="preserve">LEIDY NATALIA HERNANDEZ LOPEZ </v>
          </cell>
        </row>
        <row r="3901">
          <cell r="F3901">
            <v>90034086</v>
          </cell>
          <cell r="G3901" t="str">
            <v>MIGDAEL JOSUE LOPEZ PINTO</v>
          </cell>
        </row>
        <row r="3902">
          <cell r="F3902">
            <v>90033088</v>
          </cell>
          <cell r="G3902" t="str">
            <v>Cinthia Andreina Valenzuela Lima</v>
          </cell>
        </row>
        <row r="3903">
          <cell r="F3903">
            <v>90033665</v>
          </cell>
          <cell r="G3903" t="str">
            <v>MAYLIN GUERRA</v>
          </cell>
        </row>
        <row r="3904">
          <cell r="F3904">
            <v>90034445</v>
          </cell>
          <cell r="G3904" t="str">
            <v>LESTER ALAIN ALVARADO MORALES</v>
          </cell>
        </row>
        <row r="3905">
          <cell r="F3905">
            <v>90033335</v>
          </cell>
          <cell r="G3905" t="str">
            <v>MARLENE RUBY SIERRA GONZALEZ</v>
          </cell>
        </row>
        <row r="3906">
          <cell r="F3906">
            <v>90033500</v>
          </cell>
          <cell r="G3906" t="str">
            <v>Vivian Vanessa Sintuj Giron</v>
          </cell>
        </row>
        <row r="3907">
          <cell r="F3907">
            <v>90034868</v>
          </cell>
          <cell r="G3907" t="str">
            <v>Marilyn Anayanci Gonzalez James</v>
          </cell>
        </row>
        <row r="3908">
          <cell r="F3908">
            <v>90033763</v>
          </cell>
          <cell r="G3908" t="str">
            <v>Estefany Melissa Gutierrez Franco</v>
          </cell>
        </row>
        <row r="3909">
          <cell r="F3909">
            <v>90028724</v>
          </cell>
          <cell r="G3909" t="str">
            <v>MARILYN AMELY CU QUIB</v>
          </cell>
        </row>
        <row r="3910">
          <cell r="F3910">
            <v>90038417</v>
          </cell>
          <cell r="G3910" t="str">
            <v>VANESSA MARIA LILI MIGUEL INTERIANO</v>
          </cell>
        </row>
        <row r="3911">
          <cell r="F3911">
            <v>90028367</v>
          </cell>
          <cell r="G3911" t="str">
            <v>MARIA DEL CARMEN ICAL PUTUL</v>
          </cell>
        </row>
        <row r="3912">
          <cell r="F3912">
            <v>90034140</v>
          </cell>
          <cell r="G3912" t="str">
            <v>OSVIN ARIEL RAMRIREZ COY</v>
          </cell>
        </row>
        <row r="3913">
          <cell r="F3913">
            <v>90038604</v>
          </cell>
          <cell r="G3913" t="str">
            <v>DAILY TATIANA GODOY AGUILAR</v>
          </cell>
        </row>
        <row r="3914">
          <cell r="F3914">
            <v>90033871</v>
          </cell>
          <cell r="G3914" t="str">
            <v>MORELIA ESPERANZA PAAU MELENDEZ</v>
          </cell>
        </row>
        <row r="3915">
          <cell r="F3915">
            <v>90034941</v>
          </cell>
          <cell r="G3915" t="str">
            <v>SANDRA MARISOL CASTRO ORTIZ</v>
          </cell>
        </row>
        <row r="3916">
          <cell r="F3916">
            <v>90034374</v>
          </cell>
          <cell r="G3916" t="str">
            <v>ZONIA ESPERANZA CHOC REYES</v>
          </cell>
        </row>
        <row r="3917">
          <cell r="F3917">
            <v>90033870</v>
          </cell>
          <cell r="G3917" t="str">
            <v>JOSELYN FABIOLA LUCERO VANEGAS</v>
          </cell>
        </row>
        <row r="3918">
          <cell r="F3918">
            <v>90033656</v>
          </cell>
          <cell r="G3918" t="str">
            <v xml:space="preserve">JORGE DANIEL NERIO REYES </v>
          </cell>
        </row>
        <row r="3919">
          <cell r="F3919">
            <v>90034026</v>
          </cell>
          <cell r="G3919" t="str">
            <v>ANDREA CAMILA MAYORGA MARTINEZ</v>
          </cell>
        </row>
        <row r="3920">
          <cell r="F3920">
            <v>90034447</v>
          </cell>
          <cell r="G3920" t="str">
            <v>PAOLA NOELI AX CU</v>
          </cell>
        </row>
        <row r="3921">
          <cell r="F3921">
            <v>90038946</v>
          </cell>
          <cell r="G3921" t="str">
            <v>ROSA EMILSI TEO SALAZAR</v>
          </cell>
        </row>
        <row r="3922">
          <cell r="F3922">
            <v>90040467</v>
          </cell>
          <cell r="G3922" t="str">
            <v xml:space="preserve">MONICA LAJ DE LA CRUZ </v>
          </cell>
        </row>
        <row r="3923">
          <cell r="F3923">
            <v>90039328</v>
          </cell>
          <cell r="G3923" t="str">
            <v>LIBNI MADAI LOPEZ GOMEZ</v>
          </cell>
        </row>
        <row r="3924">
          <cell r="F3924">
            <v>90034565</v>
          </cell>
          <cell r="G3924" t="str">
            <v>Emely Raquel Reyes Bremer</v>
          </cell>
        </row>
        <row r="3925">
          <cell r="F3925">
            <v>90040440</v>
          </cell>
          <cell r="G3925" t="str">
            <v>ERICKA CAROLINA DIAZ HERNANDEZ</v>
          </cell>
        </row>
        <row r="3926">
          <cell r="F3926">
            <v>90040435</v>
          </cell>
          <cell r="G3926" t="str">
            <v xml:space="preserve">DEILY NOELI RAMIREZ VILLELA </v>
          </cell>
        </row>
        <row r="3927">
          <cell r="F3927">
            <v>90038373</v>
          </cell>
          <cell r="G3927" t="str">
            <v>BRYAN SLEYTER COY TERCERO</v>
          </cell>
        </row>
        <row r="3928">
          <cell r="F3928">
            <v>316486</v>
          </cell>
          <cell r="G3928" t="str">
            <v>MIGUEL RODRIGO GONZALEZ RAMIREZ</v>
          </cell>
        </row>
        <row r="3929">
          <cell r="F3929">
            <v>90028608</v>
          </cell>
          <cell r="G3929" t="str">
            <v>Erlin Roberto Xec Angulo</v>
          </cell>
        </row>
        <row r="3930">
          <cell r="F3930">
            <v>90035174</v>
          </cell>
          <cell r="G3930" t="str">
            <v>VALERIA LUCIA ESCOBAR MAZARIEGOS</v>
          </cell>
        </row>
        <row r="3931">
          <cell r="F3931">
            <v>90028187</v>
          </cell>
          <cell r="G3931" t="str">
            <v>MIRELLI RAMIREZ</v>
          </cell>
        </row>
        <row r="3932">
          <cell r="F3932">
            <v>90028638</v>
          </cell>
          <cell r="G3932" t="str">
            <v>LUIS CARLOS ROBERTO MORALES LOPEZ</v>
          </cell>
        </row>
        <row r="3933">
          <cell r="F3933">
            <v>90013782</v>
          </cell>
          <cell r="G3933" t="str">
            <v>WILLIAMS JOSE GALVEZ JORDAN</v>
          </cell>
        </row>
        <row r="3934">
          <cell r="F3934">
            <v>90024235</v>
          </cell>
          <cell r="G3934" t="str">
            <v>JASON ALBERTO BOLAÑOS GUTIERREZ</v>
          </cell>
        </row>
        <row r="3935">
          <cell r="F3935">
            <v>315925</v>
          </cell>
          <cell r="G3935" t="str">
            <v>JOSTHYN RAUL PARDO OBREGON</v>
          </cell>
        </row>
        <row r="3936">
          <cell r="F3936">
            <v>90028638</v>
          </cell>
          <cell r="G3936" t="str">
            <v>LUIS CARLOS ROBERTO MORALES LOPEZ</v>
          </cell>
        </row>
        <row r="3937">
          <cell r="F3937">
            <v>90039021</v>
          </cell>
          <cell r="G3937" t="str">
            <v>NICOLAS CHUC GARCIA</v>
          </cell>
        </row>
        <row r="3938">
          <cell r="F3938">
            <v>90034859</v>
          </cell>
          <cell r="G3938" t="str">
            <v xml:space="preserve">LESLY JULISA CORDON MUJO </v>
          </cell>
        </row>
        <row r="3939">
          <cell r="F3939">
            <v>90025666</v>
          </cell>
          <cell r="G3939" t="str">
            <v>PAULY MARTINA TOJ</v>
          </cell>
        </row>
        <row r="3940">
          <cell r="F3940">
            <v>90019011</v>
          </cell>
          <cell r="G3940" t="str">
            <v xml:space="preserve">ANGEL JOEL CASTRO COSAJAY </v>
          </cell>
        </row>
        <row r="3941">
          <cell r="F3941">
            <v>90038408</v>
          </cell>
          <cell r="G3941" t="str">
            <v>RUBEN ESTUARDO DONIS CHACON</v>
          </cell>
        </row>
        <row r="3942">
          <cell r="F3942">
            <v>90018838</v>
          </cell>
          <cell r="G3942" t="str">
            <v>PERLA ESPERANZA ORDOÑEZ ZULETA</v>
          </cell>
        </row>
        <row r="3943">
          <cell r="F3943">
            <v>90040904</v>
          </cell>
          <cell r="G3943" t="str">
            <v>Stacy Guadalupe Ramirez Mendoza</v>
          </cell>
        </row>
        <row r="3944">
          <cell r="F3944">
            <v>90040813</v>
          </cell>
          <cell r="G3944" t="str">
            <v>MIRZA KARINA PALMA MARROQUIN</v>
          </cell>
        </row>
        <row r="3945">
          <cell r="F3945">
            <v>90009250</v>
          </cell>
          <cell r="G3945" t="str">
            <v>YOSELIN YESENIA PEREZ JIMENEZ</v>
          </cell>
        </row>
        <row r="3946">
          <cell r="F3946">
            <v>90024632</v>
          </cell>
          <cell r="G3946" t="str">
            <v xml:space="preserve">ERICKA ESPERANZA SANDOVAL HERNANDEZ </v>
          </cell>
        </row>
        <row r="3947">
          <cell r="F3947">
            <v>90028491</v>
          </cell>
          <cell r="G3947" t="str">
            <v>ADOLFO RAFAEL SEGOVIA QUEZADA</v>
          </cell>
        </row>
        <row r="3948">
          <cell r="F3948">
            <v>90013719</v>
          </cell>
          <cell r="G3948" t="str">
            <v xml:space="preserve">MÓNICA CAROLINA LIMA CIFUENTES </v>
          </cell>
        </row>
        <row r="3949">
          <cell r="F3949">
            <v>90039301</v>
          </cell>
          <cell r="G3949" t="str">
            <v>GABBY MARIETT PAMELA BAUTISTA BAUTISTA</v>
          </cell>
        </row>
        <row r="3950">
          <cell r="F3950">
            <v>90046255</v>
          </cell>
          <cell r="G3950" t="str">
            <v xml:space="preserve">VICTOR HUGO FUENTES ORTIZ </v>
          </cell>
        </row>
        <row r="3951">
          <cell r="F3951">
            <v>90024719</v>
          </cell>
          <cell r="G3951" t="str">
            <v>CRISTOPHER JOSUE CHANQUI FLORES</v>
          </cell>
        </row>
        <row r="3952">
          <cell r="F3952">
            <v>315841</v>
          </cell>
          <cell r="G3952" t="str">
            <v>LESBIA ROXANA ROJAS CASTRO</v>
          </cell>
        </row>
        <row r="3953">
          <cell r="F3953">
            <v>90039124</v>
          </cell>
          <cell r="G3953" t="str">
            <v>PABLO JAVIER REINOSA FUENTES</v>
          </cell>
        </row>
        <row r="3954">
          <cell r="F3954">
            <v>90039330</v>
          </cell>
          <cell r="G3954" t="str">
            <v>Diana Ivon Aguilar Gonzalez</v>
          </cell>
        </row>
        <row r="3955">
          <cell r="F3955">
            <v>315555</v>
          </cell>
          <cell r="G3955" t="str">
            <v>ELISEO CARRILLO MACARIO</v>
          </cell>
        </row>
        <row r="3956">
          <cell r="F3956">
            <v>90039321</v>
          </cell>
          <cell r="G3956" t="str">
            <v>ASHLEY MELISSA MEDINA RODRIGUEZ</v>
          </cell>
        </row>
        <row r="3957">
          <cell r="F3957">
            <v>90023868</v>
          </cell>
          <cell r="G3957" t="str">
            <v>FERNANDO RENE GIL DE LEON</v>
          </cell>
        </row>
        <row r="3958">
          <cell r="F3958">
            <v>315657</v>
          </cell>
          <cell r="G3958" t="str">
            <v>HUGO EZEQUIEL GUEVARA GÓMEZ</v>
          </cell>
        </row>
        <row r="3959">
          <cell r="F3959">
            <v>90012180</v>
          </cell>
          <cell r="G3959" t="str">
            <v xml:space="preserve">CINDY MAYROBY OSCAL QUIÑONEZ </v>
          </cell>
        </row>
        <row r="3960">
          <cell r="F3960">
            <v>90015631</v>
          </cell>
          <cell r="G3960" t="str">
            <v>JEISSY DARIELA CASTELLANOS HERNANDEZ</v>
          </cell>
        </row>
        <row r="3961">
          <cell r="F3961">
            <v>90040461</v>
          </cell>
          <cell r="G3961" t="str">
            <v>JONATHAN FERNANDO GOMEZ VILLATORO</v>
          </cell>
        </row>
        <row r="3962">
          <cell r="F3962">
            <v>90028732</v>
          </cell>
          <cell r="G3962" t="str">
            <v>XAVIER ALEJANDRO RAMIREZ DIAZ</v>
          </cell>
        </row>
        <row r="3963">
          <cell r="F3963">
            <v>90040627</v>
          </cell>
          <cell r="G3963" t="str">
            <v>JOSE LEON CHOGUAJ TOJIN</v>
          </cell>
        </row>
        <row r="3964">
          <cell r="F3964">
            <v>90034563</v>
          </cell>
          <cell r="G3964" t="str">
            <v>MARIA VICTORIA MONTENEGRO SARPEC</v>
          </cell>
        </row>
        <row r="3965">
          <cell r="F3965">
            <v>90015630</v>
          </cell>
          <cell r="G3965" t="str">
            <v>MAURICIO LEON RUANO</v>
          </cell>
        </row>
        <row r="3966">
          <cell r="F3966">
            <v>90035252</v>
          </cell>
          <cell r="G3966" t="str">
            <v>Antony Steven Cabrera Muñoz</v>
          </cell>
        </row>
        <row r="3967">
          <cell r="F3967">
            <v>90045911</v>
          </cell>
          <cell r="G3967" t="str">
            <v>Josue Antonio Avila Cuxe</v>
          </cell>
        </row>
        <row r="3968">
          <cell r="F3968">
            <v>90039162</v>
          </cell>
          <cell r="G3968" t="str">
            <v xml:space="preserve">ALICIA MICHELLE ESTRADA REVOLORIO </v>
          </cell>
        </row>
        <row r="3969">
          <cell r="F3969">
            <v>90046332</v>
          </cell>
          <cell r="G3969" t="str">
            <v>DULCE MISHELL ALVARADO TOVAR</v>
          </cell>
        </row>
        <row r="3970">
          <cell r="F3970">
            <v>90048446</v>
          </cell>
          <cell r="G3970" t="str">
            <v>JENNIE JULIECITA GONZALEZ SANCHEZ</v>
          </cell>
        </row>
        <row r="3971">
          <cell r="F3971">
            <v>90040567</v>
          </cell>
          <cell r="G3971" t="str">
            <v>Walter Alberto Gomez Ojot</v>
          </cell>
        </row>
        <row r="3972">
          <cell r="F3972">
            <v>90040767</v>
          </cell>
          <cell r="G3972" t="str">
            <v xml:space="preserve">JOSELIN GABRIELA VASQUEZ VIVAS </v>
          </cell>
        </row>
        <row r="3973">
          <cell r="F3973">
            <v>90049488</v>
          </cell>
          <cell r="G3973" t="str">
            <v>JOSE FERNANDO HERNANDEZ ELIAS</v>
          </cell>
        </row>
        <row r="3974">
          <cell r="F3974">
            <v>90046884</v>
          </cell>
          <cell r="G3974" t="str">
            <v>NORMAN ALEXANDER CHINCHILLA OLMEDO</v>
          </cell>
        </row>
        <row r="3975">
          <cell r="F3975">
            <v>90048444</v>
          </cell>
          <cell r="G3975" t="str">
            <v>KATHERYN ELIZABETH BLANCO ECHEVERRIA</v>
          </cell>
        </row>
        <row r="3976">
          <cell r="F3976">
            <v>90021357</v>
          </cell>
          <cell r="G3976" t="str">
            <v>SANDRA MARICELA HERNANDEZ AVAL</v>
          </cell>
        </row>
        <row r="3977">
          <cell r="F3977">
            <v>307506</v>
          </cell>
          <cell r="G3977" t="str">
            <v>AXEL JONATHAN CASH MENDEZ</v>
          </cell>
        </row>
        <row r="3978">
          <cell r="F3978">
            <v>90049421</v>
          </cell>
          <cell r="G3978" t="str">
            <v>MARVIN ROLANDO FUENTES AGUILAR</v>
          </cell>
        </row>
        <row r="3979">
          <cell r="F3979">
            <v>90051364</v>
          </cell>
          <cell r="G3979" t="str">
            <v>Doris Yanali Cancinos Mejia</v>
          </cell>
        </row>
        <row r="3980">
          <cell r="F3980">
            <v>90050054</v>
          </cell>
          <cell r="G3980" t="str">
            <v>ALEXIS FRANCISCO MARTINEZ QUEME</v>
          </cell>
        </row>
        <row r="3981">
          <cell r="F3981">
            <v>90049072</v>
          </cell>
          <cell r="G3981" t="str">
            <v>DAILY YAMILETH DEL CID VASQUEZ</v>
          </cell>
        </row>
        <row r="3982">
          <cell r="F3982">
            <v>90050146</v>
          </cell>
          <cell r="G3982" t="str">
            <v>WENDY ARACELY MARROQUIN ARIAS</v>
          </cell>
        </row>
        <row r="3983">
          <cell r="F3983">
            <v>90050413</v>
          </cell>
          <cell r="G3983" t="str">
            <v>KAREN JAZMIN RUBIO GALVEZ</v>
          </cell>
        </row>
        <row r="3984">
          <cell r="F3984">
            <v>90033288</v>
          </cell>
          <cell r="G3984" t="str">
            <v>SINTHIA SARAI ACEITUNO GUERRERO</v>
          </cell>
        </row>
        <row r="3985">
          <cell r="F3985">
            <v>90048461</v>
          </cell>
          <cell r="G3985" t="str">
            <v>EVELYN PAOLA ESTEBAN BENITO</v>
          </cell>
        </row>
        <row r="3986">
          <cell r="F3986">
            <v>90046994</v>
          </cell>
          <cell r="G3986" t="str">
            <v>AMANDA MAGALY MORALES PEREZ</v>
          </cell>
        </row>
        <row r="3987">
          <cell r="F3987">
            <v>90033492</v>
          </cell>
          <cell r="G3987" t="str">
            <v>YURI ELIZABETH GONON PRETZANZIN</v>
          </cell>
        </row>
        <row r="3988">
          <cell r="F3988">
            <v>90059958</v>
          </cell>
          <cell r="G3988" t="str">
            <v xml:space="preserve">DALIA RACHEL FIGUEROA ELIAS </v>
          </cell>
        </row>
        <row r="3989">
          <cell r="F3989">
            <v>90049807</v>
          </cell>
          <cell r="G3989" t="str">
            <v>KAREN CELESTE SILVA SALOMON</v>
          </cell>
        </row>
        <row r="3990">
          <cell r="F3990">
            <v>90049905</v>
          </cell>
          <cell r="G3990" t="str">
            <v>Rivaldo Tucubal Benites</v>
          </cell>
        </row>
        <row r="3991">
          <cell r="F3991">
            <v>315870</v>
          </cell>
          <cell r="G3991" t="str">
            <v>ADOLFO RONALDO ALFARO RIVERA</v>
          </cell>
        </row>
        <row r="3992">
          <cell r="F3992">
            <v>90060252</v>
          </cell>
          <cell r="G3992" t="str">
            <v>ANALLELY ALEXANDRA CAMPOS HERNANDEZ</v>
          </cell>
        </row>
        <row r="3993">
          <cell r="F3993">
            <v>90051367</v>
          </cell>
          <cell r="G3993" t="str">
            <v>JOSEFA PACAY RAMIREZ</v>
          </cell>
        </row>
        <row r="3994">
          <cell r="F3994">
            <v>90048797</v>
          </cell>
          <cell r="G3994" t="str">
            <v>Edson Fernando Segura Chocop</v>
          </cell>
        </row>
        <row r="3995">
          <cell r="F3995">
            <v>90049903</v>
          </cell>
          <cell r="G3995" t="str">
            <v>JOSE RAFAEL GARCIA RAMIREZ</v>
          </cell>
        </row>
        <row r="3996">
          <cell r="F3996">
            <v>90048711</v>
          </cell>
          <cell r="G3996" t="str">
            <v>MIRZA ROCIO GALICIA CASIMIRO</v>
          </cell>
        </row>
        <row r="3997">
          <cell r="F3997">
            <v>309415</v>
          </cell>
          <cell r="G3997" t="str">
            <v>ANGEL JOSE FIGUEROA GARCIA</v>
          </cell>
        </row>
        <row r="3998">
          <cell r="F3998">
            <v>90035128</v>
          </cell>
          <cell r="G3998" t="str">
            <v>PAOLA ALEJANDRA MONZON PANIAGUA</v>
          </cell>
        </row>
        <row r="3999">
          <cell r="F3999">
            <v>90062502</v>
          </cell>
          <cell r="G3999" t="str">
            <v>ILSY PAULINA CALDERON MAZARIEGOS</v>
          </cell>
        </row>
        <row r="4000">
          <cell r="F4000">
            <v>90063413</v>
          </cell>
          <cell r="G4000" t="str">
            <v>HECTOR ENRIQUE LAVARREDA VASQUEZ</v>
          </cell>
        </row>
        <row r="4001">
          <cell r="F4001">
            <v>90040281</v>
          </cell>
          <cell r="G4001" t="str">
            <v xml:space="preserve">CARLOS ANTONIO JUL COC </v>
          </cell>
        </row>
        <row r="4002">
          <cell r="F4002">
            <v>90038979</v>
          </cell>
          <cell r="G4002" t="str">
            <v>NESTOR RENE SAGASTUME RODAS</v>
          </cell>
        </row>
        <row r="4003">
          <cell r="F4003">
            <v>90062598</v>
          </cell>
          <cell r="G4003" t="str">
            <v>ERICKA NOEMI MAZARIEGOS PINEDA</v>
          </cell>
        </row>
        <row r="4004">
          <cell r="F4004">
            <v>90064536</v>
          </cell>
          <cell r="G4004" t="str">
            <v>ALEXIS ELIAZAR LUIS LOPEZ</v>
          </cell>
        </row>
        <row r="4005">
          <cell r="F4005">
            <v>90064214</v>
          </cell>
          <cell r="G4005" t="str">
            <v>Astrid Michelle Regil Peralta</v>
          </cell>
        </row>
        <row r="4006">
          <cell r="F4006">
            <v>90065920</v>
          </cell>
          <cell r="G4006" t="str">
            <v>ELDER FRANCISCO JIMENEZ MITA</v>
          </cell>
        </row>
        <row r="4007">
          <cell r="F4007">
            <v>90065921</v>
          </cell>
          <cell r="G4007" t="str">
            <v>MYNOR ADELSO AJBAC TOÑO</v>
          </cell>
        </row>
        <row r="4008">
          <cell r="F4008">
            <v>9006655</v>
          </cell>
          <cell r="G4008" t="str">
            <v>Kimberly Isabel Mazariegos González</v>
          </cell>
        </row>
        <row r="4009">
          <cell r="F4009">
            <v>90066518</v>
          </cell>
          <cell r="G4009" t="str">
            <v>Ashlin Alejandra de Leon Calderon</v>
          </cell>
        </row>
        <row r="4010">
          <cell r="F4010">
            <v>90066655</v>
          </cell>
          <cell r="G4010" t="str">
            <v>KIMBERLY ISABEL MAZARIEGOS GONZALEZ</v>
          </cell>
        </row>
        <row r="4011">
          <cell r="F4011">
            <v>90067339</v>
          </cell>
          <cell r="G4011" t="e">
            <v>#N/A</v>
          </cell>
        </row>
        <row r="4012">
          <cell r="F4012">
            <v>90045663</v>
          </cell>
          <cell r="G4012" t="str">
            <v>MICHELLE JAMILETH MARTINEZ GARCIA</v>
          </cell>
        </row>
        <row r="4013">
          <cell r="F4013">
            <v>315944</v>
          </cell>
          <cell r="G4013" t="str">
            <v>MARIA EULISSA ADAMARY XUTUC VILLATORO</v>
          </cell>
        </row>
        <row r="4014">
          <cell r="F4014">
            <v>90084483</v>
          </cell>
          <cell r="G4014" t="str">
            <v>ASTRID MILETCHA RAYMUNDO HIDALGO</v>
          </cell>
        </row>
        <row r="4015">
          <cell r="F4015">
            <v>90023724</v>
          </cell>
          <cell r="G4015" t="str">
            <v>ALEXANDRA JENNYFFER KORINA MATIAS GALINDO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lle"/>
      <sheetName val="Repagos"/>
      <sheetName val="Resumen"/>
      <sheetName val="AGENCIA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C817D-B853-4CDC-A8B8-D564DDDAC36C}">
  <sheetPr filterMode="1"/>
  <dimension ref="A1:Z1213"/>
  <sheetViews>
    <sheetView tabSelected="1" topLeftCell="F1" zoomScale="80" zoomScaleNormal="80" workbookViewId="0">
      <pane ySplit="1" topLeftCell="A240" activePane="bottomLeft" state="frozen"/>
      <selection activeCell="O240" sqref="O240"/>
      <selection pane="bottomLeft" activeCell="O240" sqref="O240"/>
    </sheetView>
  </sheetViews>
  <sheetFormatPr baseColWidth="10" defaultRowHeight="14.5" x14ac:dyDescent="0.35"/>
  <cols>
    <col min="1" max="1" width="5.26953125" style="9" customWidth="1"/>
    <col min="2" max="2" width="2.81640625" style="9" customWidth="1"/>
    <col min="3" max="3" width="6.08984375" style="9" customWidth="1"/>
    <col min="4" max="4" width="10.08984375" style="9" customWidth="1"/>
    <col min="5" max="5" width="21.453125" style="9" customWidth="1"/>
    <col min="6" max="6" width="11.26953125" style="9" customWidth="1"/>
    <col min="7" max="7" width="51.7265625" style="9" customWidth="1"/>
    <col min="8" max="8" width="12.26953125" style="63" customWidth="1"/>
    <col min="9" max="9" width="13.7265625" style="63" bestFit="1" customWidth="1"/>
    <col min="10" max="10" width="17.453125" style="63" bestFit="1" customWidth="1"/>
    <col min="11" max="11" width="7.26953125" style="9" customWidth="1"/>
    <col min="12" max="12" width="21.08984375" style="9" customWidth="1"/>
    <col min="13" max="13" width="11.453125" style="9" customWidth="1"/>
    <col min="14" max="14" width="38" style="9" customWidth="1"/>
    <col min="15" max="15" width="12.26953125" style="79" customWidth="1"/>
    <col min="16" max="16" width="12.08984375" style="80" customWidth="1"/>
    <col min="17" max="17" width="29.453125" style="9" customWidth="1"/>
    <col min="18" max="18" width="25.453125" style="9" customWidth="1"/>
    <col min="19" max="19" width="5.26953125" style="10" customWidth="1"/>
    <col min="20" max="20" width="3.453125" style="10" customWidth="1"/>
    <col min="21" max="21" width="4.453125" style="10" customWidth="1"/>
    <col min="22" max="22" width="6.26953125" style="10" customWidth="1"/>
    <col min="23" max="23" width="10.90625" style="10"/>
    <col min="25" max="25" width="14.26953125" bestFit="1" customWidth="1"/>
  </cols>
  <sheetData>
    <row r="1" spans="1:26" s="8" customFormat="1" ht="38.25" customHeight="1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3" t="s">
        <v>10</v>
      </c>
      <c r="L1" s="6" t="s">
        <v>11</v>
      </c>
      <c r="M1" s="3" t="s">
        <v>12</v>
      </c>
      <c r="N1" s="3" t="s">
        <v>13</v>
      </c>
      <c r="O1" s="7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2"/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8" t="s">
        <v>24</v>
      </c>
    </row>
    <row r="2" spans="1:26" hidden="1" x14ac:dyDescent="0.35">
      <c r="A2" s="9" t="s">
        <v>25</v>
      </c>
      <c r="C2" s="10">
        <v>2</v>
      </c>
      <c r="D2" s="10" t="s">
        <v>26</v>
      </c>
      <c r="E2" s="10" t="s">
        <v>27</v>
      </c>
      <c r="F2" s="10">
        <v>1097</v>
      </c>
      <c r="G2" s="10" t="s">
        <v>28</v>
      </c>
      <c r="H2" s="11">
        <v>46266</v>
      </c>
      <c r="I2" s="11">
        <v>46266</v>
      </c>
      <c r="J2" s="12" t="str">
        <f>+VLOOKUP(K2,Datos!$A:$C,3,FALSE)</f>
        <v>SUROCCIDENTE</v>
      </c>
      <c r="K2" s="10">
        <v>297</v>
      </c>
      <c r="L2" s="12" t="str">
        <f>+VLOOKUP(K2,Datos!$A:$C,2,FALSE)</f>
        <v>LA TRINIDAD COATEPEQUE</v>
      </c>
      <c r="M2" s="10">
        <v>310220</v>
      </c>
      <c r="N2" s="12" t="str">
        <f>+VLOOKUP(M2,Datos!$F:$G,2,FALSE)</f>
        <v>Urias Samuel Velasquez Ardeano</v>
      </c>
      <c r="O2" s="13">
        <f>IFERROR(IF(A2="SI",VLOOKUP(R2,Datos!$J$1:$K$50,2,FALSE)*C2,VLOOKUP(R2,Datos!$P$1:$T$13,2,FALSE)*C2),0)</f>
        <v>1632</v>
      </c>
      <c r="P2" s="9">
        <v>311975</v>
      </c>
      <c r="Q2" s="12" t="str">
        <f>+VLOOKUP(P2,Datos!$F:$G,2,FALSE)</f>
        <v>Luis Eduardo Ramirez Arriaza</v>
      </c>
      <c r="R2" s="9" t="s">
        <v>26</v>
      </c>
      <c r="V2" s="10">
        <f t="shared" ref="V2:V65" si="0">+COUNTIFS($G$2:$G$444,G2)</f>
        <v>1</v>
      </c>
      <c r="W2" s="10">
        <f>+VLOOKUP(M2,Datos!$F:$H,3,FALSE)</f>
        <v>0</v>
      </c>
      <c r="X2">
        <v>0</v>
      </c>
      <c r="Y2" s="14"/>
      <c r="Z2" t="e">
        <f>VLOOKUP(M2,'[1]INDIVIDUAL UN'!$C$6:$F$222,4,FALSE)</f>
        <v>#N/A</v>
      </c>
    </row>
    <row r="3" spans="1:26" hidden="1" x14ac:dyDescent="0.35">
      <c r="A3" s="9" t="s">
        <v>25</v>
      </c>
      <c r="C3" s="10">
        <v>4</v>
      </c>
      <c r="D3" s="10" t="s">
        <v>29</v>
      </c>
      <c r="E3" s="10" t="s">
        <v>30</v>
      </c>
      <c r="F3" s="10">
        <v>625</v>
      </c>
      <c r="G3" s="10" t="s">
        <v>31</v>
      </c>
      <c r="H3" s="11">
        <v>46266</v>
      </c>
      <c r="I3" s="11">
        <v>46266</v>
      </c>
      <c r="J3" s="12" t="str">
        <f>+VLOOKUP(K3,Datos!$A:$C,3,FALSE)</f>
        <v>SUROCCIDENTE</v>
      </c>
      <c r="K3" s="10">
        <v>31</v>
      </c>
      <c r="L3" s="12" t="str">
        <f>+VLOOKUP(K3,Datos!$A:$C,2,FALSE)</f>
        <v>COATEPEQUE</v>
      </c>
      <c r="M3" s="10">
        <v>316174</v>
      </c>
      <c r="N3" s="12" t="str">
        <f>+VLOOKUP(M3,Datos!$F:$G,2,FALSE)</f>
        <v>ENRIQUE ALFONSO LOPEZ RAMREZ</v>
      </c>
      <c r="O3" s="13">
        <f>IFERROR(IF(A3="SI",VLOOKUP(R3,Datos!$J$1:$K$50,2,FALSE)*C3,VLOOKUP(R3,Datos!$P$1:$T$13,2,FALSE)*C3),0)</f>
        <v>3264</v>
      </c>
      <c r="P3" s="9">
        <v>311258</v>
      </c>
      <c r="Q3" s="12" t="str">
        <f>+VLOOKUP(P3,Datos!$F:$G,2,FALSE)</f>
        <v>Victor Otoniel Sebastian Cardona</v>
      </c>
      <c r="R3" s="9" t="s">
        <v>26</v>
      </c>
      <c r="V3" s="10">
        <f t="shared" si="0"/>
        <v>1</v>
      </c>
      <c r="W3" s="10">
        <f>+VLOOKUP(M3,Datos!$F:$H,3,FALSE)</f>
        <v>0</v>
      </c>
      <c r="X3">
        <v>0</v>
      </c>
      <c r="Y3" s="14"/>
      <c r="Z3" t="e">
        <f>VLOOKUP(M3,'[1]INDIVIDUAL UN'!$C$6:$F$222,4,FALSE)</f>
        <v>#N/A</v>
      </c>
    </row>
    <row r="4" spans="1:26" hidden="1" x14ac:dyDescent="0.35">
      <c r="A4" s="9" t="s">
        <v>25</v>
      </c>
      <c r="C4" s="10">
        <v>1</v>
      </c>
      <c r="D4" s="10" t="s">
        <v>29</v>
      </c>
      <c r="E4" s="15" t="s">
        <v>32</v>
      </c>
      <c r="F4" s="15">
        <v>4179</v>
      </c>
      <c r="G4" s="15" t="s">
        <v>33</v>
      </c>
      <c r="H4" s="11">
        <v>46266</v>
      </c>
      <c r="I4" s="11">
        <v>46266</v>
      </c>
      <c r="J4" s="12" t="str">
        <f>+VLOOKUP(K4,Datos!$A:$C,3,FALSE)</f>
        <v>OCCIDENTE</v>
      </c>
      <c r="K4" s="10">
        <v>28</v>
      </c>
      <c r="L4" s="12" t="str">
        <f>+VLOOKUP(K4,Datos!$A:$C,2,FALSE)</f>
        <v>SUCURSAL QUETZALTENANGO</v>
      </c>
      <c r="M4" s="10">
        <v>90024418</v>
      </c>
      <c r="N4" s="12" t="str">
        <f>+VLOOKUP(M4,Datos!$F:$G,2,FALSE)</f>
        <v xml:space="preserve">EDNA GABRIELA RAMIREZ </v>
      </c>
      <c r="O4" s="13">
        <f>IFERROR(IF(A4="SI",VLOOKUP(R4,Datos!$J$1:$K$50,2,FALSE)*C4,VLOOKUP(R4,Datos!$P$1:$T$13,2,FALSE)*C4),0)</f>
        <v>816</v>
      </c>
      <c r="P4" s="9">
        <v>313644</v>
      </c>
      <c r="Q4" s="12" t="str">
        <f>+VLOOKUP(P4,Datos!$F:$G,2,FALSE)</f>
        <v>Estefani Elizabeth Tzul Macario</v>
      </c>
      <c r="R4" s="9" t="s">
        <v>26</v>
      </c>
      <c r="V4" s="10">
        <f t="shared" si="0"/>
        <v>1</v>
      </c>
      <c r="W4" s="10">
        <f>+VLOOKUP(M4,Datos!$F:$H,3,FALSE)</f>
        <v>0</v>
      </c>
      <c r="X4">
        <v>0</v>
      </c>
      <c r="Y4" s="14"/>
      <c r="Z4" t="e">
        <f>VLOOKUP(M4,'[1]INDIVIDUAL UN'!$C$6:$F$222,4,FALSE)</f>
        <v>#N/A</v>
      </c>
    </row>
    <row r="5" spans="1:26" hidden="1" x14ac:dyDescent="0.35">
      <c r="A5" s="9" t="s">
        <v>25</v>
      </c>
      <c r="C5" s="10">
        <v>1</v>
      </c>
      <c r="D5" s="10" t="s">
        <v>29</v>
      </c>
      <c r="E5" s="10" t="s">
        <v>34</v>
      </c>
      <c r="F5" s="10">
        <v>2938</v>
      </c>
      <c r="G5" s="10" t="s">
        <v>35</v>
      </c>
      <c r="H5" s="11">
        <v>46266</v>
      </c>
      <c r="I5" s="11">
        <v>46266</v>
      </c>
      <c r="J5" s="12" t="str">
        <f>+VLOOKUP(K5,Datos!$A:$C,3,FALSE)</f>
        <v>OCCIDENTE</v>
      </c>
      <c r="K5" s="10">
        <v>126</v>
      </c>
      <c r="L5" s="12" t="str">
        <f>+VLOOKUP(K5,Datos!$A:$C,2,FALSE)</f>
        <v>CHICHICASTENANGO</v>
      </c>
      <c r="M5" s="10">
        <v>314956</v>
      </c>
      <c r="N5" s="12" t="str">
        <f>+VLOOKUP(M5,Datos!$F:$G,2,FALSE)</f>
        <v>Sebastian Geovanny Calel Ixtuc</v>
      </c>
      <c r="O5" s="13">
        <f>IFERROR(IF(A5="SI",VLOOKUP(R5,Datos!$J$1:$K$50,2,FALSE)*C5,VLOOKUP(R5,Datos!$P$1:$T$13,2,FALSE)*C5),0)</f>
        <v>1428</v>
      </c>
      <c r="P5" s="9">
        <v>306497</v>
      </c>
      <c r="Q5" s="12" t="str">
        <f>+VLOOKUP(P5,Datos!$F:$G,2,FALSE)</f>
        <v>Erika Ixtan Canil</v>
      </c>
      <c r="R5" s="9" t="s">
        <v>36</v>
      </c>
      <c r="V5" s="10">
        <f t="shared" si="0"/>
        <v>1</v>
      </c>
      <c r="W5" s="10">
        <f>+VLOOKUP(M5,Datos!$F:$H,3,FALSE)</f>
        <v>0</v>
      </c>
      <c r="X5">
        <v>0</v>
      </c>
      <c r="Y5" s="14"/>
      <c r="Z5" t="e">
        <f>VLOOKUP(M5,'[1]INDIVIDUAL UN'!$C$6:$F$222,4,FALSE)</f>
        <v>#N/A</v>
      </c>
    </row>
    <row r="6" spans="1:26" hidden="1" x14ac:dyDescent="0.35">
      <c r="A6" s="9" t="s">
        <v>25</v>
      </c>
      <c r="C6" s="10">
        <v>1</v>
      </c>
      <c r="D6" s="10" t="s">
        <v>29</v>
      </c>
      <c r="E6" s="10" t="s">
        <v>37</v>
      </c>
      <c r="F6" s="10">
        <v>4168</v>
      </c>
      <c r="G6" s="10" t="s">
        <v>38</v>
      </c>
      <c r="H6" s="11">
        <v>46266</v>
      </c>
      <c r="I6" s="11">
        <v>46266</v>
      </c>
      <c r="J6" s="12" t="str">
        <f>+VLOOKUP(K6,Datos!$A:$C,3,FALSE)</f>
        <v>OCCIDENTE</v>
      </c>
      <c r="K6" s="10">
        <v>126</v>
      </c>
      <c r="L6" s="12" t="str">
        <f>+VLOOKUP(K6,Datos!$A:$C,2,FALSE)</f>
        <v>CHICHICASTENANGO</v>
      </c>
      <c r="M6" s="10">
        <v>310610</v>
      </c>
      <c r="N6" s="12" t="str">
        <f>+VLOOKUP(M6,Datos!$F:$G,2,FALSE)</f>
        <v>Ricky Edson Lux Cassia</v>
      </c>
      <c r="O6" s="13">
        <f>IFERROR(IF(A6="SI",VLOOKUP(R6,Datos!$J$1:$K$50,2,FALSE)*C6,VLOOKUP(R6,Datos!$P$1:$T$13,2,FALSE)*C6),0)</f>
        <v>816</v>
      </c>
      <c r="P6" s="9">
        <v>303674</v>
      </c>
      <c r="Q6" s="12" t="str">
        <f>+VLOOKUP(P6,Datos!$F:$G,2,FALSE)</f>
        <v>Imelda Elizabeth Castro Rodas</v>
      </c>
      <c r="R6" s="9" t="s">
        <v>26</v>
      </c>
      <c r="V6" s="10">
        <f t="shared" si="0"/>
        <v>1</v>
      </c>
      <c r="W6" s="10">
        <f>+VLOOKUP(M6,Datos!$F:$H,3,FALSE)</f>
        <v>0</v>
      </c>
      <c r="X6">
        <v>0</v>
      </c>
      <c r="Y6" s="14"/>
      <c r="Z6" t="e">
        <f>VLOOKUP(M6,'[1]INDIVIDUAL UN'!$C$6:$F$222,4,FALSE)</f>
        <v>#N/A</v>
      </c>
    </row>
    <row r="7" spans="1:26" hidden="1" x14ac:dyDescent="0.35">
      <c r="A7" s="9" t="s">
        <v>25</v>
      </c>
      <c r="C7" s="10">
        <v>1</v>
      </c>
      <c r="D7" s="10" t="s">
        <v>29</v>
      </c>
      <c r="E7" s="10" t="s">
        <v>37</v>
      </c>
      <c r="F7" s="10">
        <v>4178</v>
      </c>
      <c r="G7" s="10" t="s">
        <v>39</v>
      </c>
      <c r="H7" s="11">
        <v>46266</v>
      </c>
      <c r="I7" s="11">
        <v>46266</v>
      </c>
      <c r="J7" s="12" t="str">
        <f>+VLOOKUP(K7,Datos!$A:$C,3,FALSE)</f>
        <v>OCCIDENTE</v>
      </c>
      <c r="K7" s="10">
        <v>126</v>
      </c>
      <c r="L7" s="12" t="str">
        <f>+VLOOKUP(K7,Datos!$A:$C,2,FALSE)</f>
        <v>CHICHICASTENANGO</v>
      </c>
      <c r="M7" s="10">
        <v>309989</v>
      </c>
      <c r="N7" s="12" t="str">
        <f>+VLOOKUP(M7,Datos!$F:$G,2,FALSE)</f>
        <v>Olga Maricela Guarcas Tol</v>
      </c>
      <c r="O7" s="13">
        <f>IFERROR(IF(A7="SI",VLOOKUP(R7,Datos!$J$1:$K$50,2,FALSE)*C7,VLOOKUP(R7,Datos!$P$1:$T$13,2,FALSE)*C7),0)</f>
        <v>816</v>
      </c>
      <c r="P7" s="9">
        <v>303674</v>
      </c>
      <c r="Q7" s="12" t="str">
        <f>+VLOOKUP(P7,Datos!$F:$G,2,FALSE)</f>
        <v>Imelda Elizabeth Castro Rodas</v>
      </c>
      <c r="R7" s="9" t="s">
        <v>26</v>
      </c>
      <c r="V7" s="10">
        <f t="shared" si="0"/>
        <v>1</v>
      </c>
      <c r="W7" s="10">
        <f>+VLOOKUP(M7,Datos!$F:$H,3,FALSE)</f>
        <v>0</v>
      </c>
      <c r="X7">
        <v>0</v>
      </c>
      <c r="Y7" s="14"/>
      <c r="Z7" t="e">
        <f>VLOOKUP(M7,'[1]INDIVIDUAL UN'!$C$6:$F$222,4,FALSE)</f>
        <v>#N/A</v>
      </c>
    </row>
    <row r="8" spans="1:26" hidden="1" x14ac:dyDescent="0.35">
      <c r="A8" s="9" t="s">
        <v>25</v>
      </c>
      <c r="C8" s="10">
        <v>2</v>
      </c>
      <c r="D8" s="10" t="s">
        <v>29</v>
      </c>
      <c r="E8" s="10" t="s">
        <v>27</v>
      </c>
      <c r="F8" s="10">
        <v>1093</v>
      </c>
      <c r="G8" s="10" t="s">
        <v>40</v>
      </c>
      <c r="H8" s="11">
        <v>46266</v>
      </c>
      <c r="I8" s="11">
        <v>46266</v>
      </c>
      <c r="J8" s="12" t="str">
        <f>+VLOOKUP(K8,Datos!$A:$C,3,FALSE)</f>
        <v>SUROCCIDENTE</v>
      </c>
      <c r="K8" s="16">
        <v>297</v>
      </c>
      <c r="L8" s="12" t="str">
        <f>+VLOOKUP(K8,Datos!$A:$C,2,FALSE)</f>
        <v>LA TRINIDAD COATEPEQUE</v>
      </c>
      <c r="M8" s="10">
        <v>306248</v>
      </c>
      <c r="N8" s="12" t="str">
        <f>+VLOOKUP(M8,Datos!$F:$G,2,FALSE)</f>
        <v>Gladys Susana Marin De Leon</v>
      </c>
      <c r="O8" s="13">
        <f>IFERROR(IF(A8="SI",VLOOKUP(R8,Datos!$J$1:$K$50,2,FALSE)*C8,VLOOKUP(R8,Datos!$P$1:$T$13,2,FALSE)*C8),0)</f>
        <v>1632</v>
      </c>
      <c r="P8" s="16">
        <v>311975</v>
      </c>
      <c r="Q8" s="12" t="str">
        <f>+VLOOKUP(P8,Datos!$F:$G,2,FALSE)</f>
        <v>Luis Eduardo Ramirez Arriaza</v>
      </c>
      <c r="R8" s="9" t="s">
        <v>26</v>
      </c>
      <c r="V8" s="10">
        <f t="shared" si="0"/>
        <v>1</v>
      </c>
      <c r="W8" s="10">
        <f>+VLOOKUP(M8,Datos!$F:$H,3,FALSE)</f>
        <v>0</v>
      </c>
      <c r="X8">
        <v>0</v>
      </c>
      <c r="Y8" s="14"/>
      <c r="Z8" t="e">
        <f>VLOOKUP(M8,'[1]INDIVIDUAL UN'!$C$6:$F$222,4,FALSE)</f>
        <v>#N/A</v>
      </c>
    </row>
    <row r="9" spans="1:26" hidden="1" x14ac:dyDescent="0.35">
      <c r="A9" s="9" t="s">
        <v>25</v>
      </c>
      <c r="C9" s="10">
        <v>3</v>
      </c>
      <c r="D9" s="10" t="s">
        <v>29</v>
      </c>
      <c r="E9" s="10" t="s">
        <v>41</v>
      </c>
      <c r="F9" s="10">
        <v>600</v>
      </c>
      <c r="G9" s="10" t="s">
        <v>42</v>
      </c>
      <c r="H9" s="11">
        <v>46267</v>
      </c>
      <c r="I9" s="11">
        <v>46267</v>
      </c>
      <c r="J9" s="12" t="str">
        <f>+VLOOKUP(K9,Datos!$A:$C,3,FALSE)</f>
        <v>OCCIDENTE</v>
      </c>
      <c r="K9" s="16">
        <v>56</v>
      </c>
      <c r="L9" s="12" t="str">
        <f>+VLOOKUP(K9,Datos!$A:$C,2,FALSE)</f>
        <v>LOS ALTOS</v>
      </c>
      <c r="M9" s="10">
        <v>90040102</v>
      </c>
      <c r="N9" s="12" t="str">
        <f>+VLOOKUP(M9,Datos!$F:$G,2,FALSE)</f>
        <v>KAREN JASMIN PEREZ CORONADO</v>
      </c>
      <c r="O9" s="13">
        <f>IFERROR(IF(A9="SI",VLOOKUP(R9,Datos!$J$1:$K$50,2,FALSE)*C9,VLOOKUP(R9,Datos!$P$1:$T$13,2,FALSE)*C9),0)</f>
        <v>2448</v>
      </c>
      <c r="P9" s="16">
        <v>308266</v>
      </c>
      <c r="Q9" s="12" t="str">
        <f>+VLOOKUP(P9,Datos!$F:$G,2,FALSE)</f>
        <v>Julio Cesar De Leon Huinac</v>
      </c>
      <c r="R9" s="9" t="s">
        <v>26</v>
      </c>
      <c r="V9" s="10">
        <f t="shared" si="0"/>
        <v>1</v>
      </c>
      <c r="W9" s="10">
        <f>+VLOOKUP(M9,Datos!$F:$H,3,FALSE)</f>
        <v>0</v>
      </c>
      <c r="X9">
        <v>0</v>
      </c>
      <c r="Y9" s="14"/>
      <c r="Z9" t="e">
        <f>VLOOKUP(M9,'[1]INDIVIDUAL UN'!$C$6:$F$222,4,FALSE)</f>
        <v>#N/A</v>
      </c>
    </row>
    <row r="10" spans="1:26" hidden="1" x14ac:dyDescent="0.35">
      <c r="A10" s="9" t="s">
        <v>25</v>
      </c>
      <c r="C10" s="10">
        <v>1</v>
      </c>
      <c r="D10" s="10" t="s">
        <v>29</v>
      </c>
      <c r="E10" s="10" t="s">
        <v>43</v>
      </c>
      <c r="F10" s="10">
        <v>2898</v>
      </c>
      <c r="G10" s="10" t="s">
        <v>44</v>
      </c>
      <c r="H10" s="11">
        <v>46267</v>
      </c>
      <c r="I10" s="11">
        <v>46266</v>
      </c>
      <c r="J10" s="12" t="str">
        <f>+VLOOKUP(K10,Datos!$A:$C,3,FALSE)</f>
        <v>SUROCCIDENTE</v>
      </c>
      <c r="K10" s="10">
        <v>178</v>
      </c>
      <c r="L10" s="12" t="str">
        <f>+VLOOKUP(K10,Datos!$A:$C,2,FALSE)</f>
        <v>LA TRINIDAD MALACATAN</v>
      </c>
      <c r="M10" s="10">
        <v>90019118</v>
      </c>
      <c r="N10" s="12" t="str">
        <f>+VLOOKUP(M10,Datos!$F:$G,2,FALSE)</f>
        <v>Angela Josefina Ramírez Chang</v>
      </c>
      <c r="O10" s="13">
        <f>IFERROR(IF(A10="SI",VLOOKUP(R10,Datos!$J$1:$K$50,2,FALSE)*C10,VLOOKUP(R10,Datos!$P$1:$T$13,2,FALSE)*C10),0)</f>
        <v>1308</v>
      </c>
      <c r="P10" s="10">
        <v>304805</v>
      </c>
      <c r="Q10" s="12" t="str">
        <f>+VLOOKUP(P10,Datos!$F:$G,2,FALSE)</f>
        <v>Sheily Raquel Angel Arreaga</v>
      </c>
      <c r="R10" s="9" t="s">
        <v>45</v>
      </c>
      <c r="V10" s="10">
        <f t="shared" si="0"/>
        <v>1</v>
      </c>
      <c r="W10" s="10">
        <f>+VLOOKUP(M10,Datos!$F:$H,3,FALSE)</f>
        <v>0</v>
      </c>
      <c r="X10">
        <v>0</v>
      </c>
      <c r="Y10" s="14"/>
      <c r="Z10" t="e">
        <f>VLOOKUP(M10,'[1]INDIVIDUAL UN'!$C$6:$F$222,4,FALSE)</f>
        <v>#N/A</v>
      </c>
    </row>
    <row r="11" spans="1:26" hidden="1" x14ac:dyDescent="0.35">
      <c r="A11" s="9" t="s">
        <v>25</v>
      </c>
      <c r="C11" s="10">
        <v>2</v>
      </c>
      <c r="D11" s="10" t="s">
        <v>29</v>
      </c>
      <c r="E11" s="10" t="s">
        <v>27</v>
      </c>
      <c r="F11" s="10">
        <v>1100</v>
      </c>
      <c r="G11" s="10" t="s">
        <v>46</v>
      </c>
      <c r="H11" s="11">
        <v>46267</v>
      </c>
      <c r="I11" s="11">
        <v>46267</v>
      </c>
      <c r="J11" s="12" t="str">
        <f>+VLOOKUP(K11,Datos!$A:$C,3,FALSE)</f>
        <v>SUROCCIDENTE</v>
      </c>
      <c r="K11" s="10">
        <v>178</v>
      </c>
      <c r="L11" s="12" t="str">
        <f>+VLOOKUP(K11,Datos!$A:$C,2,FALSE)</f>
        <v>LA TRINIDAD MALACATAN</v>
      </c>
      <c r="M11" s="10">
        <v>90019118</v>
      </c>
      <c r="N11" s="12" t="str">
        <f>+VLOOKUP(M11,Datos!$F:$G,2,FALSE)</f>
        <v>Angela Josefina Ramírez Chang</v>
      </c>
      <c r="O11" s="13">
        <f>IFERROR(IF(A11="SI",VLOOKUP(R11,Datos!$J$1:$K$50,2,FALSE)*C11,VLOOKUP(R11,Datos!$P$1:$T$13,2,FALSE)*C11),0)</f>
        <v>1632</v>
      </c>
      <c r="P11" s="10">
        <v>304805</v>
      </c>
      <c r="Q11" s="12" t="str">
        <f>+VLOOKUP(P11,Datos!$F:$G,2,FALSE)</f>
        <v>Sheily Raquel Angel Arreaga</v>
      </c>
      <c r="R11" s="9" t="s">
        <v>26</v>
      </c>
      <c r="V11" s="10">
        <f t="shared" si="0"/>
        <v>1</v>
      </c>
      <c r="W11" s="10">
        <f>+VLOOKUP(M11,Datos!$F:$H,3,FALSE)</f>
        <v>0</v>
      </c>
      <c r="X11">
        <v>0</v>
      </c>
      <c r="Y11" s="14"/>
      <c r="Z11" t="e">
        <f>VLOOKUP(M11,'[1]INDIVIDUAL UN'!$C$6:$F$222,4,FALSE)</f>
        <v>#N/A</v>
      </c>
    </row>
    <row r="12" spans="1:26" hidden="1" x14ac:dyDescent="0.35">
      <c r="A12" s="9" t="s">
        <v>25</v>
      </c>
      <c r="C12" s="10">
        <v>2</v>
      </c>
      <c r="D12" s="10" t="s">
        <v>29</v>
      </c>
      <c r="E12" s="10" t="s">
        <v>27</v>
      </c>
      <c r="F12" s="10">
        <v>1114</v>
      </c>
      <c r="G12" s="10" t="s">
        <v>47</v>
      </c>
      <c r="H12" s="11">
        <v>46267</v>
      </c>
      <c r="I12" s="11">
        <v>46267</v>
      </c>
      <c r="J12" s="12" t="str">
        <f>+VLOOKUP(K12,Datos!$A:$C,3,FALSE)</f>
        <v>SUROCCIDENTE</v>
      </c>
      <c r="K12" s="10">
        <v>178</v>
      </c>
      <c r="L12" s="12" t="str">
        <f>+VLOOKUP(K12,Datos!$A:$C,2,FALSE)</f>
        <v>LA TRINIDAD MALACATAN</v>
      </c>
      <c r="M12" s="9">
        <v>316215</v>
      </c>
      <c r="N12" s="12" t="str">
        <f>+VLOOKUP(M12,Datos!$F:$G,2,FALSE)</f>
        <v>ANAYELI MARIBEL JIMENEZ GOMEZ</v>
      </c>
      <c r="O12" s="13">
        <f>IFERROR(IF(A12="SI",VLOOKUP(R12,Datos!$J$1:$K$50,2,FALSE)*C12,VLOOKUP(R12,Datos!$P$1:$T$13,2,FALSE)*C12),0)</f>
        <v>2736</v>
      </c>
      <c r="P12" s="9">
        <v>316487</v>
      </c>
      <c r="Q12" s="12" t="str">
        <f>+VLOOKUP(P12,Datos!$F:$G,2,FALSE)</f>
        <v>Wilmer Ovando Mejia Godínez</v>
      </c>
      <c r="R12" s="9" t="s">
        <v>48</v>
      </c>
      <c r="V12" s="10">
        <f t="shared" si="0"/>
        <v>1</v>
      </c>
      <c r="W12" s="10">
        <f>+VLOOKUP(M12,Datos!$F:$H,3,FALSE)</f>
        <v>0</v>
      </c>
      <c r="X12">
        <v>0</v>
      </c>
      <c r="Y12" s="14"/>
      <c r="Z12" t="e">
        <f>VLOOKUP(M12,'[1]INDIVIDUAL UN'!$C$6:$F$222,4,FALSE)</f>
        <v>#N/A</v>
      </c>
    </row>
    <row r="13" spans="1:26" hidden="1" x14ac:dyDescent="0.35">
      <c r="A13" s="9" t="s">
        <v>25</v>
      </c>
      <c r="C13" s="10">
        <v>1</v>
      </c>
      <c r="D13" s="10" t="s">
        <v>29</v>
      </c>
      <c r="E13" s="10" t="s">
        <v>37</v>
      </c>
      <c r="F13" s="10">
        <v>4192</v>
      </c>
      <c r="G13" s="17" t="s">
        <v>49</v>
      </c>
      <c r="H13" s="11">
        <v>46267</v>
      </c>
      <c r="I13" s="11">
        <v>46267</v>
      </c>
      <c r="J13" s="12" t="str">
        <f>+VLOOKUP(K13,Datos!$A:$C,3,FALSE)</f>
        <v>OCCIDENTE</v>
      </c>
      <c r="K13" s="10">
        <v>55</v>
      </c>
      <c r="L13" s="12" t="str">
        <f>+VLOOKUP(K13,Datos!$A:$C,2,FALSE)</f>
        <v>ZENTROPLAZA</v>
      </c>
      <c r="M13" s="10">
        <v>313671</v>
      </c>
      <c r="N13" s="12" t="str">
        <f>+VLOOKUP(M13,Datos!$F:$G,2,FALSE)</f>
        <v>Virginia Yesenia Merida Lopez De Lopez</v>
      </c>
      <c r="O13" s="13">
        <f>IFERROR(IF(A13="SI",VLOOKUP(R13,Datos!$J$1:$K$50,2,FALSE)*C13,VLOOKUP(R13,Datos!$P$1:$T$13,2,FALSE)*C13),0)</f>
        <v>1368</v>
      </c>
      <c r="P13" s="9">
        <v>311950</v>
      </c>
      <c r="Q13" s="12" t="str">
        <f>+VLOOKUP(P13,Datos!$F:$G,2,FALSE)</f>
        <v>Alan Javier Castillo Ordoñez</v>
      </c>
      <c r="R13" s="9" t="s">
        <v>48</v>
      </c>
      <c r="V13" s="10">
        <f t="shared" si="0"/>
        <v>1</v>
      </c>
      <c r="W13" s="10">
        <f>+VLOOKUP(M13,Datos!$F:$H,3,FALSE)</f>
        <v>0</v>
      </c>
      <c r="X13">
        <v>0</v>
      </c>
      <c r="Y13" s="14"/>
      <c r="Z13" t="e">
        <f>VLOOKUP(M13,'[1]INDIVIDUAL UN'!$C$6:$F$222,4,FALSE)</f>
        <v>#N/A</v>
      </c>
    </row>
    <row r="14" spans="1:26" hidden="1" x14ac:dyDescent="0.35">
      <c r="A14" s="9" t="s">
        <v>25</v>
      </c>
      <c r="C14" s="10">
        <v>3</v>
      </c>
      <c r="D14" s="10" t="s">
        <v>29</v>
      </c>
      <c r="E14" s="10" t="s">
        <v>41</v>
      </c>
      <c r="F14" s="10">
        <v>598</v>
      </c>
      <c r="G14" s="10" t="s">
        <v>50</v>
      </c>
      <c r="H14" s="11">
        <v>46267</v>
      </c>
      <c r="I14" s="11">
        <v>46267</v>
      </c>
      <c r="J14" s="12" t="str">
        <f>+VLOOKUP(K14,Datos!$A:$C,3,FALSE)</f>
        <v>SUROCCIDENTE</v>
      </c>
      <c r="K14" s="10">
        <v>89</v>
      </c>
      <c r="L14" s="12" t="str">
        <f>+VLOOKUP(K14,Datos!$A:$C,2,FALSE)</f>
        <v>LA TRINIDAD RETALHULEU</v>
      </c>
      <c r="M14" s="10">
        <v>90064210</v>
      </c>
      <c r="N14" s="12" t="str">
        <f>+VLOOKUP(M14,Datos!$F:$G,2,FALSE)</f>
        <v>GEREMY ARMANDO HERNANDEZ CAMACHO</v>
      </c>
      <c r="O14" s="13">
        <f>IFERROR(IF(A14="SI",VLOOKUP(R14,Datos!$J$1:$K$50,2,FALSE)*C14,VLOOKUP(R14,Datos!$P$1:$T$13,2,FALSE)*C14),0)</f>
        <v>2448</v>
      </c>
      <c r="P14" s="9">
        <v>302841</v>
      </c>
      <c r="Q14" s="12" t="str">
        <f>+VLOOKUP(P14,Datos!$F:$G,2,FALSE)</f>
        <v>Jessica Maria Jose Santizo Guzman</v>
      </c>
      <c r="R14" s="9" t="s">
        <v>26</v>
      </c>
      <c r="V14" s="10">
        <f t="shared" si="0"/>
        <v>1</v>
      </c>
      <c r="W14" s="10">
        <f>+VLOOKUP(M14,Datos!$F:$H,3,FALSE)</f>
        <v>0</v>
      </c>
      <c r="X14">
        <v>0</v>
      </c>
      <c r="Y14" s="14"/>
      <c r="Z14" t="e">
        <f>VLOOKUP(M14,'[1]INDIVIDUAL UN'!$C$6:$F$222,4,FALSE)</f>
        <v>#N/A</v>
      </c>
    </row>
    <row r="15" spans="1:26" hidden="1" x14ac:dyDescent="0.35">
      <c r="A15" s="9" t="s">
        <v>25</v>
      </c>
      <c r="C15" s="10">
        <v>4</v>
      </c>
      <c r="D15" s="10" t="s">
        <v>29</v>
      </c>
      <c r="E15" s="10" t="s">
        <v>30</v>
      </c>
      <c r="F15" s="10">
        <v>633</v>
      </c>
      <c r="G15" s="10" t="s">
        <v>51</v>
      </c>
      <c r="H15" s="11">
        <v>46267</v>
      </c>
      <c r="I15" s="11">
        <v>46267</v>
      </c>
      <c r="J15" s="12" t="str">
        <f>+VLOOKUP(K15,Datos!$A:$C,3,FALSE)</f>
        <v>SUROCCIDENTE</v>
      </c>
      <c r="K15" s="10">
        <v>89</v>
      </c>
      <c r="L15" s="12" t="str">
        <f>+VLOOKUP(K15,Datos!$A:$C,2,FALSE)</f>
        <v>LA TRINIDAD RETALHULEU</v>
      </c>
      <c r="M15" s="10">
        <v>90064210</v>
      </c>
      <c r="N15" s="12" t="str">
        <f>+VLOOKUP(M15,Datos!$F:$G,2,FALSE)</f>
        <v>GEREMY ARMANDO HERNANDEZ CAMACHO</v>
      </c>
      <c r="O15" s="13">
        <f>IFERROR(IF(A15="SI",VLOOKUP(R15,Datos!$J$1:$K$50,2,FALSE)*C15,VLOOKUP(R15,Datos!$P$1:$T$13,2,FALSE)*C15),0)</f>
        <v>3264</v>
      </c>
      <c r="P15" s="9">
        <v>302841</v>
      </c>
      <c r="Q15" s="12" t="str">
        <f>+VLOOKUP(P15,Datos!$F:$G,2,FALSE)</f>
        <v>Jessica Maria Jose Santizo Guzman</v>
      </c>
      <c r="R15" s="9" t="s">
        <v>26</v>
      </c>
      <c r="V15" s="10">
        <f t="shared" si="0"/>
        <v>1</v>
      </c>
      <c r="W15" s="10">
        <f>+VLOOKUP(M15,Datos!$F:$H,3,FALSE)</f>
        <v>0</v>
      </c>
      <c r="X15">
        <v>0</v>
      </c>
      <c r="Y15" s="14"/>
      <c r="Z15" t="e">
        <f>VLOOKUP(M15,'[1]INDIVIDUAL UN'!$C$6:$F$222,4,FALSE)</f>
        <v>#N/A</v>
      </c>
    </row>
    <row r="16" spans="1:26" hidden="1" x14ac:dyDescent="0.35">
      <c r="A16" s="9" t="s">
        <v>25</v>
      </c>
      <c r="C16" s="10">
        <v>1</v>
      </c>
      <c r="D16" s="10" t="s">
        <v>29</v>
      </c>
      <c r="E16" s="10" t="s">
        <v>37</v>
      </c>
      <c r="F16" s="10">
        <v>4213</v>
      </c>
      <c r="G16" s="10" t="s">
        <v>52</v>
      </c>
      <c r="H16" s="11">
        <v>46267</v>
      </c>
      <c r="I16" s="11">
        <v>46267</v>
      </c>
      <c r="J16" s="12" t="str">
        <f>+VLOOKUP(K16,Datos!$A:$C,3,FALSE)</f>
        <v>SUROCCIDENTE</v>
      </c>
      <c r="K16" s="10">
        <v>143</v>
      </c>
      <c r="L16" s="12" t="str">
        <f>+VLOOKUP(K16,Datos!$A:$C,2,FALSE)</f>
        <v>RETALHULEU LA SIRENA</v>
      </c>
      <c r="M16" s="10">
        <v>312109</v>
      </c>
      <c r="N16" s="12" t="str">
        <f>+VLOOKUP(M16,Datos!$F:$G,2,FALSE)</f>
        <v>Martha Julia Shar Velasquez</v>
      </c>
      <c r="O16" s="13">
        <f>IFERROR(IF(A16="SI",VLOOKUP(R16,Datos!$J$1:$K$50,2,FALSE)*C16,VLOOKUP(R16,Datos!$P$1:$T$13,2,FALSE)*C16),0)</f>
        <v>816</v>
      </c>
      <c r="P16" s="9">
        <v>90033850</v>
      </c>
      <c r="Q16" s="12" t="str">
        <f>+VLOOKUP(P16,Datos!$F:$G,2,FALSE)</f>
        <v>Kevin Geovani Coyoy López</v>
      </c>
      <c r="R16" s="9" t="s">
        <v>26</v>
      </c>
      <c r="V16" s="10">
        <f t="shared" si="0"/>
        <v>1</v>
      </c>
      <c r="W16" s="10">
        <f>+VLOOKUP(M16,Datos!$F:$H,3,FALSE)</f>
        <v>0</v>
      </c>
      <c r="X16">
        <v>0</v>
      </c>
      <c r="Y16" s="14"/>
      <c r="Z16" t="e">
        <f>VLOOKUP(M16,'[1]INDIVIDUAL UN'!$C$6:$F$222,4,FALSE)</f>
        <v>#N/A</v>
      </c>
    </row>
    <row r="17" spans="1:26" hidden="1" x14ac:dyDescent="0.35">
      <c r="A17" s="9" t="s">
        <v>25</v>
      </c>
      <c r="C17" s="10">
        <v>1</v>
      </c>
      <c r="D17" s="10" t="s">
        <v>29</v>
      </c>
      <c r="E17" s="10" t="s">
        <v>34</v>
      </c>
      <c r="F17" s="10">
        <v>2943</v>
      </c>
      <c r="G17" s="10" t="s">
        <v>53</v>
      </c>
      <c r="H17" s="11">
        <v>46267</v>
      </c>
      <c r="I17" s="11">
        <v>46267</v>
      </c>
      <c r="J17" s="12" t="str">
        <f>+VLOOKUP(K17,Datos!$A:$C,3,FALSE)</f>
        <v>OCCIDENTE</v>
      </c>
      <c r="K17" s="10">
        <v>33</v>
      </c>
      <c r="L17" s="12" t="str">
        <f>+VLOOKUP(K17,Datos!$A:$C,2,FALSE)</f>
        <v>HUEHUETENANGO</v>
      </c>
      <c r="M17" s="10">
        <v>90084483</v>
      </c>
      <c r="N17" s="12" t="str">
        <f>+VLOOKUP(M17,Datos!$F:$G,2,FALSE)</f>
        <v>ASTRID MILETCHA RAYMUNDO HIDALGO</v>
      </c>
      <c r="O17" s="13">
        <f>IFERROR(IF(A17="SI",VLOOKUP(R17,Datos!$J$1:$K$50,2,FALSE)*C17,VLOOKUP(R17,Datos!$P$1:$T$13,2,FALSE)*C17),0)</f>
        <v>2004</v>
      </c>
      <c r="P17" s="9">
        <v>301644</v>
      </c>
      <c r="Q17" s="12" t="str">
        <f>+VLOOKUP(P17,Datos!$F:$G,2,FALSE)</f>
        <v>Imelda Eugenia Recinos Martinez</v>
      </c>
      <c r="R17" s="9" t="s">
        <v>54</v>
      </c>
      <c r="V17" s="10">
        <f t="shared" si="0"/>
        <v>1</v>
      </c>
      <c r="W17" s="10">
        <f>+VLOOKUP(M17,Datos!$F:$H,3,FALSE)</f>
        <v>0</v>
      </c>
      <c r="X17">
        <v>0</v>
      </c>
      <c r="Y17" s="14"/>
      <c r="Z17" t="e">
        <f>VLOOKUP(M17,'[1]INDIVIDUAL UN'!$C$6:$F$222,4,FALSE)</f>
        <v>#N/A</v>
      </c>
    </row>
    <row r="18" spans="1:26" hidden="1" x14ac:dyDescent="0.35">
      <c r="A18" s="9" t="s">
        <v>25</v>
      </c>
      <c r="C18" s="10">
        <v>1</v>
      </c>
      <c r="D18" s="10" t="s">
        <v>29</v>
      </c>
      <c r="E18" s="10" t="s">
        <v>55</v>
      </c>
      <c r="F18" s="10">
        <v>406</v>
      </c>
      <c r="G18" s="10" t="s">
        <v>56</v>
      </c>
      <c r="H18" s="11">
        <v>46267</v>
      </c>
      <c r="I18" s="11">
        <v>46267</v>
      </c>
      <c r="J18" s="12" t="str">
        <f>+VLOOKUP(K18,Datos!$A:$C,3,FALSE)</f>
        <v>OCCIDENTE</v>
      </c>
      <c r="K18" s="10">
        <v>33</v>
      </c>
      <c r="L18" s="12" t="str">
        <f>+VLOOKUP(K18,Datos!$A:$C,2,FALSE)</f>
        <v>HUEHUETENANGO</v>
      </c>
      <c r="M18" s="10">
        <v>90045663</v>
      </c>
      <c r="N18" s="12" t="str">
        <f>+VLOOKUP(M18,Datos!$F:$G,2,FALSE)</f>
        <v>MICHELLE JAMILETH MARTINEZ GARCIA</v>
      </c>
      <c r="O18" s="13">
        <f>IFERROR(IF(A18="SI",VLOOKUP(R18,Datos!$J$1:$K$50,2,FALSE)*C18,VLOOKUP(R18,Datos!$P$1:$T$13,2,FALSE)*C18),0)</f>
        <v>1092</v>
      </c>
      <c r="P18" s="9">
        <v>301644</v>
      </c>
      <c r="Q18" s="12" t="str">
        <f>+VLOOKUP(P18,Datos!$F:$G,2,FALSE)</f>
        <v>Imelda Eugenia Recinos Martinez</v>
      </c>
      <c r="R18" s="9" t="s">
        <v>57</v>
      </c>
      <c r="V18" s="10">
        <f t="shared" si="0"/>
        <v>1</v>
      </c>
      <c r="W18" s="10">
        <f>+VLOOKUP(M18,Datos!$F:$H,3,FALSE)</f>
        <v>0</v>
      </c>
      <c r="X18">
        <v>0</v>
      </c>
      <c r="Y18" s="14"/>
      <c r="Z18" t="e">
        <f>VLOOKUP(M18,'[1]INDIVIDUAL UN'!$C$6:$F$222,4,FALSE)</f>
        <v>#N/A</v>
      </c>
    </row>
    <row r="19" spans="1:26" hidden="1" x14ac:dyDescent="0.35">
      <c r="A19" s="9" t="s">
        <v>25</v>
      </c>
      <c r="C19" s="10">
        <v>1</v>
      </c>
      <c r="D19" s="10" t="s">
        <v>29</v>
      </c>
      <c r="E19" s="10" t="s">
        <v>37</v>
      </c>
      <c r="F19" s="10">
        <v>4197</v>
      </c>
      <c r="G19" s="10" t="s">
        <v>58</v>
      </c>
      <c r="H19" s="11">
        <v>46267</v>
      </c>
      <c r="I19" s="11">
        <v>46267</v>
      </c>
      <c r="J19" s="12" t="str">
        <f>+VLOOKUP(K19,Datos!$A:$C,3,FALSE)</f>
        <v>OCCIDENTE</v>
      </c>
      <c r="K19" s="10">
        <v>243</v>
      </c>
      <c r="L19" s="12" t="str">
        <f>+VLOOKUP(K19,Datos!$A:$C,2,FALSE)</f>
        <v>PRADERA XELA</v>
      </c>
      <c r="M19" s="10">
        <v>311286</v>
      </c>
      <c r="N19" s="12" t="str">
        <f>+VLOOKUP(M19,Datos!$F:$G,2,FALSE)</f>
        <v>Ingrid Lorena Anleu Morales</v>
      </c>
      <c r="O19" s="13">
        <f>IFERROR(IF(A19="SI",VLOOKUP(R19,Datos!$J$1:$K$50,2,FALSE)*C19,VLOOKUP(R19,Datos!$P$1:$T$13,2,FALSE)*C19),0)</f>
        <v>816</v>
      </c>
      <c r="P19" s="9">
        <v>315174</v>
      </c>
      <c r="Q19" s="12" t="str">
        <f>+VLOOKUP(P19,Datos!$F:$G,2,FALSE)</f>
        <v>Edwin Adolfo Soberanis Mazariegos</v>
      </c>
      <c r="R19" s="9" t="s">
        <v>26</v>
      </c>
      <c r="V19" s="10">
        <f t="shared" si="0"/>
        <v>1</v>
      </c>
      <c r="W19" s="10">
        <f>+VLOOKUP(M19,Datos!$F:$H,3,FALSE)</f>
        <v>0</v>
      </c>
      <c r="X19">
        <v>0</v>
      </c>
      <c r="Y19" s="14"/>
      <c r="Z19" t="e">
        <f>VLOOKUP(M19,'[1]INDIVIDUAL UN'!$C$6:$F$222,4,FALSE)</f>
        <v>#N/A</v>
      </c>
    </row>
    <row r="20" spans="1:26" hidden="1" x14ac:dyDescent="0.35">
      <c r="A20" s="9" t="s">
        <v>25</v>
      </c>
      <c r="C20" s="10">
        <v>1</v>
      </c>
      <c r="D20" s="10" t="s">
        <v>29</v>
      </c>
      <c r="E20" s="15" t="s">
        <v>59</v>
      </c>
      <c r="F20" s="15">
        <v>4207</v>
      </c>
      <c r="G20" s="15" t="s">
        <v>60</v>
      </c>
      <c r="H20" s="11">
        <v>46267</v>
      </c>
      <c r="I20" s="11">
        <v>46267</v>
      </c>
      <c r="J20" s="12" t="str">
        <f>+VLOOKUP(K20,Datos!$A:$C,3,FALSE)</f>
        <v>OCCIDENTE</v>
      </c>
      <c r="K20" s="10">
        <v>28</v>
      </c>
      <c r="L20" s="12" t="str">
        <f>+VLOOKUP(K20,Datos!$A:$C,2,FALSE)</f>
        <v>SUCURSAL QUETZALTENANGO</v>
      </c>
      <c r="M20" s="10">
        <v>304024</v>
      </c>
      <c r="N20" s="12" t="str">
        <f>+VLOOKUP(M20,Datos!$F:$G,2,FALSE)</f>
        <v>Vicky Roxana Lopez Hernandez</v>
      </c>
      <c r="O20" s="13">
        <f>IFERROR(IF(A20="SI",VLOOKUP(R20,Datos!$J$1:$K$50,2,FALSE)*C20,VLOOKUP(R20,Datos!$P$1:$T$13,2,FALSE)*C20),0)</f>
        <v>816</v>
      </c>
      <c r="P20" s="9">
        <v>313644</v>
      </c>
      <c r="Q20" s="12" t="str">
        <f>+VLOOKUP(P20,Datos!$F:$G,2,FALSE)</f>
        <v>Estefani Elizabeth Tzul Macario</v>
      </c>
      <c r="R20" s="9" t="s">
        <v>26</v>
      </c>
      <c r="V20" s="10">
        <f t="shared" si="0"/>
        <v>1</v>
      </c>
      <c r="W20" s="10">
        <f>+VLOOKUP(M20,Datos!$F:$H,3,FALSE)</f>
        <v>0</v>
      </c>
      <c r="X20">
        <v>0</v>
      </c>
      <c r="Y20" s="14"/>
      <c r="Z20" t="e">
        <f>VLOOKUP(M20,'[1]INDIVIDUAL UN'!$C$6:$F$222,4,FALSE)</f>
        <v>#N/A</v>
      </c>
    </row>
    <row r="21" spans="1:26" hidden="1" x14ac:dyDescent="0.35">
      <c r="A21" s="9" t="s">
        <v>25</v>
      </c>
      <c r="C21" s="10">
        <v>1</v>
      </c>
      <c r="D21" s="10" t="s">
        <v>29</v>
      </c>
      <c r="E21" s="10" t="s">
        <v>37</v>
      </c>
      <c r="F21" s="10">
        <v>4186</v>
      </c>
      <c r="G21" s="10" t="s">
        <v>61</v>
      </c>
      <c r="H21" s="11">
        <v>46267</v>
      </c>
      <c r="I21" s="11">
        <v>46267</v>
      </c>
      <c r="J21" s="12" t="str">
        <f>+VLOOKUP(K21,Datos!$A:$C,3,FALSE)</f>
        <v>OCCIDENTE</v>
      </c>
      <c r="K21" s="10">
        <v>56</v>
      </c>
      <c r="L21" s="12" t="str">
        <f>+VLOOKUP(K21,Datos!$A:$C,2,FALSE)</f>
        <v>LOS ALTOS</v>
      </c>
      <c r="M21" s="10">
        <v>90040129</v>
      </c>
      <c r="N21" s="12" t="str">
        <f>+VLOOKUP(M21,Datos!$F:$G,2,FALSE)</f>
        <v>SANDRA PATRICIA IXTABALAN SANCHEZ </v>
      </c>
      <c r="O21" s="13">
        <f>IFERROR(IF(A21="SI",VLOOKUP(R21,Datos!$J$1:$K$50,2,FALSE)*C21,VLOOKUP(R21,Datos!$P$1:$T$13,2,FALSE)*C21),0)</f>
        <v>816</v>
      </c>
      <c r="P21" s="9">
        <v>308266</v>
      </c>
      <c r="Q21" s="12" t="str">
        <f>+VLOOKUP(P21,Datos!$F:$G,2,FALSE)</f>
        <v>Julio Cesar De Leon Huinac</v>
      </c>
      <c r="R21" s="9" t="s">
        <v>26</v>
      </c>
      <c r="V21" s="10">
        <f t="shared" si="0"/>
        <v>1</v>
      </c>
      <c r="W21" s="10">
        <f>+VLOOKUP(M21,Datos!$F:$H,3,FALSE)</f>
        <v>0</v>
      </c>
      <c r="X21">
        <v>0</v>
      </c>
      <c r="Y21" s="14"/>
      <c r="Z21" t="e">
        <f>VLOOKUP(M21,'[1]INDIVIDUAL UN'!$C$6:$F$222,4,FALSE)</f>
        <v>#N/A</v>
      </c>
    </row>
    <row r="22" spans="1:26" hidden="1" x14ac:dyDescent="0.35">
      <c r="A22" s="9" t="s">
        <v>25</v>
      </c>
      <c r="C22">
        <v>1</v>
      </c>
      <c r="D22" s="10" t="s">
        <v>29</v>
      </c>
      <c r="E22" s="10" t="s">
        <v>37</v>
      </c>
      <c r="F22" s="10">
        <v>4203</v>
      </c>
      <c r="G22" s="18" t="s">
        <v>62</v>
      </c>
      <c r="H22" s="11">
        <v>46267</v>
      </c>
      <c r="I22" s="11">
        <v>46267</v>
      </c>
      <c r="J22" s="12" t="str">
        <f>+VLOOKUP(K22,Datos!$A:$C,3,FALSE)</f>
        <v>OCCIDENTE</v>
      </c>
      <c r="K22" s="10">
        <v>246</v>
      </c>
      <c r="L22" s="12" t="str">
        <f>+VLOOKUP(K22,Datos!$A:$C,2,FALSE)</f>
        <v>SANTA CRUZ BARILLAS</v>
      </c>
      <c r="M22" s="10">
        <v>313666</v>
      </c>
      <c r="N22" s="12" t="str">
        <f>+VLOOKUP(M22,Datos!$F:$G,2,FALSE)</f>
        <v>Avner Josue Merida Molina</v>
      </c>
      <c r="O22" s="13">
        <f>IFERROR(IF(A22="SI",VLOOKUP(R22,Datos!$J$1:$K$50,2,FALSE)*C22,VLOOKUP(R22,Datos!$P$1:$T$13,2,FALSE)*C22),0)</f>
        <v>1368</v>
      </c>
      <c r="P22" s="9">
        <v>304166</v>
      </c>
      <c r="Q22" s="12" t="str">
        <f>+VLOOKUP(P22,Datos!$F:$G,2,FALSE)</f>
        <v>Maviela Bibianeth Castillo Avila</v>
      </c>
      <c r="R22" s="9" t="s">
        <v>48</v>
      </c>
      <c r="V22" s="10">
        <f t="shared" si="0"/>
        <v>1</v>
      </c>
      <c r="W22" s="10">
        <f>+VLOOKUP(M22,Datos!$F:$H,3,FALSE)</f>
        <v>0</v>
      </c>
      <c r="X22">
        <v>0</v>
      </c>
      <c r="Y22" s="14"/>
      <c r="Z22" t="e">
        <f>VLOOKUP(M22,'[1]INDIVIDUAL UN'!$C$6:$F$222,4,FALSE)</f>
        <v>#N/A</v>
      </c>
    </row>
    <row r="23" spans="1:26" hidden="1" x14ac:dyDescent="0.35">
      <c r="A23" s="9" t="s">
        <v>25</v>
      </c>
      <c r="C23" s="10">
        <v>1</v>
      </c>
      <c r="D23" s="10" t="s">
        <v>29</v>
      </c>
      <c r="E23" s="10" t="s">
        <v>37</v>
      </c>
      <c r="F23" s="10">
        <v>4185</v>
      </c>
      <c r="G23" s="10" t="s">
        <v>63</v>
      </c>
      <c r="H23" s="11">
        <v>46267</v>
      </c>
      <c r="I23" s="11">
        <v>46267</v>
      </c>
      <c r="J23" s="12" t="str">
        <f>+VLOOKUP(K23,Datos!$A:$C,3,FALSE)</f>
        <v>SUROCCIDENTE</v>
      </c>
      <c r="K23" s="10">
        <v>31</v>
      </c>
      <c r="L23" s="12" t="str">
        <f>+VLOOKUP(K23,Datos!$A:$C,2,FALSE)</f>
        <v>COATEPEQUE</v>
      </c>
      <c r="M23" s="19">
        <v>90065999</v>
      </c>
      <c r="N23" s="12" t="str">
        <f>+VLOOKUP(M23,Datos!$F:$G,2,FALSE)</f>
        <v>SEPHORA ABIGAIL SANCHEZ HERDOCIA</v>
      </c>
      <c r="O23" s="13">
        <f>IFERROR(IF(A23="SI",VLOOKUP(R23,Datos!$J$1:$K$50,2,FALSE)*C23,VLOOKUP(R23,Datos!$P$1:$T$13,2,FALSE)*C23),0)</f>
        <v>1368</v>
      </c>
      <c r="P23" s="10">
        <v>311258</v>
      </c>
      <c r="Q23" s="12" t="str">
        <f>+VLOOKUP(P23,Datos!$F:$G,2,FALSE)</f>
        <v>Victor Otoniel Sebastian Cardona</v>
      </c>
      <c r="R23" s="9" t="s">
        <v>48</v>
      </c>
      <c r="V23" s="10">
        <f t="shared" si="0"/>
        <v>1</v>
      </c>
      <c r="W23" s="10">
        <f>+VLOOKUP(M23,Datos!$F:$H,3,FALSE)</f>
        <v>0</v>
      </c>
      <c r="X23">
        <v>0</v>
      </c>
      <c r="Y23" s="14"/>
      <c r="Z23" t="e">
        <f>VLOOKUP('[2]DICIEMBREE 2024'!M51,'[1]INDIVIDUAL UN'!$C$6:$F$222,4,FALSE)</f>
        <v>#N/A</v>
      </c>
    </row>
    <row r="24" spans="1:26" hidden="1" x14ac:dyDescent="0.35">
      <c r="A24" s="9" t="s">
        <v>25</v>
      </c>
      <c r="C24" s="10">
        <v>1</v>
      </c>
      <c r="D24" s="10" t="s">
        <v>29</v>
      </c>
      <c r="E24" s="10" t="s">
        <v>37</v>
      </c>
      <c r="F24" s="10">
        <v>4194</v>
      </c>
      <c r="G24" s="10" t="s">
        <v>64</v>
      </c>
      <c r="H24" s="11">
        <v>46267</v>
      </c>
      <c r="I24" s="11">
        <v>46267</v>
      </c>
      <c r="J24" s="12" t="str">
        <f>+VLOOKUP(K24,Datos!$A:$C,3,FALSE)</f>
        <v>SUROCCIDENTE</v>
      </c>
      <c r="K24" s="10">
        <v>297</v>
      </c>
      <c r="L24" s="12" t="str">
        <f>+VLOOKUP(K24,Datos!$A:$C,2,FALSE)</f>
        <v>LA TRINIDAD COATEPEQUE</v>
      </c>
      <c r="M24" s="10">
        <v>312831</v>
      </c>
      <c r="N24" s="12" t="str">
        <f>+VLOOKUP(M24,Datos!$F:$G,2,FALSE)</f>
        <v>Cindy Yojana Mendoza Cajas</v>
      </c>
      <c r="O24" s="13">
        <f>IFERROR(IF(A24="SI",VLOOKUP(R24,Datos!$J$1:$K$50,2,FALSE)*C24,VLOOKUP(R24,Datos!$P$1:$T$13,2,FALSE)*C24),0)</f>
        <v>816</v>
      </c>
      <c r="P24" s="10">
        <v>311975</v>
      </c>
      <c r="Q24" s="12" t="str">
        <f>+VLOOKUP(P24,Datos!$F:$G,2,FALSE)</f>
        <v>Luis Eduardo Ramirez Arriaza</v>
      </c>
      <c r="R24" s="9" t="s">
        <v>26</v>
      </c>
      <c r="V24" s="10">
        <f t="shared" si="0"/>
        <v>1</v>
      </c>
      <c r="W24" s="10">
        <f>+VLOOKUP(M24,Datos!$F:$H,3,FALSE)</f>
        <v>0</v>
      </c>
      <c r="X24">
        <v>0</v>
      </c>
      <c r="Y24" s="14"/>
      <c r="Z24" t="e">
        <f>VLOOKUP(M24,'[1]INDIVIDUAL UN'!$C$6:$F$222,4,FALSE)</f>
        <v>#N/A</v>
      </c>
    </row>
    <row r="25" spans="1:26" hidden="1" x14ac:dyDescent="0.35">
      <c r="A25" s="9" t="s">
        <v>25</v>
      </c>
      <c r="C25" s="10">
        <v>1</v>
      </c>
      <c r="D25" s="10" t="s">
        <v>29</v>
      </c>
      <c r="E25" s="15" t="s">
        <v>65</v>
      </c>
      <c r="F25" s="15">
        <v>4193</v>
      </c>
      <c r="G25" s="15" t="s">
        <v>66</v>
      </c>
      <c r="H25" s="11">
        <v>46267</v>
      </c>
      <c r="I25" s="11">
        <v>46267</v>
      </c>
      <c r="J25" s="12" t="str">
        <f>+VLOOKUP(K25,Datos!$A:$C,3,FALSE)</f>
        <v>OCCIDENTE</v>
      </c>
      <c r="K25" s="10">
        <v>28</v>
      </c>
      <c r="L25" s="12" t="str">
        <f>+VLOOKUP(K25,Datos!$A:$C,2,FALSE)</f>
        <v>SUCURSAL QUETZALTENANGO</v>
      </c>
      <c r="M25" s="10">
        <v>304024</v>
      </c>
      <c r="N25" s="12" t="str">
        <f>+VLOOKUP(M25,Datos!$F:$G,2,FALSE)</f>
        <v>Vicky Roxana Lopez Hernandez</v>
      </c>
      <c r="O25" s="13">
        <f>IFERROR(IF(A25="SI",VLOOKUP(R25,Datos!$J$1:$K$50,2,FALSE)*C25,VLOOKUP(R25,Datos!$P$1:$T$13,2,FALSE)*C25),0)</f>
        <v>816</v>
      </c>
      <c r="P25" s="10">
        <v>313644</v>
      </c>
      <c r="Q25" s="12" t="str">
        <f>+VLOOKUP(P25,Datos!$F:$G,2,FALSE)</f>
        <v>Estefani Elizabeth Tzul Macario</v>
      </c>
      <c r="R25" s="9" t="s">
        <v>26</v>
      </c>
      <c r="V25" s="10">
        <f t="shared" si="0"/>
        <v>1</v>
      </c>
      <c r="W25" s="10">
        <f>+VLOOKUP(M25,Datos!$F:$H,3,FALSE)</f>
        <v>0</v>
      </c>
      <c r="X25">
        <v>0</v>
      </c>
      <c r="Y25" s="14"/>
      <c r="Z25" t="e">
        <f>VLOOKUP(M25,'[1]INDIVIDUAL UN'!$C$6:$F$222,4,FALSE)</f>
        <v>#N/A</v>
      </c>
    </row>
    <row r="26" spans="1:26" hidden="1" x14ac:dyDescent="0.35">
      <c r="A26" s="9" t="s">
        <v>25</v>
      </c>
      <c r="C26" s="10">
        <v>1</v>
      </c>
      <c r="D26" s="10" t="s">
        <v>29</v>
      </c>
      <c r="E26" s="10" t="s">
        <v>59</v>
      </c>
      <c r="F26" s="10">
        <v>4182</v>
      </c>
      <c r="G26" s="10" t="s">
        <v>67</v>
      </c>
      <c r="H26" s="11">
        <v>46267</v>
      </c>
      <c r="I26" s="11">
        <v>46267</v>
      </c>
      <c r="J26" s="12" t="str">
        <f>+VLOOKUP(K26,Datos!$A:$C,3,FALSE)</f>
        <v>OCCIDENTE</v>
      </c>
      <c r="K26" s="10">
        <v>56</v>
      </c>
      <c r="L26" s="12" t="str">
        <f>+VLOOKUP(K26,Datos!$A:$C,2,FALSE)</f>
        <v>LOS ALTOS</v>
      </c>
      <c r="M26" s="10">
        <v>315133</v>
      </c>
      <c r="N26" s="12" t="str">
        <f>+VLOOKUP(M26,Datos!$F:$G,2,FALSE)</f>
        <v>Bryan Daniel Milián De Leon</v>
      </c>
      <c r="O26" s="13">
        <f>IFERROR(IF(A26="SI",VLOOKUP(R26,Datos!$J$1:$K$50,2,FALSE)*C26,VLOOKUP(R26,Datos!$P$1:$T$13,2,FALSE)*C26),0)</f>
        <v>816</v>
      </c>
      <c r="P26" s="10">
        <v>308266</v>
      </c>
      <c r="Q26" s="12" t="str">
        <f>+VLOOKUP(P26,Datos!$F:$G,2,FALSE)</f>
        <v>Julio Cesar De Leon Huinac</v>
      </c>
      <c r="R26" s="9" t="s">
        <v>26</v>
      </c>
      <c r="V26" s="10">
        <f t="shared" si="0"/>
        <v>1</v>
      </c>
      <c r="W26" s="10">
        <f>+VLOOKUP(M26,Datos!$F:$H,3,FALSE)</f>
        <v>0</v>
      </c>
      <c r="X26">
        <v>0</v>
      </c>
      <c r="Y26" s="14"/>
      <c r="Z26" t="e">
        <f>VLOOKUP(M26,'[1]INDIVIDUAL UN'!$C$6:$F$222,4,FALSE)</f>
        <v>#N/A</v>
      </c>
    </row>
    <row r="27" spans="1:26" s="10" customFormat="1" hidden="1" x14ac:dyDescent="0.35">
      <c r="A27" s="9" t="s">
        <v>25</v>
      </c>
      <c r="B27" s="9"/>
      <c r="C27" s="10">
        <v>2</v>
      </c>
      <c r="D27" s="10" t="s">
        <v>29</v>
      </c>
      <c r="E27" s="10" t="s">
        <v>27</v>
      </c>
      <c r="F27" s="10">
        <v>1126</v>
      </c>
      <c r="G27" s="10" t="s">
        <v>68</v>
      </c>
      <c r="H27" s="11">
        <v>46268</v>
      </c>
      <c r="I27" s="11">
        <v>46268</v>
      </c>
      <c r="J27" s="12" t="str">
        <f>+VLOOKUP(K27,Datos!$A:$C,3,FALSE)</f>
        <v>SUROCCIDENTE</v>
      </c>
      <c r="K27" s="10">
        <v>89</v>
      </c>
      <c r="L27" s="12" t="str">
        <f>+VLOOKUP(K27,Datos!$A:$C,2,FALSE)</f>
        <v>LA TRINIDAD RETALHULEU</v>
      </c>
      <c r="M27" s="10">
        <v>90064210</v>
      </c>
      <c r="N27" s="12" t="str">
        <f>+VLOOKUP(M27,Datos!$F:$G,2,FALSE)</f>
        <v>GEREMY ARMANDO HERNANDEZ CAMACHO</v>
      </c>
      <c r="O27" s="13">
        <f>IFERROR(IF(A27="SI",VLOOKUP(R27,Datos!$J$1:$K$50,2,FALSE)*C27,VLOOKUP(R27,Datos!$P$1:$T$13,2,FALSE)*C27),0)</f>
        <v>1632</v>
      </c>
      <c r="P27" s="9">
        <v>302841</v>
      </c>
      <c r="Q27" s="12" t="str">
        <f>+VLOOKUP(P27,Datos!$F:$G,2,FALSE)</f>
        <v>Jessica Maria Jose Santizo Guzman</v>
      </c>
      <c r="R27" s="9" t="s">
        <v>26</v>
      </c>
      <c r="V27" s="10">
        <f t="shared" si="0"/>
        <v>1</v>
      </c>
      <c r="W27" s="10">
        <f>+VLOOKUP(M27,Datos!$F:$H,3,FALSE)</f>
        <v>0</v>
      </c>
      <c r="X27">
        <v>0</v>
      </c>
      <c r="Y27" s="20"/>
      <c r="Z27" s="10" t="e">
        <f>VLOOKUP(M27,'[1]INDIVIDUAL UN'!$C$6:$F$222,4,FALSE)</f>
        <v>#N/A</v>
      </c>
    </row>
    <row r="28" spans="1:26" s="10" customFormat="1" hidden="1" x14ac:dyDescent="0.35">
      <c r="A28" s="9" t="s">
        <v>25</v>
      </c>
      <c r="B28" s="9"/>
      <c r="C28" s="10">
        <v>3</v>
      </c>
      <c r="D28" s="10" t="s">
        <v>29</v>
      </c>
      <c r="E28" s="10" t="s">
        <v>41</v>
      </c>
      <c r="F28" s="10">
        <v>602</v>
      </c>
      <c r="G28" s="10" t="s">
        <v>69</v>
      </c>
      <c r="H28" s="11">
        <v>46268</v>
      </c>
      <c r="I28" s="11">
        <v>46268</v>
      </c>
      <c r="J28" s="12" t="str">
        <f>+VLOOKUP(K28,Datos!$A:$C,3,FALSE)</f>
        <v>OCCIDENTE</v>
      </c>
      <c r="K28" s="10">
        <v>155</v>
      </c>
      <c r="L28" s="12" t="str">
        <f>+VLOOKUP(K28,Datos!$A:$C,2,FALSE)</f>
        <v>TECPAN</v>
      </c>
      <c r="M28" s="10">
        <v>315629</v>
      </c>
      <c r="N28" s="12" t="str">
        <f>+VLOOKUP(M28,Datos!$F:$G,2,FALSE)</f>
        <v>Rucuch Choguaj, Miguel</v>
      </c>
      <c r="O28" s="13">
        <f>IFERROR(IF(A28="SI",VLOOKUP(R28,Datos!$J$1:$K$50,2,FALSE)*C28,VLOOKUP(R28,Datos!$P$1:$T$13,2,FALSE)*C28),0)</f>
        <v>2448</v>
      </c>
      <c r="P28" s="10">
        <v>305955</v>
      </c>
      <c r="Q28" s="12" t="str">
        <f>+VLOOKUP(P28,Datos!$F:$G,2,FALSE)</f>
        <v>Jorge Alfredo Gutierrez Rodriguez</v>
      </c>
      <c r="R28" s="9" t="s">
        <v>26</v>
      </c>
      <c r="V28" s="10">
        <f t="shared" si="0"/>
        <v>1</v>
      </c>
      <c r="W28" s="10">
        <f>+VLOOKUP(M28,Datos!$F:$H,3,FALSE)</f>
        <v>0</v>
      </c>
      <c r="X28">
        <v>0</v>
      </c>
      <c r="Y28" s="20"/>
      <c r="Z28" s="10" t="e">
        <f>VLOOKUP(M28,'[1]INDIVIDUAL UN'!$C$6:$F$222,4,FALSE)</f>
        <v>#N/A</v>
      </c>
    </row>
    <row r="29" spans="1:26" hidden="1" x14ac:dyDescent="0.35">
      <c r="A29" s="9" t="s">
        <v>25</v>
      </c>
      <c r="C29" s="10">
        <v>1</v>
      </c>
      <c r="D29" s="10" t="s">
        <v>29</v>
      </c>
      <c r="E29" s="10" t="s">
        <v>37</v>
      </c>
      <c r="F29" s="10">
        <v>4216</v>
      </c>
      <c r="G29" s="10" t="s">
        <v>70</v>
      </c>
      <c r="H29" s="11">
        <v>46268</v>
      </c>
      <c r="I29" s="11" t="s">
        <v>71</v>
      </c>
      <c r="J29" s="12" t="str">
        <f>+VLOOKUP(K29,Datos!$A:$C,3,FALSE)</f>
        <v>SUROCCIDENTE</v>
      </c>
      <c r="K29" s="10">
        <v>31</v>
      </c>
      <c r="L29" s="12" t="str">
        <f>+VLOOKUP(K29,Datos!$A:$C,2,FALSE)</f>
        <v>COATEPEQUE</v>
      </c>
      <c r="M29" s="10">
        <v>310671</v>
      </c>
      <c r="N29" s="12" t="str">
        <f>+VLOOKUP(M29,Datos!$F:$G,2,FALSE)</f>
        <v>Sucely Paola Godinez Gomez De Perez</v>
      </c>
      <c r="O29" s="13">
        <f>IFERROR(IF(A29="SI",VLOOKUP(R29,Datos!$J$1:$K$50,2,FALSE)*C29,VLOOKUP(R29,Datos!$P$1:$T$13,2,FALSE)*C29),0)</f>
        <v>1368</v>
      </c>
      <c r="P29" s="9">
        <v>306654</v>
      </c>
      <c r="Q29" s="12" t="str">
        <f>+VLOOKUP(P29,Datos!$F:$G,2,FALSE)</f>
        <v>Gerson Arcadio Hernandez Barrios</v>
      </c>
      <c r="R29" s="9" t="s">
        <v>48</v>
      </c>
      <c r="V29" s="10">
        <f t="shared" si="0"/>
        <v>1</v>
      </c>
      <c r="W29" s="10">
        <f>+VLOOKUP(M29,Datos!$F:$H,3,FALSE)</f>
        <v>0</v>
      </c>
      <c r="X29">
        <v>0</v>
      </c>
      <c r="Y29" s="14"/>
      <c r="Z29" t="e">
        <f>VLOOKUP(M29,'[1]INDIVIDUAL UN'!$C$6:$F$222,4,FALSE)</f>
        <v>#N/A</v>
      </c>
    </row>
    <row r="30" spans="1:26" hidden="1" x14ac:dyDescent="0.35">
      <c r="A30" s="9" t="s">
        <v>25</v>
      </c>
      <c r="C30">
        <v>1</v>
      </c>
      <c r="D30" s="10" t="s">
        <v>29</v>
      </c>
      <c r="E30" s="10" t="s">
        <v>55</v>
      </c>
      <c r="F30" s="10">
        <v>407</v>
      </c>
      <c r="G30" s="10" t="s">
        <v>72</v>
      </c>
      <c r="H30" s="11">
        <v>46268</v>
      </c>
      <c r="I30" s="11">
        <v>46268</v>
      </c>
      <c r="J30" s="12" t="str">
        <f>+VLOOKUP(K30,Datos!$A:$C,3,FALSE)</f>
        <v>SUROCCIDENTE</v>
      </c>
      <c r="K30" s="16">
        <v>31</v>
      </c>
      <c r="L30" s="12" t="str">
        <f>+VLOOKUP(K30,Datos!$A:$C,2,FALSE)</f>
        <v>COATEPEQUE</v>
      </c>
      <c r="M30" s="19">
        <v>315679</v>
      </c>
      <c r="N30" s="12" t="str">
        <f>+VLOOKUP(M30,Datos!$F:$G,2,FALSE)</f>
        <v>ANGELA XIOMARA PONCIANO GONZALEZ</v>
      </c>
      <c r="O30" s="13">
        <f>IFERROR(IF(A30="SI",VLOOKUP(R30,Datos!$J$1:$K$50,2,FALSE)*C30,VLOOKUP(R30,Datos!$P$1:$T$13,2,FALSE)*C30),0)</f>
        <v>1092</v>
      </c>
      <c r="P30" s="16">
        <v>311258</v>
      </c>
      <c r="Q30" s="12" t="str">
        <f>+VLOOKUP(P30,Datos!$F:$G,2,FALSE)</f>
        <v>Victor Otoniel Sebastian Cardona</v>
      </c>
      <c r="R30" s="9" t="s">
        <v>57</v>
      </c>
      <c r="V30" s="10">
        <f t="shared" si="0"/>
        <v>1</v>
      </c>
      <c r="W30" s="10">
        <f>+VLOOKUP(M30,Datos!$F:$H,3,FALSE)</f>
        <v>0</v>
      </c>
      <c r="X30">
        <v>0</v>
      </c>
      <c r="Y30" s="14"/>
      <c r="Z30" t="e">
        <f>VLOOKUP(M30,'[1]INDIVIDUAL UN'!$C$6:$F$222,4,FALSE)</f>
        <v>#N/A</v>
      </c>
    </row>
    <row r="31" spans="1:26" hidden="1" x14ac:dyDescent="0.35">
      <c r="A31" s="9" t="s">
        <v>25</v>
      </c>
      <c r="C31" s="10">
        <v>1</v>
      </c>
      <c r="D31" s="10" t="s">
        <v>29</v>
      </c>
      <c r="E31" s="10" t="s">
        <v>37</v>
      </c>
      <c r="F31" s="10">
        <v>4243</v>
      </c>
      <c r="G31" s="16" t="s">
        <v>73</v>
      </c>
      <c r="H31" s="11">
        <v>46268</v>
      </c>
      <c r="I31" s="11">
        <v>46268</v>
      </c>
      <c r="J31" s="12" t="str">
        <f>+VLOOKUP(K31,Datos!$A:$C,3,FALSE)</f>
        <v>OCCIDENTE</v>
      </c>
      <c r="K31" s="10">
        <v>55</v>
      </c>
      <c r="L31" s="12" t="str">
        <f>+VLOOKUP(K31,Datos!$A:$C,2,FALSE)</f>
        <v>ZENTROPLAZA</v>
      </c>
      <c r="M31" s="10">
        <v>315686</v>
      </c>
      <c r="N31" s="12" t="str">
        <f>+VLOOKUP(M31,Datos!$F:$G,2,FALSE)</f>
        <v>REINA NOHEMI PASCUAL</v>
      </c>
      <c r="O31" s="13">
        <f>IFERROR(IF(A31="SI",VLOOKUP(R31,Datos!$J$1:$K$50,2,FALSE)*C31,VLOOKUP(R31,Datos!$P$1:$T$13,2,FALSE)*C31),0)</f>
        <v>816</v>
      </c>
      <c r="P31" s="16">
        <v>311950</v>
      </c>
      <c r="Q31" s="12" t="str">
        <f>+VLOOKUP(P31,Datos!$F:$G,2,FALSE)</f>
        <v>Alan Javier Castillo Ordoñez</v>
      </c>
      <c r="R31" s="9" t="s">
        <v>26</v>
      </c>
      <c r="V31" s="10">
        <f t="shared" si="0"/>
        <v>1</v>
      </c>
      <c r="W31" s="10">
        <f>+VLOOKUP(M31,Datos!$F:$H,3,FALSE)</f>
        <v>0</v>
      </c>
      <c r="X31">
        <v>0</v>
      </c>
      <c r="Y31" s="14"/>
      <c r="Z31" t="e">
        <f>VLOOKUP(M31,'[1]INDIVIDUAL UN'!$C$6:$F$222,4,FALSE)</f>
        <v>#N/A</v>
      </c>
    </row>
    <row r="32" spans="1:26" hidden="1" x14ac:dyDescent="0.35">
      <c r="A32" s="9" t="s">
        <v>25</v>
      </c>
      <c r="C32" s="10">
        <v>2</v>
      </c>
      <c r="D32" s="10" t="s">
        <v>29</v>
      </c>
      <c r="E32" s="10" t="s">
        <v>74</v>
      </c>
      <c r="F32" s="10">
        <v>133</v>
      </c>
      <c r="G32" s="10" t="s">
        <v>75</v>
      </c>
      <c r="H32" s="11">
        <v>46268</v>
      </c>
      <c r="I32" s="11">
        <v>46268</v>
      </c>
      <c r="J32" s="12" t="str">
        <f>+VLOOKUP(K32,Datos!$A:$C,3,FALSE)</f>
        <v>SUROCCIDENTE</v>
      </c>
      <c r="K32" s="16">
        <v>297</v>
      </c>
      <c r="L32" s="12" t="str">
        <f>+VLOOKUP(K32,Datos!$A:$C,2,FALSE)</f>
        <v>LA TRINIDAD COATEPEQUE</v>
      </c>
      <c r="M32" s="10">
        <v>306248</v>
      </c>
      <c r="N32" s="12" t="str">
        <f>+VLOOKUP(M32,Datos!$F:$G,2,FALSE)</f>
        <v>Gladys Susana Marin De Leon</v>
      </c>
      <c r="O32" s="13">
        <f>IFERROR(IF(A32="SI",VLOOKUP(R32,Datos!$J$1:$K$50,2,FALSE)*C32,VLOOKUP(R32,Datos!$P$1:$T$13,2,FALSE)*C32),0)</f>
        <v>2184</v>
      </c>
      <c r="P32" s="16">
        <v>311975</v>
      </c>
      <c r="Q32" s="12" t="str">
        <f>+VLOOKUP(P32,Datos!$F:$G,2,FALSE)</f>
        <v>Luis Eduardo Ramirez Arriaza</v>
      </c>
      <c r="R32" s="9" t="s">
        <v>57</v>
      </c>
      <c r="V32" s="10">
        <f t="shared" si="0"/>
        <v>1</v>
      </c>
      <c r="W32" s="10">
        <f>+VLOOKUP(M32,Datos!$F:$H,3,FALSE)</f>
        <v>0</v>
      </c>
      <c r="X32">
        <v>0</v>
      </c>
      <c r="Y32" s="14"/>
      <c r="Z32" t="e">
        <f>VLOOKUP(M32,'[1]INDIVIDUAL UN'!$C$6:$F$222,4,FALSE)</f>
        <v>#N/A</v>
      </c>
    </row>
    <row r="33" spans="1:26" hidden="1" x14ac:dyDescent="0.35">
      <c r="A33" s="9" t="s">
        <v>25</v>
      </c>
      <c r="C33" s="10">
        <v>1</v>
      </c>
      <c r="D33" s="10" t="s">
        <v>29</v>
      </c>
      <c r="E33" s="10" t="s">
        <v>37</v>
      </c>
      <c r="F33" s="10">
        <v>4229</v>
      </c>
      <c r="G33" s="10" t="s">
        <v>76</v>
      </c>
      <c r="H33" s="11">
        <v>46268</v>
      </c>
      <c r="I33" s="11">
        <v>46268</v>
      </c>
      <c r="J33" s="12" t="str">
        <f>+VLOOKUP(K33,Datos!$A:$C,3,FALSE)</f>
        <v>OCCIDENTE</v>
      </c>
      <c r="K33" s="16">
        <v>33</v>
      </c>
      <c r="L33" s="12" t="str">
        <f>+VLOOKUP(K33,Datos!$A:$C,2,FALSE)</f>
        <v>HUEHUETENANGO</v>
      </c>
      <c r="M33" s="9">
        <v>314636</v>
      </c>
      <c r="N33" s="12" t="str">
        <f>+VLOOKUP(M33,Datos!$F:$G,2,FALSE)</f>
        <v>Walkiria Anais Herrera Castillo</v>
      </c>
      <c r="O33" s="13">
        <f>IFERROR(IF(A33="SI",VLOOKUP(R33,Datos!$J$1:$K$50,2,FALSE)*C33,VLOOKUP(R33,Datos!$P$1:$T$13,2,FALSE)*C33),0)</f>
        <v>1368</v>
      </c>
      <c r="P33" s="16">
        <v>313225</v>
      </c>
      <c r="Q33" s="12" t="str">
        <f>+VLOOKUP(P33,Datos!$F:$G,2,FALSE)</f>
        <v>Karen Deniss Lucas Chavez</v>
      </c>
      <c r="R33" s="9" t="s">
        <v>48</v>
      </c>
      <c r="V33" s="10">
        <f t="shared" si="0"/>
        <v>1</v>
      </c>
      <c r="W33" s="10">
        <f>+VLOOKUP(M33,Datos!$F:$H,3,FALSE)</f>
        <v>0</v>
      </c>
      <c r="X33">
        <v>0</v>
      </c>
      <c r="Y33" s="14"/>
      <c r="Z33" t="e">
        <f>VLOOKUP(M33,'[1]INDIVIDUAL UN'!$C$6:$F$222,4,FALSE)</f>
        <v>#N/A</v>
      </c>
    </row>
    <row r="34" spans="1:26" hidden="1" x14ac:dyDescent="0.35">
      <c r="A34" s="9" t="s">
        <v>25</v>
      </c>
      <c r="B34" s="21"/>
      <c r="C34" s="10">
        <v>2</v>
      </c>
      <c r="D34" s="10" t="s">
        <v>29</v>
      </c>
      <c r="E34" s="10" t="s">
        <v>27</v>
      </c>
      <c r="F34" s="10">
        <v>1115</v>
      </c>
      <c r="G34" s="10" t="s">
        <v>77</v>
      </c>
      <c r="H34" s="11">
        <v>46268</v>
      </c>
      <c r="I34" s="11">
        <v>46267</v>
      </c>
      <c r="J34" s="12" t="str">
        <f>+VLOOKUP(K34,Datos!$A:$C,3,FALSE)</f>
        <v>SUROCCIDENTE</v>
      </c>
      <c r="K34" s="16">
        <v>297</v>
      </c>
      <c r="L34" s="12" t="str">
        <f>+VLOOKUP(K34,Datos!$A:$C,2,FALSE)</f>
        <v>LA TRINIDAD COATEPEQUE</v>
      </c>
      <c r="M34" s="10">
        <v>310220</v>
      </c>
      <c r="N34" s="12" t="str">
        <f>+VLOOKUP(M34,Datos!$F:$G,2,FALSE)</f>
        <v>Urias Samuel Velasquez Ardeano</v>
      </c>
      <c r="O34" s="13">
        <f>IFERROR(IF(A34="SI",VLOOKUP(R34,Datos!$J$1:$K$50,2,FALSE)*C34,VLOOKUP(R34,Datos!$P$1:$T$13,2,FALSE)*C34),0)</f>
        <v>1632</v>
      </c>
      <c r="P34" s="16">
        <v>311975</v>
      </c>
      <c r="Q34" s="12" t="str">
        <f>+VLOOKUP(P34,Datos!$F:$G,2,FALSE)</f>
        <v>Luis Eduardo Ramirez Arriaza</v>
      </c>
      <c r="R34" s="9" t="s">
        <v>26</v>
      </c>
      <c r="V34" s="10">
        <f t="shared" si="0"/>
        <v>1</v>
      </c>
      <c r="W34" s="10">
        <f>+VLOOKUP(M34,Datos!$F:$H,3,FALSE)</f>
        <v>0</v>
      </c>
      <c r="X34">
        <v>0</v>
      </c>
      <c r="Y34" s="14"/>
      <c r="Z34" t="e">
        <f>VLOOKUP(M34,'[1]INDIVIDUAL UN'!$C$6:$F$222,4,FALSE)</f>
        <v>#N/A</v>
      </c>
    </row>
    <row r="35" spans="1:26" hidden="1" x14ac:dyDescent="0.35">
      <c r="A35" s="9" t="s">
        <v>25</v>
      </c>
      <c r="C35" s="10">
        <v>1</v>
      </c>
      <c r="D35" s="10" t="s">
        <v>29</v>
      </c>
      <c r="E35" s="10" t="s">
        <v>37</v>
      </c>
      <c r="F35" s="10">
        <v>4233</v>
      </c>
      <c r="G35" s="10" t="s">
        <v>78</v>
      </c>
      <c r="H35" s="11">
        <v>46268</v>
      </c>
      <c r="I35" s="11">
        <v>46268</v>
      </c>
      <c r="J35" s="12" t="str">
        <f>+VLOOKUP(K35,Datos!$A:$C,3,FALSE)</f>
        <v>SUROCCIDENTE</v>
      </c>
      <c r="K35" s="10">
        <v>297</v>
      </c>
      <c r="L35" s="12" t="str">
        <f>+VLOOKUP(K35,Datos!$A:$C,2,FALSE)</f>
        <v>LA TRINIDAD COATEPEQUE</v>
      </c>
      <c r="M35" s="10">
        <v>310220</v>
      </c>
      <c r="N35" s="12" t="str">
        <f>+VLOOKUP(M35,Datos!$F:$G,2,FALSE)</f>
        <v>Urias Samuel Velasquez Ardeano</v>
      </c>
      <c r="O35" s="13">
        <f>IFERROR(IF(A35="SI",VLOOKUP(R35,Datos!$J$1:$K$50,2,FALSE)*C35,VLOOKUP(R35,Datos!$P$1:$T$13,2,FALSE)*C35),0)</f>
        <v>816</v>
      </c>
      <c r="P35" s="9">
        <v>311975</v>
      </c>
      <c r="Q35" s="12" t="str">
        <f>+VLOOKUP(P35,Datos!$F:$G,2,FALSE)</f>
        <v>Luis Eduardo Ramirez Arriaza</v>
      </c>
      <c r="R35" s="9" t="s">
        <v>26</v>
      </c>
      <c r="V35" s="10">
        <f t="shared" si="0"/>
        <v>1</v>
      </c>
      <c r="W35" s="10">
        <f>+VLOOKUP(M35,Datos!$F:$H,3,FALSE)</f>
        <v>0</v>
      </c>
      <c r="X35">
        <v>0</v>
      </c>
      <c r="Y35" s="14"/>
      <c r="Z35" t="e">
        <f>VLOOKUP(M35,'[1]INDIVIDUAL UN'!$C$6:$F$222,4,FALSE)</f>
        <v>#N/A</v>
      </c>
    </row>
    <row r="36" spans="1:26" hidden="1" x14ac:dyDescent="0.35">
      <c r="A36" s="9" t="s">
        <v>25</v>
      </c>
      <c r="C36" s="10">
        <v>1</v>
      </c>
      <c r="D36" s="10" t="s">
        <v>29</v>
      </c>
      <c r="E36" s="10" t="s">
        <v>37</v>
      </c>
      <c r="F36" s="10">
        <v>4221</v>
      </c>
      <c r="G36" s="10" t="s">
        <v>79</v>
      </c>
      <c r="H36" s="11">
        <v>46268</v>
      </c>
      <c r="I36" s="11">
        <v>46268</v>
      </c>
      <c r="J36" s="12" t="str">
        <f>+VLOOKUP(K36,Datos!$A:$C,3,FALSE)</f>
        <v>SUROCCIDENTE</v>
      </c>
      <c r="K36" s="10">
        <v>143</v>
      </c>
      <c r="L36" s="12" t="str">
        <f>+VLOOKUP(K36,Datos!$A:$C,2,FALSE)</f>
        <v>RETALHULEU LA SIRENA</v>
      </c>
      <c r="M36" s="10">
        <v>90087842</v>
      </c>
      <c r="N36" s="12" t="str">
        <f>+VLOOKUP(M36,Datos!$F:$G,2,FALSE)</f>
        <v>ANGEL DAVID BAMAC ORELLANA</v>
      </c>
      <c r="O36" s="13">
        <f>IFERROR(IF(A36="SI",VLOOKUP(R36,Datos!$J$1:$K$50,2,FALSE)*C36,VLOOKUP(R36,Datos!$P$1:$T$13,2,FALSE)*C36),0)</f>
        <v>816</v>
      </c>
      <c r="P36" s="10">
        <v>311380</v>
      </c>
      <c r="Q36" s="12" t="str">
        <f>+VLOOKUP(P36,Datos!$F:$G,2,FALSE)</f>
        <v>Andrea Lisbeth Ruiz Rodas</v>
      </c>
      <c r="R36" s="9" t="s">
        <v>26</v>
      </c>
      <c r="V36" s="10">
        <f t="shared" si="0"/>
        <v>1</v>
      </c>
      <c r="W36" s="10">
        <f>+VLOOKUP(M36,Datos!$F:$H,3,FALSE)</f>
        <v>0</v>
      </c>
      <c r="X36">
        <v>0</v>
      </c>
      <c r="Y36" s="14"/>
      <c r="Z36" t="e">
        <f>VLOOKUP(M36,'[1]INDIVIDUAL UN'!$C$6:$F$222,4,FALSE)</f>
        <v>#N/A</v>
      </c>
    </row>
    <row r="37" spans="1:26" hidden="1" x14ac:dyDescent="0.35">
      <c r="A37" s="9" t="s">
        <v>25</v>
      </c>
      <c r="C37" s="10">
        <v>3</v>
      </c>
      <c r="D37" s="10" t="s">
        <v>29</v>
      </c>
      <c r="E37" s="10" t="s">
        <v>41</v>
      </c>
      <c r="F37" s="10">
        <v>601</v>
      </c>
      <c r="G37" s="10" t="s">
        <v>80</v>
      </c>
      <c r="H37" s="22">
        <v>46268</v>
      </c>
      <c r="I37" s="11">
        <v>46268</v>
      </c>
      <c r="J37" s="12" t="str">
        <f>+VLOOKUP(K37,Datos!$A:$C,3,FALSE)</f>
        <v>OCCIDENTE</v>
      </c>
      <c r="K37" s="10">
        <v>65</v>
      </c>
      <c r="L37" s="12" t="str">
        <f>+VLOOKUP(K37,Datos!$A:$C,2,FALSE)</f>
        <v>PANAJACHEL</v>
      </c>
      <c r="M37">
        <v>312996</v>
      </c>
      <c r="N37" s="12" t="str">
        <f>+VLOOKUP(M37,Datos!$F:$G,2,FALSE)</f>
        <v>Marlen Aida Pelaez Ramirez</v>
      </c>
      <c r="O37" s="13">
        <f>IFERROR(IF(A37="SI",VLOOKUP(R37,Datos!$J$1:$K$50,2,FALSE)*C37,VLOOKUP(R37,Datos!$P$1:$T$13,2,FALSE)*C37),0)</f>
        <v>4104</v>
      </c>
      <c r="P37" s="9">
        <v>305532</v>
      </c>
      <c r="Q37" s="12" t="str">
        <f>+VLOOKUP(P37,Datos!$F:$G,2,FALSE)</f>
        <v>Nicolas Ajiquichi Ibate</v>
      </c>
      <c r="R37" s="9" t="s">
        <v>48</v>
      </c>
      <c r="V37" s="10">
        <f t="shared" si="0"/>
        <v>1</v>
      </c>
      <c r="W37" s="10">
        <f>+VLOOKUP(M37,Datos!$F:$H,3,FALSE)</f>
        <v>0</v>
      </c>
      <c r="X37">
        <v>0</v>
      </c>
      <c r="Y37" s="14"/>
      <c r="Z37" t="e">
        <f>VLOOKUP(M37,'[1]INDIVIDUAL UN'!$C$6:$F$222,4,FALSE)</f>
        <v>#N/A</v>
      </c>
    </row>
    <row r="38" spans="1:26" hidden="1" x14ac:dyDescent="0.35">
      <c r="A38" s="9" t="s">
        <v>25</v>
      </c>
      <c r="C38" s="10">
        <v>1</v>
      </c>
      <c r="D38" s="10" t="s">
        <v>29</v>
      </c>
      <c r="E38" s="10" t="s">
        <v>37</v>
      </c>
      <c r="F38" s="10">
        <v>4217</v>
      </c>
      <c r="G38" s="10" t="s">
        <v>81</v>
      </c>
      <c r="H38" s="11">
        <v>46268</v>
      </c>
      <c r="I38" s="11">
        <v>46268</v>
      </c>
      <c r="J38" s="12" t="str">
        <f>+VLOOKUP(K38,Datos!$A:$C,3,FALSE)</f>
        <v>SUROCCIDENTE</v>
      </c>
      <c r="K38" s="10">
        <v>297</v>
      </c>
      <c r="L38" s="12" t="str">
        <f>+VLOOKUP(K38,Datos!$A:$C,2,FALSE)</f>
        <v>LA TRINIDAD COATEPEQUE</v>
      </c>
      <c r="M38" s="10">
        <v>312831</v>
      </c>
      <c r="N38" s="12" t="str">
        <f>+VLOOKUP(M38,Datos!$F:$G,2,FALSE)</f>
        <v>Cindy Yojana Mendoza Cajas</v>
      </c>
      <c r="O38" s="13">
        <f>IFERROR(IF(A38="SI",VLOOKUP(R38,Datos!$J$1:$K$50,2,FALSE)*C38,VLOOKUP(R38,Datos!$P$1:$T$13,2,FALSE)*C38),0)</f>
        <v>816</v>
      </c>
      <c r="P38" s="9">
        <v>311975</v>
      </c>
      <c r="Q38" s="12" t="str">
        <f>+VLOOKUP(P38,Datos!$F:$G,2,FALSE)</f>
        <v>Luis Eduardo Ramirez Arriaza</v>
      </c>
      <c r="R38" s="9" t="s">
        <v>26</v>
      </c>
      <c r="V38" s="10">
        <f t="shared" si="0"/>
        <v>1</v>
      </c>
      <c r="W38" s="10">
        <f>+VLOOKUP(M38,Datos!$F:$H,3,FALSE)</f>
        <v>0</v>
      </c>
      <c r="X38">
        <v>0</v>
      </c>
      <c r="Y38" s="14"/>
      <c r="Z38" t="e">
        <f>VLOOKUP(M38,'[1]INDIVIDUAL UN'!$C$6:$F$222,4,FALSE)</f>
        <v>#N/A</v>
      </c>
    </row>
    <row r="39" spans="1:26" hidden="1" x14ac:dyDescent="0.35">
      <c r="A39" s="9" t="s">
        <v>25</v>
      </c>
      <c r="C39" s="10">
        <v>3</v>
      </c>
      <c r="D39" s="10" t="s">
        <v>29</v>
      </c>
      <c r="E39" s="10" t="s">
        <v>41</v>
      </c>
      <c r="F39" s="10">
        <v>603</v>
      </c>
      <c r="G39" s="10" t="s">
        <v>82</v>
      </c>
      <c r="H39" s="11">
        <v>46269</v>
      </c>
      <c r="I39" s="11">
        <v>46269</v>
      </c>
      <c r="J39" s="12" t="str">
        <f>+VLOOKUP(K39,Datos!$A:$C,3,FALSE)</f>
        <v>OCCIDENTE</v>
      </c>
      <c r="K39" s="10">
        <v>155</v>
      </c>
      <c r="L39" s="12" t="str">
        <f>+VLOOKUP(K39,Datos!$A:$C,2,FALSE)</f>
        <v>TECPAN</v>
      </c>
      <c r="M39" s="10">
        <v>315629</v>
      </c>
      <c r="N39" s="12" t="str">
        <f>+VLOOKUP(M39,Datos!$F:$G,2,FALSE)</f>
        <v>Rucuch Choguaj, Miguel</v>
      </c>
      <c r="O39" s="13">
        <f>IFERROR(IF(A39="SI",VLOOKUP(R39,Datos!$J$1:$K$50,2,FALSE)*C39,VLOOKUP(R39,Datos!$P$1:$T$13,2,FALSE)*C39),0)</f>
        <v>2448</v>
      </c>
      <c r="P39" s="9">
        <v>305955</v>
      </c>
      <c r="Q39" s="12" t="str">
        <f>+VLOOKUP(P39,Datos!$F:$G,2,FALSE)</f>
        <v>Jorge Alfredo Gutierrez Rodriguez</v>
      </c>
      <c r="R39" s="9" t="s">
        <v>26</v>
      </c>
      <c r="V39" s="10">
        <f t="shared" si="0"/>
        <v>1</v>
      </c>
      <c r="W39" s="10">
        <f>+VLOOKUP(M39,Datos!$F:$H,3,FALSE)</f>
        <v>0</v>
      </c>
      <c r="X39">
        <v>0</v>
      </c>
      <c r="Y39" s="14"/>
      <c r="Z39" t="e">
        <f>VLOOKUP(M39,'[1]INDIVIDUAL UN'!$C$6:$F$222,4,FALSE)</f>
        <v>#N/A</v>
      </c>
    </row>
    <row r="40" spans="1:26" hidden="1" x14ac:dyDescent="0.35">
      <c r="A40" s="9" t="s">
        <v>25</v>
      </c>
      <c r="C40" s="16">
        <v>2</v>
      </c>
      <c r="D40" s="10" t="s">
        <v>29</v>
      </c>
      <c r="E40" s="16" t="s">
        <v>27</v>
      </c>
      <c r="F40" s="16">
        <v>1133</v>
      </c>
      <c r="G40" s="16" t="s">
        <v>83</v>
      </c>
      <c r="H40" s="11">
        <v>46269</v>
      </c>
      <c r="I40" s="11">
        <v>46269</v>
      </c>
      <c r="J40" s="12" t="str">
        <f>+VLOOKUP(K40,Datos!$A:$C,3,FALSE)</f>
        <v>OCCIDENTE</v>
      </c>
      <c r="K40" s="10">
        <v>29</v>
      </c>
      <c r="L40" s="12" t="str">
        <f>+VLOOKUP(K40,Datos!$A:$C,2,FALSE)</f>
        <v>SAN PEDRO SACATEPEQUEZ S.M.</v>
      </c>
      <c r="M40" s="16">
        <v>90027919</v>
      </c>
      <c r="N40" s="12" t="str">
        <f>+VLOOKUP(M40,Datos!$F:$G,2,FALSE)</f>
        <v xml:space="preserve">OFNY JOSELITO FUENTES </v>
      </c>
      <c r="O40" s="13">
        <f>IFERROR(IF(A40="SI",VLOOKUP(R40,Datos!$J$1:$K$50,2,FALSE)*C40,VLOOKUP(R40,Datos!$P$1:$T$13,2,FALSE)*C40),0)</f>
        <v>1632</v>
      </c>
      <c r="P40" s="9">
        <v>310641</v>
      </c>
      <c r="Q40" s="12" t="str">
        <f>+VLOOKUP(P40,Datos!$F:$G,2,FALSE)</f>
        <v>Jorge Antonio Ramirez Sicay</v>
      </c>
      <c r="R40" s="9" t="s">
        <v>26</v>
      </c>
      <c r="V40" s="10">
        <f t="shared" si="0"/>
        <v>1</v>
      </c>
      <c r="W40" s="10">
        <f>+VLOOKUP(M40,Datos!$F:$H,3,FALSE)</f>
        <v>0</v>
      </c>
      <c r="X40">
        <v>0</v>
      </c>
      <c r="Y40" s="14"/>
      <c r="Z40" t="e">
        <f>VLOOKUP(M40,'[1]INDIVIDUAL UN'!$C$6:$F$222,4,FALSE)</f>
        <v>#N/A</v>
      </c>
    </row>
    <row r="41" spans="1:26" hidden="1" x14ac:dyDescent="0.35">
      <c r="A41" s="9" t="s">
        <v>25</v>
      </c>
      <c r="C41" s="23">
        <v>1</v>
      </c>
      <c r="D41" s="10" t="s">
        <v>29</v>
      </c>
      <c r="E41" s="23" t="s">
        <v>34</v>
      </c>
      <c r="F41" s="23">
        <v>2944</v>
      </c>
      <c r="G41" s="23" t="s">
        <v>84</v>
      </c>
      <c r="H41" s="11">
        <v>46269</v>
      </c>
      <c r="I41" s="11">
        <v>46269</v>
      </c>
      <c r="J41" s="12" t="str">
        <f>+VLOOKUP(K41,Datos!$A:$C,3,FALSE)</f>
        <v>OCCIDENTE</v>
      </c>
      <c r="K41" s="10">
        <v>65</v>
      </c>
      <c r="L41" s="12" t="str">
        <f>+VLOOKUP(K41,Datos!$A:$C,2,FALSE)</f>
        <v>PANAJACHEL</v>
      </c>
      <c r="M41" s="23">
        <v>312996</v>
      </c>
      <c r="N41" s="12" t="str">
        <f>+VLOOKUP(M41,Datos!$F:$G,2,FALSE)</f>
        <v>Marlen Aida Pelaez Ramirez</v>
      </c>
      <c r="O41" s="13">
        <f>IFERROR(IF(A41="SI",VLOOKUP(R41,Datos!$J$1:$K$50,2,FALSE)*C41,VLOOKUP(R41,Datos!$P$1:$T$13,2,FALSE)*C41),0)</f>
        <v>1908</v>
      </c>
      <c r="P41" s="9">
        <v>305532</v>
      </c>
      <c r="Q41" s="12" t="str">
        <f>+VLOOKUP(P41,Datos!$F:$G,2,FALSE)</f>
        <v>Nicolas Ajiquichi Ibate</v>
      </c>
      <c r="R41" s="9" t="s">
        <v>85</v>
      </c>
      <c r="V41" s="10">
        <f t="shared" si="0"/>
        <v>1</v>
      </c>
      <c r="W41" s="10">
        <f>+VLOOKUP(M41,Datos!$F:$H,3,FALSE)</f>
        <v>0</v>
      </c>
      <c r="X41">
        <v>0</v>
      </c>
      <c r="Y41" s="14"/>
      <c r="Z41" t="e">
        <f>VLOOKUP(M41,'[1]INDIVIDUAL UN'!$C$6:$F$222,4,FALSE)</f>
        <v>#N/A</v>
      </c>
    </row>
    <row r="42" spans="1:26" hidden="1" x14ac:dyDescent="0.35">
      <c r="A42" s="9" t="s">
        <v>25</v>
      </c>
      <c r="C42" s="10">
        <v>3</v>
      </c>
      <c r="D42" s="10" t="s">
        <v>29</v>
      </c>
      <c r="E42" s="10" t="s">
        <v>86</v>
      </c>
      <c r="F42" s="10">
        <v>341</v>
      </c>
      <c r="G42" s="10" t="s">
        <v>87</v>
      </c>
      <c r="H42" s="11">
        <v>46269</v>
      </c>
      <c r="I42" s="11">
        <v>46269</v>
      </c>
      <c r="J42" s="12" t="str">
        <f>+VLOOKUP(K42,Datos!$A:$C,3,FALSE)</f>
        <v>OCCIDENTE</v>
      </c>
      <c r="K42" s="10">
        <v>33</v>
      </c>
      <c r="L42" s="12" t="str">
        <f>+VLOOKUP(K42,Datos!$A:$C,2,FALSE)</f>
        <v>HUEHUETENANGO</v>
      </c>
      <c r="M42" s="9">
        <v>314636</v>
      </c>
      <c r="N42" s="12" t="str">
        <f>+VLOOKUP(M42,Datos!$F:$G,2,FALSE)</f>
        <v>Walkiria Anais Herrera Castillo</v>
      </c>
      <c r="O42" s="13">
        <f>IFERROR(IF(A42="SI",VLOOKUP(R42,Datos!$J$1:$K$50,2,FALSE)*C42,VLOOKUP(R42,Datos!$P$1:$T$13,2,FALSE)*C42),0)</f>
        <v>7416</v>
      </c>
      <c r="P42" s="9">
        <v>313225</v>
      </c>
      <c r="Q42" s="12" t="str">
        <f>+VLOOKUP(P42,Datos!$F:$G,2,FALSE)</f>
        <v>Karen Deniss Lucas Chavez</v>
      </c>
      <c r="R42" s="9" t="s">
        <v>88</v>
      </c>
      <c r="V42" s="10">
        <f t="shared" si="0"/>
        <v>1</v>
      </c>
      <c r="W42" s="10">
        <f>+VLOOKUP(M42,Datos!$F:$H,3,FALSE)</f>
        <v>0</v>
      </c>
      <c r="X42">
        <v>0</v>
      </c>
      <c r="Y42" s="14"/>
      <c r="Z42" t="e">
        <f>VLOOKUP(M42,'[1]INDIVIDUAL UN'!$C$6:$F$222,4,FALSE)</f>
        <v>#N/A</v>
      </c>
    </row>
    <row r="43" spans="1:26" hidden="1" x14ac:dyDescent="0.35">
      <c r="A43" s="9" t="s">
        <v>25</v>
      </c>
      <c r="C43" s="10">
        <v>1</v>
      </c>
      <c r="D43" s="10" t="s">
        <v>29</v>
      </c>
      <c r="E43" s="10" t="s">
        <v>37</v>
      </c>
      <c r="F43" s="10">
        <v>4254</v>
      </c>
      <c r="G43" s="10" t="s">
        <v>89</v>
      </c>
      <c r="H43" s="11">
        <v>46269</v>
      </c>
      <c r="I43" s="11">
        <v>46269</v>
      </c>
      <c r="J43" s="12" t="str">
        <f>+VLOOKUP(K43,Datos!$A:$C,3,FALSE)</f>
        <v>OCCIDENTE</v>
      </c>
      <c r="K43" s="10">
        <v>33</v>
      </c>
      <c r="L43" s="12" t="str">
        <f>+VLOOKUP(K43,Datos!$A:$C,2,FALSE)</f>
        <v>HUEHUETENANGO</v>
      </c>
      <c r="M43" s="10">
        <v>314636</v>
      </c>
      <c r="N43" s="12" t="str">
        <f>+VLOOKUP(M43,Datos!$F:$G,2,FALSE)</f>
        <v>Walkiria Anais Herrera Castillo</v>
      </c>
      <c r="O43" s="13">
        <f>IFERROR(IF(A43="SI",VLOOKUP(R43,Datos!$J$1:$K$50,2,FALSE)*C43,VLOOKUP(R43,Datos!$P$1:$T$13,2,FALSE)*C43),0)</f>
        <v>1368</v>
      </c>
      <c r="P43" s="10">
        <v>313225</v>
      </c>
      <c r="Q43" s="12" t="str">
        <f>+VLOOKUP(P43,Datos!$F:$G,2,FALSE)</f>
        <v>Karen Deniss Lucas Chavez</v>
      </c>
      <c r="R43" s="9" t="s">
        <v>48</v>
      </c>
      <c r="V43" s="10">
        <f t="shared" si="0"/>
        <v>1</v>
      </c>
      <c r="W43" s="10">
        <f>+VLOOKUP(M43,Datos!$F:$H,3,FALSE)</f>
        <v>0</v>
      </c>
      <c r="X43">
        <v>0</v>
      </c>
      <c r="Y43" s="14"/>
      <c r="Z43" t="e">
        <f>VLOOKUP(M43,'[1]INDIVIDUAL UN'!$C$6:$F$222,4,FALSE)</f>
        <v>#N/A</v>
      </c>
    </row>
    <row r="44" spans="1:26" hidden="1" x14ac:dyDescent="0.35">
      <c r="A44" s="9" t="s">
        <v>25</v>
      </c>
      <c r="C44" s="16">
        <v>1</v>
      </c>
      <c r="D44" s="10" t="s">
        <v>29</v>
      </c>
      <c r="E44" s="16" t="s">
        <v>90</v>
      </c>
      <c r="F44" s="16">
        <v>2945</v>
      </c>
      <c r="G44" s="16" t="s">
        <v>91</v>
      </c>
      <c r="H44" s="24">
        <v>46269</v>
      </c>
      <c r="I44" s="24">
        <v>46269</v>
      </c>
      <c r="J44" s="12" t="str">
        <f>+VLOOKUP(K44,Datos!$A:$C,3,FALSE)</f>
        <v>OCCIDENTE</v>
      </c>
      <c r="K44" s="16">
        <v>33</v>
      </c>
      <c r="L44" s="12" t="str">
        <f>+VLOOKUP(K44,Datos!$A:$C,2,FALSE)</f>
        <v>HUEHUETENANGO</v>
      </c>
      <c r="M44" s="16">
        <v>90084483</v>
      </c>
      <c r="N44" s="12" t="str">
        <f>+VLOOKUP(M44,Datos!$F:$G,2,FALSE)</f>
        <v>ASTRID MILETCHA RAYMUNDO HIDALGO</v>
      </c>
      <c r="O44" s="13">
        <f>IFERROR(IF(A44="SI",VLOOKUP(R44,Datos!$J$1:$K$50,2,FALSE)*C44,VLOOKUP(R44,Datos!$P$1:$T$13,2,FALSE)*C44),0)</f>
        <v>2004</v>
      </c>
      <c r="P44" s="16">
        <v>301644</v>
      </c>
      <c r="Q44" s="12" t="str">
        <f>+VLOOKUP(P44,Datos!$F:$G,2,FALSE)</f>
        <v>Imelda Eugenia Recinos Martinez</v>
      </c>
      <c r="R44" s="9" t="s">
        <v>54</v>
      </c>
      <c r="V44" s="10">
        <f t="shared" si="0"/>
        <v>1</v>
      </c>
      <c r="W44" s="10">
        <f>+VLOOKUP(M44,Datos!$F:$H,3,FALSE)</f>
        <v>0</v>
      </c>
      <c r="X44">
        <v>0</v>
      </c>
      <c r="Y44" s="14"/>
      <c r="Z44" t="e">
        <f>VLOOKUP(M44,'[1]INDIVIDUAL UN'!$C$6:$F$222,4,FALSE)</f>
        <v>#N/A</v>
      </c>
    </row>
    <row r="45" spans="1:26" hidden="1" x14ac:dyDescent="0.35">
      <c r="A45" s="9" t="s">
        <v>25</v>
      </c>
      <c r="C45" s="10">
        <v>4</v>
      </c>
      <c r="D45" s="10" t="s">
        <v>29</v>
      </c>
      <c r="E45" s="10" t="s">
        <v>30</v>
      </c>
      <c r="F45" s="10">
        <v>647</v>
      </c>
      <c r="G45" s="10" t="s">
        <v>92</v>
      </c>
      <c r="H45" s="11">
        <v>46269</v>
      </c>
      <c r="I45" s="11">
        <v>46269</v>
      </c>
      <c r="J45" s="12" t="str">
        <f>+VLOOKUP(K45,Datos!$A:$C,3,FALSE)</f>
        <v>OCCIDENTE</v>
      </c>
      <c r="K45" s="10">
        <v>126</v>
      </c>
      <c r="L45" s="12" t="str">
        <f>+VLOOKUP(K45,Datos!$A:$C,2,FALSE)</f>
        <v>CHICHICASTENANGO</v>
      </c>
      <c r="M45" s="10">
        <v>90040633</v>
      </c>
      <c r="N45" s="12" t="str">
        <f>+VLOOKUP(M45,Datos!$F:$G,2,FALSE)</f>
        <v>MANUELA LUCRECIA SALVADOR SICAL</v>
      </c>
      <c r="O45" s="13">
        <f>IFERROR(IF(A45="SI",VLOOKUP(R45,Datos!$J$1:$K$50,2,FALSE)*C45,VLOOKUP(R45,Datos!$P$1:$T$13,2,FALSE)*C45),0)</f>
        <v>3264</v>
      </c>
      <c r="P45" s="10">
        <v>306497</v>
      </c>
      <c r="Q45" s="12" t="str">
        <f>+VLOOKUP(P45,Datos!$F:$G,2,FALSE)</f>
        <v>Erika Ixtan Canil</v>
      </c>
      <c r="R45" s="9" t="s">
        <v>26</v>
      </c>
      <c r="V45" s="10">
        <f t="shared" si="0"/>
        <v>2</v>
      </c>
      <c r="W45" s="10">
        <f>+VLOOKUP(M45,Datos!$F:$H,3,FALSE)</f>
        <v>0</v>
      </c>
      <c r="X45">
        <v>0</v>
      </c>
      <c r="Y45" s="14" t="s">
        <v>93</v>
      </c>
      <c r="Z45" t="e">
        <f>VLOOKUP(M45,'[1]INDIVIDUAL UN'!$C$6:$F$222,4,FALSE)</f>
        <v>#N/A</v>
      </c>
    </row>
    <row r="46" spans="1:26" hidden="1" x14ac:dyDescent="0.35">
      <c r="A46" s="9" t="s">
        <v>25</v>
      </c>
      <c r="C46" s="10">
        <v>3</v>
      </c>
      <c r="D46" s="10" t="s">
        <v>29</v>
      </c>
      <c r="E46" s="10" t="s">
        <v>94</v>
      </c>
      <c r="F46" s="10">
        <v>106</v>
      </c>
      <c r="G46" s="10" t="s">
        <v>92</v>
      </c>
      <c r="H46" s="11">
        <v>46269</v>
      </c>
      <c r="I46" s="11">
        <v>46269</v>
      </c>
      <c r="J46" s="12" t="str">
        <f>+VLOOKUP(K46,Datos!$A:$C,3,FALSE)</f>
        <v>OCCIDENTE</v>
      </c>
      <c r="K46" s="10">
        <v>126</v>
      </c>
      <c r="L46" s="12" t="str">
        <f>+VLOOKUP(K46,Datos!$A:$C,2,FALSE)</f>
        <v>CHICHICASTENANGO</v>
      </c>
      <c r="M46" s="10">
        <v>90040633</v>
      </c>
      <c r="N46" s="12" t="str">
        <f>+VLOOKUP(M46,Datos!$F:$G,2,FALSE)</f>
        <v>MANUELA LUCRECIA SALVADOR SICAL</v>
      </c>
      <c r="O46" s="13">
        <f>IFERROR(IF(A46="SI",VLOOKUP(R46,Datos!$J$1:$K$50,2,FALSE)*C46,VLOOKUP(R46,Datos!$P$1:$T$13,2,FALSE)*C46),0)</f>
        <v>3276</v>
      </c>
      <c r="P46" s="10">
        <v>306497</v>
      </c>
      <c r="Q46" s="12" t="str">
        <f>+VLOOKUP(P46,Datos!$F:$G,2,FALSE)</f>
        <v>Erika Ixtan Canil</v>
      </c>
      <c r="R46" s="9" t="s">
        <v>57</v>
      </c>
      <c r="V46" s="10">
        <f t="shared" si="0"/>
        <v>2</v>
      </c>
      <c r="W46" s="10">
        <f>+VLOOKUP(M46,Datos!$F:$H,3,FALSE)</f>
        <v>0</v>
      </c>
      <c r="X46">
        <v>0</v>
      </c>
      <c r="Y46" s="14" t="s">
        <v>95</v>
      </c>
      <c r="Z46" t="e">
        <f>VLOOKUP(M46,'[1]INDIVIDUAL UN'!$C$6:$F$222,4,FALSE)</f>
        <v>#N/A</v>
      </c>
    </row>
    <row r="47" spans="1:26" hidden="1" x14ac:dyDescent="0.35">
      <c r="A47" s="9" t="s">
        <v>25</v>
      </c>
      <c r="C47" s="10">
        <v>4</v>
      </c>
      <c r="D47" s="10" t="s">
        <v>29</v>
      </c>
      <c r="E47" s="10" t="s">
        <v>30</v>
      </c>
      <c r="F47" s="10">
        <v>655</v>
      </c>
      <c r="G47" s="10" t="s">
        <v>96</v>
      </c>
      <c r="H47" s="11">
        <v>46269</v>
      </c>
      <c r="I47" s="11">
        <v>46269</v>
      </c>
      <c r="J47" s="12" t="str">
        <f>+VLOOKUP(K47,Datos!$A:$C,3,FALSE)</f>
        <v>SUROCCIDENTE</v>
      </c>
      <c r="K47" s="10">
        <v>31</v>
      </c>
      <c r="L47" s="12" t="str">
        <f>+VLOOKUP(K47,Datos!$A:$C,2,FALSE)</f>
        <v>COATEPEQUE</v>
      </c>
      <c r="M47" s="10">
        <v>315882</v>
      </c>
      <c r="N47" s="12" t="str">
        <f>+VLOOKUP(M47,Datos!$F:$G,2,FALSE)</f>
        <v>RUTH ANAI GOMEZ RAMIREZ</v>
      </c>
      <c r="O47" s="13">
        <f>IFERROR(IF(A47="SI",VLOOKUP(R47,Datos!$J$1:$K$50,2,FALSE)*C47,VLOOKUP(R47,Datos!$P$1:$T$13,2,FALSE)*C47),0)</f>
        <v>5472</v>
      </c>
      <c r="P47" s="9">
        <v>306656</v>
      </c>
      <c r="Q47" s="12" t="str">
        <f>+VLOOKUP(P47,Datos!$F:$G,2,FALSE)</f>
        <v>Wilmer Benjamin Vasquez Puac</v>
      </c>
      <c r="R47" s="9" t="s">
        <v>48</v>
      </c>
      <c r="V47" s="10">
        <f t="shared" si="0"/>
        <v>1</v>
      </c>
      <c r="W47" s="10">
        <f>+VLOOKUP(M47,Datos!$F:$H,3,FALSE)</f>
        <v>0</v>
      </c>
      <c r="X47">
        <v>0</v>
      </c>
      <c r="Y47" s="14"/>
      <c r="Z47" t="e">
        <f>VLOOKUP(M47,'[1]INDIVIDUAL UN'!$C$6:$F$222,4,FALSE)</f>
        <v>#N/A</v>
      </c>
    </row>
    <row r="48" spans="1:26" hidden="1" x14ac:dyDescent="0.35">
      <c r="A48" s="9" t="s">
        <v>25</v>
      </c>
      <c r="C48" s="10">
        <v>1</v>
      </c>
      <c r="D48" s="10" t="s">
        <v>29</v>
      </c>
      <c r="E48" s="10" t="s">
        <v>37</v>
      </c>
      <c r="F48" s="10">
        <v>4261</v>
      </c>
      <c r="G48" s="10" t="s">
        <v>97</v>
      </c>
      <c r="H48" s="11">
        <v>46269</v>
      </c>
      <c r="I48" s="11">
        <v>46269</v>
      </c>
      <c r="J48" s="12" t="str">
        <f>+VLOOKUP(K48,Datos!$A:$C,3,FALSE)</f>
        <v>OCCIDENTE</v>
      </c>
      <c r="K48" s="10">
        <v>246</v>
      </c>
      <c r="L48" s="12" t="str">
        <f>+VLOOKUP(K48,Datos!$A:$C,2,FALSE)</f>
        <v>SANTA CRUZ BARILLAS</v>
      </c>
      <c r="M48" s="10">
        <v>312087</v>
      </c>
      <c r="N48" s="12" t="str">
        <f>+VLOOKUP(M48,Datos!$F:$G,2,FALSE)</f>
        <v>Yoni Yosuen Rodriguez Sosa</v>
      </c>
      <c r="O48" s="13">
        <f>IFERROR(IF(A48="SI",VLOOKUP(R48,Datos!$J$1:$K$50,2,FALSE)*C48,VLOOKUP(R48,Datos!$P$1:$T$13,2,FALSE)*C48),0)</f>
        <v>816</v>
      </c>
      <c r="P48" s="9">
        <v>304166</v>
      </c>
      <c r="Q48" s="12" t="str">
        <f>+VLOOKUP(P48,Datos!$F:$G,2,FALSE)</f>
        <v>Maviela Bibianeth Castillo Avila</v>
      </c>
      <c r="R48" s="9" t="s">
        <v>26</v>
      </c>
      <c r="V48" s="10">
        <f t="shared" si="0"/>
        <v>1</v>
      </c>
      <c r="W48" s="10">
        <f>+VLOOKUP(M48,Datos!$F:$H,3,FALSE)</f>
        <v>0</v>
      </c>
      <c r="X48">
        <v>0</v>
      </c>
      <c r="Y48" s="14"/>
      <c r="Z48" t="e">
        <f>VLOOKUP(M48,'[1]INDIVIDUAL UN'!$C$6:$F$222,4,FALSE)</f>
        <v>#N/A</v>
      </c>
    </row>
    <row r="49" spans="1:26" hidden="1" x14ac:dyDescent="0.35">
      <c r="A49" s="9" t="s">
        <v>25</v>
      </c>
      <c r="C49" s="10">
        <v>1</v>
      </c>
      <c r="D49" s="10" t="s">
        <v>29</v>
      </c>
      <c r="E49" s="10" t="s">
        <v>37</v>
      </c>
      <c r="F49" s="10">
        <v>4265</v>
      </c>
      <c r="G49" s="10" t="s">
        <v>98</v>
      </c>
      <c r="H49" s="11">
        <v>46269</v>
      </c>
      <c r="I49" s="11">
        <v>46269</v>
      </c>
      <c r="J49" s="12" t="str">
        <f>+VLOOKUP(K49,Datos!$A:$C,3,FALSE)</f>
        <v>OCCIDENTE</v>
      </c>
      <c r="K49" s="10">
        <v>243</v>
      </c>
      <c r="L49" s="12" t="str">
        <f>+VLOOKUP(K49,Datos!$A:$C,2,FALSE)</f>
        <v>PRADERA XELA</v>
      </c>
      <c r="M49" s="10">
        <v>316039</v>
      </c>
      <c r="N49" s="12" t="str">
        <f>+VLOOKUP(M49,Datos!$F:$G,2,FALSE)</f>
        <v>Edgar Francisco Garcia</v>
      </c>
      <c r="O49" s="13">
        <f>IFERROR(IF(A49="SI",VLOOKUP(R49,Datos!$J$1:$K$50,2,FALSE)*C49,VLOOKUP(R49,Datos!$P$1:$T$13,2,FALSE)*C49),0)</f>
        <v>816</v>
      </c>
      <c r="P49" s="9">
        <v>315174</v>
      </c>
      <c r="Q49" s="12" t="str">
        <f>+VLOOKUP(P49,Datos!$F:$G,2,FALSE)</f>
        <v>Edwin Adolfo Soberanis Mazariegos</v>
      </c>
      <c r="R49" s="9" t="s">
        <v>26</v>
      </c>
      <c r="V49" s="10">
        <f t="shared" si="0"/>
        <v>1</v>
      </c>
      <c r="W49" s="10">
        <f>+VLOOKUP(M49,Datos!$F:$H,3,FALSE)</f>
        <v>0</v>
      </c>
      <c r="X49">
        <v>0</v>
      </c>
      <c r="Y49" s="14"/>
      <c r="Z49" t="e">
        <f>VLOOKUP(M49,'[1]INDIVIDUAL UN'!$C$6:$F$222,4,FALSE)</f>
        <v>#N/A</v>
      </c>
    </row>
    <row r="50" spans="1:26" hidden="1" x14ac:dyDescent="0.35">
      <c r="A50" s="9" t="s">
        <v>25</v>
      </c>
      <c r="C50">
        <v>1</v>
      </c>
      <c r="D50" s="10" t="s">
        <v>29</v>
      </c>
      <c r="E50" s="10" t="s">
        <v>99</v>
      </c>
      <c r="F50" s="10">
        <v>2580</v>
      </c>
      <c r="G50" s="10" t="s">
        <v>100</v>
      </c>
      <c r="H50" s="11">
        <v>46269</v>
      </c>
      <c r="I50" s="11">
        <v>46269</v>
      </c>
      <c r="J50" s="12" t="str">
        <f>+VLOOKUP(K50,Datos!$A:$C,3,FALSE)</f>
        <v>SUROCCIDENTE</v>
      </c>
      <c r="K50" s="10">
        <v>31</v>
      </c>
      <c r="L50" s="12" t="str">
        <f>+VLOOKUP(K50,Datos!$A:$C,2,FALSE)</f>
        <v>COATEPEQUE</v>
      </c>
      <c r="M50" s="19">
        <v>315882</v>
      </c>
      <c r="N50" s="12" t="str">
        <f>+VLOOKUP(M50,Datos!$F:$G,2,FALSE)</f>
        <v>RUTH ANAI GOMEZ RAMIREZ</v>
      </c>
      <c r="O50" s="13">
        <f>IFERROR(IF(A50="SI",VLOOKUP(R50,Datos!$J$1:$K$50,2,FALSE)*C50,VLOOKUP(R50,Datos!$P$1:$T$13,2,FALSE)*C50),0)</f>
        <v>1008</v>
      </c>
      <c r="P50" s="9">
        <v>306656</v>
      </c>
      <c r="Q50" s="12" t="str">
        <f>+VLOOKUP(P50,Datos!$F:$G,2,FALSE)</f>
        <v>Wilmer Benjamin Vasquez Puac</v>
      </c>
      <c r="R50" s="9" t="s">
        <v>101</v>
      </c>
      <c r="V50" s="10">
        <f t="shared" si="0"/>
        <v>1</v>
      </c>
      <c r="W50" s="10">
        <f>+VLOOKUP(M50,Datos!$F:$H,3,FALSE)</f>
        <v>0</v>
      </c>
      <c r="X50">
        <v>0</v>
      </c>
      <c r="Y50" s="14"/>
      <c r="Z50" t="e">
        <f>VLOOKUP(M50,'[1]INDIVIDUAL UN'!$C$6:$F$222,4,FALSE)</f>
        <v>#N/A</v>
      </c>
    </row>
    <row r="51" spans="1:26" hidden="1" x14ac:dyDescent="0.35">
      <c r="A51" s="9" t="s">
        <v>25</v>
      </c>
      <c r="C51">
        <v>2</v>
      </c>
      <c r="D51" s="10" t="s">
        <v>29</v>
      </c>
      <c r="E51" s="10" t="s">
        <v>27</v>
      </c>
      <c r="F51" s="10">
        <v>1134</v>
      </c>
      <c r="G51" s="10" t="s">
        <v>102</v>
      </c>
      <c r="H51" s="11">
        <v>46269</v>
      </c>
      <c r="I51" s="11">
        <v>46269</v>
      </c>
      <c r="J51" s="12" t="str">
        <f>+VLOOKUP(K51,Datos!$A:$C,3,FALSE)</f>
        <v>SUROCCIDENTE</v>
      </c>
      <c r="K51" s="10">
        <v>297</v>
      </c>
      <c r="L51" s="12" t="str">
        <f>+VLOOKUP(K51,Datos!$A:$C,2,FALSE)</f>
        <v>LA TRINIDAD COATEPEQUE</v>
      </c>
      <c r="M51">
        <v>90051368</v>
      </c>
      <c r="N51" s="12" t="str">
        <f>+VLOOKUP(M51,Datos!$F:$G,2,FALSE)</f>
        <v>EMERSON ENRIQUE VASQUEZ GARCIA</v>
      </c>
      <c r="O51" s="13">
        <f>IFERROR(IF(A51="SI",VLOOKUP(R51,Datos!$J$1:$K$50,2,FALSE)*C51,VLOOKUP(R51,Datos!$P$1:$T$13,2,FALSE)*C51),0)</f>
        <v>1632</v>
      </c>
      <c r="P51" s="9">
        <v>315175</v>
      </c>
      <c r="Q51" s="12" t="str">
        <f>+VLOOKUP(P51,Datos!$F:$G,2,FALSE)</f>
        <v>Heber Nehemias Velasquez Lorenzo</v>
      </c>
      <c r="R51" s="9" t="s">
        <v>26</v>
      </c>
      <c r="V51" s="10">
        <f t="shared" si="0"/>
        <v>1</v>
      </c>
      <c r="W51" s="10">
        <f>+VLOOKUP(M51,Datos!$F:$H,3,FALSE)</f>
        <v>0</v>
      </c>
      <c r="X51">
        <v>0</v>
      </c>
      <c r="Y51" s="14"/>
      <c r="Z51" t="e">
        <f>VLOOKUP(M51,'[1]INDIVIDUAL UN'!$C$6:$F$222,4,FALSE)</f>
        <v>#N/A</v>
      </c>
    </row>
    <row r="52" spans="1:26" hidden="1" x14ac:dyDescent="0.35">
      <c r="A52" s="9" t="s">
        <v>25</v>
      </c>
      <c r="C52" s="10">
        <v>4</v>
      </c>
      <c r="D52" s="10" t="s">
        <v>29</v>
      </c>
      <c r="E52" s="10" t="s">
        <v>30</v>
      </c>
      <c r="F52" s="10">
        <v>845</v>
      </c>
      <c r="G52" s="10" t="s">
        <v>103</v>
      </c>
      <c r="H52" s="11">
        <v>46270</v>
      </c>
      <c r="I52" s="11">
        <v>46270</v>
      </c>
      <c r="J52" s="12" t="str">
        <f>+VLOOKUP(K52,Datos!$A:$C,3,FALSE)</f>
        <v>OCCIDENTE</v>
      </c>
      <c r="K52" s="10">
        <v>243</v>
      </c>
      <c r="L52" s="12" t="str">
        <f>+VLOOKUP(K52,Datos!$A:$C,2,FALSE)</f>
        <v>PRADERA XELA</v>
      </c>
      <c r="M52" s="10">
        <v>90081008</v>
      </c>
      <c r="N52" s="12" t="str">
        <f>+VLOOKUP(M52,Datos!$F:$G,2,FALSE)</f>
        <v>Randy Antonio Lopez Huinac</v>
      </c>
      <c r="O52" s="13">
        <f>IFERROR(IF(A52="SI",VLOOKUP(R52,Datos!$J$1:$K$50,2,FALSE)*C52,VLOOKUP(R52,Datos!$P$1:$T$13,2,FALSE)*C52),0)</f>
        <v>3264</v>
      </c>
      <c r="P52" s="9">
        <v>315174</v>
      </c>
      <c r="Q52" s="12" t="str">
        <f>+VLOOKUP(P52,Datos!$F:$G,2,FALSE)</f>
        <v>Edwin Adolfo Soberanis Mazariegos</v>
      </c>
      <c r="R52" s="9" t="s">
        <v>26</v>
      </c>
      <c r="V52" s="10">
        <f t="shared" si="0"/>
        <v>1</v>
      </c>
      <c r="W52" s="10">
        <f>+VLOOKUP(M52,Datos!$F:$H,3,FALSE)</f>
        <v>0</v>
      </c>
      <c r="X52">
        <v>0</v>
      </c>
      <c r="Y52" s="14"/>
      <c r="Z52" t="e">
        <f>VLOOKUP(M52,'[1]INDIVIDUAL UN'!$C$6:$F$222,4,FALSE)</f>
        <v>#N/A</v>
      </c>
    </row>
    <row r="53" spans="1:26" hidden="1" x14ac:dyDescent="0.35">
      <c r="A53" s="9" t="s">
        <v>25</v>
      </c>
      <c r="C53" s="10">
        <v>4</v>
      </c>
      <c r="D53" s="10" t="s">
        <v>29</v>
      </c>
      <c r="E53" s="10" t="s">
        <v>104</v>
      </c>
      <c r="F53" s="10">
        <v>36</v>
      </c>
      <c r="G53" s="10" t="s">
        <v>105</v>
      </c>
      <c r="H53" s="11">
        <v>46270</v>
      </c>
      <c r="I53" s="11">
        <v>46270</v>
      </c>
      <c r="J53" s="12" t="str">
        <f>+VLOOKUP(K53,Datos!$A:$C,3,FALSE)</f>
        <v>SUROCCIDENTE</v>
      </c>
      <c r="K53" s="10">
        <v>31</v>
      </c>
      <c r="L53" s="12" t="str">
        <f>+VLOOKUP(K53,Datos!$A:$C,2,FALSE)</f>
        <v>COATEPEQUE</v>
      </c>
      <c r="M53" s="10">
        <v>310671</v>
      </c>
      <c r="N53" s="12" t="str">
        <f>+VLOOKUP(M53,Datos!$F:$G,2,FALSE)</f>
        <v>Sucely Paola Godinez Gomez De Perez</v>
      </c>
      <c r="O53" s="13">
        <f>IFERROR(IF(A53="SI",VLOOKUP(R53,Datos!$J$1:$K$50,2,FALSE)*C53,VLOOKUP(R53,Datos!$P$1:$T$13,2,FALSE)*C53),0)</f>
        <v>4032</v>
      </c>
      <c r="P53" s="9">
        <v>306654</v>
      </c>
      <c r="Q53" s="12" t="str">
        <f>+VLOOKUP(P53,Datos!$F:$G,2,FALSE)</f>
        <v>Gerson Arcadio Hernandez Barrios</v>
      </c>
      <c r="R53" s="9" t="s">
        <v>101</v>
      </c>
      <c r="V53" s="10">
        <f t="shared" si="0"/>
        <v>1</v>
      </c>
      <c r="W53" s="10">
        <f>+VLOOKUP(M53,Datos!$F:$H,3,FALSE)</f>
        <v>0</v>
      </c>
      <c r="X53">
        <v>0</v>
      </c>
      <c r="Y53" s="14"/>
      <c r="Z53" t="e">
        <f>VLOOKUP(M53,'[1]INDIVIDUAL UN'!$C$6:$F$222,4,FALSE)</f>
        <v>#N/A</v>
      </c>
    </row>
    <row r="54" spans="1:26" hidden="1" x14ac:dyDescent="0.35">
      <c r="A54" s="9" t="s">
        <v>25</v>
      </c>
      <c r="C54" s="10">
        <v>1</v>
      </c>
      <c r="D54" s="10" t="s">
        <v>29</v>
      </c>
      <c r="E54" s="10" t="s">
        <v>106</v>
      </c>
      <c r="F54" s="10">
        <v>4255</v>
      </c>
      <c r="G54" s="10" t="s">
        <v>107</v>
      </c>
      <c r="H54" s="11">
        <v>46270</v>
      </c>
      <c r="I54" s="11">
        <v>46269</v>
      </c>
      <c r="J54" s="12" t="str">
        <f>+VLOOKUP(K54,Datos!$A:$C,3,FALSE)</f>
        <v>SUROCCIDENTE</v>
      </c>
      <c r="K54" s="10">
        <v>89</v>
      </c>
      <c r="L54" s="12" t="str">
        <f>+VLOOKUP(K54,Datos!$A:$C,2,FALSE)</f>
        <v>LA TRINIDAD RETALHULEU</v>
      </c>
      <c r="M54" s="10">
        <v>90009266</v>
      </c>
      <c r="N54" s="12" t="str">
        <f>+VLOOKUP(M54,Datos!$F:$G,2,FALSE)</f>
        <v xml:space="preserve">AURA MARIAN MEJIA REYES </v>
      </c>
      <c r="O54" s="13">
        <f>IFERROR(IF(A54="SI",VLOOKUP(R54,Datos!$J$1:$K$50,2,FALSE)*C54,VLOOKUP(R54,Datos!$P$1:$T$13,2,FALSE)*C54),0)</f>
        <v>816</v>
      </c>
      <c r="P54" s="9">
        <v>311261</v>
      </c>
      <c r="Q54" s="12" t="str">
        <f>+VLOOKUP(P54,Datos!$F:$G,2,FALSE)</f>
        <v>Nasly Abigail Cazian Lopez</v>
      </c>
      <c r="R54" s="9" t="s">
        <v>26</v>
      </c>
      <c r="V54" s="10">
        <f t="shared" si="0"/>
        <v>1</v>
      </c>
      <c r="W54" s="10">
        <f>+VLOOKUP(M54,Datos!$F:$H,3,FALSE)</f>
        <v>0</v>
      </c>
      <c r="X54">
        <v>0</v>
      </c>
      <c r="Y54" s="14"/>
      <c r="Z54" t="e">
        <f>VLOOKUP(M54,'[1]INDIVIDUAL UN'!$C$6:$F$222,4,FALSE)</f>
        <v>#N/A</v>
      </c>
    </row>
    <row r="55" spans="1:26" hidden="1" x14ac:dyDescent="0.35">
      <c r="A55" s="9" t="s">
        <v>25</v>
      </c>
      <c r="C55" s="10">
        <v>1</v>
      </c>
      <c r="D55" s="10" t="s">
        <v>29</v>
      </c>
      <c r="E55" s="10" t="s">
        <v>106</v>
      </c>
      <c r="F55" s="10">
        <v>4287</v>
      </c>
      <c r="G55" s="10" t="s">
        <v>108</v>
      </c>
      <c r="H55" s="11">
        <v>46270</v>
      </c>
      <c r="I55" s="11">
        <v>46270</v>
      </c>
      <c r="J55" s="12" t="str">
        <f>+VLOOKUP(K55,Datos!$A:$C,3,FALSE)</f>
        <v>SUROCCIDENTE</v>
      </c>
      <c r="K55" s="10">
        <v>89</v>
      </c>
      <c r="L55" s="12" t="str">
        <f>+VLOOKUP(K55,Datos!$A:$C,2,FALSE)</f>
        <v>LA TRINIDAD RETALHULEU</v>
      </c>
      <c r="M55" s="10">
        <v>90009266</v>
      </c>
      <c r="N55" s="12" t="str">
        <f>+VLOOKUP(M55,Datos!$F:$G,2,FALSE)</f>
        <v xml:space="preserve">AURA MARIAN MEJIA REYES </v>
      </c>
      <c r="O55" s="13">
        <f>IFERROR(IF(A55="SI",VLOOKUP(R55,Datos!$J$1:$K$50,2,FALSE)*C55,VLOOKUP(R55,Datos!$P$1:$T$13,2,FALSE)*C55),0)</f>
        <v>816</v>
      </c>
      <c r="P55" s="9">
        <v>311261</v>
      </c>
      <c r="Q55" s="12" t="str">
        <f>+VLOOKUP(P55,Datos!$F:$G,2,FALSE)</f>
        <v>Nasly Abigail Cazian Lopez</v>
      </c>
      <c r="R55" s="9" t="s">
        <v>26</v>
      </c>
      <c r="V55" s="10">
        <f t="shared" si="0"/>
        <v>1</v>
      </c>
      <c r="W55" s="10">
        <f>+VLOOKUP(M55,Datos!$F:$H,3,FALSE)</f>
        <v>0</v>
      </c>
      <c r="X55">
        <v>0</v>
      </c>
      <c r="Y55" s="14"/>
      <c r="Z55" t="e">
        <f>VLOOKUP(M55,'[1]INDIVIDUAL UN'!$C$6:$F$222,4,FALSE)</f>
        <v>#N/A</v>
      </c>
    </row>
    <row r="56" spans="1:26" hidden="1" x14ac:dyDescent="0.35">
      <c r="A56" s="9" t="s">
        <v>25</v>
      </c>
      <c r="C56" s="25">
        <v>1</v>
      </c>
      <c r="D56" s="10" t="s">
        <v>29</v>
      </c>
      <c r="E56" s="10" t="s">
        <v>37</v>
      </c>
      <c r="F56" s="10">
        <v>4280</v>
      </c>
      <c r="G56" s="10" t="s">
        <v>109</v>
      </c>
      <c r="H56" s="11">
        <v>46270</v>
      </c>
      <c r="I56" s="11">
        <v>46270</v>
      </c>
      <c r="J56" s="12" t="str">
        <f>+VLOOKUP(K56,Datos!$A:$C,3,FALSE)</f>
        <v>SUROCCIDENTE</v>
      </c>
      <c r="K56" s="10">
        <v>31</v>
      </c>
      <c r="L56" s="12" t="str">
        <f>+VLOOKUP(K56,Datos!$A:$C,2,FALSE)</f>
        <v>COATEPEQUE</v>
      </c>
      <c r="M56" s="10">
        <v>90047699</v>
      </c>
      <c r="N56" s="12" t="str">
        <f>+VLOOKUP(M56,Datos!$F:$G,2,FALSE)</f>
        <v>ANDERSON JOSUE OXLAJ BAMACA</v>
      </c>
      <c r="O56" s="13">
        <f>IFERROR(IF(A56="SI",VLOOKUP(R56,Datos!$J$1:$K$50,2,FALSE)*C56,VLOOKUP(R56,Datos!$P$1:$T$13,2,FALSE)*C56),0)</f>
        <v>816</v>
      </c>
      <c r="P56" s="9">
        <v>311258</v>
      </c>
      <c r="Q56" s="12" t="str">
        <f>+VLOOKUP(P56,Datos!$F:$G,2,FALSE)</f>
        <v>Victor Otoniel Sebastian Cardona</v>
      </c>
      <c r="R56" s="9" t="s">
        <v>26</v>
      </c>
      <c r="V56" s="10">
        <f t="shared" si="0"/>
        <v>2</v>
      </c>
      <c r="W56" s="10">
        <f>+VLOOKUP(M56,Datos!$F:$H,3,FALSE)</f>
        <v>0</v>
      </c>
      <c r="X56">
        <v>0</v>
      </c>
      <c r="Y56" s="14"/>
      <c r="Z56" t="e">
        <f>VLOOKUP(M56,'[1]INDIVIDUAL UN'!$C$6:$F$222,4,FALSE)</f>
        <v>#N/A</v>
      </c>
    </row>
    <row r="57" spans="1:26" hidden="1" x14ac:dyDescent="0.35">
      <c r="A57" s="9" t="s">
        <v>25</v>
      </c>
      <c r="C57" s="10">
        <v>2</v>
      </c>
      <c r="D57" s="10" t="s">
        <v>29</v>
      </c>
      <c r="E57" s="10" t="s">
        <v>110</v>
      </c>
      <c r="F57" s="10">
        <v>163</v>
      </c>
      <c r="G57" s="10" t="s">
        <v>111</v>
      </c>
      <c r="H57" s="11">
        <v>46270</v>
      </c>
      <c r="I57" s="11">
        <v>46270</v>
      </c>
      <c r="J57" s="12" t="str">
        <f>+VLOOKUP(K57,Datos!$A:$C,3,FALSE)</f>
        <v>SUROCCIDENTE</v>
      </c>
      <c r="K57" s="10">
        <v>31</v>
      </c>
      <c r="L57" s="12" t="str">
        <f>+VLOOKUP(K57,Datos!$A:$C,2,FALSE)</f>
        <v>COATEPEQUE</v>
      </c>
      <c r="M57" s="10">
        <v>90046882</v>
      </c>
      <c r="N57" s="12" t="str">
        <f>+VLOOKUP(M57,Datos!$F:$G,2,FALSE)</f>
        <v>MARICRUZ MENDEZ LOPEZ</v>
      </c>
      <c r="O57" s="13">
        <f>IFERROR(IF(A57="SI",VLOOKUP(R57,Datos!$J$1:$K$50,2,FALSE)*C57,VLOOKUP(R57,Datos!$P$1:$T$13,2,FALSE)*C57),0)</f>
        <v>2016</v>
      </c>
      <c r="P57" s="9">
        <v>306656</v>
      </c>
      <c r="Q57" s="12" t="str">
        <f>+VLOOKUP(P57,Datos!$F:$G,2,FALSE)</f>
        <v>Wilmer Benjamin Vasquez Puac</v>
      </c>
      <c r="R57" s="9" t="s">
        <v>101</v>
      </c>
      <c r="V57" s="10">
        <f t="shared" si="0"/>
        <v>1</v>
      </c>
      <c r="W57" s="10">
        <f>+VLOOKUP(M57,Datos!$F:$H,3,FALSE)</f>
        <v>0</v>
      </c>
      <c r="X57">
        <v>0</v>
      </c>
      <c r="Y57" s="14"/>
      <c r="Z57" t="e">
        <f>VLOOKUP(M57,'[1]INDIVIDUAL UN'!$C$6:$F$222,4,FALSE)</f>
        <v>#N/A</v>
      </c>
    </row>
    <row r="58" spans="1:26" hidden="1" x14ac:dyDescent="0.35">
      <c r="A58" s="9" t="s">
        <v>25</v>
      </c>
      <c r="C58" s="10">
        <v>3</v>
      </c>
      <c r="D58" s="10" t="s">
        <v>29</v>
      </c>
      <c r="E58" s="10" t="s">
        <v>41</v>
      </c>
      <c r="F58" s="10">
        <v>606</v>
      </c>
      <c r="G58" s="10" t="s">
        <v>112</v>
      </c>
      <c r="H58" s="11">
        <v>46270</v>
      </c>
      <c r="I58" s="11">
        <v>46270</v>
      </c>
      <c r="J58" s="12" t="str">
        <f>+VLOOKUP(K58,Datos!$A:$C,3,FALSE)</f>
        <v>OCCIDENTE</v>
      </c>
      <c r="K58" s="10">
        <v>155</v>
      </c>
      <c r="L58" s="12" t="str">
        <f>+VLOOKUP(K58,Datos!$A:$C,2,FALSE)</f>
        <v>TECPAN</v>
      </c>
      <c r="M58" s="10">
        <v>315629</v>
      </c>
      <c r="N58" s="12" t="str">
        <f>+VLOOKUP(M58,Datos!$F:$G,2,FALSE)</f>
        <v>Rucuch Choguaj, Miguel</v>
      </c>
      <c r="O58" s="13">
        <f>IFERROR(IF(A58="SI",VLOOKUP(R58,Datos!$J$1:$K$50,2,FALSE)*C58,VLOOKUP(R58,Datos!$P$1:$T$13,2,FALSE)*C58),0)</f>
        <v>2448</v>
      </c>
      <c r="P58" s="9">
        <v>305955</v>
      </c>
      <c r="Q58" s="12" t="str">
        <f>+VLOOKUP(P58,Datos!$F:$G,2,FALSE)</f>
        <v>Jorge Alfredo Gutierrez Rodriguez</v>
      </c>
      <c r="R58" s="9" t="s">
        <v>26</v>
      </c>
      <c r="V58" s="10">
        <f t="shared" si="0"/>
        <v>1</v>
      </c>
      <c r="W58" s="10">
        <f>+VLOOKUP(M58,Datos!$F:$H,3,FALSE)</f>
        <v>0</v>
      </c>
      <c r="X58">
        <v>0</v>
      </c>
      <c r="Y58" s="14"/>
      <c r="Z58" t="e">
        <f>VLOOKUP(M58,'[1]INDIVIDUAL UN'!$C$6:$F$222,4,FALSE)</f>
        <v>#N/A</v>
      </c>
    </row>
    <row r="59" spans="1:26" hidden="1" x14ac:dyDescent="0.35">
      <c r="A59" s="9" t="s">
        <v>25</v>
      </c>
      <c r="C59" s="10">
        <v>1</v>
      </c>
      <c r="D59" s="10" t="s">
        <v>29</v>
      </c>
      <c r="E59" s="10" t="s">
        <v>59</v>
      </c>
      <c r="F59" s="10">
        <v>4296</v>
      </c>
      <c r="G59" s="10" t="s">
        <v>113</v>
      </c>
      <c r="H59" s="11">
        <v>46270</v>
      </c>
      <c r="I59" s="11">
        <v>46270</v>
      </c>
      <c r="J59" s="12" t="str">
        <f>+VLOOKUP(K59,Datos!$A:$C,3,FALSE)</f>
        <v>OCCIDENTE</v>
      </c>
      <c r="K59" s="10">
        <v>33</v>
      </c>
      <c r="L59" s="12" t="str">
        <f>+VLOOKUP(K59,Datos!$A:$C,2,FALSE)</f>
        <v>HUEHUETENANGO</v>
      </c>
      <c r="M59" s="10">
        <v>315944</v>
      </c>
      <c r="N59" s="12" t="str">
        <f>+VLOOKUP(M59,Datos!$F:$G,2,FALSE)</f>
        <v>MARIA EULISSA ADAMARY XUTUC VILLATORO</v>
      </c>
      <c r="O59" s="13">
        <f>IFERROR(IF(A59="SI",VLOOKUP(R59,Datos!$J$1:$K$50,2,FALSE)*C59,VLOOKUP(R59,Datos!$P$1:$T$13,2,FALSE)*C59),0)</f>
        <v>1368</v>
      </c>
      <c r="P59" s="9">
        <v>301644</v>
      </c>
      <c r="Q59" s="12" t="str">
        <f>+VLOOKUP(P59,Datos!$F:$G,2,FALSE)</f>
        <v>Imelda Eugenia Recinos Martinez</v>
      </c>
      <c r="R59" s="9" t="s">
        <v>48</v>
      </c>
      <c r="V59" s="10">
        <f t="shared" si="0"/>
        <v>1</v>
      </c>
      <c r="W59" s="10">
        <f>+VLOOKUP(M59,Datos!$F:$H,3,FALSE)</f>
        <v>0</v>
      </c>
      <c r="X59">
        <v>0</v>
      </c>
      <c r="Y59" s="14"/>
      <c r="Z59" t="e">
        <f>VLOOKUP(M59,'[1]INDIVIDUAL UN'!$C$6:$F$222,4,FALSE)</f>
        <v>#N/A</v>
      </c>
    </row>
    <row r="60" spans="1:26" hidden="1" x14ac:dyDescent="0.35">
      <c r="A60" s="9" t="s">
        <v>25</v>
      </c>
      <c r="C60" s="10">
        <v>1</v>
      </c>
      <c r="D60" s="10" t="s">
        <v>29</v>
      </c>
      <c r="E60" s="10" t="s">
        <v>37</v>
      </c>
      <c r="F60" s="10">
        <v>4288</v>
      </c>
      <c r="G60" s="10" t="s">
        <v>114</v>
      </c>
      <c r="H60" s="11">
        <v>46270</v>
      </c>
      <c r="I60" s="11">
        <v>46270</v>
      </c>
      <c r="J60" s="12" t="str">
        <f>+VLOOKUP(K60,Datos!$A:$C,3,FALSE)</f>
        <v>SUROCCIDENTE</v>
      </c>
      <c r="K60" s="10">
        <v>227</v>
      </c>
      <c r="L60" s="12" t="str">
        <f>+VLOOKUP(K60,Datos!$A:$C,2,FALSE)</f>
        <v>PAJAPITA</v>
      </c>
      <c r="M60" s="10">
        <v>90023752</v>
      </c>
      <c r="N60" s="12" t="str">
        <f>+VLOOKUP(M60,Datos!$F:$G,2,FALSE)</f>
        <v>EDY DIONISIO FUENTES MARTINEZ</v>
      </c>
      <c r="O60" s="13">
        <f>IFERROR(IF(A60="SI",VLOOKUP(R60,Datos!$J$1:$K$50,2,FALSE)*C60,VLOOKUP(R60,Datos!$P$1:$T$13,2,FALSE)*C60),0)</f>
        <v>1368</v>
      </c>
      <c r="P60" s="9">
        <v>314738</v>
      </c>
      <c r="Q60" s="12" t="str">
        <f>+VLOOKUP(P60,Datos!$F:$G,2,FALSE)</f>
        <v>Carlos David Castillo Gamboa</v>
      </c>
      <c r="R60" s="9" t="s">
        <v>48</v>
      </c>
      <c r="V60" s="10">
        <f t="shared" si="0"/>
        <v>1</v>
      </c>
      <c r="W60" s="10">
        <f>+VLOOKUP(M60,Datos!$F:$H,3,FALSE)</f>
        <v>0</v>
      </c>
      <c r="X60">
        <v>0</v>
      </c>
      <c r="Y60" s="14"/>
      <c r="Z60" t="e">
        <f>VLOOKUP(M60,'[1]INDIVIDUAL UN'!$C$6:$F$222,4,FALSE)</f>
        <v>#N/A</v>
      </c>
    </row>
    <row r="61" spans="1:26" hidden="1" x14ac:dyDescent="0.35">
      <c r="A61" s="9" t="s">
        <v>25</v>
      </c>
      <c r="C61" s="10">
        <v>1</v>
      </c>
      <c r="D61" s="10" t="s">
        <v>29</v>
      </c>
      <c r="E61" s="10" t="s">
        <v>37</v>
      </c>
      <c r="F61" s="10">
        <v>4270</v>
      </c>
      <c r="G61" s="10" t="s">
        <v>115</v>
      </c>
      <c r="H61" s="11">
        <v>46271</v>
      </c>
      <c r="I61" s="11">
        <v>46269</v>
      </c>
      <c r="J61" s="12" t="str">
        <f>+VLOOKUP(K61,Datos!$A:$C,3,FALSE)</f>
        <v>SUROCCIDENTE</v>
      </c>
      <c r="K61" s="10">
        <v>178</v>
      </c>
      <c r="L61" s="12" t="str">
        <f>+VLOOKUP(K61,Datos!$A:$C,2,FALSE)</f>
        <v>LA TRINIDAD MALACATAN</v>
      </c>
      <c r="M61" s="9">
        <v>90049252</v>
      </c>
      <c r="N61" s="12" t="str">
        <f>+VLOOKUP(M61,Datos!$F:$G,2,FALSE)</f>
        <v>ANGELA YANETH CHILEL GONZALEZ</v>
      </c>
      <c r="O61" s="13">
        <f>IFERROR(IF(A61="SI",VLOOKUP(R61,Datos!$J$1:$K$50,2,FALSE)*C61,VLOOKUP(R61,Datos!$P$1:$T$13,2,FALSE)*C61),0)</f>
        <v>816</v>
      </c>
      <c r="P61" s="9">
        <v>316487</v>
      </c>
      <c r="Q61" s="12" t="str">
        <f>+VLOOKUP(P61,Datos!$F:$G,2,FALSE)</f>
        <v>Wilmer Ovando Mejia Godínez</v>
      </c>
      <c r="R61" s="9" t="s">
        <v>26</v>
      </c>
      <c r="V61" s="10">
        <f t="shared" si="0"/>
        <v>2</v>
      </c>
      <c r="W61" s="10">
        <f>+VLOOKUP(M61,Datos!$F:$H,3,FALSE)</f>
        <v>0</v>
      </c>
      <c r="X61">
        <v>0</v>
      </c>
      <c r="Y61" s="14" t="s">
        <v>95</v>
      </c>
      <c r="Z61" t="e">
        <f>VLOOKUP(M61,'[1]INDIVIDUAL UN'!$C$6:$F$222,4,FALSE)</f>
        <v>#N/A</v>
      </c>
    </row>
    <row r="62" spans="1:26" s="10" customFormat="1" hidden="1" x14ac:dyDescent="0.35">
      <c r="A62" s="9" t="s">
        <v>25</v>
      </c>
      <c r="B62" s="9"/>
      <c r="C62" s="10">
        <v>4</v>
      </c>
      <c r="D62" s="10" t="s">
        <v>29</v>
      </c>
      <c r="E62" s="10" t="s">
        <v>30</v>
      </c>
      <c r="F62" s="10">
        <v>658</v>
      </c>
      <c r="G62" s="10" t="s">
        <v>116</v>
      </c>
      <c r="H62" s="11">
        <v>46271</v>
      </c>
      <c r="I62" s="11">
        <v>46270</v>
      </c>
      <c r="J62" s="12" t="str">
        <f>+VLOOKUP(K62,Datos!$A:$C,3,FALSE)</f>
        <v>SUROCCIDENTE</v>
      </c>
      <c r="K62" s="10">
        <v>178</v>
      </c>
      <c r="L62" s="12" t="str">
        <f>+VLOOKUP(K62,Datos!$A:$C,2,FALSE)</f>
        <v>LA TRINIDAD MALACATAN</v>
      </c>
      <c r="M62" s="10">
        <v>316215</v>
      </c>
      <c r="N62" s="12" t="str">
        <f>+VLOOKUP(M62,Datos!$F:$G,2,FALSE)</f>
        <v>ANAYELI MARIBEL JIMENEZ GOMEZ</v>
      </c>
      <c r="O62" s="13">
        <f>IFERROR(IF(A62="SI",VLOOKUP(R62,Datos!$J$1:$K$50,2,FALSE)*C62,VLOOKUP(R62,Datos!$P$1:$T$13,2,FALSE)*C62),0)</f>
        <v>3264</v>
      </c>
      <c r="P62" s="9">
        <v>304805</v>
      </c>
      <c r="Q62" s="12" t="str">
        <f>+VLOOKUP(P62,Datos!$F:$G,2,FALSE)</f>
        <v>Sheily Raquel Angel Arreaga</v>
      </c>
      <c r="R62" s="9" t="s">
        <v>26</v>
      </c>
      <c r="V62" s="10">
        <f t="shared" si="0"/>
        <v>1</v>
      </c>
      <c r="W62" s="10">
        <f>+VLOOKUP(M62,Datos!$F:$H,3,FALSE)</f>
        <v>0</v>
      </c>
      <c r="X62">
        <v>0</v>
      </c>
      <c r="Y62" s="20"/>
      <c r="Z62" s="10" t="e">
        <f>VLOOKUP(M62,'[1]INDIVIDUAL UN'!$C$6:$F$222,4,FALSE)</f>
        <v>#N/A</v>
      </c>
    </row>
    <row r="63" spans="1:26" hidden="1" x14ac:dyDescent="0.35">
      <c r="A63" s="9" t="s">
        <v>25</v>
      </c>
      <c r="C63" s="10">
        <v>1</v>
      </c>
      <c r="D63" s="10" t="s">
        <v>29</v>
      </c>
      <c r="E63" s="10" t="s">
        <v>37</v>
      </c>
      <c r="F63" s="10">
        <v>4307</v>
      </c>
      <c r="G63" s="10" t="s">
        <v>117</v>
      </c>
      <c r="H63" s="11">
        <v>46271</v>
      </c>
      <c r="I63" s="11">
        <v>46271</v>
      </c>
      <c r="J63" s="12" t="str">
        <f>+VLOOKUP(K63,Datos!$A:$C,3,FALSE)</f>
        <v>SUROCCIDENTE</v>
      </c>
      <c r="K63" s="10">
        <v>89</v>
      </c>
      <c r="L63" s="12" t="str">
        <f>+VLOOKUP(K63,Datos!$A:$C,2,FALSE)</f>
        <v>LA TRINIDAD RETALHULEU</v>
      </c>
      <c r="M63" s="10">
        <v>90064210</v>
      </c>
      <c r="N63" s="12" t="str">
        <f>+VLOOKUP(M63,Datos!$F:$G,2,FALSE)</f>
        <v>GEREMY ARMANDO HERNANDEZ CAMACHO</v>
      </c>
      <c r="O63" s="13">
        <f>IFERROR(IF(A63="SI",VLOOKUP(R63,Datos!$J$1:$K$50,2,FALSE)*C63,VLOOKUP(R63,Datos!$P$1:$T$13,2,FALSE)*C63),0)</f>
        <v>816</v>
      </c>
      <c r="P63" s="9">
        <v>302841</v>
      </c>
      <c r="Q63" s="12" t="str">
        <f>+VLOOKUP(P63,Datos!$F:$G,2,FALSE)</f>
        <v>Jessica Maria Jose Santizo Guzman</v>
      </c>
      <c r="R63" s="9" t="s">
        <v>26</v>
      </c>
      <c r="V63" s="10">
        <f t="shared" si="0"/>
        <v>1</v>
      </c>
      <c r="W63" s="10">
        <f>+VLOOKUP(M63,Datos!$F:$H,3,FALSE)</f>
        <v>0</v>
      </c>
      <c r="X63">
        <v>0</v>
      </c>
      <c r="Y63" s="14"/>
      <c r="Z63" t="e">
        <f>VLOOKUP(M63,'[1]INDIVIDUAL UN'!$C$6:$F$222,4,FALSE)</f>
        <v>#N/A</v>
      </c>
    </row>
    <row r="64" spans="1:26" s="10" customFormat="1" hidden="1" x14ac:dyDescent="0.35">
      <c r="A64" s="9" t="s">
        <v>25</v>
      </c>
      <c r="B64" s="9"/>
      <c r="C64" s="10">
        <v>3</v>
      </c>
      <c r="D64" s="10" t="s">
        <v>29</v>
      </c>
      <c r="E64" s="10" t="s">
        <v>41</v>
      </c>
      <c r="F64" s="10">
        <v>611</v>
      </c>
      <c r="G64" s="10" t="s">
        <v>118</v>
      </c>
      <c r="H64" s="11">
        <v>46271</v>
      </c>
      <c r="I64" s="11">
        <v>46271</v>
      </c>
      <c r="J64" s="12" t="str">
        <f>+VLOOKUP(K64,Datos!$A:$C,3,FALSE)</f>
        <v>SUROCCIDENTE</v>
      </c>
      <c r="K64" s="10">
        <v>89</v>
      </c>
      <c r="L64" s="12" t="str">
        <f>+VLOOKUP(K64,Datos!$A:$C,2,FALSE)</f>
        <v>LA TRINIDAD RETALHULEU</v>
      </c>
      <c r="M64" s="10">
        <v>90064210</v>
      </c>
      <c r="N64" s="12" t="str">
        <f>+VLOOKUP(M64,Datos!$F:$G,2,FALSE)</f>
        <v>GEREMY ARMANDO HERNANDEZ CAMACHO</v>
      </c>
      <c r="O64" s="13">
        <f>IFERROR(IF(A64="SI",VLOOKUP(R64,Datos!$J$1:$K$50,2,FALSE)*C64,VLOOKUP(R64,Datos!$P$1:$T$13,2,FALSE)*C64),0)</f>
        <v>2448</v>
      </c>
      <c r="P64" s="10">
        <v>302841</v>
      </c>
      <c r="Q64" s="12" t="str">
        <f>+VLOOKUP(P64,Datos!$F:$G,2,FALSE)</f>
        <v>Jessica Maria Jose Santizo Guzman</v>
      </c>
      <c r="R64" s="9" t="s">
        <v>26</v>
      </c>
      <c r="V64" s="10">
        <f t="shared" si="0"/>
        <v>1</v>
      </c>
      <c r="W64" s="10">
        <f>+VLOOKUP(M64,Datos!$F:$H,3,FALSE)</f>
        <v>0</v>
      </c>
      <c r="X64">
        <v>0</v>
      </c>
      <c r="Y64" s="20"/>
      <c r="Z64" s="10" t="e">
        <f>VLOOKUP(M64,'[1]INDIVIDUAL UN'!$C$6:$F$222,4,FALSE)</f>
        <v>#N/A</v>
      </c>
    </row>
    <row r="65" spans="1:26" s="10" customFormat="1" hidden="1" x14ac:dyDescent="0.35">
      <c r="A65" s="9" t="s">
        <v>25</v>
      </c>
      <c r="B65" s="9"/>
      <c r="C65" s="10">
        <v>2</v>
      </c>
      <c r="D65" s="10" t="s">
        <v>29</v>
      </c>
      <c r="E65" s="10" t="s">
        <v>27</v>
      </c>
      <c r="F65" s="10">
        <v>1155</v>
      </c>
      <c r="G65" s="10" t="s">
        <v>119</v>
      </c>
      <c r="H65" s="11">
        <v>46272</v>
      </c>
      <c r="I65" s="11">
        <v>46271</v>
      </c>
      <c r="J65" s="12" t="str">
        <f>+VLOOKUP(K65,Datos!$A:$C,3,FALSE)</f>
        <v>SUROCCIDENTE</v>
      </c>
      <c r="K65" s="10">
        <v>31</v>
      </c>
      <c r="L65" s="12" t="str">
        <f>+VLOOKUP(K65,Datos!$A:$C,2,FALSE)</f>
        <v>COATEPEQUE</v>
      </c>
      <c r="M65" s="10">
        <v>310731</v>
      </c>
      <c r="N65" s="12" t="str">
        <f>+VLOOKUP(M65,Datos!$F:$G,2,FALSE)</f>
        <v>Sofia Etelvina Lopez Perez</v>
      </c>
      <c r="O65" s="13">
        <f>IFERROR(IF(A65="SI",VLOOKUP(R65,Datos!$J$1:$K$50,2,FALSE)*C65,VLOOKUP(R65,Datos!$P$1:$T$13,2,FALSE)*C65),0)</f>
        <v>1632</v>
      </c>
      <c r="P65" s="9">
        <v>306654</v>
      </c>
      <c r="Q65" s="12" t="str">
        <f>+VLOOKUP(P65,Datos!$F:$G,2,FALSE)</f>
        <v>Gerson Arcadio Hernandez Barrios</v>
      </c>
      <c r="R65" s="9" t="s">
        <v>26</v>
      </c>
      <c r="V65" s="10">
        <f t="shared" si="0"/>
        <v>1</v>
      </c>
      <c r="W65" s="10">
        <f>+VLOOKUP(M65,Datos!$F:$H,3,FALSE)</f>
        <v>0</v>
      </c>
      <c r="X65">
        <v>0</v>
      </c>
      <c r="Y65" s="20"/>
      <c r="Z65" s="10" t="e">
        <f>VLOOKUP(M65,'[1]INDIVIDUAL UN'!$C$6:$F$222,4,FALSE)</f>
        <v>#N/A</v>
      </c>
    </row>
    <row r="66" spans="1:26" hidden="1" x14ac:dyDescent="0.35">
      <c r="A66" s="9" t="s">
        <v>25</v>
      </c>
      <c r="C66" s="10">
        <v>1</v>
      </c>
      <c r="D66" s="10" t="s">
        <v>29</v>
      </c>
      <c r="E66" s="10" t="s">
        <v>37</v>
      </c>
      <c r="F66" s="10">
        <v>4308</v>
      </c>
      <c r="G66" s="10" t="s">
        <v>120</v>
      </c>
      <c r="H66" s="11">
        <v>46272</v>
      </c>
      <c r="I66" s="11">
        <v>46271</v>
      </c>
      <c r="J66" s="12" t="str">
        <f>+VLOOKUP(K66,Datos!$A:$C,3,FALSE)</f>
        <v>SUROCCIDENTE</v>
      </c>
      <c r="K66" s="10">
        <v>31</v>
      </c>
      <c r="L66" s="12" t="str">
        <f>+VLOOKUP(K66,Datos!$A:$C,2,FALSE)</f>
        <v>COATEPEQUE</v>
      </c>
      <c r="M66" s="10">
        <v>310731</v>
      </c>
      <c r="N66" s="12" t="str">
        <f>+VLOOKUP(M66,Datos!$F:$G,2,FALSE)</f>
        <v>Sofia Etelvina Lopez Perez</v>
      </c>
      <c r="O66" s="13">
        <f>IFERROR(IF(A66="SI",VLOOKUP(R66,Datos!$J$1:$K$50,2,FALSE)*C66,VLOOKUP(R66,Datos!$P$1:$T$13,2,FALSE)*C66),0)</f>
        <v>816</v>
      </c>
      <c r="P66" s="9">
        <v>306654</v>
      </c>
      <c r="Q66" s="12" t="str">
        <f>+VLOOKUP(P66,Datos!$F:$G,2,FALSE)</f>
        <v>Gerson Arcadio Hernandez Barrios</v>
      </c>
      <c r="R66" s="9" t="s">
        <v>26</v>
      </c>
      <c r="V66" s="10">
        <f t="shared" ref="V66:V129" si="1">+COUNTIFS($G$2:$G$444,G66)</f>
        <v>1</v>
      </c>
      <c r="W66" s="10">
        <f>+VLOOKUP(M66,Datos!$F:$H,3,FALSE)</f>
        <v>0</v>
      </c>
      <c r="X66">
        <v>0</v>
      </c>
      <c r="Y66" s="14"/>
      <c r="Z66" t="e">
        <f>VLOOKUP(M66,'[1]INDIVIDUAL UN'!$C$6:$F$222,4,FALSE)</f>
        <v>#N/A</v>
      </c>
    </row>
    <row r="67" spans="1:26" hidden="1" x14ac:dyDescent="0.35">
      <c r="A67" s="9" t="s">
        <v>25</v>
      </c>
      <c r="C67" s="10">
        <v>1</v>
      </c>
      <c r="D67" s="10" t="s">
        <v>29</v>
      </c>
      <c r="E67" s="10" t="s">
        <v>37</v>
      </c>
      <c r="F67" s="10">
        <v>4311</v>
      </c>
      <c r="G67" s="10" t="s">
        <v>121</v>
      </c>
      <c r="H67" s="11">
        <v>46272</v>
      </c>
      <c r="I67" s="11">
        <v>46271</v>
      </c>
      <c r="J67" s="12" t="str">
        <f>+VLOOKUP(K67,Datos!$A:$C,3,FALSE)</f>
        <v>SUROCCIDENTE</v>
      </c>
      <c r="K67" s="10">
        <v>31</v>
      </c>
      <c r="L67" s="12" t="str">
        <f>+VLOOKUP(K67,Datos!$A:$C,2,FALSE)</f>
        <v>COATEPEQUE</v>
      </c>
      <c r="M67" s="10">
        <v>310731</v>
      </c>
      <c r="N67" s="12" t="str">
        <f>+VLOOKUP(M67,Datos!$F:$G,2,FALSE)</f>
        <v>Sofia Etelvina Lopez Perez</v>
      </c>
      <c r="O67" s="13">
        <f>IFERROR(IF(A67="SI",VLOOKUP(R67,Datos!$J$1:$K$50,2,FALSE)*C67,VLOOKUP(R67,Datos!$P$1:$T$13,2,FALSE)*C67),0)</f>
        <v>816</v>
      </c>
      <c r="P67" s="16">
        <v>306654</v>
      </c>
      <c r="Q67" s="12" t="str">
        <f>+VLOOKUP(P67,Datos!$F:$G,2,FALSE)</f>
        <v>Gerson Arcadio Hernandez Barrios</v>
      </c>
      <c r="R67" s="9" t="s">
        <v>26</v>
      </c>
      <c r="V67" s="10">
        <f t="shared" si="1"/>
        <v>1</v>
      </c>
      <c r="W67" s="10">
        <f>+VLOOKUP(M67,Datos!$F:$H,3,FALSE)</f>
        <v>0</v>
      </c>
      <c r="X67">
        <v>0</v>
      </c>
      <c r="Y67" s="14"/>
      <c r="Z67" t="e">
        <f>VLOOKUP(M67,'[1]INDIVIDUAL UN'!$C$6:$F$222,4,FALSE)</f>
        <v>#N/A</v>
      </c>
    </row>
    <row r="68" spans="1:26" hidden="1" x14ac:dyDescent="0.35">
      <c r="A68" s="9" t="s">
        <v>25</v>
      </c>
      <c r="C68" s="10">
        <v>1</v>
      </c>
      <c r="D68" s="10" t="s">
        <v>29</v>
      </c>
      <c r="E68" s="10" t="s">
        <v>37</v>
      </c>
      <c r="F68" s="10">
        <v>4324</v>
      </c>
      <c r="G68" s="10" t="s">
        <v>122</v>
      </c>
      <c r="H68" s="11">
        <v>46272</v>
      </c>
      <c r="I68" s="11">
        <v>46272</v>
      </c>
      <c r="J68" s="12" t="str">
        <f>+VLOOKUP(K68,Datos!$A:$C,3,FALSE)</f>
        <v>SUROCCIDENTE</v>
      </c>
      <c r="K68" s="10">
        <v>31</v>
      </c>
      <c r="L68" s="12" t="str">
        <f>+VLOOKUP(K68,Datos!$A:$C,2,FALSE)</f>
        <v>COATEPEQUE</v>
      </c>
      <c r="M68" s="10">
        <v>310671</v>
      </c>
      <c r="N68" s="12" t="str">
        <f>+VLOOKUP(M68,Datos!$F:$G,2,FALSE)</f>
        <v>Sucely Paola Godinez Gomez De Perez</v>
      </c>
      <c r="O68" s="13">
        <f>IFERROR(IF(A68="SI",VLOOKUP(R68,Datos!$J$1:$K$50,2,FALSE)*C68,VLOOKUP(R68,Datos!$P$1:$T$13,2,FALSE)*C68),0)</f>
        <v>1368</v>
      </c>
      <c r="P68" s="9">
        <v>306654</v>
      </c>
      <c r="Q68" s="12" t="str">
        <f>+VLOOKUP(P68,Datos!$F:$G,2,FALSE)</f>
        <v>Gerson Arcadio Hernandez Barrios</v>
      </c>
      <c r="R68" s="9" t="s">
        <v>48</v>
      </c>
      <c r="V68" s="10">
        <f t="shared" si="1"/>
        <v>1</v>
      </c>
      <c r="W68" s="10">
        <f>+VLOOKUP(M68,Datos!$F:$H,3,FALSE)</f>
        <v>0</v>
      </c>
      <c r="X68">
        <v>0</v>
      </c>
      <c r="Y68" s="14"/>
      <c r="Z68" t="e">
        <f>VLOOKUP(M68,'[1]INDIVIDUAL UN'!$C$6:$F$222,4,FALSE)</f>
        <v>#N/A</v>
      </c>
    </row>
    <row r="69" spans="1:26" hidden="1" x14ac:dyDescent="0.35">
      <c r="A69" s="9" t="s">
        <v>25</v>
      </c>
      <c r="C69" s="25">
        <v>4</v>
      </c>
      <c r="D69" s="10" t="s">
        <v>29</v>
      </c>
      <c r="E69" s="10" t="s">
        <v>30</v>
      </c>
      <c r="F69" s="10">
        <v>680</v>
      </c>
      <c r="G69" s="10" t="s">
        <v>123</v>
      </c>
      <c r="H69" s="11">
        <v>46272</v>
      </c>
      <c r="I69" s="11">
        <v>46272</v>
      </c>
      <c r="J69" s="12" t="str">
        <f>+VLOOKUP(K69,Datos!$A:$C,3,FALSE)</f>
        <v>SUROCCIDENTE</v>
      </c>
      <c r="K69" s="10">
        <v>31</v>
      </c>
      <c r="L69" s="12" t="str">
        <f>+VLOOKUP(K69,Datos!$A:$C,2,FALSE)</f>
        <v>COATEPEQUE</v>
      </c>
      <c r="M69" s="10">
        <v>90065999</v>
      </c>
      <c r="N69" s="12" t="str">
        <f>+VLOOKUP(M69,Datos!$F:$G,2,FALSE)</f>
        <v>SEPHORA ABIGAIL SANCHEZ HERDOCIA</v>
      </c>
      <c r="O69" s="13">
        <f>IFERROR(IF(A69="SI",VLOOKUP(R69,Datos!$J$1:$K$50,2,FALSE)*C69,VLOOKUP(R69,Datos!$P$1:$T$13,2,FALSE)*C69),0)</f>
        <v>3264</v>
      </c>
      <c r="P69" s="10">
        <v>311258</v>
      </c>
      <c r="Q69" s="12" t="str">
        <f>+VLOOKUP(P69,Datos!$F:$G,2,FALSE)</f>
        <v>Victor Otoniel Sebastian Cardona</v>
      </c>
      <c r="R69" s="9" t="s">
        <v>26</v>
      </c>
      <c r="V69" s="10">
        <f t="shared" si="1"/>
        <v>1</v>
      </c>
      <c r="W69" s="10">
        <f>+VLOOKUP(M69,Datos!$F:$H,3,FALSE)</f>
        <v>0</v>
      </c>
      <c r="X69">
        <v>0</v>
      </c>
      <c r="Y69" s="14"/>
      <c r="Z69" t="e">
        <f>VLOOKUP(M69,'[1]INDIVIDUAL UN'!$C$6:$F$222,4,FALSE)</f>
        <v>#N/A</v>
      </c>
    </row>
    <row r="70" spans="1:26" hidden="1" x14ac:dyDescent="0.35">
      <c r="A70" s="9" t="s">
        <v>124</v>
      </c>
      <c r="C70" s="10">
        <v>1</v>
      </c>
      <c r="D70" s="10" t="s">
        <v>29</v>
      </c>
      <c r="E70" s="10" t="s">
        <v>125</v>
      </c>
      <c r="F70" s="10">
        <v>1</v>
      </c>
      <c r="G70" s="10" t="s">
        <v>126</v>
      </c>
      <c r="H70" s="11">
        <v>46272</v>
      </c>
      <c r="I70" s="11">
        <v>46272</v>
      </c>
      <c r="J70" s="12" t="str">
        <f>+VLOOKUP(K70,Datos!$A:$C,3,FALSE)</f>
        <v>OCCIDENTE</v>
      </c>
      <c r="K70" s="10">
        <v>243</v>
      </c>
      <c r="L70" s="12" t="str">
        <f>+VLOOKUP(K70,Datos!$A:$C,2,FALSE)</f>
        <v>PRADERA XELA</v>
      </c>
      <c r="M70" s="10">
        <v>316039</v>
      </c>
      <c r="N70" s="12" t="str">
        <f>+VLOOKUP(M70,Datos!$F:$G,2,FALSE)</f>
        <v>Edgar Francisco Garcia</v>
      </c>
      <c r="O70" s="13">
        <v>1620</v>
      </c>
      <c r="P70" s="10">
        <v>315174</v>
      </c>
      <c r="Q70" s="12" t="str">
        <f>+VLOOKUP(P70,Datos!$F:$G,2,FALSE)</f>
        <v>Edwin Adolfo Soberanis Mazariegos</v>
      </c>
      <c r="R70" s="9" t="s">
        <v>127</v>
      </c>
      <c r="V70" s="10">
        <f t="shared" si="1"/>
        <v>1</v>
      </c>
      <c r="W70" s="10">
        <f>+VLOOKUP(M70,Datos!$F:$H,3,FALSE)</f>
        <v>0</v>
      </c>
      <c r="X70">
        <v>0</v>
      </c>
      <c r="Y70" s="14"/>
      <c r="Z70" t="e">
        <f>VLOOKUP(M70,'[1]INDIVIDUAL UN'!$C$6:$F$222,4,FALSE)</f>
        <v>#N/A</v>
      </c>
    </row>
    <row r="71" spans="1:26" hidden="1" x14ac:dyDescent="0.35">
      <c r="A71" s="9" t="s">
        <v>25</v>
      </c>
      <c r="C71" s="10">
        <v>1</v>
      </c>
      <c r="D71" s="10" t="s">
        <v>29</v>
      </c>
      <c r="E71" s="10" t="s">
        <v>37</v>
      </c>
      <c r="F71" s="10">
        <v>4320</v>
      </c>
      <c r="G71" s="10" t="s">
        <v>128</v>
      </c>
      <c r="H71" s="11">
        <v>46272</v>
      </c>
      <c r="I71" s="11">
        <v>46272</v>
      </c>
      <c r="J71" s="12" t="str">
        <f>+VLOOKUP(K71,Datos!$A:$C,3,FALSE)</f>
        <v>OCCIDENTE</v>
      </c>
      <c r="K71" s="10">
        <v>126</v>
      </c>
      <c r="L71" s="12" t="str">
        <f>+VLOOKUP(K71,Datos!$A:$C,2,FALSE)</f>
        <v>CHICHICASTENANGO</v>
      </c>
      <c r="M71" s="10">
        <v>310610</v>
      </c>
      <c r="N71" s="12" t="str">
        <f>+VLOOKUP(M71,Datos!$F:$G,2,FALSE)</f>
        <v>Ricky Edson Lux Cassia</v>
      </c>
      <c r="O71" s="13">
        <f>IFERROR(IF(A71="SI",VLOOKUP(R71,Datos!$J$1:$K$50,2,FALSE)*C71,VLOOKUP(R71,Datos!$P$1:$T$13,2,FALSE)*C71),0)</f>
        <v>816</v>
      </c>
      <c r="P71" s="9">
        <v>303674</v>
      </c>
      <c r="Q71" s="12" t="str">
        <f>+VLOOKUP(P71,Datos!$F:$G,2,FALSE)</f>
        <v>Imelda Elizabeth Castro Rodas</v>
      </c>
      <c r="R71" s="9" t="s">
        <v>26</v>
      </c>
      <c r="V71" s="10">
        <f t="shared" si="1"/>
        <v>1</v>
      </c>
      <c r="W71" s="10">
        <f>+VLOOKUP(M71,Datos!$F:$H,3,FALSE)</f>
        <v>0</v>
      </c>
      <c r="X71">
        <v>0</v>
      </c>
      <c r="Y71" s="14"/>
      <c r="Z71" t="e">
        <f>VLOOKUP(M71,'[1]INDIVIDUAL UN'!$C$6:$F$222,4,FALSE)</f>
        <v>#N/A</v>
      </c>
    </row>
    <row r="72" spans="1:26" hidden="1" x14ac:dyDescent="0.35">
      <c r="A72" s="9" t="s">
        <v>25</v>
      </c>
      <c r="C72" s="10">
        <v>3</v>
      </c>
      <c r="D72" s="10" t="s">
        <v>29</v>
      </c>
      <c r="E72" s="10" t="s">
        <v>129</v>
      </c>
      <c r="F72" s="10">
        <v>610</v>
      </c>
      <c r="G72" s="10" t="s">
        <v>130</v>
      </c>
      <c r="H72" s="11">
        <v>46272</v>
      </c>
      <c r="I72" s="11">
        <v>46272</v>
      </c>
      <c r="J72" s="12" t="str">
        <f>+VLOOKUP(K72,Datos!$A:$C,3,FALSE)</f>
        <v>SUROCCIDENTE</v>
      </c>
      <c r="K72" s="10">
        <v>227</v>
      </c>
      <c r="L72" s="12" t="str">
        <f>+VLOOKUP(K72,Datos!$A:$C,2,FALSE)</f>
        <v>PAJAPITA</v>
      </c>
      <c r="M72" s="10">
        <v>315734</v>
      </c>
      <c r="N72" s="12" t="str">
        <f>+VLOOKUP(M72,Datos!$F:$G,2,FALSE)</f>
        <v>DULCE MARINA LOPEZ SOLIS</v>
      </c>
      <c r="O72" s="13">
        <f>IFERROR(IF(A72="SI",VLOOKUP(R72,Datos!$J$1:$K$50,2,FALSE)*C72,VLOOKUP(R72,Datos!$P$1:$T$13,2,FALSE)*C72),0)</f>
        <v>2448</v>
      </c>
      <c r="P72" s="16">
        <v>314738</v>
      </c>
      <c r="Q72" s="12" t="str">
        <f>+VLOOKUP(P72,Datos!$F:$G,2,FALSE)</f>
        <v>Carlos David Castillo Gamboa</v>
      </c>
      <c r="R72" s="9" t="s">
        <v>26</v>
      </c>
      <c r="V72" s="10">
        <f t="shared" si="1"/>
        <v>1</v>
      </c>
      <c r="W72" s="10">
        <f>+VLOOKUP(M72,Datos!$F:$H,3,FALSE)</f>
        <v>0</v>
      </c>
      <c r="X72">
        <v>0</v>
      </c>
      <c r="Y72" s="14"/>
      <c r="Z72" t="e">
        <f>VLOOKUP(M72,'[1]INDIVIDUAL UN'!$C$6:$F$222,4,FALSE)</f>
        <v>#N/A</v>
      </c>
    </row>
    <row r="73" spans="1:26" hidden="1" x14ac:dyDescent="0.35">
      <c r="A73" s="9" t="s">
        <v>25</v>
      </c>
      <c r="C73" s="10">
        <v>1</v>
      </c>
      <c r="D73" s="10" t="s">
        <v>29</v>
      </c>
      <c r="E73" s="10" t="s">
        <v>131</v>
      </c>
      <c r="F73" s="10" t="s">
        <v>131</v>
      </c>
      <c r="G73" s="10" t="s">
        <v>132</v>
      </c>
      <c r="H73" s="11">
        <v>46272</v>
      </c>
      <c r="I73" s="11">
        <v>46272</v>
      </c>
      <c r="J73" s="12" t="str">
        <f>+VLOOKUP(K73,Datos!$A:$C,3,FALSE)</f>
        <v>SUROCCIDENTE</v>
      </c>
      <c r="K73" s="10">
        <v>227</v>
      </c>
      <c r="L73" s="12" t="str">
        <f>+VLOOKUP(K73,Datos!$A:$C,2,FALSE)</f>
        <v>PAJAPITA</v>
      </c>
      <c r="M73" s="10">
        <v>90023752</v>
      </c>
      <c r="N73" s="12" t="str">
        <f>+VLOOKUP(M73,Datos!$F:$G,2,FALSE)</f>
        <v>EDY DIONISIO FUENTES MARTINEZ</v>
      </c>
      <c r="O73" s="13">
        <f>IFERROR(IF(A73="SI",VLOOKUP(R73,Datos!$J$1:$K$50,2,FALSE)*C73,VLOOKUP(R73,Datos!$P$1:$T$13,2,FALSE)*C73),0)</f>
        <v>1368</v>
      </c>
      <c r="P73" s="16">
        <v>314738</v>
      </c>
      <c r="Q73" s="12" t="str">
        <f>+VLOOKUP(P73,Datos!$F:$G,2,FALSE)</f>
        <v>Carlos David Castillo Gamboa</v>
      </c>
      <c r="R73" s="9" t="s">
        <v>48</v>
      </c>
      <c r="V73" s="10">
        <f t="shared" si="1"/>
        <v>1</v>
      </c>
      <c r="W73" s="10">
        <f>+VLOOKUP(M73,Datos!$F:$H,3,FALSE)</f>
        <v>0</v>
      </c>
      <c r="X73">
        <v>0</v>
      </c>
      <c r="Y73" s="14"/>
      <c r="Z73" t="e">
        <f>VLOOKUP(M73,'[1]INDIVIDUAL UN'!$C$6:$F$222,4,FALSE)</f>
        <v>#N/A</v>
      </c>
    </row>
    <row r="74" spans="1:26" hidden="1" x14ac:dyDescent="0.35">
      <c r="A74" s="9" t="s">
        <v>25</v>
      </c>
      <c r="C74" s="10">
        <v>3</v>
      </c>
      <c r="D74" s="10" t="s">
        <v>29</v>
      </c>
      <c r="E74" s="10" t="s">
        <v>133</v>
      </c>
      <c r="F74" s="10">
        <v>616</v>
      </c>
      <c r="G74" s="10" t="s">
        <v>134</v>
      </c>
      <c r="H74" s="11">
        <v>46272</v>
      </c>
      <c r="I74" s="11">
        <v>46272</v>
      </c>
      <c r="J74" s="12" t="str">
        <f>+VLOOKUP(K74,Datos!$A:$C,3,FALSE)</f>
        <v>OCCIDENTE</v>
      </c>
      <c r="K74" s="16">
        <v>56</v>
      </c>
      <c r="L74" s="12" t="str">
        <f>+VLOOKUP(K74,Datos!$A:$C,2,FALSE)</f>
        <v>LOS ALTOS</v>
      </c>
      <c r="M74" s="10">
        <v>90040102</v>
      </c>
      <c r="N74" s="12" t="str">
        <f>+VLOOKUP(M74,Datos!$F:$G,2,FALSE)</f>
        <v>KAREN JASMIN PEREZ CORONADO</v>
      </c>
      <c r="O74" s="13">
        <f>IFERROR(IF(A74="SI",VLOOKUP(R74,Datos!$J$1:$K$50,2,FALSE)*C74,VLOOKUP(R74,Datos!$P$1:$T$13,2,FALSE)*C74),0)</f>
        <v>12312</v>
      </c>
      <c r="P74" s="16">
        <v>308266</v>
      </c>
      <c r="Q74" s="12" t="str">
        <f>+VLOOKUP(P74,Datos!$F:$G,2,FALSE)</f>
        <v>Julio Cesar De Leon Huinac</v>
      </c>
      <c r="R74" s="9" t="s">
        <v>135</v>
      </c>
      <c r="V74" s="10">
        <f t="shared" si="1"/>
        <v>1</v>
      </c>
      <c r="W74" s="10">
        <f>+VLOOKUP(M74,Datos!$F:$H,3,FALSE)</f>
        <v>0</v>
      </c>
      <c r="X74">
        <v>0</v>
      </c>
      <c r="Y74" s="14"/>
      <c r="Z74" t="e">
        <f>VLOOKUP(M74,'[1]INDIVIDUAL UN'!$C$6:$F$222,4,FALSE)</f>
        <v>#N/A</v>
      </c>
    </row>
    <row r="75" spans="1:26" ht="17.5" hidden="1" customHeight="1" x14ac:dyDescent="0.35">
      <c r="A75" s="9" t="s">
        <v>25</v>
      </c>
      <c r="C75" s="10">
        <v>1</v>
      </c>
      <c r="D75" s="10" t="s">
        <v>29</v>
      </c>
      <c r="E75" s="10" t="s">
        <v>43</v>
      </c>
      <c r="F75" s="10">
        <v>2900</v>
      </c>
      <c r="G75" s="10" t="s">
        <v>136</v>
      </c>
      <c r="H75" s="11">
        <v>46272</v>
      </c>
      <c r="I75" s="11">
        <v>46272</v>
      </c>
      <c r="J75" s="12" t="str">
        <f>+VLOOKUP(K75,Datos!$A:$C,3,FALSE)</f>
        <v>OCCIDENTE</v>
      </c>
      <c r="K75" s="16">
        <v>246</v>
      </c>
      <c r="L75" s="12" t="str">
        <f>+VLOOKUP(K75,Datos!$A:$C,2,FALSE)</f>
        <v>SANTA CRUZ BARILLAS</v>
      </c>
      <c r="M75" s="10">
        <v>316120</v>
      </c>
      <c r="N75" s="12" t="str">
        <f>+VLOOKUP(M75,Datos!$F:$G,2,FALSE)</f>
        <v>JUANA CANDELARIA LORENZO MATEO</v>
      </c>
      <c r="O75" s="13">
        <f>IFERROR(IF(A75="SI",VLOOKUP(R75,Datos!$J$1:$K$50,2,FALSE)*C75,VLOOKUP(R75,Datos!$P$1:$T$13,2,FALSE)*C75),0)</f>
        <v>1308</v>
      </c>
      <c r="P75" s="16">
        <v>304166</v>
      </c>
      <c r="Q75" s="12" t="str">
        <f>+VLOOKUP(P75,Datos!$F:$G,2,FALSE)</f>
        <v>Maviela Bibianeth Castillo Avila</v>
      </c>
      <c r="R75" s="9" t="s">
        <v>45</v>
      </c>
      <c r="V75" s="10">
        <f t="shared" si="1"/>
        <v>1</v>
      </c>
      <c r="W75" s="10">
        <f>+VLOOKUP(M75,Datos!$F:$H,3,FALSE)</f>
        <v>0</v>
      </c>
      <c r="X75">
        <v>0</v>
      </c>
      <c r="Y75" s="14"/>
      <c r="Z75" t="e">
        <f>VLOOKUP(M75,'[1]INDIVIDUAL UN'!$C$6:$F$222,4,FALSE)</f>
        <v>#N/A</v>
      </c>
    </row>
    <row r="76" spans="1:26" hidden="1" x14ac:dyDescent="0.35">
      <c r="A76" s="26" t="s">
        <v>137</v>
      </c>
      <c r="C76" s="16">
        <v>4</v>
      </c>
      <c r="D76" s="10" t="s">
        <v>29</v>
      </c>
      <c r="E76" s="16" t="s">
        <v>30</v>
      </c>
      <c r="F76" s="16">
        <v>675</v>
      </c>
      <c r="G76" s="16" t="s">
        <v>138</v>
      </c>
      <c r="H76" s="11">
        <v>46272</v>
      </c>
      <c r="I76" s="11">
        <v>46272</v>
      </c>
      <c r="J76" s="12" t="str">
        <f>+VLOOKUP(K76,Datos!$A:$C,3,FALSE)</f>
        <v>SUROCCIDENTE</v>
      </c>
      <c r="K76" s="16">
        <v>48</v>
      </c>
      <c r="L76" s="12" t="str">
        <f>+VLOOKUP(K76,Datos!$A:$C,2,FALSE)</f>
        <v>TECUN UMAN SAN MARCOS</v>
      </c>
      <c r="M76" s="16">
        <v>315651</v>
      </c>
      <c r="N76" s="12" t="str">
        <f>+VLOOKUP(M76,Datos!$F:$G,2,FALSE)</f>
        <v>WALTER EDUARDO RODAS RIOS</v>
      </c>
      <c r="O76" s="13">
        <f>IFERROR(IF(A76="SI",VLOOKUP(R76,Datos!$J$1:$K$50,2,FALSE)*C76,VLOOKUP(R76,Datos!$P$1:$T$13,2,FALSE)*C76),0)</f>
        <v>3552</v>
      </c>
      <c r="P76" s="16">
        <v>302285</v>
      </c>
      <c r="Q76" s="12" t="str">
        <f>+VLOOKUP(P76,Datos!$F:$G,2,FALSE)</f>
        <v>Heydi Yaneth Sales Mazariegos</v>
      </c>
      <c r="R76" s="9" t="s">
        <v>26</v>
      </c>
      <c r="V76" s="10">
        <f t="shared" si="1"/>
        <v>1</v>
      </c>
      <c r="W76" s="10">
        <f>+VLOOKUP(M76,Datos!$F:$H,3,FALSE)</f>
        <v>0</v>
      </c>
      <c r="X76">
        <v>0</v>
      </c>
      <c r="Y76" s="14"/>
      <c r="Z76" t="e">
        <f>VLOOKUP(M76,'[1]INDIVIDUAL UN'!$C$6:$F$222,4,FALSE)</f>
        <v>#N/A</v>
      </c>
    </row>
    <row r="77" spans="1:26" hidden="1" x14ac:dyDescent="0.35">
      <c r="A77" s="9" t="s">
        <v>25</v>
      </c>
      <c r="C77">
        <v>4</v>
      </c>
      <c r="D77" s="10" t="s">
        <v>29</v>
      </c>
      <c r="E77" s="10" t="s">
        <v>30</v>
      </c>
      <c r="F77" s="10">
        <v>673</v>
      </c>
      <c r="G77" s="10" t="s">
        <v>139</v>
      </c>
      <c r="H77" s="11">
        <v>46272</v>
      </c>
      <c r="I77" s="11">
        <v>46272</v>
      </c>
      <c r="J77" s="12" t="str">
        <f>+VLOOKUP(K77,Datos!$A:$C,3,FALSE)</f>
        <v>SUROCCIDENTE</v>
      </c>
      <c r="K77" s="16">
        <v>31</v>
      </c>
      <c r="L77" s="12" t="str">
        <f>+VLOOKUP(K77,Datos!$A:$C,2,FALSE)</f>
        <v>COATEPEQUE</v>
      </c>
      <c r="M77" s="19">
        <v>90046882</v>
      </c>
      <c r="N77" s="12" t="str">
        <f>+VLOOKUP(M77,Datos!$F:$G,2,FALSE)</f>
        <v>MARICRUZ MENDEZ LOPEZ</v>
      </c>
      <c r="O77" s="13">
        <f>IFERROR(IF(A77="SI",VLOOKUP(R77,Datos!$J$1:$K$50,2,FALSE)*C77,VLOOKUP(R77,Datos!$P$1:$T$13,2,FALSE)*C77),0)</f>
        <v>3264</v>
      </c>
      <c r="P77" s="16">
        <v>306656</v>
      </c>
      <c r="Q77" s="12" t="str">
        <f>+VLOOKUP(P77,Datos!$F:$G,2,FALSE)</f>
        <v>Wilmer Benjamin Vasquez Puac</v>
      </c>
      <c r="R77" s="9" t="s">
        <v>26</v>
      </c>
      <c r="V77" s="10">
        <f t="shared" si="1"/>
        <v>1</v>
      </c>
      <c r="W77" s="10">
        <f>+VLOOKUP(M77,Datos!$F:$H,3,FALSE)</f>
        <v>0</v>
      </c>
      <c r="X77">
        <v>0</v>
      </c>
      <c r="Y77" s="14"/>
      <c r="Z77" t="e">
        <f>VLOOKUP(M77,'[1]INDIVIDUAL UN'!$C$6:$F$222,4,FALSE)</f>
        <v>#N/A</v>
      </c>
    </row>
    <row r="78" spans="1:26" hidden="1" x14ac:dyDescent="0.35">
      <c r="A78" s="9" t="s">
        <v>25</v>
      </c>
      <c r="C78">
        <v>4</v>
      </c>
      <c r="D78" s="10" t="s">
        <v>29</v>
      </c>
      <c r="E78" s="10" t="s">
        <v>140</v>
      </c>
      <c r="F78" s="10">
        <v>179</v>
      </c>
      <c r="G78" s="10" t="s">
        <v>141</v>
      </c>
      <c r="H78" s="11">
        <v>46272</v>
      </c>
      <c r="I78" s="11">
        <v>46272</v>
      </c>
      <c r="J78" s="12" t="str">
        <f>+VLOOKUP(K78,Datos!$A:$C,3,FALSE)</f>
        <v>SUROCCIDENTE</v>
      </c>
      <c r="K78" s="10">
        <v>31</v>
      </c>
      <c r="L78" s="12" t="str">
        <f>+VLOOKUP(K78,Datos!$A:$C,2,FALSE)</f>
        <v>COATEPEQUE</v>
      </c>
      <c r="M78" s="19">
        <v>90046882</v>
      </c>
      <c r="N78" s="12" t="str">
        <f>+VLOOKUP(M78,Datos!$F:$G,2,FALSE)</f>
        <v>MARICRUZ MENDEZ LOPEZ</v>
      </c>
      <c r="O78" s="13">
        <f>IFERROR(IF(A78="SI",VLOOKUP(R78,Datos!$J$1:$K$50,2,FALSE)*C78,VLOOKUP(R78,Datos!$P$1:$T$13,2,FALSE)*C78),0)</f>
        <v>4368</v>
      </c>
      <c r="P78" s="10">
        <v>306656</v>
      </c>
      <c r="Q78" s="12" t="str">
        <f>+VLOOKUP(P78,Datos!$F:$G,2,FALSE)</f>
        <v>Wilmer Benjamin Vasquez Puac</v>
      </c>
      <c r="R78" s="9" t="s">
        <v>57</v>
      </c>
      <c r="V78" s="10">
        <f t="shared" si="1"/>
        <v>1</v>
      </c>
      <c r="W78" s="10">
        <f>+VLOOKUP(M78,Datos!$F:$H,3,FALSE)</f>
        <v>0</v>
      </c>
      <c r="X78">
        <v>0</v>
      </c>
      <c r="Y78" s="14"/>
      <c r="Z78" t="e">
        <f>VLOOKUP(M78,'[1]INDIVIDUAL UN'!$C$6:$F$222,4,FALSE)</f>
        <v>#N/A</v>
      </c>
    </row>
    <row r="79" spans="1:26" hidden="1" x14ac:dyDescent="0.35">
      <c r="A79" s="9" t="s">
        <v>25</v>
      </c>
      <c r="C79" s="10">
        <v>3</v>
      </c>
      <c r="D79" s="10" t="s">
        <v>29</v>
      </c>
      <c r="E79" s="10" t="s">
        <v>41</v>
      </c>
      <c r="F79" s="10">
        <v>613</v>
      </c>
      <c r="G79" s="10" t="s">
        <v>142</v>
      </c>
      <c r="H79" s="11">
        <v>46272</v>
      </c>
      <c r="I79" s="11">
        <v>46272</v>
      </c>
      <c r="J79" s="12" t="str">
        <f>+VLOOKUP(K79,Datos!$A:$C,3,FALSE)</f>
        <v>OCCIDENTE</v>
      </c>
      <c r="K79" s="10">
        <v>155</v>
      </c>
      <c r="L79" s="12" t="str">
        <f>+VLOOKUP(K79,Datos!$A:$C,2,FALSE)</f>
        <v>TECPAN</v>
      </c>
      <c r="M79" s="10">
        <v>314450</v>
      </c>
      <c r="N79" s="12" t="str">
        <f>+VLOOKUP(M79,Datos!$F:$G,2,FALSE)</f>
        <v>Rafael Anibal Sut Tucubal</v>
      </c>
      <c r="O79" s="13">
        <f>IFERROR(IF(A79="SI",VLOOKUP(R79,Datos!$J$1:$K$50,2,FALSE)*C79,VLOOKUP(R79,Datos!$P$1:$T$13,2,FALSE)*C79),0)</f>
        <v>2448</v>
      </c>
      <c r="P79" s="10">
        <v>305955</v>
      </c>
      <c r="Q79" s="12" t="str">
        <f>+VLOOKUP(P79,Datos!$F:$G,2,FALSE)</f>
        <v>Jorge Alfredo Gutierrez Rodriguez</v>
      </c>
      <c r="R79" s="9" t="s">
        <v>26</v>
      </c>
      <c r="V79" s="10">
        <f t="shared" si="1"/>
        <v>1</v>
      </c>
      <c r="W79" s="10">
        <f>+VLOOKUP(M79,Datos!$F:$H,3,FALSE)</f>
        <v>0</v>
      </c>
      <c r="X79">
        <v>0</v>
      </c>
      <c r="Y79" s="14"/>
      <c r="Z79" t="e">
        <f>VLOOKUP(M79,'[1]INDIVIDUAL UN'!$C$6:$F$222,4,FALSE)</f>
        <v>#N/A</v>
      </c>
    </row>
    <row r="80" spans="1:26" hidden="1" x14ac:dyDescent="0.35">
      <c r="A80" s="9" t="s">
        <v>25</v>
      </c>
      <c r="C80" s="10">
        <v>1</v>
      </c>
      <c r="D80" s="10" t="s">
        <v>29</v>
      </c>
      <c r="E80" s="10" t="s">
        <v>37</v>
      </c>
      <c r="F80" s="10">
        <v>4312</v>
      </c>
      <c r="G80" s="10" t="s">
        <v>143</v>
      </c>
      <c r="H80" s="11">
        <v>46272</v>
      </c>
      <c r="I80" s="11">
        <f>+H80</f>
        <v>46272</v>
      </c>
      <c r="J80" s="12" t="str">
        <f>+VLOOKUP(K80,Datos!$A:$C,3,FALSE)</f>
        <v>OCCIDENTE</v>
      </c>
      <c r="K80" s="10">
        <v>243</v>
      </c>
      <c r="L80" s="12" t="str">
        <f>+VLOOKUP(K80,Datos!$A:$C,2,FALSE)</f>
        <v>PRADERA XELA</v>
      </c>
      <c r="M80" s="10">
        <v>316039</v>
      </c>
      <c r="N80" s="12" t="str">
        <f>+VLOOKUP(M80,Datos!$F:$G,2,FALSE)</f>
        <v>Edgar Francisco Garcia</v>
      </c>
      <c r="O80" s="13">
        <f>IFERROR(IF(A80="SI",VLOOKUP(R80,Datos!$J$1:$K$50,2,FALSE)*C80,VLOOKUP(R80,Datos!$P$1:$T$13,2,FALSE)*C80),0)</f>
        <v>816</v>
      </c>
      <c r="P80" s="10">
        <v>315174</v>
      </c>
      <c r="Q80" s="12" t="str">
        <f>+VLOOKUP(P80,Datos!$F:$G,2,FALSE)</f>
        <v>Edwin Adolfo Soberanis Mazariegos</v>
      </c>
      <c r="R80" s="9" t="s">
        <v>26</v>
      </c>
      <c r="V80" s="10">
        <f t="shared" si="1"/>
        <v>1</v>
      </c>
      <c r="W80" s="10">
        <f>+VLOOKUP(M80,Datos!$F:$H,3,FALSE)</f>
        <v>0</v>
      </c>
      <c r="X80">
        <v>0</v>
      </c>
      <c r="Y80" s="14"/>
      <c r="Z80" t="e">
        <f>VLOOKUP(M80,'[1]INDIVIDUAL UN'!$C$6:$F$222,4,FALSE)</f>
        <v>#N/A</v>
      </c>
    </row>
    <row r="81" spans="1:26" hidden="1" x14ac:dyDescent="0.35">
      <c r="A81" s="9" t="s">
        <v>25</v>
      </c>
      <c r="C81" s="10">
        <v>1</v>
      </c>
      <c r="D81" s="10" t="s">
        <v>29</v>
      </c>
      <c r="E81" s="10" t="s">
        <v>37</v>
      </c>
      <c r="F81" s="10">
        <v>4319</v>
      </c>
      <c r="G81" s="10" t="s">
        <v>144</v>
      </c>
      <c r="H81" s="11">
        <v>46272</v>
      </c>
      <c r="I81" s="11">
        <v>46272</v>
      </c>
      <c r="J81" s="12" t="str">
        <f>+VLOOKUP(K81,Datos!$A:$C,3,FALSE)</f>
        <v>OCCIDENTE</v>
      </c>
      <c r="K81" s="10">
        <v>29</v>
      </c>
      <c r="L81" s="12" t="str">
        <f>+VLOOKUP(K81,Datos!$A:$C,2,FALSE)</f>
        <v>SAN PEDRO SACATEPEQUEZ S.M.</v>
      </c>
      <c r="M81" s="10">
        <v>90086179</v>
      </c>
      <c r="N81" s="12" t="str">
        <f>+VLOOKUP(M81,Datos!$F:$G,2,FALSE)</f>
        <v>GERSON NOE MARTIN RAMIREZ</v>
      </c>
      <c r="O81" s="13">
        <f>IFERROR(IF(A81="SI",VLOOKUP(R81,Datos!$J$1:$K$50,2,FALSE)*C81,VLOOKUP(R81,Datos!$P$1:$T$13,2,FALSE)*C81),0)</f>
        <v>816</v>
      </c>
      <c r="P81" s="10">
        <v>310641</v>
      </c>
      <c r="Q81" s="12" t="str">
        <f>+VLOOKUP(P81,Datos!$F:$G,2,FALSE)</f>
        <v>Jorge Antonio Ramirez Sicay</v>
      </c>
      <c r="R81" s="9" t="s">
        <v>26</v>
      </c>
      <c r="V81" s="10">
        <f t="shared" si="1"/>
        <v>1</v>
      </c>
      <c r="W81" s="10">
        <f>+VLOOKUP(M81,Datos!$F:$H,3,FALSE)</f>
        <v>0</v>
      </c>
      <c r="X81">
        <v>0</v>
      </c>
      <c r="Y81" s="14"/>
      <c r="Z81" t="e">
        <f>VLOOKUP(M81,'[1]INDIVIDUAL UN'!$C$6:$F$222,4,FALSE)</f>
        <v>#N/A</v>
      </c>
    </row>
    <row r="82" spans="1:26" hidden="1" x14ac:dyDescent="0.35">
      <c r="A82" s="9" t="s">
        <v>25</v>
      </c>
      <c r="C82" s="10">
        <v>4</v>
      </c>
      <c r="D82" s="10" t="s">
        <v>29</v>
      </c>
      <c r="E82" s="10" t="s">
        <v>30</v>
      </c>
      <c r="F82" s="10">
        <v>681</v>
      </c>
      <c r="G82" s="10" t="s">
        <v>145</v>
      </c>
      <c r="H82" s="11">
        <v>46272</v>
      </c>
      <c r="I82" s="11">
        <v>46272</v>
      </c>
      <c r="J82" s="12" t="str">
        <f>+VLOOKUP(K82,Datos!$A:$C,3,FALSE)</f>
        <v>SUROCCIDENTE</v>
      </c>
      <c r="K82" s="10">
        <v>143</v>
      </c>
      <c r="L82" s="12" t="str">
        <f>+VLOOKUP(K82,Datos!$A:$C,2,FALSE)</f>
        <v>RETALHULEU LA SIRENA</v>
      </c>
      <c r="M82" s="10">
        <v>312294</v>
      </c>
      <c r="N82" s="12" t="str">
        <f>+VLOOKUP(M82,Datos!$F:$G,2,FALSE)</f>
        <v>Selvin Geronimo Aguilar</v>
      </c>
      <c r="O82" s="13">
        <f>IFERROR(IF(A82="SI",VLOOKUP(R82,Datos!$J$1:$K$50,2,FALSE)*C82,VLOOKUP(R82,Datos!$P$1:$T$13,2,FALSE)*C82),0)</f>
        <v>3264</v>
      </c>
      <c r="P82" s="9">
        <v>313194</v>
      </c>
      <c r="Q82" s="12" t="str">
        <f>+VLOOKUP(P82,Datos!$F:$G,2,FALSE)</f>
        <v>Mary Isabel Xiloj Tajiboy</v>
      </c>
      <c r="R82" s="9" t="s">
        <v>26</v>
      </c>
      <c r="V82" s="10">
        <f t="shared" si="1"/>
        <v>1</v>
      </c>
      <c r="W82" s="10">
        <f>+VLOOKUP(M82,Datos!$F:$H,3,FALSE)</f>
        <v>0</v>
      </c>
      <c r="X82">
        <v>0</v>
      </c>
      <c r="Y82" s="14"/>
      <c r="Z82" t="e">
        <f>VLOOKUP(M82,'[1]INDIVIDUAL UN'!$C$6:$F$222,4,FALSE)</f>
        <v>#N/A</v>
      </c>
    </row>
    <row r="83" spans="1:26" hidden="1" x14ac:dyDescent="0.35">
      <c r="A83" s="9" t="s">
        <v>25</v>
      </c>
      <c r="C83" s="10">
        <v>2</v>
      </c>
      <c r="D83" s="10" t="s">
        <v>29</v>
      </c>
      <c r="E83" s="10" t="s">
        <v>27</v>
      </c>
      <c r="F83" s="10">
        <v>1166</v>
      </c>
      <c r="G83" s="10" t="s">
        <v>146</v>
      </c>
      <c r="H83" s="11">
        <v>46272</v>
      </c>
      <c r="I83" s="11">
        <v>46272</v>
      </c>
      <c r="J83" s="12" t="str">
        <f>+VLOOKUP(K83,Datos!$A:$C,3,FALSE)</f>
        <v>SUROCCIDENTE</v>
      </c>
      <c r="K83" s="10">
        <v>297</v>
      </c>
      <c r="L83" s="12" t="str">
        <f>+VLOOKUP(K83,Datos!$A:$C,2,FALSE)</f>
        <v>LA TRINIDAD COATEPEQUE</v>
      </c>
      <c r="M83" s="10">
        <v>306248</v>
      </c>
      <c r="N83" s="12" t="str">
        <f>+VLOOKUP(M83,Datos!$F:$G,2,FALSE)</f>
        <v>Gladys Susana Marin De Leon</v>
      </c>
      <c r="O83" s="13">
        <f>IFERROR(IF(A83="SI",VLOOKUP(R83,Datos!$J$1:$K$50,2,FALSE)*C83,VLOOKUP(R83,Datos!$P$1:$T$13,2,FALSE)*C83),0)</f>
        <v>2736</v>
      </c>
      <c r="P83" s="9">
        <v>311975</v>
      </c>
      <c r="Q83" s="12" t="str">
        <f>+VLOOKUP(P83,Datos!$F:$G,2,FALSE)</f>
        <v>Luis Eduardo Ramirez Arriaza</v>
      </c>
      <c r="R83" s="9" t="s">
        <v>48</v>
      </c>
      <c r="V83" s="10">
        <f t="shared" si="1"/>
        <v>1</v>
      </c>
      <c r="W83" s="10">
        <f>+VLOOKUP(M83,Datos!$F:$H,3,FALSE)</f>
        <v>0</v>
      </c>
      <c r="X83">
        <v>0</v>
      </c>
      <c r="Y83" s="14"/>
      <c r="Z83" t="e">
        <f>VLOOKUP(M83,'[1]INDIVIDUAL UN'!$C$6:$F$222,4,FALSE)</f>
        <v>#N/A</v>
      </c>
    </row>
    <row r="84" spans="1:26" hidden="1" x14ac:dyDescent="0.35">
      <c r="A84" s="9" t="s">
        <v>25</v>
      </c>
      <c r="C84" s="16">
        <v>1</v>
      </c>
      <c r="D84" s="10" t="s">
        <v>29</v>
      </c>
      <c r="E84" s="16" t="s">
        <v>55</v>
      </c>
      <c r="F84" s="16">
        <v>414</v>
      </c>
      <c r="G84" s="16" t="s">
        <v>115</v>
      </c>
      <c r="H84" s="24">
        <v>46272</v>
      </c>
      <c r="I84" s="24">
        <v>46272</v>
      </c>
      <c r="J84" s="12" t="str">
        <f>+VLOOKUP(K84,Datos!$A:$C,3,FALSE)</f>
        <v>SUROCCIDENTE</v>
      </c>
      <c r="K84" s="16">
        <v>178</v>
      </c>
      <c r="L84" s="12" t="str">
        <f>+VLOOKUP(K84,Datos!$A:$C,2,FALSE)</f>
        <v>LA TRINIDAD MALACATAN</v>
      </c>
      <c r="M84" s="16">
        <v>90049252</v>
      </c>
      <c r="N84" s="12" t="str">
        <f>+VLOOKUP(M84,Datos!$F:$G,2,FALSE)</f>
        <v>ANGELA YANETH CHILEL GONZALEZ</v>
      </c>
      <c r="O84" s="13">
        <f>IFERROR(IF(A84="SI",VLOOKUP(R84,Datos!$J$1:$K$50,2,FALSE)*C84,VLOOKUP(R84,Datos!$P$1:$T$13,2,FALSE)*C84),0)</f>
        <v>1092</v>
      </c>
      <c r="P84" s="9">
        <v>316487</v>
      </c>
      <c r="Q84" s="12" t="str">
        <f>+VLOOKUP(P84,Datos!$F:$G,2,FALSE)</f>
        <v>Wilmer Ovando Mejia Godínez</v>
      </c>
      <c r="R84" s="9" t="s">
        <v>57</v>
      </c>
      <c r="V84" s="10">
        <f t="shared" si="1"/>
        <v>2</v>
      </c>
      <c r="W84" s="10">
        <f>+VLOOKUP(M84,Datos!$F:$H,3,FALSE)</f>
        <v>0</v>
      </c>
      <c r="X84">
        <v>0</v>
      </c>
      <c r="Y84" s="14"/>
      <c r="Z84" t="e">
        <f>VLOOKUP(M84,'[1]INDIVIDUAL UN'!$C$6:$F$222,4,FALSE)</f>
        <v>#N/A</v>
      </c>
    </row>
    <row r="85" spans="1:26" hidden="1" x14ac:dyDescent="0.35">
      <c r="A85" s="9" t="s">
        <v>25</v>
      </c>
      <c r="C85" s="10">
        <v>1</v>
      </c>
      <c r="D85" s="10" t="s">
        <v>29</v>
      </c>
      <c r="E85" s="10" t="s">
        <v>37</v>
      </c>
      <c r="F85" s="10">
        <v>4340</v>
      </c>
      <c r="G85" s="10" t="s">
        <v>147</v>
      </c>
      <c r="H85" s="24">
        <v>46272</v>
      </c>
      <c r="I85" s="24">
        <v>46272</v>
      </c>
      <c r="J85" s="12" t="str">
        <f>+VLOOKUP(K85,Datos!$A:$C,3,FALSE)</f>
        <v>SUROCCIDENTE</v>
      </c>
      <c r="K85" s="10">
        <v>178</v>
      </c>
      <c r="L85" s="12" t="str">
        <f>+VLOOKUP(K85,Datos!$A:$C,2,FALSE)</f>
        <v>LA TRINIDAD MALACATAN</v>
      </c>
      <c r="M85" s="10">
        <v>90087115</v>
      </c>
      <c r="N85" s="12" t="str">
        <f>+VLOOKUP(M85,Datos!$F:$G,2,FALSE)</f>
        <v>ALMA DINORA MACARIO RIXTUN</v>
      </c>
      <c r="O85" s="13">
        <f>IFERROR(IF(A85="SI",VLOOKUP(R85,Datos!$J$1:$K$50,2,FALSE)*C85,VLOOKUP(R85,Datos!$P$1:$T$13,2,FALSE)*C85),0)</f>
        <v>816</v>
      </c>
      <c r="P85" s="10">
        <v>306697</v>
      </c>
      <c r="Q85" s="12" t="str">
        <f>+VLOOKUP(P85,Datos!$F:$G,2,FALSE)</f>
        <v>Maria Luisa Ramos Lopez</v>
      </c>
      <c r="R85" s="9" t="s">
        <v>26</v>
      </c>
      <c r="V85" s="10">
        <f t="shared" si="1"/>
        <v>1</v>
      </c>
      <c r="W85" s="10">
        <f>+VLOOKUP(M85,Datos!$F:$H,3,FALSE)</f>
        <v>0</v>
      </c>
      <c r="X85">
        <v>0</v>
      </c>
      <c r="Y85" s="14" t="s">
        <v>95</v>
      </c>
      <c r="Z85" t="e">
        <f>VLOOKUP(M85,'[1]INDIVIDUAL UN'!$C$6:$F$222,4,FALSE)</f>
        <v>#N/A</v>
      </c>
    </row>
    <row r="86" spans="1:26" hidden="1" x14ac:dyDescent="0.35">
      <c r="A86" s="9" t="s">
        <v>25</v>
      </c>
      <c r="C86" s="25">
        <v>3</v>
      </c>
      <c r="D86" s="10" t="s">
        <v>29</v>
      </c>
      <c r="E86" s="10" t="s">
        <v>148</v>
      </c>
      <c r="F86" s="10">
        <v>63</v>
      </c>
      <c r="G86" s="10" t="s">
        <v>149</v>
      </c>
      <c r="H86" s="11">
        <v>46272</v>
      </c>
      <c r="I86" s="11">
        <v>46272</v>
      </c>
      <c r="J86" s="12" t="str">
        <f>+VLOOKUP(K86,Datos!$A:$C,3,FALSE)</f>
        <v>SUROCCIDENTE</v>
      </c>
      <c r="K86" s="10">
        <v>31</v>
      </c>
      <c r="L86" s="12" t="str">
        <f>+VLOOKUP(K86,Datos!$A:$C,2,FALSE)</f>
        <v>COATEPEQUE</v>
      </c>
      <c r="M86" s="10">
        <v>315679</v>
      </c>
      <c r="N86" s="12" t="str">
        <f>+VLOOKUP(M86,Datos!$F:$G,2,FALSE)</f>
        <v>ANGELA XIOMARA PONCIANO GONZALEZ</v>
      </c>
      <c r="O86" s="13">
        <f>IFERROR(IF(A86="SI",VLOOKUP(R86,Datos!$J$1:$K$50,2,FALSE)*C86,VLOOKUP(R86,Datos!$P$1:$T$13,2,FALSE)*C86),0)</f>
        <v>3024</v>
      </c>
      <c r="P86" s="10">
        <v>311258</v>
      </c>
      <c r="Q86" s="12" t="str">
        <f>+VLOOKUP(P86,Datos!$F:$G,2,FALSE)</f>
        <v>Victor Otoniel Sebastian Cardona</v>
      </c>
      <c r="R86" s="9" t="s">
        <v>101</v>
      </c>
      <c r="V86" s="10">
        <f t="shared" si="1"/>
        <v>1</v>
      </c>
      <c r="W86" s="10">
        <f>+VLOOKUP(M86,Datos!$F:$H,3,FALSE)</f>
        <v>0</v>
      </c>
      <c r="X86">
        <v>0</v>
      </c>
      <c r="Y86" s="14"/>
      <c r="Z86" t="e">
        <f>VLOOKUP(M86,'[1]INDIVIDUAL UN'!$C$6:$F$222,4,FALSE)</f>
        <v>#N/A</v>
      </c>
    </row>
    <row r="87" spans="1:26" hidden="1" x14ac:dyDescent="0.35">
      <c r="A87" s="9" t="s">
        <v>25</v>
      </c>
      <c r="C87" s="10">
        <v>1</v>
      </c>
      <c r="D87" s="10" t="s">
        <v>29</v>
      </c>
      <c r="E87" s="10" t="s">
        <v>37</v>
      </c>
      <c r="F87" s="10">
        <v>4341</v>
      </c>
      <c r="G87" s="10" t="s">
        <v>150</v>
      </c>
      <c r="H87" s="11">
        <v>46272</v>
      </c>
      <c r="I87" s="11">
        <v>46272</v>
      </c>
      <c r="J87" s="12" t="str">
        <f>+VLOOKUP(K87,Datos!$A:$C,3,FALSE)</f>
        <v>SUROCCIDENTE</v>
      </c>
      <c r="K87" s="10">
        <v>31</v>
      </c>
      <c r="L87" s="12" t="str">
        <f>+VLOOKUP(K87,Datos!$A:$C,2,FALSE)</f>
        <v>COATEPEQUE</v>
      </c>
      <c r="M87" s="10">
        <v>90047699</v>
      </c>
      <c r="N87" s="12" t="str">
        <f>+VLOOKUP(M87,Datos!$F:$G,2,FALSE)</f>
        <v>ANDERSON JOSUE OXLAJ BAMACA</v>
      </c>
      <c r="O87" s="13">
        <f>IFERROR(IF(A87="SI",VLOOKUP(R87,Datos!$J$1:$K$50,2,FALSE)*C87,VLOOKUP(R87,Datos!$P$1:$T$13,2,FALSE)*C87),0)</f>
        <v>816</v>
      </c>
      <c r="P87" s="10">
        <v>311258</v>
      </c>
      <c r="Q87" s="12" t="str">
        <f>+VLOOKUP(P87,Datos!$F:$G,2,FALSE)</f>
        <v>Victor Otoniel Sebastian Cardona</v>
      </c>
      <c r="R87" s="9" t="s">
        <v>26</v>
      </c>
      <c r="V87" s="10">
        <f t="shared" si="1"/>
        <v>1</v>
      </c>
      <c r="W87" s="10">
        <f>+VLOOKUP(M87,Datos!$F:$H,3,FALSE)</f>
        <v>0</v>
      </c>
      <c r="X87">
        <v>0</v>
      </c>
      <c r="Y87" s="14"/>
      <c r="Z87" t="e">
        <f>VLOOKUP(M87,'[1]INDIVIDUAL UN'!$C$6:$F$222,4,FALSE)</f>
        <v>#N/A</v>
      </c>
    </row>
    <row r="88" spans="1:26" hidden="1" x14ac:dyDescent="0.35">
      <c r="A88" s="9" t="s">
        <v>25</v>
      </c>
      <c r="C88" s="10">
        <v>2</v>
      </c>
      <c r="D88" s="10" t="s">
        <v>29</v>
      </c>
      <c r="E88" s="10" t="s">
        <v>110</v>
      </c>
      <c r="F88" s="10">
        <v>164</v>
      </c>
      <c r="G88" s="10" t="s">
        <v>151</v>
      </c>
      <c r="H88" s="11">
        <v>46272</v>
      </c>
      <c r="I88" s="11">
        <v>46272</v>
      </c>
      <c r="J88" s="12" t="str">
        <f>+VLOOKUP(K88,Datos!$A:$C,3,FALSE)</f>
        <v>SUROCCIDENTE</v>
      </c>
      <c r="K88" s="10">
        <v>31</v>
      </c>
      <c r="L88" s="12" t="str">
        <f>+VLOOKUP(K88,Datos!$A:$C,2,FALSE)</f>
        <v>COATEPEQUE</v>
      </c>
      <c r="M88" s="10">
        <v>310671</v>
      </c>
      <c r="N88" s="12" t="str">
        <f>+VLOOKUP(M88,Datos!$F:$G,2,FALSE)</f>
        <v>Sucely Paola Godinez Gomez De Perez</v>
      </c>
      <c r="O88" s="13">
        <f>IFERROR(IF(A88="SI",VLOOKUP(R88,Datos!$J$1:$K$50,2,FALSE)*C88,VLOOKUP(R88,Datos!$P$1:$T$13,2,FALSE)*C88),0)</f>
        <v>2016</v>
      </c>
      <c r="P88" s="9">
        <v>306654</v>
      </c>
      <c r="Q88" s="12" t="str">
        <f>+VLOOKUP(P88,Datos!$F:$G,2,FALSE)</f>
        <v>Gerson Arcadio Hernandez Barrios</v>
      </c>
      <c r="R88" s="9" t="s">
        <v>101</v>
      </c>
      <c r="V88" s="10">
        <f t="shared" si="1"/>
        <v>1</v>
      </c>
      <c r="W88" s="10">
        <f>+VLOOKUP(M88,Datos!$F:$H,3,FALSE)</f>
        <v>0</v>
      </c>
      <c r="X88">
        <v>0</v>
      </c>
      <c r="Y88" s="14"/>
      <c r="Z88" t="e">
        <f>VLOOKUP(M88,'[1]INDIVIDUAL UN'!$C$6:$F$222,4,FALSE)</f>
        <v>#N/A</v>
      </c>
    </row>
    <row r="89" spans="1:26" hidden="1" x14ac:dyDescent="0.35">
      <c r="A89" s="9" t="s">
        <v>25</v>
      </c>
      <c r="C89" s="10">
        <v>1</v>
      </c>
      <c r="D89" s="10" t="s">
        <v>29</v>
      </c>
      <c r="E89" s="10" t="s">
        <v>99</v>
      </c>
      <c r="F89" s="10">
        <v>2584</v>
      </c>
      <c r="G89" s="10" t="s">
        <v>152</v>
      </c>
      <c r="H89" s="11">
        <v>46273</v>
      </c>
      <c r="I89" s="11">
        <v>46273</v>
      </c>
      <c r="J89" s="12" t="str">
        <f>+VLOOKUP(K89,Datos!$A:$C,3,FALSE)</f>
        <v>OCCIDENTE</v>
      </c>
      <c r="K89" s="16">
        <v>56</v>
      </c>
      <c r="L89" s="12" t="str">
        <f>+VLOOKUP(K89,Datos!$A:$C,2,FALSE)</f>
        <v>LOS ALTOS</v>
      </c>
      <c r="M89" s="10">
        <v>90081234</v>
      </c>
      <c r="N89" s="12" t="str">
        <f>+VLOOKUP(M89,Datos!$F:$G,2,FALSE)</f>
        <v xml:space="preserve">FRANCISCA CARINA SANCHEZ MACHIC </v>
      </c>
      <c r="O89" s="13">
        <f>IFERROR(IF(A89="SI",VLOOKUP(R89,Datos!$J$1:$K$50,2,FALSE)*C89,VLOOKUP(R89,Datos!$P$1:$T$13,2,FALSE)*C89),0)</f>
        <v>1008</v>
      </c>
      <c r="P89" s="16">
        <v>90027915</v>
      </c>
      <c r="Q89" s="12" t="str">
        <f>+VLOOKUP(P89,Datos!$F:$G,2,FALSE)</f>
        <v>FRANDI MAZARIEGOS</v>
      </c>
      <c r="R89" s="9" t="s">
        <v>101</v>
      </c>
      <c r="V89" s="10">
        <f t="shared" si="1"/>
        <v>1</v>
      </c>
      <c r="W89" s="10">
        <f>+VLOOKUP(M89,Datos!$F:$H,3,FALSE)</f>
        <v>0</v>
      </c>
      <c r="X89">
        <v>0</v>
      </c>
      <c r="Y89" s="14"/>
      <c r="Z89" t="e">
        <f>VLOOKUP(M89,'[1]INDIVIDUAL UN'!$C$6:$F$222,4,FALSE)</f>
        <v>#N/A</v>
      </c>
    </row>
    <row r="90" spans="1:26" hidden="1" x14ac:dyDescent="0.35">
      <c r="A90" s="9" t="s">
        <v>25</v>
      </c>
      <c r="C90" s="16">
        <v>2</v>
      </c>
      <c r="D90" s="10" t="s">
        <v>29</v>
      </c>
      <c r="E90" s="16" t="s">
        <v>27</v>
      </c>
      <c r="F90" s="16">
        <v>1180</v>
      </c>
      <c r="G90" s="16" t="s">
        <v>153</v>
      </c>
      <c r="H90" s="24">
        <v>46273</v>
      </c>
      <c r="I90" s="24">
        <v>46273</v>
      </c>
      <c r="J90" s="12" t="str">
        <f>+VLOOKUP(K90,Datos!$A:$C,3,FALSE)</f>
        <v>SUROCCIDENTE</v>
      </c>
      <c r="K90" s="16">
        <v>178</v>
      </c>
      <c r="L90" s="12" t="str">
        <f>+VLOOKUP(K90,Datos!$A:$C,2,FALSE)</f>
        <v>LA TRINIDAD MALACATAN</v>
      </c>
      <c r="M90" s="16">
        <v>316215</v>
      </c>
      <c r="N90" s="12" t="str">
        <f>+VLOOKUP(M90,Datos!$F:$G,2,FALSE)</f>
        <v>ANAYELI MARIBEL JIMENEZ GOMEZ</v>
      </c>
      <c r="O90" s="13">
        <f>IFERROR(IF(A90="SI",VLOOKUP(R90,Datos!$J$1:$K$50,2,FALSE)*C90,VLOOKUP(R90,Datos!$P$1:$T$13,2,FALSE)*C90),0)</f>
        <v>1632</v>
      </c>
      <c r="P90" s="16">
        <v>316487</v>
      </c>
      <c r="Q90" s="12" t="str">
        <f>+VLOOKUP(P90,Datos!$F:$G,2,FALSE)</f>
        <v>Wilmer Ovando Mejia Godínez</v>
      </c>
      <c r="R90" s="9" t="s">
        <v>26</v>
      </c>
      <c r="V90" s="10">
        <f t="shared" si="1"/>
        <v>1</v>
      </c>
      <c r="W90" s="10">
        <f>+VLOOKUP(M90,Datos!$F:$H,3,FALSE)</f>
        <v>0</v>
      </c>
      <c r="X90">
        <v>0</v>
      </c>
      <c r="Y90" s="14"/>
      <c r="Z90" t="e">
        <f>VLOOKUP(M90,'[1]INDIVIDUAL UN'!$C$6:$F$222,4,FALSE)</f>
        <v>#N/A</v>
      </c>
    </row>
    <row r="91" spans="1:26" hidden="1" x14ac:dyDescent="0.35">
      <c r="A91" s="9" t="s">
        <v>25</v>
      </c>
      <c r="C91" s="10">
        <v>3</v>
      </c>
      <c r="D91" s="10" t="s">
        <v>29</v>
      </c>
      <c r="E91" s="10" t="s">
        <v>41</v>
      </c>
      <c r="F91" s="10">
        <v>614</v>
      </c>
      <c r="G91" s="10" t="s">
        <v>154</v>
      </c>
      <c r="H91" s="11">
        <v>46273</v>
      </c>
      <c r="I91" s="11">
        <v>46272</v>
      </c>
      <c r="J91" s="12" t="str">
        <f>+VLOOKUP(K91,Datos!$A:$C,3,FALSE)</f>
        <v>SUROCCIDENTE</v>
      </c>
      <c r="K91" s="16">
        <v>297</v>
      </c>
      <c r="L91" s="12" t="str">
        <f>+VLOOKUP(K91,Datos!$A:$C,2,FALSE)</f>
        <v>LA TRINIDAD COATEPEQUE</v>
      </c>
      <c r="M91" s="10">
        <v>310220</v>
      </c>
      <c r="N91" s="12" t="str">
        <f>+VLOOKUP(M91,Datos!$F:$G,2,FALSE)</f>
        <v>Urias Samuel Velasquez Ardeano</v>
      </c>
      <c r="O91" s="13">
        <f>IFERROR(IF(A91="SI",VLOOKUP(R91,Datos!$J$1:$K$50,2,FALSE)*C91,VLOOKUP(R91,Datos!$P$1:$T$13,2,FALSE)*C91),0)</f>
        <v>2448</v>
      </c>
      <c r="P91" s="16">
        <v>311975</v>
      </c>
      <c r="Q91" s="12" t="str">
        <f>+VLOOKUP(P91,Datos!$F:$G,2,FALSE)</f>
        <v>Luis Eduardo Ramirez Arriaza</v>
      </c>
      <c r="R91" s="9" t="s">
        <v>26</v>
      </c>
      <c r="V91" s="10">
        <f t="shared" si="1"/>
        <v>1</v>
      </c>
      <c r="W91" s="10">
        <f>+VLOOKUP(M91,Datos!$F:$H,3,FALSE)</f>
        <v>0</v>
      </c>
      <c r="X91">
        <v>0</v>
      </c>
      <c r="Y91" s="14"/>
      <c r="Z91" t="e">
        <f>VLOOKUP(M91,'[1]INDIVIDUAL UN'!$C$6:$F$222,4,FALSE)</f>
        <v>#N/A</v>
      </c>
    </row>
    <row r="92" spans="1:26" hidden="1" x14ac:dyDescent="0.35">
      <c r="A92" s="9" t="s">
        <v>25</v>
      </c>
      <c r="C92" s="10">
        <v>4</v>
      </c>
      <c r="D92" s="10" t="s">
        <v>29</v>
      </c>
      <c r="E92" s="10" t="s">
        <v>30</v>
      </c>
      <c r="F92" s="10">
        <v>690</v>
      </c>
      <c r="G92" s="10" t="s">
        <v>155</v>
      </c>
      <c r="H92" s="11">
        <v>46273</v>
      </c>
      <c r="I92" s="11">
        <v>46273</v>
      </c>
      <c r="J92" s="12" t="str">
        <f>+VLOOKUP(K92,Datos!$A:$C,3,FALSE)</f>
        <v>OCCIDENTE</v>
      </c>
      <c r="K92" s="10">
        <v>155</v>
      </c>
      <c r="L92" s="12" t="str">
        <f>+VLOOKUP(K92,Datos!$A:$C,2,FALSE)</f>
        <v>TECPAN</v>
      </c>
      <c r="M92" s="10">
        <v>314450</v>
      </c>
      <c r="N92" s="12" t="str">
        <f>+VLOOKUP(M92,Datos!$F:$G,2,FALSE)</f>
        <v>Rafael Anibal Sut Tucubal</v>
      </c>
      <c r="O92" s="13">
        <f>IFERROR(IF(A92="SI",VLOOKUP(R92,Datos!$J$1:$K$50,2,FALSE)*C92,VLOOKUP(R92,Datos!$P$1:$T$13,2,FALSE)*C92),0)</f>
        <v>10944</v>
      </c>
      <c r="P92" s="9">
        <v>305955</v>
      </c>
      <c r="Q92" s="12" t="str">
        <f>+VLOOKUP(P92,Datos!$F:$G,2,FALSE)</f>
        <v>Jorge Alfredo Gutierrez Rodriguez</v>
      </c>
      <c r="R92" s="9" t="s">
        <v>156</v>
      </c>
      <c r="V92" s="10">
        <f t="shared" si="1"/>
        <v>1</v>
      </c>
      <c r="W92" s="10">
        <f>+VLOOKUP(M92,Datos!$F:$H,3,FALSE)</f>
        <v>0</v>
      </c>
      <c r="X92">
        <v>0</v>
      </c>
      <c r="Y92" s="14"/>
      <c r="Z92" t="e">
        <f>VLOOKUP(M92,'[1]INDIVIDUAL UN'!$C$6:$F$222,4,FALSE)</f>
        <v>#N/A</v>
      </c>
    </row>
    <row r="93" spans="1:26" hidden="1" x14ac:dyDescent="0.35">
      <c r="A93" s="9" t="s">
        <v>25</v>
      </c>
      <c r="C93" s="25">
        <v>3</v>
      </c>
      <c r="D93" s="10" t="s">
        <v>29</v>
      </c>
      <c r="E93" s="10" t="s">
        <v>41</v>
      </c>
      <c r="F93" s="10">
        <v>619</v>
      </c>
      <c r="G93" s="10" t="s">
        <v>157</v>
      </c>
      <c r="H93" s="11">
        <v>46273</v>
      </c>
      <c r="I93" s="11">
        <v>46273</v>
      </c>
      <c r="J93" s="12" t="str">
        <f>+VLOOKUP(K93,Datos!$A:$C,3,FALSE)</f>
        <v>SUROCCIDENTE</v>
      </c>
      <c r="K93" s="9">
        <v>31</v>
      </c>
      <c r="L93" s="12" t="str">
        <f>+VLOOKUP(K93,Datos!$A:$C,2,FALSE)</f>
        <v>COATEPEQUE</v>
      </c>
      <c r="M93" s="10">
        <v>90047699</v>
      </c>
      <c r="N93" s="12" t="str">
        <f>+VLOOKUP(M93,Datos!$F:$G,2,FALSE)</f>
        <v>ANDERSON JOSUE OXLAJ BAMACA</v>
      </c>
      <c r="O93" s="13">
        <f>IFERROR(IF(A93="SI",VLOOKUP(R93,Datos!$J$1:$K$50,2,FALSE)*C93,VLOOKUP(R93,Datos!$P$1:$T$13,2,FALSE)*C93),0)</f>
        <v>2448</v>
      </c>
      <c r="P93" s="9">
        <v>311258</v>
      </c>
      <c r="Q93" s="12" t="str">
        <f>+VLOOKUP(P93,Datos!$F:$G,2,FALSE)</f>
        <v>Victor Otoniel Sebastian Cardona</v>
      </c>
      <c r="R93" s="9" t="s">
        <v>26</v>
      </c>
      <c r="V93" s="10">
        <f t="shared" si="1"/>
        <v>1</v>
      </c>
      <c r="W93" s="10">
        <f>+VLOOKUP(M93,Datos!$F:$H,3,FALSE)</f>
        <v>0</v>
      </c>
      <c r="X93">
        <v>0</v>
      </c>
      <c r="Y93" s="14"/>
      <c r="Z93" t="e">
        <f>VLOOKUP(M93,'[1]INDIVIDUAL UN'!$C$6:$F$222,4,FALSE)</f>
        <v>#N/A</v>
      </c>
    </row>
    <row r="94" spans="1:26" hidden="1" x14ac:dyDescent="0.35">
      <c r="A94" s="9" t="s">
        <v>25</v>
      </c>
      <c r="C94" s="10">
        <v>4</v>
      </c>
      <c r="D94" s="10" t="s">
        <v>29</v>
      </c>
      <c r="E94" s="10" t="s">
        <v>30</v>
      </c>
      <c r="F94" s="10">
        <v>688</v>
      </c>
      <c r="G94" s="10" t="s">
        <v>158</v>
      </c>
      <c r="H94" s="11">
        <v>46273</v>
      </c>
      <c r="I94" s="11">
        <v>46273</v>
      </c>
      <c r="J94" s="12" t="str">
        <f>+VLOOKUP(K94,Datos!$A:$C,3,FALSE)</f>
        <v>SUROCCIDENTE</v>
      </c>
      <c r="K94" s="10">
        <v>227</v>
      </c>
      <c r="L94" s="12" t="str">
        <f>+VLOOKUP(K94,Datos!$A:$C,2,FALSE)</f>
        <v>PAJAPITA</v>
      </c>
      <c r="M94" s="10">
        <v>90023752</v>
      </c>
      <c r="N94" s="12" t="str">
        <f>+VLOOKUP(M94,Datos!$F:$G,2,FALSE)</f>
        <v>EDY DIONISIO FUENTES MARTINEZ</v>
      </c>
      <c r="O94" s="13">
        <f>IFERROR(IF(A94="SI",VLOOKUP(R94,Datos!$J$1:$K$50,2,FALSE)*C94,VLOOKUP(R94,Datos!$P$1:$T$13,2,FALSE)*C94),0)</f>
        <v>3264</v>
      </c>
      <c r="P94" s="9">
        <v>314738</v>
      </c>
      <c r="Q94" s="12" t="str">
        <f>+VLOOKUP(P94,Datos!$F:$G,2,FALSE)</f>
        <v>Carlos David Castillo Gamboa</v>
      </c>
      <c r="R94" s="9" t="s">
        <v>26</v>
      </c>
      <c r="V94" s="10">
        <f t="shared" si="1"/>
        <v>1</v>
      </c>
      <c r="W94" s="10">
        <f>+VLOOKUP(M94,Datos!$F:$H,3,FALSE)</f>
        <v>0</v>
      </c>
      <c r="X94">
        <v>0</v>
      </c>
      <c r="Y94" s="14"/>
      <c r="Z94" t="e">
        <f>VLOOKUP(M94,'[1]INDIVIDUAL UN'!$C$6:$F$222,4,FALSE)</f>
        <v>#N/A</v>
      </c>
    </row>
    <row r="95" spans="1:26" hidden="1" x14ac:dyDescent="0.35">
      <c r="A95" s="9" t="s">
        <v>25</v>
      </c>
      <c r="C95" s="10">
        <v>2</v>
      </c>
      <c r="D95" s="10" t="s">
        <v>29</v>
      </c>
      <c r="E95" s="15" t="s">
        <v>27</v>
      </c>
      <c r="F95" s="15">
        <v>1170</v>
      </c>
      <c r="G95" s="15" t="s">
        <v>159</v>
      </c>
      <c r="H95" s="11">
        <v>46273</v>
      </c>
      <c r="I95" s="11">
        <v>46272</v>
      </c>
      <c r="J95" s="12" t="str">
        <f>+VLOOKUP(K95,Datos!$A:$C,3,FALSE)</f>
        <v>OCCIDENTE</v>
      </c>
      <c r="K95" s="10">
        <v>28</v>
      </c>
      <c r="L95" s="12" t="str">
        <f>+VLOOKUP(K95,Datos!$A:$C,2,FALSE)</f>
        <v>SUCURSAL QUETZALTENANGO</v>
      </c>
      <c r="M95" s="10">
        <v>90024418</v>
      </c>
      <c r="N95" s="12" t="str">
        <f>+VLOOKUP(M95,Datos!$F:$G,2,FALSE)</f>
        <v xml:space="preserve">EDNA GABRIELA RAMIREZ </v>
      </c>
      <c r="O95" s="13">
        <f>IFERROR(IF(A95="SI",VLOOKUP(R95,Datos!$J$1:$K$50,2,FALSE)*C95,VLOOKUP(R95,Datos!$P$1:$T$13,2,FALSE)*C95),0)</f>
        <v>1632</v>
      </c>
      <c r="P95" s="9">
        <v>313644</v>
      </c>
      <c r="Q95" s="12" t="str">
        <f>+VLOOKUP(P95,Datos!$F:$G,2,FALSE)</f>
        <v>Estefani Elizabeth Tzul Macario</v>
      </c>
      <c r="R95" s="9" t="s">
        <v>26</v>
      </c>
      <c r="V95" s="10">
        <f t="shared" si="1"/>
        <v>1</v>
      </c>
      <c r="W95" s="10">
        <f>+VLOOKUP(M95,Datos!$F:$H,3,FALSE)</f>
        <v>0</v>
      </c>
      <c r="X95">
        <v>0</v>
      </c>
      <c r="Y95" s="14"/>
      <c r="Z95" t="e">
        <f>VLOOKUP(M95,'[1]INDIVIDUAL UN'!$C$6:$F$222,4,FALSE)</f>
        <v>#N/A</v>
      </c>
    </row>
    <row r="96" spans="1:26" hidden="1" x14ac:dyDescent="0.35">
      <c r="A96" s="9" t="s">
        <v>25</v>
      </c>
      <c r="C96" s="10">
        <v>1</v>
      </c>
      <c r="D96" s="10" t="s">
        <v>29</v>
      </c>
      <c r="E96" s="10" t="s">
        <v>37</v>
      </c>
      <c r="F96" s="10">
        <v>4353</v>
      </c>
      <c r="G96" s="10" t="s">
        <v>160</v>
      </c>
      <c r="H96" s="11">
        <v>46273</v>
      </c>
      <c r="I96" s="11">
        <v>46273</v>
      </c>
      <c r="J96" s="12" t="str">
        <f>+VLOOKUP(K96,Datos!$A:$C,3,FALSE)</f>
        <v>OCCIDENTE</v>
      </c>
      <c r="K96" s="10">
        <v>246</v>
      </c>
      <c r="L96" s="12" t="str">
        <f>+VLOOKUP(K96,Datos!$A:$C,2,FALSE)</f>
        <v>SANTA CRUZ BARILLAS</v>
      </c>
      <c r="M96" s="10">
        <v>316120</v>
      </c>
      <c r="N96" s="12" t="str">
        <f>+VLOOKUP(M96,Datos!$F:$G,2,FALSE)</f>
        <v>JUANA CANDELARIA LORENZO MATEO</v>
      </c>
      <c r="O96" s="13">
        <f>IFERROR(IF(A96="SI",VLOOKUP(R96,Datos!$J$1:$K$50,2,FALSE)*C96,VLOOKUP(R96,Datos!$P$1:$T$13,2,FALSE)*C96),0)</f>
        <v>2736</v>
      </c>
      <c r="P96" s="9">
        <v>304166</v>
      </c>
      <c r="Q96" s="12" t="str">
        <f>+VLOOKUP(P96,Datos!$F:$G,2,FALSE)</f>
        <v>Maviela Bibianeth Castillo Avila</v>
      </c>
      <c r="R96" s="9" t="s">
        <v>156</v>
      </c>
      <c r="V96" s="10">
        <f t="shared" si="1"/>
        <v>1</v>
      </c>
      <c r="W96" s="10">
        <f>+VLOOKUP(M96,Datos!$F:$H,3,FALSE)</f>
        <v>0</v>
      </c>
      <c r="X96">
        <v>0</v>
      </c>
      <c r="Y96" s="14"/>
      <c r="Z96" t="e">
        <f>VLOOKUP(M96,'[1]INDIVIDUAL UN'!$C$6:$F$222,4,FALSE)</f>
        <v>#N/A</v>
      </c>
    </row>
    <row r="97" spans="1:26" hidden="1" x14ac:dyDescent="0.35">
      <c r="A97" s="9" t="s">
        <v>25</v>
      </c>
      <c r="C97" s="10">
        <v>1</v>
      </c>
      <c r="D97" s="10" t="s">
        <v>29</v>
      </c>
      <c r="E97" s="10" t="s">
        <v>43</v>
      </c>
      <c r="F97" s="10">
        <v>2901</v>
      </c>
      <c r="G97" s="10" t="s">
        <v>161</v>
      </c>
      <c r="H97" s="11">
        <v>46273</v>
      </c>
      <c r="I97" s="11">
        <v>46273</v>
      </c>
      <c r="J97" s="12" t="str">
        <f>+VLOOKUP(K97,Datos!$A:$C,3,FALSE)</f>
        <v>OCCIDENTE</v>
      </c>
      <c r="K97" s="10">
        <v>150</v>
      </c>
      <c r="L97" s="12" t="str">
        <f>+VLOOKUP(K97,Datos!$A:$C,2,FALSE)</f>
        <v>SANTA CRUZ DEL QUICHE</v>
      </c>
      <c r="M97" s="10">
        <v>90034373</v>
      </c>
      <c r="N97" s="12" t="str">
        <f>+VLOOKUP(M97,Datos!$F:$G,2,FALSE)</f>
        <v>SILVIA PATRICIA MENDOZA GOMEZ</v>
      </c>
      <c r="O97" s="13">
        <f>IFERROR(IF(A97="SI",VLOOKUP(R97,Datos!$J$1:$K$50,2,FALSE)*C97,VLOOKUP(R97,Datos!$P$1:$T$13,2,FALSE)*C97),0)</f>
        <v>1308</v>
      </c>
      <c r="P97" s="10">
        <v>310329</v>
      </c>
      <c r="Q97" s="12" t="str">
        <f>+VLOOKUP(P97,Datos!$F:$G,2,FALSE)</f>
        <v>Ana Leticia Lux Say</v>
      </c>
      <c r="R97" s="9" t="s">
        <v>45</v>
      </c>
      <c r="V97" s="10">
        <f t="shared" si="1"/>
        <v>1</v>
      </c>
      <c r="W97" s="10">
        <f>+VLOOKUP(M97,Datos!$F:$H,3,FALSE)</f>
        <v>0</v>
      </c>
      <c r="X97">
        <v>0</v>
      </c>
      <c r="Y97" s="14"/>
      <c r="Z97" t="e">
        <f>VLOOKUP(M97,'[1]INDIVIDUAL UN'!$C$6:$F$222,4,FALSE)</f>
        <v>#N/A</v>
      </c>
    </row>
    <row r="98" spans="1:26" hidden="1" x14ac:dyDescent="0.35">
      <c r="A98" s="9" t="s">
        <v>25</v>
      </c>
      <c r="C98" s="10">
        <v>1</v>
      </c>
      <c r="D98" s="10" t="s">
        <v>29</v>
      </c>
      <c r="E98" s="10" t="s">
        <v>55</v>
      </c>
      <c r="F98" s="10">
        <v>411</v>
      </c>
      <c r="G98" s="10" t="s">
        <v>162</v>
      </c>
      <c r="H98" s="11">
        <v>46273</v>
      </c>
      <c r="I98" s="11">
        <v>46273</v>
      </c>
      <c r="J98" s="12" t="str">
        <f>+VLOOKUP(K98,Datos!$A:$C,3,FALSE)</f>
        <v>OCCIDENTE</v>
      </c>
      <c r="K98" s="10">
        <v>150</v>
      </c>
      <c r="L98" s="12" t="str">
        <f>+VLOOKUP(K98,Datos!$A:$C,2,FALSE)</f>
        <v>SANTA CRUZ DEL QUICHE</v>
      </c>
      <c r="M98" s="10">
        <v>90034373</v>
      </c>
      <c r="N98" s="12" t="str">
        <f>+VLOOKUP(M98,Datos!$F:$G,2,FALSE)</f>
        <v>SILVIA PATRICIA MENDOZA GOMEZ</v>
      </c>
      <c r="O98" s="13">
        <f>IFERROR(IF(A98="SI",VLOOKUP(R98,Datos!$J$1:$K$50,2,FALSE)*C98,VLOOKUP(R98,Datos!$P$1:$T$13,2,FALSE)*C98),0)</f>
        <v>1092</v>
      </c>
      <c r="P98" s="10">
        <v>310329</v>
      </c>
      <c r="Q98" s="12" t="str">
        <f>+VLOOKUP(P98,Datos!$F:$G,2,FALSE)</f>
        <v>Ana Leticia Lux Say</v>
      </c>
      <c r="R98" s="9" t="s">
        <v>57</v>
      </c>
      <c r="V98" s="10">
        <f t="shared" si="1"/>
        <v>1</v>
      </c>
      <c r="W98" s="10">
        <f>+VLOOKUP(M98,Datos!$F:$H,3,FALSE)</f>
        <v>0</v>
      </c>
      <c r="X98">
        <v>0</v>
      </c>
      <c r="Y98" s="14"/>
      <c r="Z98" t="e">
        <f>VLOOKUP(M98,'[1]INDIVIDUAL UN'!$C$6:$F$222,4,FALSE)</f>
        <v>#N/A</v>
      </c>
    </row>
    <row r="99" spans="1:26" hidden="1" x14ac:dyDescent="0.35">
      <c r="A99" s="9" t="s">
        <v>25</v>
      </c>
      <c r="C99" s="10">
        <v>1</v>
      </c>
      <c r="D99" s="10" t="s">
        <v>29</v>
      </c>
      <c r="E99" s="10" t="s">
        <v>43</v>
      </c>
      <c r="F99" s="10">
        <v>2899</v>
      </c>
      <c r="G99" s="10" t="s">
        <v>163</v>
      </c>
      <c r="H99" s="11">
        <v>46273</v>
      </c>
      <c r="I99" s="11">
        <v>46273</v>
      </c>
      <c r="J99" s="12" t="str">
        <f>+VLOOKUP(K99,Datos!$A:$C,3,FALSE)</f>
        <v>OCCIDENTE</v>
      </c>
      <c r="K99" s="10">
        <v>150</v>
      </c>
      <c r="L99" s="12" t="str">
        <f>+VLOOKUP(K99,Datos!$A:$C,2,FALSE)</f>
        <v>SANTA CRUZ DEL QUICHE</v>
      </c>
      <c r="M99" s="10">
        <v>90034373</v>
      </c>
      <c r="N99" s="12" t="str">
        <f>+VLOOKUP(M99,Datos!$F:$G,2,FALSE)</f>
        <v>SILVIA PATRICIA MENDOZA GOMEZ</v>
      </c>
      <c r="O99" s="13">
        <f>IFERROR(IF(A99="SI",VLOOKUP(R99,Datos!$J$1:$K$50,2,FALSE)*C99,VLOOKUP(R99,Datos!$P$1:$T$13,2,FALSE)*C99),0)</f>
        <v>1308</v>
      </c>
      <c r="P99" s="10">
        <v>310329</v>
      </c>
      <c r="Q99" s="12" t="str">
        <f>+VLOOKUP(P99,Datos!$F:$G,2,FALSE)</f>
        <v>Ana Leticia Lux Say</v>
      </c>
      <c r="R99" s="9" t="s">
        <v>45</v>
      </c>
      <c r="V99" s="10">
        <f t="shared" si="1"/>
        <v>1</v>
      </c>
      <c r="W99" s="10">
        <f>+VLOOKUP(M99,Datos!$F:$H,3,FALSE)</f>
        <v>0</v>
      </c>
      <c r="X99">
        <v>0</v>
      </c>
      <c r="Y99" s="14"/>
      <c r="Z99" t="e">
        <f>VLOOKUP(M99,'[1]INDIVIDUAL UN'!$C$6:$F$222,4,FALSE)</f>
        <v>#N/A</v>
      </c>
    </row>
    <row r="100" spans="1:26" hidden="1" x14ac:dyDescent="0.35">
      <c r="A100" s="9" t="s">
        <v>25</v>
      </c>
      <c r="C100" s="10">
        <v>1</v>
      </c>
      <c r="D100" s="10" t="s">
        <v>29</v>
      </c>
      <c r="E100" s="10" t="s">
        <v>55</v>
      </c>
      <c r="F100" s="10">
        <v>409</v>
      </c>
      <c r="G100" s="10" t="s">
        <v>164</v>
      </c>
      <c r="H100" s="11">
        <v>46273</v>
      </c>
      <c r="I100" s="11">
        <v>46271</v>
      </c>
      <c r="J100" s="12" t="str">
        <f>+VLOOKUP(K100,Datos!$A:$C,3,FALSE)</f>
        <v>SUROCCIDENTE</v>
      </c>
      <c r="K100" s="10">
        <v>297</v>
      </c>
      <c r="L100" s="12" t="str">
        <f>+VLOOKUP(K100,Datos!$A:$C,2,FALSE)</f>
        <v>LA TRINIDAD COATEPEQUE</v>
      </c>
      <c r="M100" s="10">
        <v>90051368</v>
      </c>
      <c r="N100" s="12" t="str">
        <f>+VLOOKUP(M100,Datos!$F:$G,2,FALSE)</f>
        <v>EMERSON ENRIQUE VASQUEZ GARCIA</v>
      </c>
      <c r="O100" s="13">
        <f>IFERROR(IF(A100="SI",VLOOKUP(R100,Datos!$J$1:$K$50,2,FALSE)*C100,VLOOKUP(R100,Datos!$P$1:$T$13,2,FALSE)*C100),0)</f>
        <v>1092</v>
      </c>
      <c r="P100" s="9">
        <v>316152</v>
      </c>
      <c r="Q100" s="12" t="str">
        <f>+VLOOKUP(P100,Datos!$F:$G,2,FALSE)</f>
        <v>Yenica Limni López Sebastian</v>
      </c>
      <c r="R100" s="9" t="s">
        <v>57</v>
      </c>
      <c r="V100" s="10">
        <f t="shared" si="1"/>
        <v>1</v>
      </c>
      <c r="W100" s="10">
        <f>+VLOOKUP(M100,Datos!$F:$H,3,FALSE)</f>
        <v>0</v>
      </c>
      <c r="X100">
        <v>0</v>
      </c>
      <c r="Y100" s="14"/>
      <c r="Z100" t="e">
        <f>VLOOKUP(M100,'[1]INDIVIDUAL UN'!$C$6:$F$222,4,FALSE)</f>
        <v>#N/A</v>
      </c>
    </row>
    <row r="101" spans="1:26" hidden="1" x14ac:dyDescent="0.35">
      <c r="A101" s="9" t="s">
        <v>25</v>
      </c>
      <c r="C101" s="10">
        <v>2</v>
      </c>
      <c r="D101" s="10" t="s">
        <v>29</v>
      </c>
      <c r="E101" s="10" t="s">
        <v>27</v>
      </c>
      <c r="F101" s="10">
        <v>1156</v>
      </c>
      <c r="G101" s="10" t="s">
        <v>165</v>
      </c>
      <c r="H101" s="11">
        <v>46273</v>
      </c>
      <c r="I101" s="11">
        <v>46271</v>
      </c>
      <c r="J101" s="12" t="str">
        <f>+VLOOKUP(K101,Datos!$A:$C,3,FALSE)</f>
        <v>SUROCCIDENTE</v>
      </c>
      <c r="K101" s="10">
        <v>297</v>
      </c>
      <c r="L101" s="12" t="str">
        <f>+VLOOKUP(K101,Datos!$A:$C,2,FALSE)</f>
        <v>LA TRINIDAD COATEPEQUE</v>
      </c>
      <c r="M101" s="10">
        <v>90063371</v>
      </c>
      <c r="N101" s="12" t="str">
        <f>+VLOOKUP(M101,Datos!$F:$G,2,FALSE)</f>
        <v>JOSIAS ANTONIO CABRERA TIRADO</v>
      </c>
      <c r="O101" s="13">
        <f>IFERROR(IF(A101="SI",VLOOKUP(R101,Datos!$J$1:$K$50,2,FALSE)*C101,VLOOKUP(R101,Datos!$P$1:$T$13,2,FALSE)*C101),0)</f>
        <v>1632</v>
      </c>
      <c r="P101" s="9">
        <v>316152</v>
      </c>
      <c r="Q101" s="12" t="str">
        <f>+VLOOKUP(P101,Datos!$F:$G,2,FALSE)</f>
        <v>Yenica Limni López Sebastian</v>
      </c>
      <c r="R101" s="9" t="s">
        <v>26</v>
      </c>
      <c r="V101" s="10">
        <f t="shared" si="1"/>
        <v>1</v>
      </c>
      <c r="W101" s="10">
        <f>+VLOOKUP(M101,Datos!$F:$H,3,FALSE)</f>
        <v>0</v>
      </c>
      <c r="X101">
        <v>0</v>
      </c>
      <c r="Y101" s="14"/>
      <c r="Z101" t="e">
        <f>VLOOKUP(M101,'[1]INDIVIDUAL UN'!$C$6:$F$222,4,FALSE)</f>
        <v>#N/A</v>
      </c>
    </row>
    <row r="102" spans="1:26" hidden="1" x14ac:dyDescent="0.35">
      <c r="A102" s="9" t="s">
        <v>25</v>
      </c>
      <c r="C102" s="10">
        <v>2</v>
      </c>
      <c r="D102" s="10" t="s">
        <v>29</v>
      </c>
      <c r="E102" s="10" t="s">
        <v>27</v>
      </c>
      <c r="F102" s="10">
        <v>1158</v>
      </c>
      <c r="G102" s="10" t="s">
        <v>166</v>
      </c>
      <c r="H102" s="11">
        <v>46273</v>
      </c>
      <c r="I102" s="11">
        <v>46271</v>
      </c>
      <c r="J102" s="12" t="str">
        <f>+VLOOKUP(K102,Datos!$A:$C,3,FALSE)</f>
        <v>SUROCCIDENTE</v>
      </c>
      <c r="K102" s="10">
        <v>297</v>
      </c>
      <c r="L102" s="12" t="str">
        <f>+VLOOKUP(K102,Datos!$A:$C,2,FALSE)</f>
        <v>LA TRINIDAD COATEPEQUE</v>
      </c>
      <c r="M102" s="10">
        <v>90063371</v>
      </c>
      <c r="N102" s="12" t="str">
        <f>+VLOOKUP(M102,Datos!$F:$G,2,FALSE)</f>
        <v>JOSIAS ANTONIO CABRERA TIRADO</v>
      </c>
      <c r="O102" s="13">
        <f>IFERROR(IF(A102="SI",VLOOKUP(R102,Datos!$J$1:$K$50,2,FALSE)*C102,VLOOKUP(R102,Datos!$P$1:$T$13,2,FALSE)*C102),0)</f>
        <v>1632</v>
      </c>
      <c r="P102" s="9">
        <v>316152</v>
      </c>
      <c r="Q102" s="12" t="str">
        <f>+VLOOKUP(P102,Datos!$F:$G,2,FALSE)</f>
        <v>Yenica Limni López Sebastian</v>
      </c>
      <c r="R102" s="9" t="s">
        <v>26</v>
      </c>
      <c r="V102" s="10">
        <f t="shared" si="1"/>
        <v>1</v>
      </c>
      <c r="W102" s="10">
        <f>+VLOOKUP(M102,Datos!$F:$H,3,FALSE)</f>
        <v>0</v>
      </c>
      <c r="X102">
        <v>0</v>
      </c>
      <c r="Y102" s="14"/>
      <c r="Z102" t="e">
        <f>VLOOKUP(M102,'[1]INDIVIDUAL UN'!$C$6:$F$222,4,FALSE)</f>
        <v>#N/A</v>
      </c>
    </row>
    <row r="103" spans="1:26" hidden="1" x14ac:dyDescent="0.35">
      <c r="A103" s="9" t="s">
        <v>25</v>
      </c>
      <c r="C103" s="10">
        <v>2</v>
      </c>
      <c r="D103" s="10" t="s">
        <v>29</v>
      </c>
      <c r="E103" s="10" t="s">
        <v>27</v>
      </c>
      <c r="F103" s="10">
        <v>1167</v>
      </c>
      <c r="G103" s="10" t="s">
        <v>167</v>
      </c>
      <c r="H103" s="11">
        <v>46273</v>
      </c>
      <c r="I103" s="11">
        <v>46272</v>
      </c>
      <c r="J103" s="12" t="str">
        <f>+VLOOKUP(K103,Datos!$A:$C,3,FALSE)</f>
        <v>SUROCCIDENTE</v>
      </c>
      <c r="K103" s="10">
        <v>297</v>
      </c>
      <c r="L103" s="12" t="str">
        <f>+VLOOKUP(K103,Datos!$A:$C,2,FALSE)</f>
        <v>LA TRINIDAD COATEPEQUE</v>
      </c>
      <c r="M103" s="10">
        <v>90066032</v>
      </c>
      <c r="N103" s="12" t="str">
        <f>+VLOOKUP(M103,Datos!$F:$G,2,FALSE)</f>
        <v>GERBER ELIAS VASQUEZ MEZA</v>
      </c>
      <c r="O103" s="13">
        <f>IFERROR(IF(A103="SI",VLOOKUP(R103,Datos!$J$1:$K$50,2,FALSE)*C103,VLOOKUP(R103,Datos!$P$1:$T$13,2,FALSE)*C103),0)</f>
        <v>1632</v>
      </c>
      <c r="P103" s="10">
        <v>316152</v>
      </c>
      <c r="Q103" s="12" t="str">
        <f>+VLOOKUP(P103,Datos!$F:$G,2,FALSE)</f>
        <v>Yenica Limni López Sebastian</v>
      </c>
      <c r="R103" s="9" t="s">
        <v>26</v>
      </c>
      <c r="V103" s="10">
        <f t="shared" si="1"/>
        <v>1</v>
      </c>
      <c r="W103" s="10">
        <f>+VLOOKUP(M103,Datos!$F:$H,3,FALSE)</f>
        <v>0</v>
      </c>
      <c r="X103">
        <v>0</v>
      </c>
      <c r="Y103" s="14"/>
      <c r="Z103" t="e">
        <f>VLOOKUP(M103,'[1]INDIVIDUAL UN'!$C$6:$F$222,4,FALSE)</f>
        <v>#N/A</v>
      </c>
    </row>
    <row r="104" spans="1:26" hidden="1" x14ac:dyDescent="0.35">
      <c r="A104" s="9" t="s">
        <v>25</v>
      </c>
      <c r="C104" s="10">
        <v>1</v>
      </c>
      <c r="D104" s="10" t="s">
        <v>29</v>
      </c>
      <c r="E104" s="10" t="s">
        <v>37</v>
      </c>
      <c r="F104" s="10">
        <v>4344</v>
      </c>
      <c r="G104" s="10" t="s">
        <v>168</v>
      </c>
      <c r="H104" s="11">
        <v>46273</v>
      </c>
      <c r="I104" s="11">
        <v>46273</v>
      </c>
      <c r="J104" s="12" t="str">
        <f>+VLOOKUP(K104,Datos!$A:$C,3,FALSE)</f>
        <v>SUROCCIDENTE</v>
      </c>
      <c r="K104" s="10">
        <v>31</v>
      </c>
      <c r="L104" s="12" t="str">
        <f>+VLOOKUP(K104,Datos!$A:$C,2,FALSE)</f>
        <v>COATEPEQUE</v>
      </c>
      <c r="M104" s="19">
        <v>90047699</v>
      </c>
      <c r="N104" s="12" t="str">
        <f>+VLOOKUP(M104,Datos!$F:$G,2,FALSE)</f>
        <v>ANDERSON JOSUE OXLAJ BAMACA</v>
      </c>
      <c r="O104" s="13">
        <f>IFERROR(IF(A104="SI",VLOOKUP(R104,Datos!$J$1:$K$50,2,FALSE)*C104,VLOOKUP(R104,Datos!$P$1:$T$13,2,FALSE)*C104),0)</f>
        <v>816</v>
      </c>
      <c r="P104" s="10">
        <v>311258</v>
      </c>
      <c r="Q104" s="12" t="str">
        <f>+VLOOKUP(P104,Datos!$F:$G,2,FALSE)</f>
        <v>Victor Otoniel Sebastian Cardona</v>
      </c>
      <c r="R104" s="9" t="s">
        <v>26</v>
      </c>
      <c r="V104" s="10">
        <f t="shared" si="1"/>
        <v>1</v>
      </c>
      <c r="W104" s="10">
        <f>+VLOOKUP(M104,Datos!$F:$H,3,FALSE)</f>
        <v>0</v>
      </c>
      <c r="X104">
        <v>0</v>
      </c>
      <c r="Y104" s="14"/>
      <c r="Z104" t="e">
        <f>VLOOKUP(M104,'[1]INDIVIDUAL UN'!$C$6:$F$222,4,FALSE)</f>
        <v>#N/A</v>
      </c>
    </row>
    <row r="105" spans="1:26" hidden="1" x14ac:dyDescent="0.35">
      <c r="A105" s="9" t="s">
        <v>25</v>
      </c>
      <c r="C105" s="10">
        <v>2</v>
      </c>
      <c r="D105" s="10" t="s">
        <v>29</v>
      </c>
      <c r="E105" s="10" t="s">
        <v>27</v>
      </c>
      <c r="F105" s="10">
        <v>1096</v>
      </c>
      <c r="G105" s="10" t="s">
        <v>169</v>
      </c>
      <c r="H105" s="11">
        <v>46274</v>
      </c>
      <c r="I105" s="11">
        <v>46266</v>
      </c>
      <c r="J105" s="12" t="str">
        <f>+VLOOKUP(K105,Datos!$A:$C,3,FALSE)</f>
        <v>SUROCCIDENTE</v>
      </c>
      <c r="K105" s="10">
        <v>143</v>
      </c>
      <c r="L105" s="12" t="str">
        <f>+VLOOKUP(K105,Datos!$A:$C,2,FALSE)</f>
        <v>RETALHULEU LA SIRENA</v>
      </c>
      <c r="M105" s="10">
        <v>312294</v>
      </c>
      <c r="N105" s="12" t="str">
        <f>+VLOOKUP(M105,Datos!$F:$G,2,FALSE)</f>
        <v>Selvin Geronimo Aguilar</v>
      </c>
      <c r="O105" s="13">
        <f>IFERROR(IF(A105="SI",VLOOKUP(R105,Datos!$J$1:$K$50,2,FALSE)*C105,VLOOKUP(R105,Datos!$P$1:$T$13,2,FALSE)*C105),0)</f>
        <v>1632</v>
      </c>
      <c r="P105" s="9">
        <v>313194</v>
      </c>
      <c r="Q105" s="12" t="str">
        <f>+VLOOKUP(P105,Datos!$F:$G,2,FALSE)</f>
        <v>Mary Isabel Xiloj Tajiboy</v>
      </c>
      <c r="R105" s="9" t="s">
        <v>26</v>
      </c>
      <c r="V105" s="10">
        <f t="shared" si="1"/>
        <v>1</v>
      </c>
      <c r="W105" s="10">
        <f>+VLOOKUP(M105,Datos!$F:$H,3,FALSE)</f>
        <v>0</v>
      </c>
      <c r="X105">
        <v>0</v>
      </c>
      <c r="Y105" s="14"/>
      <c r="Z105" t="e">
        <f>VLOOKUP(M105,'[1]INDIVIDUAL UN'!$C$6:$F$222,4,FALSE)</f>
        <v>#N/A</v>
      </c>
    </row>
    <row r="106" spans="1:26" hidden="1" x14ac:dyDescent="0.35">
      <c r="A106" s="9" t="s">
        <v>25</v>
      </c>
      <c r="C106" s="17">
        <v>4</v>
      </c>
      <c r="D106" s="10" t="s">
        <v>29</v>
      </c>
      <c r="E106" s="17" t="s">
        <v>30</v>
      </c>
      <c r="F106" s="17">
        <v>651</v>
      </c>
      <c r="G106" s="17" t="s">
        <v>170</v>
      </c>
      <c r="H106" s="22">
        <v>46274</v>
      </c>
      <c r="I106" s="27">
        <v>46269</v>
      </c>
      <c r="J106" s="12" t="str">
        <f>+VLOOKUP(K106,Datos!$A:$C,3,FALSE)</f>
        <v>SUROCCIDENTE</v>
      </c>
      <c r="K106" s="9">
        <v>31</v>
      </c>
      <c r="L106" s="12" t="str">
        <f>+VLOOKUP(K106,Datos!$A:$C,2,FALSE)</f>
        <v>COATEPEQUE</v>
      </c>
      <c r="M106" s="17">
        <v>309812</v>
      </c>
      <c r="N106" s="12" t="str">
        <f>+VLOOKUP(M106,Datos!$F:$G,2,FALSE)</f>
        <v>Elena Yazmin Valdez Gallegos</v>
      </c>
      <c r="O106" s="13">
        <f>IFERROR(IF(A106="SI",VLOOKUP(R106,Datos!$J$1:$K$50,2,FALSE)*C106,VLOOKUP(R106,Datos!$P$1:$T$13,2,FALSE)*C106),0)</f>
        <v>10944</v>
      </c>
      <c r="P106" s="28">
        <v>306654</v>
      </c>
      <c r="Q106" s="12" t="str">
        <f>+VLOOKUP(P106,Datos!$F:$G,2,FALSE)</f>
        <v>Gerson Arcadio Hernandez Barrios</v>
      </c>
      <c r="R106" s="9" t="s">
        <v>156</v>
      </c>
      <c r="V106" s="10">
        <f t="shared" si="1"/>
        <v>1</v>
      </c>
      <c r="W106" s="10">
        <f>+VLOOKUP(M106,Datos!$F:$H,3,FALSE)</f>
        <v>0</v>
      </c>
      <c r="X106">
        <v>0</v>
      </c>
      <c r="Y106" s="14"/>
      <c r="Z106" t="e">
        <f>VLOOKUP(M106,'[1]INDIVIDUAL UN'!$C$6:$F$222,4,FALSE)</f>
        <v>#N/A</v>
      </c>
    </row>
    <row r="107" spans="1:26" hidden="1" x14ac:dyDescent="0.35">
      <c r="A107" s="9" t="s">
        <v>25</v>
      </c>
      <c r="C107" s="10">
        <v>1</v>
      </c>
      <c r="D107" s="10" t="s">
        <v>29</v>
      </c>
      <c r="E107" s="15" t="s">
        <v>59</v>
      </c>
      <c r="F107" s="15">
        <v>4364</v>
      </c>
      <c r="G107" s="15" t="s">
        <v>171</v>
      </c>
      <c r="H107" s="11">
        <v>46274</v>
      </c>
      <c r="I107" s="11">
        <v>46274</v>
      </c>
      <c r="J107" s="12" t="str">
        <f>+VLOOKUP(K107,Datos!$A:$C,3,FALSE)</f>
        <v>OCCIDENTE</v>
      </c>
      <c r="K107" s="10">
        <v>28</v>
      </c>
      <c r="L107" s="12" t="str">
        <f>+VLOOKUP(K107,Datos!$A:$C,2,FALSE)</f>
        <v>SUCURSAL QUETZALTENANGO</v>
      </c>
      <c r="M107" s="10">
        <v>304024</v>
      </c>
      <c r="N107" s="12" t="str">
        <f>+VLOOKUP(M107,Datos!$F:$G,2,FALSE)</f>
        <v>Vicky Roxana Lopez Hernandez</v>
      </c>
      <c r="O107" s="13">
        <f>IFERROR(IF(A107="SI",VLOOKUP(R107,Datos!$J$1:$K$50,2,FALSE)*C107,VLOOKUP(R107,Datos!$P$1:$T$13,2,FALSE)*C107),0)</f>
        <v>816</v>
      </c>
      <c r="P107" s="29">
        <v>313644</v>
      </c>
      <c r="Q107" s="12" t="str">
        <f>+VLOOKUP(P107,Datos!$F:$G,2,FALSE)</f>
        <v>Estefani Elizabeth Tzul Macario</v>
      </c>
      <c r="R107" s="9" t="s">
        <v>26</v>
      </c>
      <c r="V107" s="10">
        <f t="shared" si="1"/>
        <v>1</v>
      </c>
      <c r="W107" s="10">
        <f>+VLOOKUP(M107,Datos!$F:$H,3,FALSE)</f>
        <v>0</v>
      </c>
      <c r="X107">
        <v>0</v>
      </c>
      <c r="Y107" s="14"/>
      <c r="Z107" t="e">
        <f>VLOOKUP(M107,'[1]INDIVIDUAL UN'!$C$6:$F$222,4,FALSE)</f>
        <v>#N/A</v>
      </c>
    </row>
    <row r="108" spans="1:26" hidden="1" x14ac:dyDescent="0.35">
      <c r="A108" s="9" t="s">
        <v>25</v>
      </c>
      <c r="C108" s="10">
        <v>1</v>
      </c>
      <c r="D108" s="10" t="s">
        <v>29</v>
      </c>
      <c r="E108" s="10" t="s">
        <v>37</v>
      </c>
      <c r="F108" s="10">
        <v>4369</v>
      </c>
      <c r="G108" s="10" t="s">
        <v>172</v>
      </c>
      <c r="H108" s="11">
        <v>46274</v>
      </c>
      <c r="I108" s="11">
        <v>46274</v>
      </c>
      <c r="J108" s="12" t="str">
        <f>+VLOOKUP(K108,Datos!$A:$C,3,FALSE)</f>
        <v>OCCIDENTE</v>
      </c>
      <c r="K108" s="10">
        <v>56</v>
      </c>
      <c r="L108" s="12" t="str">
        <f>+VLOOKUP(K108,Datos!$A:$C,2,FALSE)</f>
        <v>LOS ALTOS</v>
      </c>
      <c r="M108" s="10">
        <v>315133</v>
      </c>
      <c r="N108" s="12" t="str">
        <f>+VLOOKUP(M108,Datos!$F:$G,2,FALSE)</f>
        <v>Bryan Daniel Milián De Leon</v>
      </c>
      <c r="O108" s="13">
        <f>IFERROR(IF(A108="SI",VLOOKUP(R108,Datos!$J$1:$K$50,2,FALSE)*C108,VLOOKUP(R108,Datos!$P$1:$T$13,2,FALSE)*C108),0)</f>
        <v>1368</v>
      </c>
      <c r="P108" s="9">
        <v>308266</v>
      </c>
      <c r="Q108" s="12" t="str">
        <f>+VLOOKUP(P108,Datos!$F:$G,2,FALSE)</f>
        <v>Julio Cesar De Leon Huinac</v>
      </c>
      <c r="R108" s="9" t="s">
        <v>48</v>
      </c>
      <c r="V108" s="10">
        <f t="shared" si="1"/>
        <v>1</v>
      </c>
      <c r="W108" s="10">
        <f>+VLOOKUP(M108,Datos!$F:$H,3,FALSE)</f>
        <v>0</v>
      </c>
      <c r="X108">
        <v>0</v>
      </c>
      <c r="Y108" s="14"/>
      <c r="Z108" t="e">
        <f>VLOOKUP(M108,'[1]INDIVIDUAL UN'!$C$6:$F$222,4,FALSE)</f>
        <v>#N/A</v>
      </c>
    </row>
    <row r="109" spans="1:26" hidden="1" x14ac:dyDescent="0.35">
      <c r="A109" s="9" t="s">
        <v>25</v>
      </c>
      <c r="C109" s="10">
        <v>4</v>
      </c>
      <c r="D109" s="10" t="s">
        <v>29</v>
      </c>
      <c r="E109" s="30" t="s">
        <v>173</v>
      </c>
      <c r="F109" s="30">
        <v>839</v>
      </c>
      <c r="G109" s="31" t="s">
        <v>174</v>
      </c>
      <c r="H109" s="11">
        <v>46274</v>
      </c>
      <c r="I109" s="32">
        <v>46271</v>
      </c>
      <c r="J109" s="12" t="str">
        <f>+VLOOKUP(K109,Datos!$A:$C,3,FALSE)</f>
        <v>SUROCCIDENTE</v>
      </c>
      <c r="K109" s="10">
        <v>297</v>
      </c>
      <c r="L109" s="12" t="str">
        <f>+VLOOKUP(K109,Datos!$A:$C,2,FALSE)</f>
        <v>LA TRINIDAD COATEPEQUE</v>
      </c>
      <c r="M109" s="33">
        <v>90066167</v>
      </c>
      <c r="N109" s="12" t="str">
        <f>+VLOOKUP(M109,Datos!$F:$G,2,FALSE)</f>
        <v>JHONATAN ISAMEL MERIDA CAXAJ</v>
      </c>
      <c r="O109" s="13">
        <f>IFERROR(IF(A109="SI",VLOOKUP(R109,Datos!$J$1:$K$50,2,FALSE)*C109,VLOOKUP(R109,Datos!$P$1:$T$13,2,FALSE)*C109),0)</f>
        <v>3264</v>
      </c>
      <c r="P109" s="30">
        <v>315175</v>
      </c>
      <c r="Q109" s="12" t="str">
        <f>+VLOOKUP(P109,Datos!$F:$G,2,FALSE)</f>
        <v>Heber Nehemias Velasquez Lorenzo</v>
      </c>
      <c r="R109" s="9" t="s">
        <v>26</v>
      </c>
      <c r="V109" s="10">
        <f t="shared" si="1"/>
        <v>1</v>
      </c>
      <c r="W109" s="10">
        <f>+VLOOKUP(M109,Datos!$F:$H,3,FALSE)</f>
        <v>0</v>
      </c>
      <c r="X109">
        <v>0</v>
      </c>
      <c r="Y109" s="14"/>
      <c r="Z109" t="e">
        <f>VLOOKUP(M109,'[1]INDIVIDUAL UN'!$C$6:$F$222,4,FALSE)</f>
        <v>#N/A</v>
      </c>
    </row>
    <row r="110" spans="1:26" hidden="1" x14ac:dyDescent="0.35">
      <c r="A110" s="9" t="s">
        <v>25</v>
      </c>
      <c r="C110" s="10">
        <v>2</v>
      </c>
      <c r="D110" s="10" t="s">
        <v>175</v>
      </c>
      <c r="E110" s="10" t="s">
        <v>27</v>
      </c>
      <c r="F110" s="10">
        <v>1185</v>
      </c>
      <c r="G110" s="10" t="s">
        <v>176</v>
      </c>
      <c r="H110" s="11">
        <v>46274</v>
      </c>
      <c r="I110" s="11">
        <v>46274</v>
      </c>
      <c r="J110" s="12" t="str">
        <f>+VLOOKUP(K110,Datos!$A:$C,3,FALSE)</f>
        <v>OCCIDENTE</v>
      </c>
      <c r="K110" s="10">
        <v>243</v>
      </c>
      <c r="L110" s="12" t="str">
        <f>+VLOOKUP(K110,Datos!$A:$C,2,FALSE)</f>
        <v>PRADERA XELA</v>
      </c>
      <c r="M110" s="10">
        <v>90081008</v>
      </c>
      <c r="N110" s="12" t="str">
        <f>+VLOOKUP(M110,Datos!$F:$G,2,FALSE)</f>
        <v>Randy Antonio Lopez Huinac</v>
      </c>
      <c r="O110" s="13">
        <f>IFERROR(IF(A110="SI",VLOOKUP(R110,Datos!$J$1:$K$50,2,FALSE)*C110,VLOOKUP(R110,Datos!$P$1:$T$13,2,FALSE)*C110),0)</f>
        <v>1632</v>
      </c>
      <c r="P110" s="9">
        <v>305174</v>
      </c>
      <c r="Q110" s="12" t="e">
        <f>+VLOOKUP(P110,Datos!$F:$G,2,FALSE)</f>
        <v>#N/A</v>
      </c>
      <c r="R110" s="9" t="s">
        <v>26</v>
      </c>
      <c r="V110" s="10">
        <f t="shared" si="1"/>
        <v>1</v>
      </c>
      <c r="W110" s="10">
        <f>+VLOOKUP(M110,Datos!$F:$H,3,FALSE)</f>
        <v>0</v>
      </c>
      <c r="X110">
        <v>0</v>
      </c>
      <c r="Y110" s="14"/>
      <c r="Z110" t="e">
        <f>VLOOKUP(M110,'[1]INDIVIDUAL UN'!$C$6:$F$222,4,FALSE)</f>
        <v>#N/A</v>
      </c>
    </row>
    <row r="111" spans="1:26" hidden="1" x14ac:dyDescent="0.35">
      <c r="A111" s="9" t="s">
        <v>25</v>
      </c>
      <c r="C111" s="10">
        <v>4</v>
      </c>
      <c r="D111" s="10" t="s">
        <v>29</v>
      </c>
      <c r="E111" s="10" t="s">
        <v>30</v>
      </c>
      <c r="F111" s="10">
        <v>701</v>
      </c>
      <c r="G111" s="10" t="s">
        <v>177</v>
      </c>
      <c r="H111" s="11">
        <v>46274</v>
      </c>
      <c r="I111" s="11">
        <v>46274</v>
      </c>
      <c r="J111" s="12" t="str">
        <f>+VLOOKUP(K111,Datos!$A:$C,3,FALSE)</f>
        <v>SUROCCIDENTE</v>
      </c>
      <c r="K111" s="10">
        <v>143</v>
      </c>
      <c r="L111" s="12" t="str">
        <f>+VLOOKUP(K111,Datos!$A:$C,2,FALSE)</f>
        <v>RETALHULEU LA SIRENA</v>
      </c>
      <c r="M111" s="10">
        <v>313636</v>
      </c>
      <c r="N111" s="12" t="str">
        <f>+VLOOKUP(M111,Datos!$F:$G,2,FALSE)</f>
        <v>Pablo Cesar Oliva Lopez</v>
      </c>
      <c r="O111" s="13">
        <f>IFERROR(IF(A111="SI",VLOOKUP(R111,Datos!$J$1:$K$50,2,FALSE)*C111,VLOOKUP(R111,Datos!$P$1:$T$13,2,FALSE)*C111),0)</f>
        <v>3264</v>
      </c>
      <c r="P111" s="9" t="s">
        <v>178</v>
      </c>
      <c r="Q111" s="12" t="e">
        <f>+VLOOKUP(P111,Datos!$F:$G,2,FALSE)</f>
        <v>#N/A</v>
      </c>
      <c r="R111" s="9" t="s">
        <v>26</v>
      </c>
      <c r="V111" s="10">
        <f t="shared" si="1"/>
        <v>1</v>
      </c>
      <c r="W111" s="10">
        <f>+VLOOKUP(M111,Datos!$F:$H,3,FALSE)</f>
        <v>0</v>
      </c>
      <c r="X111">
        <v>0</v>
      </c>
      <c r="Y111" s="14"/>
      <c r="Z111" t="e">
        <f>VLOOKUP(M111,'[1]INDIVIDUAL UN'!$C$6:$F$222,4,FALSE)</f>
        <v>#N/A</v>
      </c>
    </row>
    <row r="112" spans="1:26" hidden="1" x14ac:dyDescent="0.35">
      <c r="A112" s="9" t="s">
        <v>25</v>
      </c>
      <c r="C112" s="25">
        <v>4</v>
      </c>
      <c r="D112" s="10" t="s">
        <v>29</v>
      </c>
      <c r="E112" s="10" t="s">
        <v>30</v>
      </c>
      <c r="F112" s="10">
        <v>703</v>
      </c>
      <c r="G112" s="10" t="s">
        <v>179</v>
      </c>
      <c r="H112" s="11">
        <v>46274</v>
      </c>
      <c r="I112" s="11">
        <v>46274</v>
      </c>
      <c r="J112" s="12" t="str">
        <f>+VLOOKUP(K112,Datos!$A:$C,3,FALSE)</f>
        <v>SUROCCIDENTE</v>
      </c>
      <c r="K112" s="10">
        <v>31</v>
      </c>
      <c r="L112" s="12" t="str">
        <f>+VLOOKUP(K112,Datos!$A:$C,2,FALSE)</f>
        <v>COATEPEQUE</v>
      </c>
      <c r="M112" s="10">
        <v>90065999</v>
      </c>
      <c r="N112" s="12" t="str">
        <f>+VLOOKUP(M112,Datos!$F:$G,2,FALSE)</f>
        <v>SEPHORA ABIGAIL SANCHEZ HERDOCIA</v>
      </c>
      <c r="O112" s="13">
        <f>IFERROR(IF(A112="SI",VLOOKUP(R112,Datos!$J$1:$K$50,2,FALSE)*C112,VLOOKUP(R112,Datos!$P$1:$T$13,2,FALSE)*C112),0)</f>
        <v>5472</v>
      </c>
      <c r="P112" s="9">
        <v>311258</v>
      </c>
      <c r="Q112" s="12" t="str">
        <f>+VLOOKUP(P112,Datos!$F:$G,2,FALSE)</f>
        <v>Victor Otoniel Sebastian Cardona</v>
      </c>
      <c r="R112" s="9" t="s">
        <v>48</v>
      </c>
      <c r="V112" s="10">
        <f t="shared" si="1"/>
        <v>1</v>
      </c>
      <c r="W112" s="10">
        <f>+VLOOKUP(M112,Datos!$F:$H,3,FALSE)</f>
        <v>0</v>
      </c>
      <c r="X112">
        <v>0</v>
      </c>
      <c r="Y112" s="14"/>
      <c r="Z112" t="e">
        <f>VLOOKUP(M112,'[1]INDIVIDUAL UN'!$C$6:$F$222,4,FALSE)</f>
        <v>#N/A</v>
      </c>
    </row>
    <row r="113" spans="1:26" hidden="1" x14ac:dyDescent="0.35">
      <c r="A113" s="9" t="s">
        <v>25</v>
      </c>
      <c r="C113" s="10">
        <v>1</v>
      </c>
      <c r="D113" s="10" t="s">
        <v>29</v>
      </c>
      <c r="E113" s="10" t="s">
        <v>37</v>
      </c>
      <c r="F113" s="10">
        <v>4362</v>
      </c>
      <c r="G113" s="10" t="s">
        <v>180</v>
      </c>
      <c r="H113" s="11">
        <v>46274</v>
      </c>
      <c r="I113" s="11">
        <v>46273</v>
      </c>
      <c r="J113" s="12" t="str">
        <f>+VLOOKUP(K113,Datos!$A:$C,3,FALSE)</f>
        <v>OCCIDENTE</v>
      </c>
      <c r="K113" s="10">
        <v>55</v>
      </c>
      <c r="L113" s="12" t="str">
        <f>+VLOOKUP(K113,Datos!$A:$C,2,FALSE)</f>
        <v>ZENTROPLAZA</v>
      </c>
      <c r="M113" s="10">
        <v>90040629</v>
      </c>
      <c r="N113" s="12" t="str">
        <f>+VLOOKUP(M113,Datos!$F:$G,2,FALSE)</f>
        <v>FRANCIS JOSUE TOMAS ESCALANTE</v>
      </c>
      <c r="O113" s="13">
        <f>IFERROR(IF(A113="SI",VLOOKUP(R113,Datos!$J$1:$K$50,2,FALSE)*C113,VLOOKUP(R113,Datos!$P$1:$T$13,2,FALSE)*C113),0)</f>
        <v>816</v>
      </c>
      <c r="P113" s="9">
        <v>309191</v>
      </c>
      <c r="Q113" s="12" t="str">
        <f>+VLOOKUP(P113,Datos!$F:$G,2,FALSE)</f>
        <v>Raul Matias Matias</v>
      </c>
      <c r="R113" s="9" t="s">
        <v>26</v>
      </c>
      <c r="V113" s="10">
        <f t="shared" si="1"/>
        <v>1</v>
      </c>
      <c r="W113" s="10">
        <f>+VLOOKUP(M113,Datos!$F:$H,3,FALSE)</f>
        <v>0</v>
      </c>
      <c r="X113">
        <v>0</v>
      </c>
      <c r="Y113" s="14"/>
      <c r="Z113" t="e">
        <f>VLOOKUP(M113,'[1]INDIVIDUAL UN'!$C$6:$F$222,4,FALSE)</f>
        <v>#N/A</v>
      </c>
    </row>
    <row r="114" spans="1:26" hidden="1" x14ac:dyDescent="0.35">
      <c r="A114" s="9" t="s">
        <v>25</v>
      </c>
      <c r="C114" s="10">
        <v>1</v>
      </c>
      <c r="D114" s="10" t="s">
        <v>181</v>
      </c>
      <c r="E114" s="10" t="s">
        <v>182</v>
      </c>
      <c r="F114" s="10">
        <v>2477</v>
      </c>
      <c r="G114" s="10" t="s">
        <v>183</v>
      </c>
      <c r="H114" s="11">
        <v>46274</v>
      </c>
      <c r="I114" s="11">
        <v>46274</v>
      </c>
      <c r="J114" s="12" t="str">
        <f>+VLOOKUP(K114,Datos!$A:$C,3,FALSE)</f>
        <v>OCCIDENTE</v>
      </c>
      <c r="K114" s="10">
        <v>33</v>
      </c>
      <c r="L114" s="12" t="str">
        <f>+VLOOKUP(K114,Datos!$A:$C,2,FALSE)</f>
        <v>HUEHUETENANGO</v>
      </c>
      <c r="M114" s="10">
        <v>90045663</v>
      </c>
      <c r="N114" s="12" t="str">
        <f>+VLOOKUP(M114,Datos!$F:$G,2,FALSE)</f>
        <v>MICHELLE JAMILETH MARTINEZ GARCIA</v>
      </c>
      <c r="O114" s="13">
        <f>IFERROR(IF(A114="SI",VLOOKUP(R114,Datos!$J$1:$K$50,2,FALSE)*C114,VLOOKUP(R114,Datos!$P$1:$T$13,2,FALSE)*C114),0)</f>
        <v>1704</v>
      </c>
      <c r="P114" s="9">
        <v>301644</v>
      </c>
      <c r="Q114" s="12" t="str">
        <f>+VLOOKUP(P114,Datos!$F:$G,2,FALSE)</f>
        <v>Imelda Eugenia Recinos Martinez</v>
      </c>
      <c r="R114" s="9" t="s">
        <v>184</v>
      </c>
      <c r="V114" s="10">
        <f t="shared" si="1"/>
        <v>1</v>
      </c>
      <c r="W114" s="10">
        <f>+VLOOKUP(M114,Datos!$F:$H,3,FALSE)</f>
        <v>0</v>
      </c>
      <c r="X114">
        <v>0</v>
      </c>
      <c r="Y114" s="14"/>
      <c r="Z114" t="e">
        <f>VLOOKUP(M114,'[1]INDIVIDUAL UN'!$C$6:$F$222,4,FALSE)</f>
        <v>#N/A</v>
      </c>
    </row>
    <row r="115" spans="1:26" hidden="1" x14ac:dyDescent="0.35">
      <c r="A115" s="9" t="s">
        <v>25</v>
      </c>
      <c r="C115" s="10">
        <v>2</v>
      </c>
      <c r="D115" s="10" t="s">
        <v>29</v>
      </c>
      <c r="E115" s="10" t="s">
        <v>27</v>
      </c>
      <c r="F115" s="10">
        <v>1187</v>
      </c>
      <c r="G115" s="10" t="s">
        <v>185</v>
      </c>
      <c r="H115" s="11">
        <v>46274</v>
      </c>
      <c r="I115" s="11">
        <v>46274</v>
      </c>
      <c r="J115" s="12" t="str">
        <f>+VLOOKUP(K115,Datos!$A:$C,3,FALSE)</f>
        <v>OCCIDENTE</v>
      </c>
      <c r="K115" s="10">
        <v>126</v>
      </c>
      <c r="L115" s="12" t="str">
        <f>+VLOOKUP(K115,Datos!$A:$C,2,FALSE)</f>
        <v>CHICHICASTENANGO</v>
      </c>
      <c r="M115" s="10">
        <v>310610</v>
      </c>
      <c r="N115" s="12" t="str">
        <f>+VLOOKUP(M115,Datos!$F:$G,2,FALSE)</f>
        <v>Ricky Edson Lux Cassia</v>
      </c>
      <c r="O115" s="13">
        <f>IFERROR(IF(A115="SI",VLOOKUP(R115,Datos!$J$1:$K$50,2,FALSE)*C115,VLOOKUP(R115,Datos!$P$1:$T$13,2,FALSE)*C115),0)</f>
        <v>2736</v>
      </c>
      <c r="P115" s="9">
        <v>303674</v>
      </c>
      <c r="Q115" s="12" t="str">
        <f>+VLOOKUP(P115,Datos!$F:$G,2,FALSE)</f>
        <v>Imelda Elizabeth Castro Rodas</v>
      </c>
      <c r="R115" s="9" t="s">
        <v>48</v>
      </c>
      <c r="V115" s="10">
        <f t="shared" si="1"/>
        <v>1</v>
      </c>
      <c r="W115" s="10">
        <f>+VLOOKUP(M115,Datos!$F:$H,3,FALSE)</f>
        <v>0</v>
      </c>
      <c r="X115">
        <v>0</v>
      </c>
      <c r="Y115" s="14"/>
      <c r="Z115" t="e">
        <f>VLOOKUP(M115,'[1]INDIVIDUAL UN'!$C$6:$F$222,4,FALSE)</f>
        <v>#N/A</v>
      </c>
    </row>
    <row r="116" spans="1:26" hidden="1" x14ac:dyDescent="0.35">
      <c r="A116" s="9" t="s">
        <v>25</v>
      </c>
      <c r="C116" s="10">
        <v>3</v>
      </c>
      <c r="D116" s="10" t="s">
        <v>29</v>
      </c>
      <c r="E116" s="10" t="s">
        <v>41</v>
      </c>
      <c r="F116" s="10">
        <v>625</v>
      </c>
      <c r="G116" s="10" t="s">
        <v>186</v>
      </c>
      <c r="H116" s="11">
        <v>46274</v>
      </c>
      <c r="I116" s="11">
        <v>46274</v>
      </c>
      <c r="J116" s="12" t="str">
        <f>+VLOOKUP(K116,Datos!$A:$C,3,FALSE)</f>
        <v>OCCIDENTE</v>
      </c>
      <c r="K116" s="10">
        <v>126</v>
      </c>
      <c r="L116" s="12" t="str">
        <f>+VLOOKUP(K116,Datos!$A:$C,2,FALSE)</f>
        <v>CHICHICASTENANGO</v>
      </c>
      <c r="M116" s="10">
        <v>310610</v>
      </c>
      <c r="N116" s="12" t="str">
        <f>+VLOOKUP(M116,Datos!$F:$G,2,FALSE)</f>
        <v>Ricky Edson Lux Cassia</v>
      </c>
      <c r="O116" s="13">
        <f>IFERROR(IF(A116="SI",VLOOKUP(R116,Datos!$J$1:$K$50,2,FALSE)*C116,VLOOKUP(R116,Datos!$P$1:$T$13,2,FALSE)*C116),0)</f>
        <v>2448</v>
      </c>
      <c r="P116" s="10">
        <v>303674</v>
      </c>
      <c r="Q116" s="12" t="str">
        <f>+VLOOKUP(P116,Datos!$F:$G,2,FALSE)</f>
        <v>Imelda Elizabeth Castro Rodas</v>
      </c>
      <c r="R116" s="9" t="s">
        <v>26</v>
      </c>
      <c r="V116" s="10">
        <f t="shared" si="1"/>
        <v>1</v>
      </c>
      <c r="W116" s="10">
        <f>+VLOOKUP(M116,Datos!$F:$H,3,FALSE)</f>
        <v>0</v>
      </c>
      <c r="X116">
        <v>0</v>
      </c>
      <c r="Y116" s="14"/>
      <c r="Z116" t="e">
        <f>VLOOKUP(M116,'[1]INDIVIDUAL UN'!$C$6:$F$222,4,FALSE)</f>
        <v>#N/A</v>
      </c>
    </row>
    <row r="117" spans="1:26" s="10" customFormat="1" hidden="1" x14ac:dyDescent="0.35">
      <c r="A117" s="9" t="s">
        <v>25</v>
      </c>
      <c r="B117" s="9"/>
      <c r="C117" s="10">
        <v>3</v>
      </c>
      <c r="D117" s="10" t="s">
        <v>187</v>
      </c>
      <c r="E117" s="10" t="s">
        <v>133</v>
      </c>
      <c r="F117" s="10">
        <v>622</v>
      </c>
      <c r="G117" s="10" t="s">
        <v>188</v>
      </c>
      <c r="H117" s="11">
        <v>46274</v>
      </c>
      <c r="I117" s="11">
        <v>46274</v>
      </c>
      <c r="J117" s="12" t="str">
        <f>+VLOOKUP(K117,Datos!$A:$C,3,FALSE)</f>
        <v>OCCIDENTE</v>
      </c>
      <c r="K117" s="9">
        <v>56</v>
      </c>
      <c r="L117" s="12" t="str">
        <f>+VLOOKUP(K117,Datos!$A:$C,2,FALSE)</f>
        <v>LOS ALTOS</v>
      </c>
      <c r="M117" s="10">
        <v>315133</v>
      </c>
      <c r="N117" s="12" t="str">
        <f>+VLOOKUP(M117,Datos!$F:$G,2,FALSE)</f>
        <v>Bryan Daniel Milián De Leon</v>
      </c>
      <c r="O117" s="13">
        <f>IFERROR(IF(A117="SI",VLOOKUP(R117,Datos!$J$1:$K$50,2,FALSE)*C117,VLOOKUP(R117,Datos!$P$1:$T$13,2,FALSE)*C117),0)</f>
        <v>8208</v>
      </c>
      <c r="P117" s="9">
        <v>308266</v>
      </c>
      <c r="Q117" s="12" t="str">
        <f>+VLOOKUP(P117,Datos!$F:$G,2,FALSE)</f>
        <v>Julio Cesar De Leon Huinac</v>
      </c>
      <c r="R117" s="9" t="s">
        <v>156</v>
      </c>
      <c r="V117" s="10">
        <f t="shared" si="1"/>
        <v>1</v>
      </c>
      <c r="W117" s="10">
        <f>+VLOOKUP(M117,Datos!$F:$H,3,FALSE)</f>
        <v>0</v>
      </c>
      <c r="X117">
        <v>0</v>
      </c>
      <c r="Y117" s="20"/>
      <c r="Z117" s="10" t="e">
        <f>VLOOKUP(M117,'[1]INDIVIDUAL UN'!$C$6:$F$222,4,FALSE)</f>
        <v>#N/A</v>
      </c>
    </row>
    <row r="118" spans="1:26" s="10" customFormat="1" hidden="1" x14ac:dyDescent="0.35">
      <c r="A118" s="9" t="s">
        <v>25</v>
      </c>
      <c r="B118" s="9"/>
      <c r="C118" s="10">
        <v>4</v>
      </c>
      <c r="D118" s="10" t="s">
        <v>29</v>
      </c>
      <c r="E118" s="10" t="s">
        <v>189</v>
      </c>
      <c r="F118" s="10">
        <v>243</v>
      </c>
      <c r="G118" s="10" t="s">
        <v>190</v>
      </c>
      <c r="H118" s="11">
        <v>46274</v>
      </c>
      <c r="I118" s="11">
        <v>46274</v>
      </c>
      <c r="J118" s="12" t="str">
        <f>+VLOOKUP(K118,Datos!$A:$C,3,FALSE)</f>
        <v>OCCIDENTE</v>
      </c>
      <c r="K118" s="10">
        <v>246</v>
      </c>
      <c r="L118" s="12" t="str">
        <f>+VLOOKUP(K118,Datos!$A:$C,2,FALSE)</f>
        <v>SANTA CRUZ BARILLAS</v>
      </c>
      <c r="M118" s="10">
        <v>312087</v>
      </c>
      <c r="N118" s="12" t="str">
        <f>+VLOOKUP(M118,Datos!$F:$G,2,FALSE)</f>
        <v>Yoni Yosuen Rodriguez Sosa</v>
      </c>
      <c r="O118" s="13">
        <f>IFERROR(IF(A118="SI",VLOOKUP(R118,Datos!$J$1:$K$50,2,FALSE)*C118,VLOOKUP(R118,Datos!$P$1:$T$13,2,FALSE)*C118),0)</f>
        <v>8016</v>
      </c>
      <c r="P118" s="10">
        <v>304166</v>
      </c>
      <c r="Q118" s="12" t="str">
        <f>+VLOOKUP(P118,Datos!$F:$G,2,FALSE)</f>
        <v>Maviela Bibianeth Castillo Avila</v>
      </c>
      <c r="R118" s="9" t="s">
        <v>54</v>
      </c>
      <c r="V118" s="10">
        <f t="shared" si="1"/>
        <v>1</v>
      </c>
      <c r="W118" s="10">
        <f>+VLOOKUP(M118,Datos!$F:$H,3,FALSE)</f>
        <v>0</v>
      </c>
      <c r="X118">
        <v>0</v>
      </c>
      <c r="Y118" s="20"/>
      <c r="Z118" s="10" t="e">
        <f>VLOOKUP(M118,'[1]INDIVIDUAL UN'!$C$6:$F$222,4,FALSE)</f>
        <v>#N/A</v>
      </c>
    </row>
    <row r="119" spans="1:26" hidden="1" x14ac:dyDescent="0.35">
      <c r="A119" s="9" t="s">
        <v>25</v>
      </c>
      <c r="C119" s="10">
        <v>2</v>
      </c>
      <c r="D119" s="10" t="s">
        <v>29</v>
      </c>
      <c r="E119" s="10" t="s">
        <v>191</v>
      </c>
      <c r="F119" s="10">
        <v>1190</v>
      </c>
      <c r="G119" s="10" t="s">
        <v>192</v>
      </c>
      <c r="H119" s="11">
        <v>46274</v>
      </c>
      <c r="I119" s="11">
        <v>46274</v>
      </c>
      <c r="J119" s="12" t="str">
        <f>+VLOOKUP(K119,Datos!$A:$C,3,FALSE)</f>
        <v>SUROCCIDENTE</v>
      </c>
      <c r="K119" s="9">
        <v>227</v>
      </c>
      <c r="L119" s="12" t="str">
        <f>+VLOOKUP(K119,Datos!$A:$C,2,FALSE)</f>
        <v>PAJAPITA</v>
      </c>
      <c r="M119" s="10">
        <v>90019192</v>
      </c>
      <c r="N119" s="12" t="str">
        <f>+VLOOKUP(M119,Datos!$F:$G,2,FALSE)</f>
        <v>AXEL YONELDIS GASPAR JUAREZ</v>
      </c>
      <c r="O119" s="13">
        <f>IFERROR(IF(A119="SI",VLOOKUP(R119,Datos!$J$1:$K$50,2,FALSE)*C119,VLOOKUP(R119,Datos!$P$1:$T$13,2,FALSE)*C119),0)</f>
        <v>1632</v>
      </c>
      <c r="P119" s="9">
        <v>316011</v>
      </c>
      <c r="Q119" s="12" t="str">
        <f>+VLOOKUP(P119,Datos!$F:$G,2,FALSE)</f>
        <v>KEVIN MAUEL PEREZ OROZCO</v>
      </c>
      <c r="R119" s="9" t="s">
        <v>26</v>
      </c>
      <c r="V119" s="10">
        <f t="shared" si="1"/>
        <v>1</v>
      </c>
      <c r="W119" s="10">
        <f>+VLOOKUP(M119,Datos!$F:$H,3,FALSE)</f>
        <v>0</v>
      </c>
      <c r="X119">
        <v>0</v>
      </c>
      <c r="Y119" s="14"/>
      <c r="Z119" t="e">
        <f>VLOOKUP(M119,'[1]INDIVIDUAL UN'!$C$6:$F$222,4,FALSE)</f>
        <v>#N/A</v>
      </c>
    </row>
    <row r="120" spans="1:26" hidden="1" x14ac:dyDescent="0.35">
      <c r="A120" s="9" t="s">
        <v>25</v>
      </c>
      <c r="C120">
        <v>3</v>
      </c>
      <c r="D120" s="10" t="s">
        <v>29</v>
      </c>
      <c r="E120" s="10" t="s">
        <v>94</v>
      </c>
      <c r="F120" s="10">
        <v>110</v>
      </c>
      <c r="G120" s="10" t="s">
        <v>193</v>
      </c>
      <c r="H120" s="11">
        <v>46274</v>
      </c>
      <c r="I120" s="11">
        <v>46274</v>
      </c>
      <c r="J120" s="12" t="str">
        <f>+VLOOKUP(K120,Datos!$A:$C,3,FALSE)</f>
        <v>SUROCCIDENTE</v>
      </c>
      <c r="K120" s="10">
        <v>31</v>
      </c>
      <c r="L120" s="12" t="str">
        <f>+VLOOKUP(K120,Datos!$A:$C,2,FALSE)</f>
        <v>COATEPEQUE</v>
      </c>
      <c r="M120" s="19">
        <v>90046882</v>
      </c>
      <c r="N120" s="12" t="str">
        <f>+VLOOKUP(M120,Datos!$F:$G,2,FALSE)</f>
        <v>MARICRUZ MENDEZ LOPEZ</v>
      </c>
      <c r="O120" s="13">
        <f>IFERROR(IF(A120="SI",VLOOKUP(R120,Datos!$J$1:$K$50,2,FALSE)*C120,VLOOKUP(R120,Datos!$P$1:$T$13,2,FALSE)*C120),0)</f>
        <v>3276</v>
      </c>
      <c r="P120" s="9">
        <v>306656</v>
      </c>
      <c r="Q120" s="12" t="str">
        <f>+VLOOKUP(P120,Datos!$F:$G,2,FALSE)</f>
        <v>Wilmer Benjamin Vasquez Puac</v>
      </c>
      <c r="R120" s="9" t="s">
        <v>57</v>
      </c>
      <c r="V120" s="10">
        <f t="shared" si="1"/>
        <v>1</v>
      </c>
      <c r="W120" s="10">
        <f>+VLOOKUP(M120,Datos!$F:$H,3,FALSE)</f>
        <v>0</v>
      </c>
      <c r="X120">
        <v>0</v>
      </c>
      <c r="Y120" s="14"/>
      <c r="Z120" t="e">
        <f>VLOOKUP(M120,'[1]INDIVIDUAL UN'!$C$6:$F$222,4,FALSE)</f>
        <v>#N/A</v>
      </c>
    </row>
    <row r="121" spans="1:26" hidden="1" x14ac:dyDescent="0.35">
      <c r="A121" s="9" t="s">
        <v>25</v>
      </c>
      <c r="C121" s="17">
        <v>4</v>
      </c>
      <c r="D121" s="17" t="s">
        <v>175</v>
      </c>
      <c r="E121" s="17" t="s">
        <v>194</v>
      </c>
      <c r="F121" s="17">
        <v>705</v>
      </c>
      <c r="G121" s="17" t="s">
        <v>195</v>
      </c>
      <c r="H121" s="22">
        <v>46275</v>
      </c>
      <c r="I121" s="22">
        <v>46275</v>
      </c>
      <c r="J121" s="12" t="str">
        <f>+VLOOKUP(K121,Datos!$A:$C,3,FALSE)</f>
        <v>SUROCCIDENTE</v>
      </c>
      <c r="K121" s="10">
        <v>31</v>
      </c>
      <c r="L121" s="12" t="str">
        <f>+VLOOKUP(K121,Datos!$A:$C,2,FALSE)</f>
        <v>COATEPEQUE</v>
      </c>
      <c r="M121" s="15">
        <v>309812</v>
      </c>
      <c r="N121" s="12" t="str">
        <f>+VLOOKUP(M121,Datos!$F:$G,2,FALSE)</f>
        <v>Elena Yazmin Valdez Gallegos</v>
      </c>
      <c r="O121" s="13">
        <f>IFERROR(IF(A121="SI",VLOOKUP(R121,Datos!$J$1:$K$50,2,FALSE)*C121,VLOOKUP(R121,Datos!$P$1:$T$13,2,FALSE)*C121),0)</f>
        <v>10944</v>
      </c>
      <c r="P121" s="10">
        <v>306654</v>
      </c>
      <c r="Q121" s="12" t="str">
        <f>+VLOOKUP(P121,Datos!$F:$G,2,FALSE)</f>
        <v>Gerson Arcadio Hernandez Barrios</v>
      </c>
      <c r="R121" s="9" t="s">
        <v>156</v>
      </c>
      <c r="V121" s="10">
        <f t="shared" si="1"/>
        <v>1</v>
      </c>
      <c r="W121" s="10">
        <f>+VLOOKUP(M121,Datos!$F:$H,3,FALSE)</f>
        <v>0</v>
      </c>
      <c r="X121">
        <v>0</v>
      </c>
      <c r="Y121" s="14"/>
      <c r="Z121" t="e">
        <f>VLOOKUP(M121,'[1]INDIVIDUAL UN'!$C$6:$F$222,4,FALSE)</f>
        <v>#N/A</v>
      </c>
    </row>
    <row r="122" spans="1:26" hidden="1" x14ac:dyDescent="0.35">
      <c r="A122" s="9" t="s">
        <v>25</v>
      </c>
      <c r="C122">
        <v>1</v>
      </c>
      <c r="D122" s="10" t="s">
        <v>29</v>
      </c>
      <c r="E122" s="10" t="s">
        <v>37</v>
      </c>
      <c r="F122" s="10">
        <v>4397</v>
      </c>
      <c r="G122" s="10" t="s">
        <v>196</v>
      </c>
      <c r="H122" s="11">
        <v>46275</v>
      </c>
      <c r="I122" s="11">
        <v>46275</v>
      </c>
      <c r="J122" s="12" t="str">
        <f>+VLOOKUP(K122,Datos!$A:$C,3,FALSE)</f>
        <v>OCCIDENTE</v>
      </c>
      <c r="K122" s="10">
        <v>157</v>
      </c>
      <c r="L122" s="12" t="str">
        <f>+VLOOKUP(K122,Datos!$A:$C,2,FALSE)</f>
        <v>TOTONICAPAN</v>
      </c>
      <c r="M122" s="10">
        <v>315460</v>
      </c>
      <c r="N122" s="12" t="str">
        <f>+VLOOKUP(M122,Datos!$F:$G,2,FALSE)</f>
        <v>Marvin Leonel Hernandez Alvarez</v>
      </c>
      <c r="O122" s="13">
        <f>IFERROR(IF(A122="SI",VLOOKUP(R122,Datos!$J$1:$K$50,2,FALSE)*C122,VLOOKUP(R122,Datos!$P$1:$T$13,2,FALSE)*C122),0)</f>
        <v>816</v>
      </c>
      <c r="P122" s="10">
        <v>312665</v>
      </c>
      <c r="Q122" s="12" t="str">
        <f>+VLOOKUP(P122,Datos!$F:$G,2,FALSE)</f>
        <v>Zulma Damaris Menchu Mendez</v>
      </c>
      <c r="R122" s="9" t="s">
        <v>26</v>
      </c>
      <c r="V122" s="10">
        <f t="shared" si="1"/>
        <v>1</v>
      </c>
      <c r="W122" s="10">
        <f>+VLOOKUP(M122,Datos!$F:$H,3,FALSE)</f>
        <v>0</v>
      </c>
      <c r="X122">
        <v>0</v>
      </c>
      <c r="Y122" s="14"/>
      <c r="Z122" t="e">
        <f>VLOOKUP(M122,'[1]INDIVIDUAL UN'!$C$6:$F$222,4,FALSE)</f>
        <v>#N/A</v>
      </c>
    </row>
    <row r="123" spans="1:26" hidden="1" x14ac:dyDescent="0.35">
      <c r="A123" s="9" t="s">
        <v>25</v>
      </c>
      <c r="C123" s="10">
        <v>4</v>
      </c>
      <c r="D123" s="10" t="s">
        <v>29</v>
      </c>
      <c r="E123" s="10" t="s">
        <v>30</v>
      </c>
      <c r="F123" s="10">
        <v>704</v>
      </c>
      <c r="G123" s="10" t="s">
        <v>197</v>
      </c>
      <c r="H123" s="11">
        <v>46275</v>
      </c>
      <c r="I123" s="11">
        <v>46275</v>
      </c>
      <c r="J123" s="12" t="str">
        <f>+VLOOKUP(K123,Datos!$A:$C,3,FALSE)</f>
        <v>SUROCCIDENTE</v>
      </c>
      <c r="K123" s="10">
        <v>297</v>
      </c>
      <c r="L123" s="12" t="str">
        <f>+VLOOKUP(K123,Datos!$A:$C,2,FALSE)</f>
        <v>LA TRINIDAD COATEPEQUE</v>
      </c>
      <c r="M123" s="10">
        <v>312831</v>
      </c>
      <c r="N123" s="12" t="str">
        <f>+VLOOKUP(M123,Datos!$F:$G,2,FALSE)</f>
        <v>Cindy Yojana Mendoza Cajas</v>
      </c>
      <c r="O123" s="13">
        <f>IFERROR(IF(A123="SI",VLOOKUP(R123,Datos!$J$1:$K$50,2,FALSE)*C123,VLOOKUP(R123,Datos!$P$1:$T$13,2,FALSE)*C123),0)</f>
        <v>3264</v>
      </c>
      <c r="P123" s="10">
        <v>311975</v>
      </c>
      <c r="Q123" s="12" t="str">
        <f>+VLOOKUP(P123,Datos!$F:$G,2,FALSE)</f>
        <v>Luis Eduardo Ramirez Arriaza</v>
      </c>
      <c r="R123" s="9" t="s">
        <v>26</v>
      </c>
      <c r="V123" s="10">
        <f t="shared" si="1"/>
        <v>1</v>
      </c>
      <c r="W123" s="10">
        <f>+VLOOKUP(M123,Datos!$F:$H,3,FALSE)</f>
        <v>0</v>
      </c>
      <c r="X123">
        <v>0</v>
      </c>
      <c r="Y123" s="14"/>
      <c r="Z123" t="e">
        <f>VLOOKUP(M123,'[1]INDIVIDUAL UN'!$C$6:$F$222,4,FALSE)</f>
        <v>#N/A</v>
      </c>
    </row>
    <row r="124" spans="1:26" hidden="1" x14ac:dyDescent="0.35">
      <c r="A124" s="9" t="s">
        <v>25</v>
      </c>
      <c r="C124" s="10">
        <v>1</v>
      </c>
      <c r="D124" s="10" t="s">
        <v>29</v>
      </c>
      <c r="E124" s="10" t="s">
        <v>37</v>
      </c>
      <c r="F124" s="10">
        <v>4394</v>
      </c>
      <c r="G124" s="10" t="s">
        <v>198</v>
      </c>
      <c r="H124" s="11">
        <v>46275</v>
      </c>
      <c r="I124" s="11">
        <v>46275</v>
      </c>
      <c r="J124" s="12" t="str">
        <f>+VLOOKUP(K124,Datos!$A:$C,3,FALSE)</f>
        <v>OCCIDENTE</v>
      </c>
      <c r="K124" s="10">
        <v>56</v>
      </c>
      <c r="L124" s="12" t="str">
        <f>+VLOOKUP(K124,Datos!$A:$C,2,FALSE)</f>
        <v>LOS ALTOS</v>
      </c>
      <c r="M124" s="10">
        <v>90087422</v>
      </c>
      <c r="N124" s="12" t="str">
        <f>+VLOOKUP(M124,Datos!$F:$G,2,FALSE)</f>
        <v>Cristopher Gabriel Paxtor Barrios</v>
      </c>
      <c r="O124" s="13">
        <f>IFERROR(IF(A124="SI",VLOOKUP(R124,Datos!$J$1:$K$50,2,FALSE)*C124,VLOOKUP(R124,Datos!$P$1:$T$13,2,FALSE)*C124),0)</f>
        <v>816</v>
      </c>
      <c r="P124" s="10">
        <v>90027915</v>
      </c>
      <c r="Q124" s="12" t="str">
        <f>+VLOOKUP(P124,Datos!$F:$G,2,FALSE)</f>
        <v>FRANDI MAZARIEGOS</v>
      </c>
      <c r="R124" s="9" t="s">
        <v>26</v>
      </c>
      <c r="V124" s="10">
        <f t="shared" si="1"/>
        <v>1</v>
      </c>
      <c r="W124" s="10">
        <f>+VLOOKUP(M124,Datos!$F:$H,3,FALSE)</f>
        <v>0</v>
      </c>
      <c r="X124">
        <v>0</v>
      </c>
      <c r="Y124" s="14"/>
      <c r="Z124" t="e">
        <f>VLOOKUP(M124,'[1]INDIVIDUAL UN'!$C$6:$F$222,4,FALSE)</f>
        <v>#N/A</v>
      </c>
    </row>
    <row r="125" spans="1:26" hidden="1" x14ac:dyDescent="0.35">
      <c r="A125" s="9" t="s">
        <v>25</v>
      </c>
      <c r="C125" s="10">
        <v>1</v>
      </c>
      <c r="D125" s="10" t="s">
        <v>199</v>
      </c>
      <c r="E125" s="10" t="s">
        <v>37</v>
      </c>
      <c r="F125" s="10">
        <v>4392</v>
      </c>
      <c r="G125" s="10" t="s">
        <v>200</v>
      </c>
      <c r="H125" s="11">
        <v>46275</v>
      </c>
      <c r="I125" s="11">
        <v>46275</v>
      </c>
      <c r="J125" s="12" t="str">
        <f>+VLOOKUP(K125,Datos!$A:$C,3,FALSE)</f>
        <v>OCCIDENTE</v>
      </c>
      <c r="K125" s="10">
        <v>56</v>
      </c>
      <c r="L125" s="12" t="str">
        <f>+VLOOKUP(K125,Datos!$A:$C,2,FALSE)</f>
        <v>LOS ALTOS</v>
      </c>
      <c r="M125" s="10">
        <v>315133</v>
      </c>
      <c r="N125" s="12" t="str">
        <f>+VLOOKUP(M125,Datos!$F:$G,2,FALSE)</f>
        <v>Bryan Daniel Milián De Leon</v>
      </c>
      <c r="O125" s="13">
        <f>IFERROR(IF(A125="SI",VLOOKUP(R125,Datos!$J$1:$K$50,2,FALSE)*C125,VLOOKUP(R125,Datos!$P$1:$T$13,2,FALSE)*C125),0)</f>
        <v>1368</v>
      </c>
      <c r="P125" s="10">
        <v>308266</v>
      </c>
      <c r="Q125" s="12" t="str">
        <f>+VLOOKUP(P125,Datos!$F:$G,2,FALSE)</f>
        <v>Julio Cesar De Leon Huinac</v>
      </c>
      <c r="R125" s="9" t="s">
        <v>48</v>
      </c>
      <c r="V125" s="10">
        <f t="shared" si="1"/>
        <v>1</v>
      </c>
      <c r="W125" s="10">
        <f>+VLOOKUP(M125,Datos!$F:$H,3,FALSE)</f>
        <v>0</v>
      </c>
      <c r="X125">
        <v>0</v>
      </c>
      <c r="Y125" s="14"/>
      <c r="Z125" t="e">
        <f>VLOOKUP(M125,'[1]INDIVIDUAL UN'!$C$6:$F$222,4,FALSE)</f>
        <v>#N/A</v>
      </c>
    </row>
    <row r="126" spans="1:26" hidden="1" x14ac:dyDescent="0.35">
      <c r="A126" s="9" t="s">
        <v>25</v>
      </c>
      <c r="B126" s="34"/>
      <c r="C126" s="10">
        <v>2</v>
      </c>
      <c r="D126" s="10" t="s">
        <v>26</v>
      </c>
      <c r="E126" s="10" t="s">
        <v>27</v>
      </c>
      <c r="F126" s="10">
        <v>1205</v>
      </c>
      <c r="G126" s="10" t="s">
        <v>201</v>
      </c>
      <c r="H126" s="11">
        <v>46275</v>
      </c>
      <c r="I126" s="11">
        <v>46275</v>
      </c>
      <c r="J126" s="12" t="str">
        <f>+VLOOKUP(K126,Datos!$A:$C,3,FALSE)</f>
        <v>SUROCCIDENTE</v>
      </c>
      <c r="K126" s="9">
        <v>297</v>
      </c>
      <c r="L126" s="12" t="str">
        <f>+VLOOKUP(K126,Datos!$A:$C,2,FALSE)</f>
        <v>LA TRINIDAD COATEPEQUE</v>
      </c>
      <c r="M126" s="10">
        <v>310220</v>
      </c>
      <c r="N126" s="12" t="str">
        <f>+VLOOKUP(M126,Datos!$F:$G,2,FALSE)</f>
        <v>Urias Samuel Velasquez Ardeano</v>
      </c>
      <c r="O126" s="13">
        <f>IFERROR(IF(A126="SI",VLOOKUP(R126,Datos!$J$1:$K$50,2,FALSE)*C126,VLOOKUP(R126,Datos!$P$1:$T$13,2,FALSE)*C126),0)</f>
        <v>1632</v>
      </c>
      <c r="P126" s="9">
        <v>311975</v>
      </c>
      <c r="Q126" s="12" t="str">
        <f>+VLOOKUP(P126,Datos!$F:$G,2,FALSE)</f>
        <v>Luis Eduardo Ramirez Arriaza</v>
      </c>
      <c r="R126" s="9" t="s">
        <v>26</v>
      </c>
      <c r="V126" s="10">
        <f t="shared" si="1"/>
        <v>1</v>
      </c>
      <c r="W126" s="10">
        <f>+VLOOKUP(M126,Datos!$F:$H,3,FALSE)</f>
        <v>0</v>
      </c>
      <c r="X126">
        <v>0</v>
      </c>
      <c r="Y126" s="14"/>
      <c r="Z126" t="e">
        <f>VLOOKUP(M126,'[1]INDIVIDUAL UN'!$C$6:$F$222,4,FALSE)</f>
        <v>#N/A</v>
      </c>
    </row>
    <row r="127" spans="1:26" hidden="1" x14ac:dyDescent="0.35">
      <c r="A127" s="9" t="s">
        <v>25</v>
      </c>
      <c r="B127" s="35"/>
      <c r="C127" s="10">
        <v>1</v>
      </c>
      <c r="D127" s="10" t="s">
        <v>29</v>
      </c>
      <c r="E127" s="10" t="s">
        <v>37</v>
      </c>
      <c r="F127" s="10">
        <v>4414</v>
      </c>
      <c r="G127" s="10" t="s">
        <v>202</v>
      </c>
      <c r="H127" s="11">
        <v>46275</v>
      </c>
      <c r="I127" s="11">
        <v>46275</v>
      </c>
      <c r="J127" s="12" t="str">
        <f>+VLOOKUP(K127,Datos!$A:$C,3,FALSE)</f>
        <v>OCCIDENTE</v>
      </c>
      <c r="K127" s="10">
        <v>29</v>
      </c>
      <c r="L127" s="12" t="str">
        <f>+VLOOKUP(K127,Datos!$A:$C,2,FALSE)</f>
        <v>SAN PEDRO SACATEPEQUEZ S.M.</v>
      </c>
      <c r="M127" s="10">
        <v>314554</v>
      </c>
      <c r="N127" s="12" t="str">
        <f>+VLOOKUP(M127,Datos!$F:$G,2,FALSE)</f>
        <v>Jhonatan Alexis Ramos Tecun</v>
      </c>
      <c r="O127" s="13">
        <f>IFERROR(IF(A127="SI",VLOOKUP(R127,Datos!$J$1:$K$50,2,FALSE)*C127,VLOOKUP(R127,Datos!$P$1:$T$13,2,FALSE)*C127),0)</f>
        <v>1368</v>
      </c>
      <c r="P127" s="9">
        <v>310641</v>
      </c>
      <c r="Q127" s="12" t="str">
        <f>+VLOOKUP(P127,Datos!$F:$G,2,FALSE)</f>
        <v>Jorge Antonio Ramirez Sicay</v>
      </c>
      <c r="R127" s="9" t="s">
        <v>48</v>
      </c>
      <c r="V127" s="10">
        <f t="shared" si="1"/>
        <v>1</v>
      </c>
      <c r="W127" s="10">
        <f>+VLOOKUP(M127,Datos!$F:$H,3,FALSE)</f>
        <v>0</v>
      </c>
      <c r="X127">
        <v>0</v>
      </c>
      <c r="Y127" s="14"/>
      <c r="Z127" t="e">
        <f>VLOOKUP(M127,'[1]INDIVIDUAL UN'!$C$6:$F$222,4,FALSE)</f>
        <v>#N/A</v>
      </c>
    </row>
    <row r="128" spans="1:26" hidden="1" x14ac:dyDescent="0.35">
      <c r="A128" s="9" t="s">
        <v>25</v>
      </c>
      <c r="B128" s="35"/>
      <c r="C128" s="10">
        <v>2</v>
      </c>
      <c r="D128" s="10" t="s">
        <v>29</v>
      </c>
      <c r="E128" s="10" t="s">
        <v>27</v>
      </c>
      <c r="F128" s="10">
        <v>1199</v>
      </c>
      <c r="G128" s="10" t="s">
        <v>203</v>
      </c>
      <c r="H128" s="11">
        <v>46275</v>
      </c>
      <c r="I128" s="11">
        <v>46275</v>
      </c>
      <c r="J128" s="12" t="str">
        <f>+VLOOKUP(K128,Datos!$A:$C,3,FALSE)</f>
        <v>SUROCCIDENTE</v>
      </c>
      <c r="K128" s="10">
        <v>178</v>
      </c>
      <c r="L128" s="12" t="str">
        <f>+VLOOKUP(K128,Datos!$A:$C,2,FALSE)</f>
        <v>LA TRINIDAD MALACATAN</v>
      </c>
      <c r="M128" s="10">
        <v>316292</v>
      </c>
      <c r="N128" s="12" t="str">
        <f>+VLOOKUP(M128,Datos!$F:$G,2,FALSE)</f>
        <v>Kevin Antonio Orozco Ramírez</v>
      </c>
      <c r="O128" s="13">
        <f>IFERROR(IF(A128="SI",VLOOKUP(R128,Datos!$J$1:$K$50,2,FALSE)*C128,VLOOKUP(R128,Datos!$P$1:$T$13,2,FALSE)*C128),0)</f>
        <v>1632</v>
      </c>
      <c r="P128" s="10">
        <v>304805</v>
      </c>
      <c r="Q128" s="12" t="str">
        <f>+VLOOKUP(P128,Datos!$F:$G,2,FALSE)</f>
        <v>Sheily Raquel Angel Arreaga</v>
      </c>
      <c r="R128" s="9" t="s">
        <v>26</v>
      </c>
      <c r="V128" s="10">
        <f t="shared" si="1"/>
        <v>1</v>
      </c>
      <c r="W128" s="10">
        <f>+VLOOKUP(M128,Datos!$F:$H,3,FALSE)</f>
        <v>0</v>
      </c>
      <c r="X128">
        <v>0</v>
      </c>
      <c r="Y128" s="14"/>
      <c r="Z128" t="e">
        <f>VLOOKUP(M128,'[1]INDIVIDUAL UN'!$C$6:$F$222,4,FALSE)</f>
        <v>#N/A</v>
      </c>
    </row>
    <row r="129" spans="1:26" hidden="1" x14ac:dyDescent="0.35">
      <c r="A129" s="9" t="s">
        <v>25</v>
      </c>
      <c r="B129" s="35"/>
      <c r="C129" s="10">
        <v>2</v>
      </c>
      <c r="D129" s="10" t="s">
        <v>29</v>
      </c>
      <c r="E129" s="10" t="s">
        <v>110</v>
      </c>
      <c r="F129" s="10">
        <v>167</v>
      </c>
      <c r="G129" s="10" t="s">
        <v>204</v>
      </c>
      <c r="H129" s="11">
        <v>46275</v>
      </c>
      <c r="I129" s="11">
        <v>46275</v>
      </c>
      <c r="J129" s="12" t="str">
        <f>+VLOOKUP(K129,Datos!$A:$C,3,FALSE)</f>
        <v>OCCIDENTE</v>
      </c>
      <c r="K129" s="10">
        <v>56</v>
      </c>
      <c r="L129" s="12" t="str">
        <f>+VLOOKUP(K129,Datos!$A:$C,2,FALSE)</f>
        <v>LOS ALTOS</v>
      </c>
      <c r="M129" s="10">
        <v>90068267</v>
      </c>
      <c r="N129" s="12" t="str">
        <f>+VLOOKUP(M129,Datos!$F:$G,2,FALSE)</f>
        <v>LEIDY LORENA GUOX AJANEL</v>
      </c>
      <c r="O129" s="13">
        <f>IFERROR(IF(A129="SI",VLOOKUP(R129,Datos!$J$1:$K$50,2,FALSE)*C129,VLOOKUP(R129,Datos!$P$1:$T$13,2,FALSE)*C129),0)</f>
        <v>2016</v>
      </c>
      <c r="P129" s="10">
        <v>90027915</v>
      </c>
      <c r="Q129" s="12" t="str">
        <f>+VLOOKUP(P129,Datos!$F:$G,2,FALSE)</f>
        <v>FRANDI MAZARIEGOS</v>
      </c>
      <c r="R129" s="9" t="s">
        <v>101</v>
      </c>
      <c r="V129" s="10">
        <f t="shared" si="1"/>
        <v>1</v>
      </c>
      <c r="W129" s="10">
        <f>+VLOOKUP(M129,Datos!$F:$H,3,FALSE)</f>
        <v>0</v>
      </c>
      <c r="X129">
        <v>0</v>
      </c>
      <c r="Y129" s="14"/>
      <c r="Z129" t="e">
        <f>VLOOKUP(M129,'[1]INDIVIDUAL UN'!$C$6:$F$222,4,FALSE)</f>
        <v>#N/A</v>
      </c>
    </row>
    <row r="130" spans="1:26" hidden="1" x14ac:dyDescent="0.35">
      <c r="A130" s="9" t="s">
        <v>25</v>
      </c>
      <c r="C130" s="10">
        <v>1</v>
      </c>
      <c r="D130" s="10" t="s">
        <v>181</v>
      </c>
      <c r="E130" s="10" t="s">
        <v>205</v>
      </c>
      <c r="F130" s="10">
        <v>2478</v>
      </c>
      <c r="G130" s="10" t="s">
        <v>206</v>
      </c>
      <c r="H130" s="11">
        <v>46275</v>
      </c>
      <c r="I130" s="11">
        <v>46275</v>
      </c>
      <c r="J130" s="12" t="str">
        <f>+VLOOKUP(K130,Datos!$A:$C,3,FALSE)</f>
        <v>OCCIDENTE</v>
      </c>
      <c r="K130" s="10">
        <v>33</v>
      </c>
      <c r="L130" s="12" t="str">
        <f>+VLOOKUP(K130,Datos!$A:$C,2,FALSE)</f>
        <v>HUEHUETENANGO</v>
      </c>
      <c r="M130" s="9">
        <v>315944</v>
      </c>
      <c r="N130" s="12" t="str">
        <f>+VLOOKUP(M130,Datos!$F:$G,2,FALSE)</f>
        <v>MARIA EULISSA ADAMARY XUTUC VILLATORO</v>
      </c>
      <c r="O130" s="13">
        <f>IFERROR(IF(A130="SI",VLOOKUP(R130,Datos!$J$1:$K$50,2,FALSE)*C130,VLOOKUP(R130,Datos!$P$1:$T$13,2,FALSE)*C130),0)</f>
        <v>1704</v>
      </c>
      <c r="P130" s="10">
        <v>301644</v>
      </c>
      <c r="Q130" s="12" t="str">
        <f>+VLOOKUP(P130,Datos!$F:$G,2,FALSE)</f>
        <v>Imelda Eugenia Recinos Martinez</v>
      </c>
      <c r="R130" s="9" t="s">
        <v>184</v>
      </c>
      <c r="V130" s="10">
        <f t="shared" ref="V130:V193" si="2">+COUNTIFS($G$2:$G$444,G130)</f>
        <v>1</v>
      </c>
      <c r="W130" s="10">
        <f>+VLOOKUP(M130,Datos!$F:$H,3,FALSE)</f>
        <v>0</v>
      </c>
      <c r="X130">
        <v>0</v>
      </c>
      <c r="Y130" s="14"/>
      <c r="Z130" t="e">
        <f>VLOOKUP(M130,'[1]INDIVIDUAL UN'!$C$6:$F$222,4,FALSE)</f>
        <v>#N/A</v>
      </c>
    </row>
    <row r="131" spans="1:26" hidden="1" x14ac:dyDescent="0.35">
      <c r="A131" s="9" t="s">
        <v>25</v>
      </c>
      <c r="C131" s="10">
        <v>1</v>
      </c>
      <c r="D131" s="10" t="s">
        <v>29</v>
      </c>
      <c r="E131" s="10" t="s">
        <v>37</v>
      </c>
      <c r="F131" s="10">
        <v>4413</v>
      </c>
      <c r="G131" s="10" t="s">
        <v>207</v>
      </c>
      <c r="H131" s="11">
        <v>46275</v>
      </c>
      <c r="I131" s="11">
        <v>46275</v>
      </c>
      <c r="J131" s="12" t="str">
        <f>+VLOOKUP(K131,Datos!$A:$C,3,FALSE)</f>
        <v>OCCIDENTE</v>
      </c>
      <c r="K131" s="10">
        <v>246</v>
      </c>
      <c r="L131" s="12" t="str">
        <f>+VLOOKUP(K131,Datos!$A:$C,2,FALSE)</f>
        <v>SANTA CRUZ BARILLAS</v>
      </c>
      <c r="M131" s="10">
        <v>312087</v>
      </c>
      <c r="N131" s="12" t="str">
        <f>+VLOOKUP(M131,Datos!$F:$G,2,FALSE)</f>
        <v>Yoni Yosuen Rodriguez Sosa</v>
      </c>
      <c r="O131" s="13">
        <f>IFERROR(IF(A131="SI",VLOOKUP(R131,Datos!$J$1:$K$50,2,FALSE)*C131,VLOOKUP(R131,Datos!$P$1:$T$13,2,FALSE)*C131),0)</f>
        <v>4104</v>
      </c>
      <c r="P131" s="9">
        <v>304166</v>
      </c>
      <c r="Q131" s="12" t="str">
        <f>+VLOOKUP(P131,Datos!$F:$G,2,FALSE)</f>
        <v>Maviela Bibianeth Castillo Avila</v>
      </c>
      <c r="R131" s="9" t="s">
        <v>135</v>
      </c>
      <c r="V131" s="10">
        <f t="shared" si="2"/>
        <v>1</v>
      </c>
      <c r="W131" s="10">
        <f>+VLOOKUP(M131,Datos!$F:$H,3,FALSE)</f>
        <v>0</v>
      </c>
      <c r="X131">
        <v>0</v>
      </c>
      <c r="Y131" s="14"/>
      <c r="Z131" t="e">
        <f>VLOOKUP(M131,'[1]INDIVIDUAL UN'!$C$6:$F$222,4,FALSE)</f>
        <v>#N/A</v>
      </c>
    </row>
    <row r="132" spans="1:26" hidden="1" x14ac:dyDescent="0.35">
      <c r="A132" s="9" t="s">
        <v>25</v>
      </c>
      <c r="C132" s="25">
        <v>1</v>
      </c>
      <c r="D132" s="10" t="s">
        <v>29</v>
      </c>
      <c r="E132" s="10" t="s">
        <v>37</v>
      </c>
      <c r="F132" s="10">
        <v>4402</v>
      </c>
      <c r="G132" s="10" t="s">
        <v>208</v>
      </c>
      <c r="H132" s="11">
        <v>46275</v>
      </c>
      <c r="I132" s="11">
        <v>46275</v>
      </c>
      <c r="J132" s="12" t="str">
        <f>+VLOOKUP(K132,Datos!$A:$C,3,FALSE)</f>
        <v>SUROCCIDENTE</v>
      </c>
      <c r="K132" s="10">
        <v>31</v>
      </c>
      <c r="L132" s="12" t="str">
        <f>+VLOOKUP(K132,Datos!$A:$C,2,FALSE)</f>
        <v>COATEPEQUE</v>
      </c>
      <c r="M132" s="10">
        <v>315679</v>
      </c>
      <c r="N132" s="12" t="str">
        <f>+VLOOKUP(M132,Datos!$F:$G,2,FALSE)</f>
        <v>ANGELA XIOMARA PONCIANO GONZALEZ</v>
      </c>
      <c r="O132" s="13">
        <f>IFERROR(IF(A132="SI",VLOOKUP(R132,Datos!$J$1:$K$50,2,FALSE)*C132,VLOOKUP(R132,Datos!$P$1:$T$13,2,FALSE)*C132),0)</f>
        <v>816</v>
      </c>
      <c r="P132" s="9">
        <v>311258</v>
      </c>
      <c r="Q132" s="12" t="str">
        <f>+VLOOKUP(P132,Datos!$F:$G,2,FALSE)</f>
        <v>Victor Otoniel Sebastian Cardona</v>
      </c>
      <c r="R132" s="36" t="s">
        <v>26</v>
      </c>
      <c r="V132" s="10">
        <f t="shared" si="2"/>
        <v>1</v>
      </c>
      <c r="W132" s="10">
        <f>+VLOOKUP(M132,Datos!$F:$H,3,FALSE)</f>
        <v>0</v>
      </c>
      <c r="X132">
        <v>0</v>
      </c>
      <c r="Y132" s="14"/>
      <c r="Z132" t="e">
        <f>VLOOKUP(M132,'[1]INDIVIDUAL UN'!$C$6:$F$222,4,FALSE)</f>
        <v>#N/A</v>
      </c>
    </row>
    <row r="133" spans="1:26" hidden="1" x14ac:dyDescent="0.35">
      <c r="A133" s="9" t="s">
        <v>25</v>
      </c>
      <c r="C133" s="16">
        <v>4</v>
      </c>
      <c r="D133" s="16" t="s">
        <v>29</v>
      </c>
      <c r="E133" s="16" t="s">
        <v>30</v>
      </c>
      <c r="F133" s="16">
        <v>713</v>
      </c>
      <c r="G133" s="16" t="s">
        <v>209</v>
      </c>
      <c r="H133" s="11">
        <v>46275</v>
      </c>
      <c r="I133" s="11">
        <v>46275</v>
      </c>
      <c r="J133" s="12" t="str">
        <f>+VLOOKUP(K133,Datos!$A:$C,3,FALSE)</f>
        <v>SUROCCIDENTE</v>
      </c>
      <c r="K133" s="16">
        <v>31</v>
      </c>
      <c r="L133" s="12" t="str">
        <f>+VLOOKUP(K133,Datos!$A:$C,2,FALSE)</f>
        <v>COATEPEQUE</v>
      </c>
      <c r="M133" s="16">
        <v>90065999</v>
      </c>
      <c r="N133" s="12" t="str">
        <f>+VLOOKUP(M133,Datos!$F:$G,2,FALSE)</f>
        <v>SEPHORA ABIGAIL SANCHEZ HERDOCIA</v>
      </c>
      <c r="O133" s="13">
        <f>IFERROR(IF(A133="SI",VLOOKUP(R133,Datos!$J$1:$K$50,2,FALSE)*C133,VLOOKUP(R133,Datos!$P$1:$T$13,2,FALSE)*C133),0)</f>
        <v>3264</v>
      </c>
      <c r="P133" s="16">
        <v>311258</v>
      </c>
      <c r="Q133" s="12" t="str">
        <f>+VLOOKUP(P133,Datos!$F:$G,2,FALSE)</f>
        <v>Victor Otoniel Sebastian Cardona</v>
      </c>
      <c r="R133" s="9" t="s">
        <v>26</v>
      </c>
      <c r="V133" s="10">
        <f t="shared" si="2"/>
        <v>1</v>
      </c>
      <c r="W133" s="10">
        <f>+VLOOKUP(M133,Datos!$F:$H,3,FALSE)</f>
        <v>0</v>
      </c>
      <c r="X133">
        <v>0</v>
      </c>
      <c r="Y133" s="14"/>
      <c r="Z133" t="e">
        <f>VLOOKUP(M133,'[1]INDIVIDUAL UN'!$C$6:$F$222,4,FALSE)</f>
        <v>#N/A</v>
      </c>
    </row>
    <row r="134" spans="1:26" hidden="1" x14ac:dyDescent="0.35">
      <c r="A134" s="9" t="s">
        <v>25</v>
      </c>
      <c r="C134" s="16">
        <v>3</v>
      </c>
      <c r="D134" s="16" t="s">
        <v>29</v>
      </c>
      <c r="E134" s="16" t="s">
        <v>41</v>
      </c>
      <c r="F134" s="16">
        <v>631</v>
      </c>
      <c r="G134" s="16" t="s">
        <v>210</v>
      </c>
      <c r="H134" s="11">
        <v>46275</v>
      </c>
      <c r="I134" s="11">
        <v>46275</v>
      </c>
      <c r="J134" s="12" t="str">
        <f>+VLOOKUP(K134,Datos!$A:$C,3,FALSE)</f>
        <v>SUROCCIDENTE</v>
      </c>
      <c r="K134" s="16">
        <v>31</v>
      </c>
      <c r="L134" s="12" t="str">
        <f>+VLOOKUP(K134,Datos!$A:$C,2,FALSE)</f>
        <v>COATEPEQUE</v>
      </c>
      <c r="M134" s="16">
        <v>316174</v>
      </c>
      <c r="N134" s="12" t="str">
        <f>+VLOOKUP(M134,Datos!$F:$G,2,FALSE)</f>
        <v>ENRIQUE ALFONSO LOPEZ RAMREZ</v>
      </c>
      <c r="O134" s="13">
        <f>IFERROR(IF(A134="SI",VLOOKUP(R134,Datos!$J$1:$K$50,2,FALSE)*C134,VLOOKUP(R134,Datos!$P$1:$T$13,2,FALSE)*C134),0)</f>
        <v>2448</v>
      </c>
      <c r="P134" s="16">
        <v>311258</v>
      </c>
      <c r="Q134" s="12" t="str">
        <f>+VLOOKUP(P134,Datos!$F:$G,2,FALSE)</f>
        <v>Victor Otoniel Sebastian Cardona</v>
      </c>
      <c r="R134" s="9" t="s">
        <v>26</v>
      </c>
      <c r="V134" s="10">
        <f t="shared" si="2"/>
        <v>1</v>
      </c>
      <c r="W134" s="10">
        <f>+VLOOKUP(M134,Datos!$F:$H,3,FALSE)</f>
        <v>0</v>
      </c>
      <c r="X134">
        <v>0</v>
      </c>
      <c r="Y134" s="14"/>
      <c r="Z134" t="e">
        <f>VLOOKUP(M134,'[1]INDIVIDUAL UN'!$C$6:$F$222,4,FALSE)</f>
        <v>#N/A</v>
      </c>
    </row>
    <row r="135" spans="1:26" hidden="1" x14ac:dyDescent="0.35">
      <c r="A135" s="9" t="s">
        <v>25</v>
      </c>
      <c r="C135" s="10">
        <v>1</v>
      </c>
      <c r="D135" s="10" t="s">
        <v>29</v>
      </c>
      <c r="E135" s="10" t="s">
        <v>99</v>
      </c>
      <c r="F135" s="10">
        <v>2587</v>
      </c>
      <c r="G135" s="10" t="s">
        <v>211</v>
      </c>
      <c r="H135" s="11">
        <v>46275</v>
      </c>
      <c r="I135" s="11">
        <v>46275</v>
      </c>
      <c r="J135" s="12" t="str">
        <f>+VLOOKUP(K135,Datos!$A:$C,3,FALSE)</f>
        <v>SUROCCIDENTE</v>
      </c>
      <c r="K135" s="10">
        <v>31</v>
      </c>
      <c r="L135" s="12" t="str">
        <f>+VLOOKUP(K135,Datos!$A:$C,2,FALSE)</f>
        <v>COATEPEQUE</v>
      </c>
      <c r="M135" s="10">
        <v>315882</v>
      </c>
      <c r="N135" s="12" t="str">
        <f>+VLOOKUP(M135,Datos!$F:$G,2,FALSE)</f>
        <v>RUTH ANAI GOMEZ RAMIREZ</v>
      </c>
      <c r="O135" s="13">
        <f>IFERROR(IF(A135="SI",VLOOKUP(R135,Datos!$J$1:$K$50,2,FALSE)*C135,VLOOKUP(R135,Datos!$P$1:$T$13,2,FALSE)*C135),0)</f>
        <v>1008</v>
      </c>
      <c r="P135" s="10">
        <v>306656</v>
      </c>
      <c r="Q135" s="12" t="str">
        <f>+VLOOKUP(P135,Datos!$F:$G,2,FALSE)</f>
        <v>Wilmer Benjamin Vasquez Puac</v>
      </c>
      <c r="R135" s="9" t="s">
        <v>101</v>
      </c>
      <c r="V135" s="10">
        <f t="shared" si="2"/>
        <v>1</v>
      </c>
      <c r="W135" s="10">
        <f>+VLOOKUP(M135,Datos!$F:$H,3,FALSE)</f>
        <v>0</v>
      </c>
      <c r="X135">
        <v>0</v>
      </c>
      <c r="Y135" s="14"/>
      <c r="Z135" t="e">
        <f>VLOOKUP(M135,'[1]INDIVIDUAL UN'!$C$6:$F$222,4,FALSE)</f>
        <v>#N/A</v>
      </c>
    </row>
    <row r="136" spans="1:26" hidden="1" x14ac:dyDescent="0.35">
      <c r="A136" s="9" t="s">
        <v>25</v>
      </c>
      <c r="C136" s="10">
        <v>3</v>
      </c>
      <c r="D136" s="10" t="s">
        <v>29</v>
      </c>
      <c r="E136" s="10" t="s">
        <v>86</v>
      </c>
      <c r="F136" s="10">
        <v>344</v>
      </c>
      <c r="G136" s="10" t="s">
        <v>212</v>
      </c>
      <c r="H136" s="11">
        <v>46275</v>
      </c>
      <c r="I136" s="11">
        <v>46275</v>
      </c>
      <c r="J136" s="12" t="str">
        <f>+VLOOKUP(K136,Datos!$A:$C,3,FALSE)</f>
        <v>SUROCCIDENTE</v>
      </c>
      <c r="K136" s="10">
        <v>31</v>
      </c>
      <c r="L136" s="12" t="str">
        <f>+VLOOKUP(K136,Datos!$A:$C,2,FALSE)</f>
        <v>COATEPEQUE</v>
      </c>
      <c r="M136" s="10">
        <v>90046882</v>
      </c>
      <c r="N136" s="12" t="str">
        <f>+VLOOKUP(M136,Datos!$F:$G,2,FALSE)</f>
        <v>MARICRUZ MENDEZ LOPEZ</v>
      </c>
      <c r="O136" s="13">
        <f>IFERROR(IF(A136="SI",VLOOKUP(R136,Datos!$J$1:$K$50,2,FALSE)*C136,VLOOKUP(R136,Datos!$P$1:$T$13,2,FALSE)*C136),0)</f>
        <v>4284</v>
      </c>
      <c r="P136" s="9">
        <v>306656</v>
      </c>
      <c r="Q136" s="12" t="str">
        <f>+VLOOKUP(P136,Datos!$F:$G,2,FALSE)</f>
        <v>Wilmer Benjamin Vasquez Puac</v>
      </c>
      <c r="R136" s="9" t="s">
        <v>36</v>
      </c>
      <c r="V136" s="10">
        <f t="shared" si="2"/>
        <v>1</v>
      </c>
      <c r="W136" s="10">
        <f>+VLOOKUP(M136,Datos!$F:$H,3,FALSE)</f>
        <v>0</v>
      </c>
      <c r="X136">
        <v>0</v>
      </c>
      <c r="Y136" s="14"/>
      <c r="Z136" t="e">
        <f>VLOOKUP(M136,'[1]INDIVIDUAL UN'!$C$6:$F$222,4,FALSE)</f>
        <v>#N/A</v>
      </c>
    </row>
    <row r="137" spans="1:26" hidden="1" x14ac:dyDescent="0.35">
      <c r="A137" s="9" t="s">
        <v>25</v>
      </c>
      <c r="C137" s="10">
        <v>2</v>
      </c>
      <c r="D137" s="10" t="s">
        <v>29</v>
      </c>
      <c r="E137" s="10" t="s">
        <v>27</v>
      </c>
      <c r="F137" s="10">
        <v>1201</v>
      </c>
      <c r="G137" s="10" t="s">
        <v>213</v>
      </c>
      <c r="H137" s="11">
        <v>46275</v>
      </c>
      <c r="I137" s="11">
        <v>46275</v>
      </c>
      <c r="J137" s="12" t="str">
        <f>+VLOOKUP(K137,Datos!$A:$C,3,FALSE)</f>
        <v>SUROCCIDENTE</v>
      </c>
      <c r="K137" s="37">
        <v>227</v>
      </c>
      <c r="L137" s="12" t="str">
        <f>+VLOOKUP(K137,Datos!$A:$C,2,FALSE)</f>
        <v>PAJAPITA</v>
      </c>
      <c r="M137" s="10">
        <v>90019192</v>
      </c>
      <c r="N137" s="12" t="str">
        <f>+VLOOKUP(M137,Datos!$F:$G,2,FALSE)</f>
        <v>AXEL YONELDIS GASPAR JUAREZ</v>
      </c>
      <c r="O137" s="13">
        <f>IFERROR(IF(A137="SI",VLOOKUP(R137,Datos!$J$1:$K$50,2,FALSE)*C137,VLOOKUP(R137,Datos!$P$1:$T$13,2,FALSE)*C137),0)</f>
        <v>1632</v>
      </c>
      <c r="P137" s="16">
        <v>316011</v>
      </c>
      <c r="Q137" s="12" t="str">
        <f>+VLOOKUP(P137,Datos!$F:$G,2,FALSE)</f>
        <v>KEVIN MAUEL PEREZ OROZCO</v>
      </c>
      <c r="R137" s="9" t="s">
        <v>26</v>
      </c>
      <c r="V137" s="10">
        <f t="shared" si="2"/>
        <v>1</v>
      </c>
      <c r="W137" s="10">
        <f>+VLOOKUP(M137,Datos!$F:$H,3,FALSE)</f>
        <v>0</v>
      </c>
      <c r="X137">
        <v>0</v>
      </c>
      <c r="Y137" s="14"/>
      <c r="Z137" t="e">
        <f>VLOOKUP(M137,'[1]INDIVIDUAL UN'!$C$6:$F$222,4,FALSE)</f>
        <v>#N/A</v>
      </c>
    </row>
    <row r="138" spans="1:26" hidden="1" x14ac:dyDescent="0.35">
      <c r="A138" s="9" t="s">
        <v>25</v>
      </c>
      <c r="C138" s="10">
        <v>1</v>
      </c>
      <c r="D138" s="10" t="s">
        <v>29</v>
      </c>
      <c r="E138" s="10" t="s">
        <v>43</v>
      </c>
      <c r="F138" s="10">
        <v>2902</v>
      </c>
      <c r="G138" s="10" t="s">
        <v>214</v>
      </c>
      <c r="H138" s="18">
        <v>46275</v>
      </c>
      <c r="I138" s="18">
        <v>46275</v>
      </c>
      <c r="J138" s="12" t="str">
        <f>+VLOOKUP(K138,Datos!$A:$C,3,FALSE)</f>
        <v>OCCIDENTE</v>
      </c>
      <c r="K138" s="10">
        <v>150</v>
      </c>
      <c r="L138" s="12" t="str">
        <f>+VLOOKUP(K138,Datos!$A:$C,2,FALSE)</f>
        <v>SANTA CRUZ DEL QUICHE</v>
      </c>
      <c r="M138">
        <v>90034373</v>
      </c>
      <c r="N138" s="12" t="str">
        <f>+VLOOKUP(M138,Datos!$F:$G,2,FALSE)</f>
        <v>SILVIA PATRICIA MENDOZA GOMEZ</v>
      </c>
      <c r="O138" s="13">
        <f>IFERROR(IF(A138="SI",VLOOKUP(R138,Datos!$J$1:$K$50,2,FALSE)*C138,VLOOKUP(R138,Datos!$P$1:$T$13,2,FALSE)*C138),0)</f>
        <v>1308</v>
      </c>
      <c r="P138">
        <v>310329</v>
      </c>
      <c r="Q138" s="12" t="str">
        <f>+VLOOKUP(P138,Datos!$F:$G,2,FALSE)</f>
        <v>Ana Leticia Lux Say</v>
      </c>
      <c r="R138" s="9" t="s">
        <v>45</v>
      </c>
      <c r="V138" s="10">
        <f t="shared" si="2"/>
        <v>2</v>
      </c>
      <c r="W138" s="10">
        <f>+VLOOKUP(M138,Datos!$F:$H,3,FALSE)</f>
        <v>0</v>
      </c>
      <c r="X138">
        <v>0</v>
      </c>
      <c r="Y138" s="14"/>
      <c r="Z138" t="e">
        <f>VLOOKUP(M138,'[1]INDIVIDUAL UN'!$C$6:$F$222,4,FALSE)</f>
        <v>#N/A</v>
      </c>
    </row>
    <row r="139" spans="1:26" hidden="1" x14ac:dyDescent="0.35">
      <c r="A139" s="9" t="s">
        <v>25</v>
      </c>
      <c r="C139" s="10">
        <v>1</v>
      </c>
      <c r="D139" s="10" t="s">
        <v>29</v>
      </c>
      <c r="E139" s="10" t="s">
        <v>43</v>
      </c>
      <c r="F139" s="10">
        <v>2903</v>
      </c>
      <c r="G139" s="10" t="s">
        <v>215</v>
      </c>
      <c r="H139" s="18">
        <v>46275</v>
      </c>
      <c r="I139" s="18">
        <v>46275</v>
      </c>
      <c r="J139" s="12" t="str">
        <f>+VLOOKUP(K139,Datos!$A:$C,3,FALSE)</f>
        <v>OCCIDENTE</v>
      </c>
      <c r="K139" s="16">
        <v>150</v>
      </c>
      <c r="L139" s="12" t="str">
        <f>+VLOOKUP(K139,Datos!$A:$C,2,FALSE)</f>
        <v>SANTA CRUZ DEL QUICHE</v>
      </c>
      <c r="M139">
        <v>90034373</v>
      </c>
      <c r="N139" s="12" t="str">
        <f>+VLOOKUP(M139,Datos!$F:$G,2,FALSE)</f>
        <v>SILVIA PATRICIA MENDOZA GOMEZ</v>
      </c>
      <c r="O139" s="13">
        <f>IFERROR(IF(A139="SI",VLOOKUP(R139,Datos!$J$1:$K$50,2,FALSE)*C139,VLOOKUP(R139,Datos!$P$1:$T$13,2,FALSE)*C139),0)</f>
        <v>1308</v>
      </c>
      <c r="P139">
        <v>310329</v>
      </c>
      <c r="Q139" s="12" t="str">
        <f>+VLOOKUP(P139,Datos!$F:$G,2,FALSE)</f>
        <v>Ana Leticia Lux Say</v>
      </c>
      <c r="R139" s="9" t="s">
        <v>45</v>
      </c>
      <c r="V139" s="10">
        <f t="shared" si="2"/>
        <v>1</v>
      </c>
      <c r="W139" s="10">
        <f>+VLOOKUP(M139,Datos!$F:$H,3,FALSE)</f>
        <v>0</v>
      </c>
      <c r="X139">
        <v>0</v>
      </c>
      <c r="Y139" s="14"/>
      <c r="Z139" t="e">
        <f>VLOOKUP(M139,'[1]INDIVIDUAL UN'!$C$6:$F$222,4,FALSE)</f>
        <v>#N/A</v>
      </c>
    </row>
    <row r="140" spans="1:26" hidden="1" x14ac:dyDescent="0.35">
      <c r="A140" s="9" t="s">
        <v>25</v>
      </c>
      <c r="C140" s="10">
        <v>1</v>
      </c>
      <c r="D140" s="10" t="s">
        <v>216</v>
      </c>
      <c r="E140" s="10" t="s">
        <v>59</v>
      </c>
      <c r="F140" s="10">
        <v>4434</v>
      </c>
      <c r="G140" s="10" t="s">
        <v>217</v>
      </c>
      <c r="H140" s="11">
        <v>46276</v>
      </c>
      <c r="I140" s="11">
        <v>46276</v>
      </c>
      <c r="J140" s="12" t="str">
        <f>+VLOOKUP(K140,Datos!$A:$C,3,FALSE)</f>
        <v>OCCIDENTE</v>
      </c>
      <c r="K140" s="10">
        <v>33</v>
      </c>
      <c r="L140" s="12" t="str">
        <f>+VLOOKUP(K140,Datos!$A:$C,2,FALSE)</f>
        <v>HUEHUETENANGO</v>
      </c>
      <c r="M140" s="10">
        <v>90023724</v>
      </c>
      <c r="N140" s="12" t="str">
        <f>+VLOOKUP(M140,Datos!$F:$G,2,FALSE)</f>
        <v xml:space="preserve">ALEXANDRA JENNYFER MATIAS GALINDO </v>
      </c>
      <c r="O140" s="13">
        <f>IFERROR(IF(A140="SI",VLOOKUP(R140,Datos!$J$1:$K$50,2,FALSE)*C140,VLOOKUP(R140,Datos!$P$1:$T$13,2,FALSE)*C140),0)</f>
        <v>1368</v>
      </c>
      <c r="P140" s="9">
        <v>301644</v>
      </c>
      <c r="Q140" s="12" t="str">
        <f>+VLOOKUP(P140,Datos!$F:$G,2,FALSE)</f>
        <v>Imelda Eugenia Recinos Martinez</v>
      </c>
      <c r="R140" s="9" t="s">
        <v>48</v>
      </c>
      <c r="V140" s="10">
        <f t="shared" si="2"/>
        <v>1</v>
      </c>
      <c r="W140" s="10">
        <f>+VLOOKUP(M140,Datos!$F:$H,3,FALSE)</f>
        <v>0</v>
      </c>
      <c r="X140">
        <v>0</v>
      </c>
      <c r="Y140" s="14"/>
      <c r="Z140" t="e">
        <f>VLOOKUP(M140,'[1]INDIVIDUAL UN'!$C$6:$F$222,4,FALSE)</f>
        <v>#N/A</v>
      </c>
    </row>
    <row r="141" spans="1:26" hidden="1" x14ac:dyDescent="0.35">
      <c r="A141" s="9" t="s">
        <v>25</v>
      </c>
      <c r="B141" s="35"/>
      <c r="C141" s="10">
        <v>1</v>
      </c>
      <c r="D141" s="10" t="s">
        <v>29</v>
      </c>
      <c r="E141" s="10" t="s">
        <v>37</v>
      </c>
      <c r="F141" s="10">
        <v>4433</v>
      </c>
      <c r="G141" s="10" t="s">
        <v>218</v>
      </c>
      <c r="H141" s="11">
        <v>46276</v>
      </c>
      <c r="I141" s="11">
        <v>46276</v>
      </c>
      <c r="J141" s="12" t="str">
        <f>+VLOOKUP(K141,Datos!$A:$C,3,FALSE)</f>
        <v>SUROCCIDENTE</v>
      </c>
      <c r="K141" s="10">
        <v>178</v>
      </c>
      <c r="L141" s="12" t="str">
        <f>+VLOOKUP(K141,Datos!$A:$C,2,FALSE)</f>
        <v>LA TRINIDAD MALACATAN</v>
      </c>
      <c r="M141" s="9">
        <v>316215</v>
      </c>
      <c r="N141" s="12" t="str">
        <f>+VLOOKUP(M141,Datos!$F:$G,2,FALSE)</f>
        <v>ANAYELI MARIBEL JIMENEZ GOMEZ</v>
      </c>
      <c r="O141" s="13">
        <f>IFERROR(IF(A141="SI",VLOOKUP(R141,Datos!$J$1:$K$50,2,FALSE)*C141,VLOOKUP(R141,Datos!$P$1:$T$13,2,FALSE)*C141),0)</f>
        <v>816</v>
      </c>
      <c r="P141" s="9">
        <v>316487</v>
      </c>
      <c r="Q141" s="12" t="str">
        <f>+VLOOKUP(P141,Datos!$F:$G,2,FALSE)</f>
        <v>Wilmer Ovando Mejia Godínez</v>
      </c>
      <c r="R141" s="9" t="s">
        <v>26</v>
      </c>
      <c r="V141" s="10">
        <f t="shared" si="2"/>
        <v>1</v>
      </c>
      <c r="W141" s="10">
        <f>+VLOOKUP(M141,Datos!$F:$H,3,FALSE)</f>
        <v>0</v>
      </c>
      <c r="X141">
        <v>0</v>
      </c>
      <c r="Y141" s="14"/>
      <c r="Z141" t="e">
        <f>VLOOKUP(M141,'[1]INDIVIDUAL UN'!$C$6:$F$222,4,FALSE)</f>
        <v>#N/A</v>
      </c>
    </row>
    <row r="142" spans="1:26" hidden="1" x14ac:dyDescent="0.35">
      <c r="A142" s="9" t="s">
        <v>25</v>
      </c>
      <c r="C142" s="10">
        <v>1</v>
      </c>
      <c r="D142" s="10" t="s">
        <v>219</v>
      </c>
      <c r="E142" s="10" t="s">
        <v>34</v>
      </c>
      <c r="F142" s="10">
        <v>2950</v>
      </c>
      <c r="G142" s="10" t="s">
        <v>220</v>
      </c>
      <c r="H142" s="11">
        <v>46276</v>
      </c>
      <c r="I142" s="11">
        <v>46276</v>
      </c>
      <c r="J142" s="12" t="str">
        <f>+VLOOKUP(K142,Datos!$A:$C,3,FALSE)</f>
        <v>SUROCCIDENTE</v>
      </c>
      <c r="K142" s="10">
        <v>31</v>
      </c>
      <c r="L142" s="12" t="str">
        <f>+VLOOKUP(K142,Datos!$A:$C,2,FALSE)</f>
        <v>COATEPEQUE</v>
      </c>
      <c r="M142" s="10">
        <v>310671</v>
      </c>
      <c r="N142" s="12" t="str">
        <f>+VLOOKUP(M142,Datos!$F:$G,2,FALSE)</f>
        <v>Sucely Paola Godinez Gomez De Perez</v>
      </c>
      <c r="O142" s="13">
        <f>IFERROR(IF(A142="SI",VLOOKUP(R142,Datos!$J$1:$K$50,2,FALSE)*C142,VLOOKUP(R142,Datos!$P$1:$T$13,2,FALSE)*C142),0)</f>
        <v>1908</v>
      </c>
      <c r="P142" s="9">
        <v>306654</v>
      </c>
      <c r="Q142" s="12" t="str">
        <f>+VLOOKUP(P142,Datos!$F:$G,2,FALSE)</f>
        <v>Gerson Arcadio Hernandez Barrios</v>
      </c>
      <c r="R142" s="9" t="s">
        <v>85</v>
      </c>
      <c r="V142" s="10">
        <f t="shared" si="2"/>
        <v>1</v>
      </c>
      <c r="W142" s="10">
        <f>+VLOOKUP(M142,Datos!$F:$H,3,FALSE)</f>
        <v>0</v>
      </c>
      <c r="X142">
        <v>0</v>
      </c>
      <c r="Y142" s="14"/>
      <c r="Z142" t="e">
        <f>VLOOKUP(M142,'[1]INDIVIDUAL UN'!$C$6:$F$222,4,FALSE)</f>
        <v>#N/A</v>
      </c>
    </row>
    <row r="143" spans="1:26" hidden="1" x14ac:dyDescent="0.35">
      <c r="A143" s="9" t="s">
        <v>25</v>
      </c>
      <c r="C143" s="10">
        <v>1</v>
      </c>
      <c r="D143" s="10" t="s">
        <v>216</v>
      </c>
      <c r="E143" s="10" t="s">
        <v>106</v>
      </c>
      <c r="F143" s="10">
        <v>4421</v>
      </c>
      <c r="G143" s="10" t="s">
        <v>221</v>
      </c>
      <c r="H143" s="11">
        <v>46276</v>
      </c>
      <c r="I143" s="11">
        <v>46276</v>
      </c>
      <c r="J143" s="12" t="str">
        <f>+VLOOKUP(K143,Datos!$A:$C,3,FALSE)</f>
        <v>OCCIDENTE</v>
      </c>
      <c r="K143" s="10">
        <v>33</v>
      </c>
      <c r="L143" s="12" t="str">
        <f>+VLOOKUP(K143,Datos!$A:$C,2,FALSE)</f>
        <v>HUEHUETENANGO</v>
      </c>
      <c r="M143" s="10">
        <v>314636</v>
      </c>
      <c r="N143" s="12" t="str">
        <f>+VLOOKUP(M143,Datos!$F:$G,2,FALSE)</f>
        <v>Walkiria Anais Herrera Castillo</v>
      </c>
      <c r="O143" s="13">
        <f>IFERROR(IF(A143="SI",VLOOKUP(R143,Datos!$J$1:$K$50,2,FALSE)*C143,VLOOKUP(R143,Datos!$P$1:$T$13,2,FALSE)*C143),0)</f>
        <v>816</v>
      </c>
      <c r="P143" s="10">
        <v>313225</v>
      </c>
      <c r="Q143" s="12" t="str">
        <f>+VLOOKUP(P143,Datos!$F:$G,2,FALSE)</f>
        <v>Karen Deniss Lucas Chavez</v>
      </c>
      <c r="R143" s="9" t="s">
        <v>26</v>
      </c>
      <c r="V143" s="10">
        <f t="shared" si="2"/>
        <v>1</v>
      </c>
      <c r="W143" s="10">
        <f>+VLOOKUP(M143,Datos!$F:$H,3,FALSE)</f>
        <v>0</v>
      </c>
      <c r="X143">
        <v>0</v>
      </c>
      <c r="Y143" s="14"/>
      <c r="Z143" t="e">
        <f>VLOOKUP(M143,'[1]INDIVIDUAL UN'!$C$6:$F$222,4,FALSE)</f>
        <v>#N/A</v>
      </c>
    </row>
    <row r="144" spans="1:26" hidden="1" x14ac:dyDescent="0.35">
      <c r="A144" s="9" t="s">
        <v>25</v>
      </c>
      <c r="C144" s="10">
        <v>2</v>
      </c>
      <c r="D144" s="10" t="s">
        <v>29</v>
      </c>
      <c r="E144" s="10" t="s">
        <v>27</v>
      </c>
      <c r="F144" s="10">
        <v>1202</v>
      </c>
      <c r="G144" s="10" t="s">
        <v>222</v>
      </c>
      <c r="H144" s="11">
        <v>46276</v>
      </c>
      <c r="I144" s="11">
        <v>46275</v>
      </c>
      <c r="J144" s="12" t="str">
        <f>+VLOOKUP(K144,Datos!$A:$C,3,FALSE)</f>
        <v>SUROCCIDENTE</v>
      </c>
      <c r="K144" s="10">
        <v>297</v>
      </c>
      <c r="L144" s="12" t="str">
        <f>+VLOOKUP(K144,Datos!$A:$C,2,FALSE)</f>
        <v>LA TRINIDAD COATEPEQUE</v>
      </c>
      <c r="M144" s="10">
        <v>312831</v>
      </c>
      <c r="N144" s="12" t="str">
        <f>+VLOOKUP(M144,Datos!$F:$G,2,FALSE)</f>
        <v>Cindy Yojana Mendoza Cajas</v>
      </c>
      <c r="O144" s="13">
        <f>IFERROR(IF(A144="SI",VLOOKUP(R144,Datos!$J$1:$K$50,2,FALSE)*C144,VLOOKUP(R144,Datos!$P$1:$T$13,2,FALSE)*C144),0)</f>
        <v>1632</v>
      </c>
      <c r="P144" s="9">
        <v>311975</v>
      </c>
      <c r="Q144" s="12" t="str">
        <f>+VLOOKUP(P144,Datos!$F:$G,2,FALSE)</f>
        <v>Luis Eduardo Ramirez Arriaza</v>
      </c>
      <c r="R144" s="9" t="s">
        <v>26</v>
      </c>
      <c r="V144" s="10">
        <f t="shared" si="2"/>
        <v>1</v>
      </c>
      <c r="W144" s="10">
        <f>+VLOOKUP(M144,Datos!$F:$H,3,FALSE)</f>
        <v>0</v>
      </c>
      <c r="X144">
        <v>0</v>
      </c>
      <c r="Y144" s="14"/>
      <c r="Z144" t="e">
        <f>VLOOKUP(M144,'[1]INDIVIDUAL UN'!$C$6:$F$222,4,FALSE)</f>
        <v>#N/A</v>
      </c>
    </row>
    <row r="145" spans="1:26" hidden="1" x14ac:dyDescent="0.35">
      <c r="A145" s="9" t="s">
        <v>25</v>
      </c>
      <c r="C145" s="10">
        <v>1</v>
      </c>
      <c r="D145" s="10" t="s">
        <v>29</v>
      </c>
      <c r="E145" s="10" t="s">
        <v>37</v>
      </c>
      <c r="F145" s="10">
        <v>4428</v>
      </c>
      <c r="G145" s="10" t="s">
        <v>223</v>
      </c>
      <c r="H145" s="11">
        <v>46276</v>
      </c>
      <c r="I145" s="11">
        <v>46276</v>
      </c>
      <c r="J145" s="12" t="str">
        <f>+VLOOKUP(K145,Datos!$A:$C,3,FALSE)</f>
        <v>SUROCCIDENTE</v>
      </c>
      <c r="K145" s="10">
        <v>89</v>
      </c>
      <c r="L145" s="12" t="str">
        <f>+VLOOKUP(K145,Datos!$A:$C,2,FALSE)</f>
        <v>LA TRINIDAD RETALHULEU</v>
      </c>
      <c r="M145" s="10">
        <v>90064210</v>
      </c>
      <c r="N145" s="12" t="str">
        <f>+VLOOKUP(M145,Datos!$F:$G,2,FALSE)</f>
        <v>GEREMY ARMANDO HERNANDEZ CAMACHO</v>
      </c>
      <c r="O145" s="13">
        <f>IFERROR(IF(A145="SI",VLOOKUP(R145,Datos!$J$1:$K$50,2,FALSE)*C145,VLOOKUP(R145,Datos!$P$1:$T$13,2,FALSE)*C145),0)</f>
        <v>816</v>
      </c>
      <c r="P145" s="9">
        <v>302841</v>
      </c>
      <c r="Q145" s="12" t="str">
        <f>+VLOOKUP(P145,Datos!$F:$G,2,FALSE)</f>
        <v>Jessica Maria Jose Santizo Guzman</v>
      </c>
      <c r="R145" s="9" t="s">
        <v>26</v>
      </c>
      <c r="V145" s="10">
        <f t="shared" si="2"/>
        <v>1</v>
      </c>
      <c r="W145" s="10">
        <f>+VLOOKUP(M145,Datos!$F:$H,3,FALSE)</f>
        <v>0</v>
      </c>
      <c r="X145">
        <v>0</v>
      </c>
      <c r="Y145" s="14"/>
      <c r="Z145" t="e">
        <f>VLOOKUP(M145,'[1]INDIVIDUAL UN'!$C$6:$F$222,4,FALSE)</f>
        <v>#N/A</v>
      </c>
    </row>
    <row r="146" spans="1:26" hidden="1" x14ac:dyDescent="0.35">
      <c r="A146" s="9" t="s">
        <v>25</v>
      </c>
      <c r="C146" s="10">
        <v>4</v>
      </c>
      <c r="D146" s="10" t="s">
        <v>29</v>
      </c>
      <c r="E146" s="10" t="s">
        <v>224</v>
      </c>
      <c r="F146" s="10">
        <v>731</v>
      </c>
      <c r="G146" s="10" t="s">
        <v>225</v>
      </c>
      <c r="H146" s="11">
        <v>46277</v>
      </c>
      <c r="I146" s="11">
        <v>46277</v>
      </c>
      <c r="J146" s="12" t="str">
        <f>+VLOOKUP(K146,Datos!$A:$C,3,FALSE)</f>
        <v>SUROCCIDENTE</v>
      </c>
      <c r="K146" s="16">
        <v>297</v>
      </c>
      <c r="L146" s="12" t="str">
        <f>+VLOOKUP(K146,Datos!$A:$C,2,FALSE)</f>
        <v>LA TRINIDAD COATEPEQUE</v>
      </c>
      <c r="M146" s="10">
        <v>306248</v>
      </c>
      <c r="N146" s="12" t="str">
        <f>+VLOOKUP(M146,Datos!$F:$G,2,FALSE)</f>
        <v>Gladys Susana Marin De Leon</v>
      </c>
      <c r="O146" s="13">
        <f>IFERROR(IF(A146="SI",VLOOKUP(R146,Datos!$J$1:$K$50,2,FALSE)*C146,VLOOKUP(R146,Datos!$P$1:$T$13,2,FALSE)*C146),0)</f>
        <v>3264</v>
      </c>
      <c r="P146" s="9">
        <v>311975</v>
      </c>
      <c r="Q146" s="12" t="str">
        <f>+VLOOKUP(P146,Datos!$F:$G,2,FALSE)</f>
        <v>Luis Eduardo Ramirez Arriaza</v>
      </c>
      <c r="R146" s="9" t="s">
        <v>26</v>
      </c>
      <c r="V146" s="10">
        <f t="shared" si="2"/>
        <v>1</v>
      </c>
      <c r="W146" s="10">
        <f>+VLOOKUP(M146,Datos!$F:$H,3,FALSE)</f>
        <v>0</v>
      </c>
      <c r="X146">
        <v>0</v>
      </c>
      <c r="Y146" s="14"/>
      <c r="Z146" t="e">
        <f>VLOOKUP(M146,'[1]INDIVIDUAL UN'!$C$6:$F$222,4,FALSE)</f>
        <v>#N/A</v>
      </c>
    </row>
    <row r="147" spans="1:26" hidden="1" x14ac:dyDescent="0.35">
      <c r="A147" s="9" t="s">
        <v>25</v>
      </c>
      <c r="C147" s="10">
        <v>2</v>
      </c>
      <c r="D147" s="10" t="s">
        <v>175</v>
      </c>
      <c r="E147" s="10" t="s">
        <v>27</v>
      </c>
      <c r="F147" s="10">
        <v>1221</v>
      </c>
      <c r="G147" s="10" t="s">
        <v>226</v>
      </c>
      <c r="H147" s="11">
        <v>46277</v>
      </c>
      <c r="I147" s="11">
        <v>46277</v>
      </c>
      <c r="J147" s="12" t="str">
        <f>+VLOOKUP(K147,Datos!$A:$C,3,FALSE)</f>
        <v>OCCIDENTE</v>
      </c>
      <c r="K147" s="16">
        <v>243</v>
      </c>
      <c r="L147" s="12" t="str">
        <f>+VLOOKUP(K147,Datos!$A:$C,2,FALSE)</f>
        <v>PRADERA XELA</v>
      </c>
      <c r="M147" s="10">
        <v>90081008</v>
      </c>
      <c r="N147" s="12" t="str">
        <f>+VLOOKUP(M147,Datos!$F:$G,2,FALSE)</f>
        <v>Randy Antonio Lopez Huinac</v>
      </c>
      <c r="O147" s="13">
        <f>IFERROR(IF(A147="SI",VLOOKUP(R147,Datos!$J$1:$K$50,2,FALSE)*C147,VLOOKUP(R147,Datos!$P$1:$T$13,2,FALSE)*C147),0)</f>
        <v>1632</v>
      </c>
      <c r="P147" s="16">
        <v>315174</v>
      </c>
      <c r="Q147" s="12" t="str">
        <f>+VLOOKUP(P147,Datos!$F:$G,2,FALSE)</f>
        <v>Edwin Adolfo Soberanis Mazariegos</v>
      </c>
      <c r="R147" s="9" t="s">
        <v>26</v>
      </c>
      <c r="V147" s="10">
        <f t="shared" si="2"/>
        <v>1</v>
      </c>
      <c r="W147" s="10">
        <f>+VLOOKUP(M147,Datos!$F:$H,3,FALSE)</f>
        <v>0</v>
      </c>
      <c r="X147">
        <v>0</v>
      </c>
      <c r="Y147" s="14"/>
      <c r="Z147" t="e">
        <f>VLOOKUP(M147,'[1]INDIVIDUAL UN'!$C$6:$F$222,4,FALSE)</f>
        <v>#N/A</v>
      </c>
    </row>
    <row r="148" spans="1:26" hidden="1" x14ac:dyDescent="0.35">
      <c r="A148" s="9" t="s">
        <v>25</v>
      </c>
      <c r="C148" s="10">
        <v>2</v>
      </c>
      <c r="D148" s="10" t="s">
        <v>227</v>
      </c>
      <c r="E148" s="15" t="s">
        <v>27</v>
      </c>
      <c r="F148" s="15">
        <v>1206</v>
      </c>
      <c r="G148" s="15" t="s">
        <v>228</v>
      </c>
      <c r="H148" s="11">
        <v>46277</v>
      </c>
      <c r="I148" s="11">
        <v>46275</v>
      </c>
      <c r="J148" s="12" t="str">
        <f>+VLOOKUP(K148,Datos!$A:$C,3,FALSE)</f>
        <v>OCCIDENTE</v>
      </c>
      <c r="K148" s="10">
        <v>28</v>
      </c>
      <c r="L148" s="12" t="str">
        <f>+VLOOKUP(K148,Datos!$A:$C,2,FALSE)</f>
        <v>SUCURSAL QUETZALTENANGO</v>
      </c>
      <c r="M148" s="10">
        <v>90024418</v>
      </c>
      <c r="N148" s="12" t="str">
        <f>+VLOOKUP(M148,Datos!$F:$G,2,FALSE)</f>
        <v xml:space="preserve">EDNA GABRIELA RAMIREZ </v>
      </c>
      <c r="O148" s="13">
        <f>IFERROR(IF(A148="SI",VLOOKUP(R148,Datos!$J$1:$K$50,2,FALSE)*C148,VLOOKUP(R148,Datos!$P$1:$T$13,2,FALSE)*C148),0)</f>
        <v>1632</v>
      </c>
      <c r="P148" s="9">
        <v>313644</v>
      </c>
      <c r="Q148" s="12" t="str">
        <f>+VLOOKUP(P148,Datos!$F:$G,2,FALSE)</f>
        <v>Estefani Elizabeth Tzul Macario</v>
      </c>
      <c r="R148" s="9" t="s">
        <v>26</v>
      </c>
      <c r="V148" s="10">
        <f t="shared" si="2"/>
        <v>1</v>
      </c>
      <c r="W148" s="10">
        <f>+VLOOKUP(M148,Datos!$F:$H,3,FALSE)</f>
        <v>0</v>
      </c>
      <c r="X148">
        <v>0</v>
      </c>
      <c r="Y148" s="14"/>
      <c r="Z148" t="e">
        <f>VLOOKUP(M148,'[1]INDIVIDUAL UN'!$C$6:$F$222,4,FALSE)</f>
        <v>#N/A</v>
      </c>
    </row>
    <row r="149" spans="1:26" hidden="1" x14ac:dyDescent="0.35">
      <c r="A149" s="9" t="s">
        <v>25</v>
      </c>
      <c r="C149" s="10">
        <v>1</v>
      </c>
      <c r="D149" s="10" t="s">
        <v>29</v>
      </c>
      <c r="E149" s="10" t="s">
        <v>148</v>
      </c>
      <c r="F149" s="10">
        <v>66</v>
      </c>
      <c r="G149" s="10" t="s">
        <v>229</v>
      </c>
      <c r="H149" s="11">
        <v>46277</v>
      </c>
      <c r="I149" s="11">
        <v>46277</v>
      </c>
      <c r="J149" s="12" t="str">
        <f>+VLOOKUP(K149,Datos!$A:$C,3,FALSE)</f>
        <v>OCCIDENTE</v>
      </c>
      <c r="K149" s="10">
        <v>56</v>
      </c>
      <c r="L149" s="12" t="str">
        <f>+VLOOKUP(K149,Datos!$A:$C,2,FALSE)</f>
        <v>LOS ALTOS</v>
      </c>
      <c r="M149" s="10">
        <v>90081234</v>
      </c>
      <c r="N149" s="12" t="str">
        <f>+VLOOKUP(M149,Datos!$F:$G,2,FALSE)</f>
        <v xml:space="preserve">FRANCISCA CARINA SANCHEZ MACHIC </v>
      </c>
      <c r="O149" s="13">
        <f>IFERROR(IF(A149="SI",VLOOKUP(R149,Datos!$J$1:$K$50,2,FALSE)*C149,VLOOKUP(R149,Datos!$P$1:$T$13,2,FALSE)*C149),0)</f>
        <v>1008</v>
      </c>
      <c r="P149" s="10">
        <v>90027915</v>
      </c>
      <c r="Q149" s="12" t="str">
        <f>+VLOOKUP(P149,Datos!$F:$G,2,FALSE)</f>
        <v>FRANDI MAZARIEGOS</v>
      </c>
      <c r="R149" s="9" t="s">
        <v>101</v>
      </c>
      <c r="V149" s="10">
        <f t="shared" si="2"/>
        <v>1</v>
      </c>
      <c r="W149" s="10">
        <f>+VLOOKUP(M149,Datos!$F:$H,3,FALSE)</f>
        <v>0</v>
      </c>
      <c r="X149">
        <v>0</v>
      </c>
      <c r="Y149" s="14"/>
      <c r="Z149" t="e">
        <f>VLOOKUP(M149,'[1]INDIVIDUAL UN'!$C$6:$F$222,4,FALSE)</f>
        <v>#N/A</v>
      </c>
    </row>
    <row r="150" spans="1:26" hidden="1" x14ac:dyDescent="0.35">
      <c r="A150" s="9" t="s">
        <v>25</v>
      </c>
      <c r="C150" s="10">
        <v>1</v>
      </c>
      <c r="D150" s="10" t="s">
        <v>29</v>
      </c>
      <c r="E150" s="10" t="s">
        <v>37</v>
      </c>
      <c r="F150" s="10">
        <v>816</v>
      </c>
      <c r="G150" s="10" t="s">
        <v>230</v>
      </c>
      <c r="H150" s="18">
        <v>46277</v>
      </c>
      <c r="I150" s="18">
        <v>46277</v>
      </c>
      <c r="J150" s="12" t="str">
        <f>+VLOOKUP(K150,Datos!$A:$C,3,FALSE)</f>
        <v>OCCIDENTE</v>
      </c>
      <c r="K150" s="10">
        <v>150</v>
      </c>
      <c r="L150" s="12" t="str">
        <f>+VLOOKUP(K150,Datos!$A:$C,2,FALSE)</f>
        <v>SANTA CRUZ DEL QUICHE</v>
      </c>
      <c r="M150">
        <v>90087015</v>
      </c>
      <c r="N150" s="12" t="str">
        <f>+VLOOKUP(M150,Datos!$F:$G,2,FALSE)</f>
        <v>CLAUDIA ANGELICA PACHECO OSORIO</v>
      </c>
      <c r="O150" s="13">
        <f>IFERROR(IF(A150="SI",VLOOKUP(R150,Datos!$J$1:$K$50,2,FALSE)*C150,VLOOKUP(R150,Datos!$P$1:$T$13,2,FALSE)*C150),0)</f>
        <v>816</v>
      </c>
      <c r="P150" s="9">
        <v>315961</v>
      </c>
      <c r="Q150" s="12" t="str">
        <f>+VLOOKUP(P150,Datos!$F:$G,2,FALSE)</f>
        <v>LINDA LLUSELY SARAT CORDOVA</v>
      </c>
      <c r="R150" s="9" t="s">
        <v>26</v>
      </c>
      <c r="V150" s="10">
        <f t="shared" si="2"/>
        <v>1</v>
      </c>
      <c r="W150" s="10">
        <f>+VLOOKUP(M150,Datos!$F:$H,3,FALSE)</f>
        <v>0</v>
      </c>
      <c r="X150">
        <v>0</v>
      </c>
      <c r="Y150" s="14"/>
      <c r="Z150" t="e">
        <f>VLOOKUP(M150,'[1]INDIVIDUAL UN'!$C$6:$F$222,4,FALSE)</f>
        <v>#N/A</v>
      </c>
    </row>
    <row r="151" spans="1:26" hidden="1" x14ac:dyDescent="0.35">
      <c r="A151" s="9" t="s">
        <v>25</v>
      </c>
      <c r="C151" s="10">
        <v>2</v>
      </c>
      <c r="D151" s="10" t="s">
        <v>219</v>
      </c>
      <c r="E151" s="10" t="s">
        <v>27</v>
      </c>
      <c r="F151" s="10">
        <v>1218</v>
      </c>
      <c r="G151" s="10" t="s">
        <v>231</v>
      </c>
      <c r="H151" s="11">
        <v>46277</v>
      </c>
      <c r="I151" s="11">
        <v>46277</v>
      </c>
      <c r="J151" s="12" t="str">
        <f>+VLOOKUP(K151,Datos!$A:$C,3,FALSE)</f>
        <v>SUROCCIDENTE</v>
      </c>
      <c r="K151" s="10">
        <v>31</v>
      </c>
      <c r="L151" s="12" t="str">
        <f>+VLOOKUP(K151,Datos!$A:$C,2,FALSE)</f>
        <v>COATEPEQUE</v>
      </c>
      <c r="M151" s="10">
        <v>310671</v>
      </c>
      <c r="N151" s="12" t="str">
        <f>+VLOOKUP(M151,Datos!$F:$G,2,FALSE)</f>
        <v>Sucely Paola Godinez Gomez De Perez</v>
      </c>
      <c r="O151" s="13">
        <f>IFERROR(IF(A151="SI",VLOOKUP(R151,Datos!$J$1:$K$50,2,FALSE)*C151,VLOOKUP(R151,Datos!$P$1:$T$13,2,FALSE)*C151),0)</f>
        <v>1632</v>
      </c>
      <c r="P151" s="9">
        <v>306654</v>
      </c>
      <c r="Q151" s="12" t="str">
        <f>+VLOOKUP(P151,Datos!$F:$G,2,FALSE)</f>
        <v>Gerson Arcadio Hernandez Barrios</v>
      </c>
      <c r="R151" s="9" t="s">
        <v>26</v>
      </c>
      <c r="V151" s="10">
        <f t="shared" si="2"/>
        <v>1</v>
      </c>
      <c r="W151" s="10">
        <f>+VLOOKUP(M151,Datos!$F:$H,3,FALSE)</f>
        <v>0</v>
      </c>
      <c r="X151">
        <v>0</v>
      </c>
      <c r="Y151" s="14"/>
      <c r="Z151" t="e">
        <f>VLOOKUP(M151,'[1]INDIVIDUAL UN'!$C$6:$F$222,4,FALSE)</f>
        <v>#N/A</v>
      </c>
    </row>
    <row r="152" spans="1:26" hidden="1" x14ac:dyDescent="0.35">
      <c r="A152" s="9" t="s">
        <v>25</v>
      </c>
      <c r="C152" s="10">
        <v>4</v>
      </c>
      <c r="D152" s="10" t="s">
        <v>175</v>
      </c>
      <c r="E152" s="10" t="s">
        <v>30</v>
      </c>
      <c r="F152" s="10">
        <v>737</v>
      </c>
      <c r="G152" s="18" t="s">
        <v>232</v>
      </c>
      <c r="H152" s="11">
        <v>46278</v>
      </c>
      <c r="I152" s="11">
        <v>46278</v>
      </c>
      <c r="J152" s="12" t="str">
        <f>+VLOOKUP(K152,Datos!$A:$C,3,FALSE)</f>
        <v>OCCIDENTE</v>
      </c>
      <c r="K152" s="10">
        <v>243</v>
      </c>
      <c r="L152" s="12" t="str">
        <f>+VLOOKUP(K152,Datos!$A:$C,2,FALSE)</f>
        <v>PRADERA XELA</v>
      </c>
      <c r="M152" s="10">
        <v>90046771</v>
      </c>
      <c r="N152" s="12" t="str">
        <f>+VLOOKUP(M152,Datos!$F:$G,2,FALSE)</f>
        <v>MEGLY KARINA LOPEZ DE LEON</v>
      </c>
      <c r="O152" s="13">
        <f>IFERROR(IF(A152="SI",VLOOKUP(R152,Datos!$J$1:$K$50,2,FALSE)*C152,VLOOKUP(R152,Datos!$P$1:$T$13,2,FALSE)*C152),0)</f>
        <v>3264</v>
      </c>
      <c r="P152" s="9">
        <v>315174</v>
      </c>
      <c r="Q152" s="12" t="str">
        <f>+VLOOKUP(P152,Datos!$F:$G,2,FALSE)</f>
        <v>Edwin Adolfo Soberanis Mazariegos</v>
      </c>
      <c r="R152" s="9" t="s">
        <v>26</v>
      </c>
      <c r="V152" s="10">
        <f t="shared" si="2"/>
        <v>1</v>
      </c>
      <c r="W152" s="10">
        <f>+VLOOKUP(M152,Datos!$F:$H,3,FALSE)</f>
        <v>0</v>
      </c>
      <c r="X152">
        <v>0</v>
      </c>
      <c r="Y152" s="14"/>
      <c r="Z152" t="e">
        <f>VLOOKUP(M152,'[1]INDIVIDUAL UN'!$C$6:$F$222,4,FALSE)</f>
        <v>#N/A</v>
      </c>
    </row>
    <row r="153" spans="1:26" hidden="1" x14ac:dyDescent="0.35">
      <c r="A153" s="9" t="s">
        <v>25</v>
      </c>
      <c r="C153" s="10">
        <v>2</v>
      </c>
      <c r="D153" s="10" t="s">
        <v>26</v>
      </c>
      <c r="E153" s="10" t="s">
        <v>27</v>
      </c>
      <c r="F153" s="10">
        <v>1226</v>
      </c>
      <c r="G153" s="10" t="s">
        <v>233</v>
      </c>
      <c r="H153" s="11">
        <v>46278</v>
      </c>
      <c r="I153" s="11">
        <v>46278</v>
      </c>
      <c r="J153" s="12" t="str">
        <f>+VLOOKUP(K153,Datos!$A:$C,3,FALSE)</f>
        <v>SUROCCIDENTE</v>
      </c>
      <c r="K153" s="10">
        <v>297</v>
      </c>
      <c r="L153" s="12" t="str">
        <f>+VLOOKUP(K153,Datos!$A:$C,2,FALSE)</f>
        <v>LA TRINIDAD COATEPEQUE</v>
      </c>
      <c r="M153" s="10">
        <v>310220</v>
      </c>
      <c r="N153" s="12" t="str">
        <f>+VLOOKUP(M153,Datos!$F:$G,2,FALSE)</f>
        <v>Urias Samuel Velasquez Ardeano</v>
      </c>
      <c r="O153" s="13">
        <f>IFERROR(IF(A153="SI",VLOOKUP(R153,Datos!$J$1:$K$50,2,FALSE)*C153,VLOOKUP(R153,Datos!$P$1:$T$13,2,FALSE)*C153),0)</f>
        <v>1632</v>
      </c>
      <c r="P153" s="9">
        <v>311975</v>
      </c>
      <c r="Q153" s="12" t="str">
        <f>+VLOOKUP(P153,Datos!$F:$G,2,FALSE)</f>
        <v>Luis Eduardo Ramirez Arriaza</v>
      </c>
      <c r="R153" s="9" t="s">
        <v>26</v>
      </c>
      <c r="V153" s="10">
        <f t="shared" si="2"/>
        <v>1</v>
      </c>
      <c r="W153" s="10">
        <f>+VLOOKUP(M153,Datos!$F:$H,3,FALSE)</f>
        <v>0</v>
      </c>
      <c r="X153">
        <v>0</v>
      </c>
      <c r="Y153" s="14"/>
      <c r="Z153" t="e">
        <f>VLOOKUP(M153,'[1]INDIVIDUAL UN'!$C$6:$F$222,4,FALSE)</f>
        <v>#N/A</v>
      </c>
    </row>
    <row r="154" spans="1:26" hidden="1" x14ac:dyDescent="0.35">
      <c r="A154" s="9" t="s">
        <v>25</v>
      </c>
      <c r="C154" s="10">
        <v>4</v>
      </c>
      <c r="D154" s="10" t="s">
        <v>29</v>
      </c>
      <c r="E154" s="10" t="s">
        <v>30</v>
      </c>
      <c r="F154" s="10">
        <v>736</v>
      </c>
      <c r="G154" s="10" t="s">
        <v>234</v>
      </c>
      <c r="H154" s="11">
        <v>46278</v>
      </c>
      <c r="I154" s="11">
        <v>46278</v>
      </c>
      <c r="J154" s="12" t="str">
        <f>+VLOOKUP(K154,Datos!$A:$C,3,FALSE)</f>
        <v>SUROCCIDENTE</v>
      </c>
      <c r="K154" s="10">
        <v>297</v>
      </c>
      <c r="L154" s="12" t="str">
        <f>+VLOOKUP(K154,Datos!$A:$C,2,FALSE)</f>
        <v>LA TRINIDAD COATEPEQUE</v>
      </c>
      <c r="M154" s="10">
        <v>90066167</v>
      </c>
      <c r="N154" s="12" t="str">
        <f>+VLOOKUP(M154,Datos!$F:$G,2,FALSE)</f>
        <v>JHONATAN ISAMEL MERIDA CAXAJ</v>
      </c>
      <c r="O154" s="13">
        <f>IFERROR(IF(A154="SI",VLOOKUP(R154,Datos!$J$1:$K$50,2,FALSE)*C154,VLOOKUP(R154,Datos!$P$1:$T$13,2,FALSE)*C154),0)</f>
        <v>3264</v>
      </c>
      <c r="P154" s="9">
        <v>315175</v>
      </c>
      <c r="Q154" s="12" t="str">
        <f>+VLOOKUP(P154,Datos!$F:$G,2,FALSE)</f>
        <v>Heber Nehemias Velasquez Lorenzo</v>
      </c>
      <c r="R154" s="9" t="s">
        <v>26</v>
      </c>
      <c r="V154" s="10">
        <f t="shared" si="2"/>
        <v>1</v>
      </c>
      <c r="W154" s="10">
        <f>+VLOOKUP(M154,Datos!$F:$H,3,FALSE)</f>
        <v>0</v>
      </c>
      <c r="X154">
        <v>0</v>
      </c>
      <c r="Y154" s="14"/>
      <c r="Z154" t="e">
        <f>VLOOKUP(M154,'[1]INDIVIDUAL UN'!$C$6:$F$222,4,FALSE)</f>
        <v>#N/A</v>
      </c>
    </row>
    <row r="155" spans="1:26" hidden="1" x14ac:dyDescent="0.35">
      <c r="A155" s="9" t="s">
        <v>25</v>
      </c>
      <c r="C155">
        <v>1</v>
      </c>
      <c r="D155" s="10" t="s">
        <v>29</v>
      </c>
      <c r="E155" s="10" t="s">
        <v>37</v>
      </c>
      <c r="F155" s="10">
        <v>4403</v>
      </c>
      <c r="G155" s="18" t="s">
        <v>235</v>
      </c>
      <c r="H155" s="11">
        <v>46279</v>
      </c>
      <c r="I155" s="11">
        <v>46275</v>
      </c>
      <c r="J155" s="12" t="str">
        <f>+VLOOKUP(K155,Datos!$A:$C,3,FALSE)</f>
        <v>OCCIDENTE</v>
      </c>
      <c r="K155" s="10">
        <v>246</v>
      </c>
      <c r="L155" s="12" t="str">
        <f>+VLOOKUP(K155,Datos!$A:$C,2,FALSE)</f>
        <v>SANTA CRUZ BARILLAS</v>
      </c>
      <c r="M155" s="10">
        <v>313666</v>
      </c>
      <c r="N155" s="12" t="str">
        <f>+VLOOKUP(M155,Datos!$F:$G,2,FALSE)</f>
        <v>Avner Josue Merida Molina</v>
      </c>
      <c r="O155" s="13">
        <f>IFERROR(IF(A155="SI",VLOOKUP(R155,Datos!$J$1:$K$50,2,FALSE)*C155,VLOOKUP(R155,Datos!$P$1:$T$13,2,FALSE)*C155),0)</f>
        <v>1368</v>
      </c>
      <c r="P155" s="9">
        <v>304166</v>
      </c>
      <c r="Q155" s="12" t="str">
        <f>+VLOOKUP(P155,Datos!$F:$G,2,FALSE)</f>
        <v>Maviela Bibianeth Castillo Avila</v>
      </c>
      <c r="R155" s="9" t="s">
        <v>48</v>
      </c>
      <c r="V155" s="10">
        <f t="shared" si="2"/>
        <v>1</v>
      </c>
      <c r="W155" s="10">
        <f>+VLOOKUP(M155,Datos!$F:$H,3,FALSE)</f>
        <v>0</v>
      </c>
      <c r="X155">
        <v>0</v>
      </c>
      <c r="Y155" s="14"/>
      <c r="Z155" t="e">
        <f>VLOOKUP(M155,'[1]INDIVIDUAL UN'!$C$6:$F$222,4,FALSE)</f>
        <v>#N/A</v>
      </c>
    </row>
    <row r="156" spans="1:26" hidden="1" x14ac:dyDescent="0.35">
      <c r="A156" s="9" t="s">
        <v>25</v>
      </c>
      <c r="C156" s="10">
        <v>2</v>
      </c>
      <c r="D156" s="10" t="s">
        <v>29</v>
      </c>
      <c r="E156" s="10" t="s">
        <v>27</v>
      </c>
      <c r="F156" s="10">
        <v>1104</v>
      </c>
      <c r="G156" s="10" t="s">
        <v>236</v>
      </c>
      <c r="H156" s="11">
        <v>46279</v>
      </c>
      <c r="I156" s="11">
        <v>46267</v>
      </c>
      <c r="J156" s="12" t="str">
        <f>+VLOOKUP(K156,Datos!$A:$C,3,FALSE)</f>
        <v>SUROCCIDENTE</v>
      </c>
      <c r="K156" s="10">
        <v>227</v>
      </c>
      <c r="L156" s="12" t="str">
        <f>+VLOOKUP(K156,Datos!$A:$C,2,FALSE)</f>
        <v>PAJAPITA</v>
      </c>
      <c r="M156" s="10">
        <v>90023752</v>
      </c>
      <c r="N156" s="12" t="str">
        <f>+VLOOKUP(M156,Datos!$F:$G,2,FALSE)</f>
        <v>EDY DIONISIO FUENTES MARTINEZ</v>
      </c>
      <c r="O156" s="13">
        <f>IFERROR(IF(A156="SI",VLOOKUP(R156,Datos!$J$1:$K$50,2,FALSE)*C156,VLOOKUP(R156,Datos!$P$1:$T$13,2,FALSE)*C156),0)</f>
        <v>1632</v>
      </c>
      <c r="P156" s="9">
        <v>316011</v>
      </c>
      <c r="Q156" s="12" t="str">
        <f>+VLOOKUP(P156,Datos!$F:$G,2,FALSE)</f>
        <v>KEVIN MAUEL PEREZ OROZCO</v>
      </c>
      <c r="R156" s="9" t="s">
        <v>26</v>
      </c>
      <c r="V156" s="10">
        <f t="shared" si="2"/>
        <v>1</v>
      </c>
      <c r="W156" s="10">
        <f>+VLOOKUP(M156,Datos!$F:$H,3,FALSE)</f>
        <v>0</v>
      </c>
      <c r="X156">
        <v>0</v>
      </c>
      <c r="Y156" s="14"/>
      <c r="Z156" t="e">
        <f>VLOOKUP(M156,'[1]INDIVIDUAL UN'!$C$6:$F$222,4,FALSE)</f>
        <v>#N/A</v>
      </c>
    </row>
    <row r="157" spans="1:26" hidden="1" x14ac:dyDescent="0.35">
      <c r="A157" s="9" t="s">
        <v>25</v>
      </c>
      <c r="C157" s="10">
        <v>1</v>
      </c>
      <c r="D157" s="10" t="s">
        <v>29</v>
      </c>
      <c r="E157" s="10" t="s">
        <v>37</v>
      </c>
      <c r="F157" s="10">
        <v>4202</v>
      </c>
      <c r="G157" s="10" t="s">
        <v>237</v>
      </c>
      <c r="H157" s="11">
        <v>46279</v>
      </c>
      <c r="I157" s="11">
        <v>46267</v>
      </c>
      <c r="J157" s="12" t="str">
        <f>+VLOOKUP(K157,Datos!$A:$C,3,FALSE)</f>
        <v>SUROCCIDENTE</v>
      </c>
      <c r="K157" s="10">
        <v>227</v>
      </c>
      <c r="L157" s="12" t="str">
        <f>+VLOOKUP(K157,Datos!$A:$C,2,FALSE)</f>
        <v>PAJAPITA</v>
      </c>
      <c r="M157" s="10">
        <v>90019192</v>
      </c>
      <c r="N157" s="12" t="str">
        <f>+VLOOKUP(M157,Datos!$F:$G,2,FALSE)</f>
        <v>AXEL YONELDIS GASPAR JUAREZ</v>
      </c>
      <c r="O157" s="13">
        <f>IFERROR(IF(A157="SI",VLOOKUP(R157,Datos!$J$1:$K$50,2,FALSE)*C157,VLOOKUP(R157,Datos!$P$1:$T$13,2,FALSE)*C157),0)</f>
        <v>1368</v>
      </c>
      <c r="P157" s="9">
        <v>316011</v>
      </c>
      <c r="Q157" s="12" t="str">
        <f>+VLOOKUP(P157,Datos!$F:$G,2,FALSE)</f>
        <v>KEVIN MAUEL PEREZ OROZCO</v>
      </c>
      <c r="R157" s="9" t="s">
        <v>48</v>
      </c>
      <c r="V157" s="10">
        <f t="shared" si="2"/>
        <v>1</v>
      </c>
      <c r="W157" s="10">
        <f>+VLOOKUP(M157,Datos!$F:$H,3,FALSE)</f>
        <v>0</v>
      </c>
      <c r="X157">
        <v>0</v>
      </c>
      <c r="Y157" s="14"/>
      <c r="Z157" t="e">
        <f>VLOOKUP(M157,'[1]INDIVIDUAL UN'!$C$6:$F$222,4,FALSE)</f>
        <v>#N/A</v>
      </c>
    </row>
    <row r="158" spans="1:26" ht="15.75" hidden="1" customHeight="1" x14ac:dyDescent="0.35">
      <c r="A158" s="9" t="s">
        <v>25</v>
      </c>
      <c r="C158" s="10">
        <v>2</v>
      </c>
      <c r="D158" s="10" t="s">
        <v>29</v>
      </c>
      <c r="E158" s="10" t="s">
        <v>27</v>
      </c>
      <c r="F158" s="10">
        <v>1110</v>
      </c>
      <c r="G158" s="10" t="s">
        <v>238</v>
      </c>
      <c r="H158" s="11">
        <v>46279</v>
      </c>
      <c r="I158" s="11">
        <v>46267</v>
      </c>
      <c r="J158" s="12" t="str">
        <f>+VLOOKUP(K158,Datos!$A:$C,3,FALSE)</f>
        <v>SUROCCIDENTE</v>
      </c>
      <c r="K158" s="10">
        <v>227</v>
      </c>
      <c r="L158" s="12" t="str">
        <f>+VLOOKUP(K158,Datos!$A:$C,2,FALSE)</f>
        <v>PAJAPITA</v>
      </c>
      <c r="M158" s="10">
        <v>90046281</v>
      </c>
      <c r="N158" s="12" t="str">
        <f>+VLOOKUP(M158,Datos!$F:$G,2,FALSE)</f>
        <v>CARLOS MANUEL AMARRA MATEO</v>
      </c>
      <c r="O158" s="13">
        <f>IFERROR(IF(A158="SI",VLOOKUP(R158,Datos!$J$1:$K$50,2,FALSE)*C158,VLOOKUP(R158,Datos!$P$1:$T$13,2,FALSE)*C158),0)</f>
        <v>1632</v>
      </c>
      <c r="P158" s="9">
        <v>314738</v>
      </c>
      <c r="Q158" s="12" t="str">
        <f>+VLOOKUP(P158,Datos!$F:$G,2,FALSE)</f>
        <v>Carlos David Castillo Gamboa</v>
      </c>
      <c r="R158" s="9" t="s">
        <v>26</v>
      </c>
      <c r="V158" s="10">
        <f t="shared" si="2"/>
        <v>1</v>
      </c>
      <c r="W158" s="10">
        <f>+VLOOKUP(M158,Datos!$F:$H,3,FALSE)</f>
        <v>0</v>
      </c>
      <c r="X158">
        <v>0</v>
      </c>
      <c r="Y158" s="14"/>
      <c r="Z158" t="e">
        <f>VLOOKUP(M158,'[1]INDIVIDUAL UN'!$C$6:$F$222,4,FALSE)</f>
        <v>#N/A</v>
      </c>
    </row>
    <row r="159" spans="1:26" hidden="1" x14ac:dyDescent="0.35">
      <c r="A159" s="9" t="s">
        <v>25</v>
      </c>
      <c r="C159" s="10">
        <v>1</v>
      </c>
      <c r="D159" s="10" t="s">
        <v>29</v>
      </c>
      <c r="E159" s="10" t="s">
        <v>37</v>
      </c>
      <c r="F159" s="10">
        <v>4482</v>
      </c>
      <c r="G159" s="10" t="s">
        <v>239</v>
      </c>
      <c r="H159" s="11">
        <v>46279</v>
      </c>
      <c r="I159" s="11">
        <v>46279</v>
      </c>
      <c r="J159" s="12" t="str">
        <f>+VLOOKUP(K159,Datos!$A:$C,3,FALSE)</f>
        <v>OCCIDENTE</v>
      </c>
      <c r="K159" s="10">
        <v>243</v>
      </c>
      <c r="L159" s="12" t="str">
        <f>+VLOOKUP(K159,Datos!$A:$C,2,FALSE)</f>
        <v>PRADERA XELA</v>
      </c>
      <c r="M159" s="10">
        <v>316039</v>
      </c>
      <c r="N159" s="12" t="str">
        <f>+VLOOKUP(M159,Datos!$F:$G,2,FALSE)</f>
        <v>Edgar Francisco Garcia</v>
      </c>
      <c r="O159" s="13">
        <f>IFERROR(IF(A159="SI",VLOOKUP(R159,Datos!$J$1:$K$50,2,FALSE)*C159,VLOOKUP(R159,Datos!$P$1:$T$13,2,FALSE)*C159),0)</f>
        <v>816</v>
      </c>
      <c r="P159" s="9">
        <v>315174</v>
      </c>
      <c r="Q159" s="12" t="str">
        <f>+VLOOKUP(P159,Datos!$F:$G,2,FALSE)</f>
        <v>Edwin Adolfo Soberanis Mazariegos</v>
      </c>
      <c r="R159" s="9" t="s">
        <v>26</v>
      </c>
      <c r="V159" s="10">
        <f t="shared" si="2"/>
        <v>1</v>
      </c>
      <c r="W159" s="10">
        <f>+VLOOKUP(M159,Datos!$F:$H,3,FALSE)</f>
        <v>0</v>
      </c>
      <c r="X159">
        <v>0</v>
      </c>
      <c r="Y159" s="14"/>
      <c r="Z159" t="e">
        <f>VLOOKUP(M159,'[1]INDIVIDUAL UN'!$C$6:$F$222,4,FALSE)</f>
        <v>#N/A</v>
      </c>
    </row>
    <row r="160" spans="1:26" hidden="1" x14ac:dyDescent="0.35">
      <c r="A160" s="9" t="s">
        <v>25</v>
      </c>
      <c r="C160" s="10">
        <v>2</v>
      </c>
      <c r="D160" s="10" t="s">
        <v>29</v>
      </c>
      <c r="E160" s="10" t="s">
        <v>27</v>
      </c>
      <c r="F160" s="10">
        <v>1224</v>
      </c>
      <c r="G160" s="10" t="s">
        <v>240</v>
      </c>
      <c r="H160" s="11">
        <v>46279</v>
      </c>
      <c r="I160" s="11">
        <v>46278</v>
      </c>
      <c r="J160" s="12" t="str">
        <f>+VLOOKUP(K160,Datos!$A:$C,3,FALSE)</f>
        <v>SUROCCIDENTE</v>
      </c>
      <c r="K160" s="10">
        <v>297</v>
      </c>
      <c r="L160" s="12" t="str">
        <f>+VLOOKUP(K160,Datos!$A:$C,2,FALSE)</f>
        <v>LA TRINIDAD COATEPEQUE</v>
      </c>
      <c r="M160" s="10">
        <v>312831</v>
      </c>
      <c r="N160" s="12" t="str">
        <f>+VLOOKUP(M160,Datos!$F:$G,2,FALSE)</f>
        <v>Cindy Yojana Mendoza Cajas</v>
      </c>
      <c r="O160" s="13">
        <f>IFERROR(IF(A160="SI",VLOOKUP(R160,Datos!$J$1:$K$50,2,FALSE)*C160,VLOOKUP(R160,Datos!$P$1:$T$13,2,FALSE)*C160),0)</f>
        <v>1632</v>
      </c>
      <c r="P160" s="9">
        <v>311975</v>
      </c>
      <c r="Q160" s="12" t="str">
        <f>+VLOOKUP(P160,Datos!$F:$G,2,FALSE)</f>
        <v>Luis Eduardo Ramirez Arriaza</v>
      </c>
      <c r="R160" s="9" t="s">
        <v>26</v>
      </c>
      <c r="V160" s="10">
        <f t="shared" si="2"/>
        <v>1</v>
      </c>
      <c r="W160" s="10">
        <f>+VLOOKUP(M160,Datos!$F:$H,3,FALSE)</f>
        <v>0</v>
      </c>
      <c r="X160">
        <v>0</v>
      </c>
      <c r="Y160" s="14"/>
      <c r="Z160" t="e">
        <f>VLOOKUP(M160,'[1]INDIVIDUAL UN'!$C$6:$F$222,4,FALSE)</f>
        <v>#N/A</v>
      </c>
    </row>
    <row r="161" spans="1:26" hidden="1" x14ac:dyDescent="0.35">
      <c r="A161" s="9" t="s">
        <v>25</v>
      </c>
      <c r="C161" s="10">
        <v>4</v>
      </c>
      <c r="D161" s="10" t="s">
        <v>29</v>
      </c>
      <c r="E161" s="10" t="s">
        <v>30</v>
      </c>
      <c r="F161" s="10">
        <v>733</v>
      </c>
      <c r="G161" s="10" t="s">
        <v>241</v>
      </c>
      <c r="H161" s="11">
        <v>46279</v>
      </c>
      <c r="I161" s="11">
        <v>46277</v>
      </c>
      <c r="J161" s="12" t="str">
        <f>+VLOOKUP(K161,Datos!$A:$C,3,FALSE)</f>
        <v>SUROCCIDENTE</v>
      </c>
      <c r="K161" s="10">
        <v>297</v>
      </c>
      <c r="L161" s="12" t="str">
        <f>+VLOOKUP(K161,Datos!$A:$C,2,FALSE)</f>
        <v>LA TRINIDAD COATEPEQUE</v>
      </c>
      <c r="M161" s="10">
        <v>312831</v>
      </c>
      <c r="N161" s="12" t="str">
        <f>+VLOOKUP(M161,Datos!$F:$G,2,FALSE)</f>
        <v>Cindy Yojana Mendoza Cajas</v>
      </c>
      <c r="O161" s="13">
        <f>IFERROR(IF(A161="SI",VLOOKUP(R161,Datos!$J$1:$K$50,2,FALSE)*C161,VLOOKUP(R161,Datos!$P$1:$T$13,2,FALSE)*C161),0)</f>
        <v>3264</v>
      </c>
      <c r="P161" s="9">
        <v>311975</v>
      </c>
      <c r="Q161" s="12" t="str">
        <f>+VLOOKUP(P161,Datos!$F:$G,2,FALSE)</f>
        <v>Luis Eduardo Ramirez Arriaza</v>
      </c>
      <c r="R161" s="9" t="s">
        <v>26</v>
      </c>
      <c r="V161" s="10">
        <f t="shared" si="2"/>
        <v>1</v>
      </c>
      <c r="W161" s="10">
        <f>+VLOOKUP(M161,Datos!$F:$H,3,FALSE)</f>
        <v>0</v>
      </c>
      <c r="X161">
        <v>0</v>
      </c>
      <c r="Y161" s="14"/>
      <c r="Z161" t="e">
        <f>VLOOKUP(M161,'[1]INDIVIDUAL UN'!$C$6:$F$222,4,FALSE)</f>
        <v>#N/A</v>
      </c>
    </row>
    <row r="162" spans="1:26" hidden="1" x14ac:dyDescent="0.35">
      <c r="A162" s="9" t="s">
        <v>25</v>
      </c>
      <c r="C162" s="10">
        <v>4</v>
      </c>
      <c r="D162" s="10" t="s">
        <v>29</v>
      </c>
      <c r="E162" s="10" t="s">
        <v>30</v>
      </c>
      <c r="F162" s="10">
        <v>727</v>
      </c>
      <c r="G162" s="10" t="s">
        <v>242</v>
      </c>
      <c r="H162" s="11">
        <v>46279</v>
      </c>
      <c r="I162" s="11">
        <v>46277</v>
      </c>
      <c r="J162" s="12" t="str">
        <f>+VLOOKUP(K162,Datos!$A:$C,3,FALSE)</f>
        <v>SUROCCIDENTE</v>
      </c>
      <c r="K162" s="10">
        <v>297</v>
      </c>
      <c r="L162" s="12" t="str">
        <f>+VLOOKUP(K162,Datos!$A:$C,2,FALSE)</f>
        <v>LA TRINIDAD COATEPEQUE</v>
      </c>
      <c r="M162" s="10">
        <v>312831</v>
      </c>
      <c r="N162" s="12" t="str">
        <f>+VLOOKUP(M162,Datos!$F:$G,2,FALSE)</f>
        <v>Cindy Yojana Mendoza Cajas</v>
      </c>
      <c r="O162" s="13">
        <f>IFERROR(IF(A162="SI",VLOOKUP(R162,Datos!$J$1:$K$50,2,FALSE)*C162,VLOOKUP(R162,Datos!$P$1:$T$13,2,FALSE)*C162),0)</f>
        <v>3264</v>
      </c>
      <c r="P162" s="9">
        <v>311975</v>
      </c>
      <c r="Q162" s="12" t="str">
        <f>+VLOOKUP(P162,Datos!$F:$G,2,FALSE)</f>
        <v>Luis Eduardo Ramirez Arriaza</v>
      </c>
      <c r="R162" s="9" t="s">
        <v>26</v>
      </c>
      <c r="V162" s="10">
        <f t="shared" si="2"/>
        <v>1</v>
      </c>
      <c r="W162" s="10">
        <f>+VLOOKUP(M162,Datos!$F:$H,3,FALSE)</f>
        <v>0</v>
      </c>
      <c r="X162">
        <v>0</v>
      </c>
      <c r="Y162" s="14"/>
      <c r="Z162" t="e">
        <f>VLOOKUP(M162,'[1]INDIVIDUAL UN'!$C$6:$F$222,4,FALSE)</f>
        <v>#N/A</v>
      </c>
    </row>
    <row r="163" spans="1:26" hidden="1" x14ac:dyDescent="0.35">
      <c r="A163" s="9" t="s">
        <v>25</v>
      </c>
      <c r="C163" s="10">
        <v>2</v>
      </c>
      <c r="D163" s="10" t="s">
        <v>29</v>
      </c>
      <c r="E163" s="10" t="s">
        <v>27</v>
      </c>
      <c r="F163" s="10">
        <v>1222</v>
      </c>
      <c r="G163" s="10" t="s">
        <v>243</v>
      </c>
      <c r="H163" s="11">
        <v>46279</v>
      </c>
      <c r="I163" s="11">
        <v>46277</v>
      </c>
      <c r="J163" s="12" t="str">
        <f>+VLOOKUP(K163,Datos!$A:$C,3,FALSE)</f>
        <v>SUROCCIDENTE</v>
      </c>
      <c r="K163" s="10">
        <v>297</v>
      </c>
      <c r="L163" s="12" t="str">
        <f>+VLOOKUP(K163,Datos!$A:$C,2,FALSE)</f>
        <v>LA TRINIDAD COATEPEQUE</v>
      </c>
      <c r="M163" s="10">
        <v>312831</v>
      </c>
      <c r="N163" s="12" t="str">
        <f>+VLOOKUP(M163,Datos!$F:$G,2,FALSE)</f>
        <v>Cindy Yojana Mendoza Cajas</v>
      </c>
      <c r="O163" s="13">
        <f>IFERROR(IF(A163="SI",VLOOKUP(R163,Datos!$J$1:$K$50,2,FALSE)*C163,VLOOKUP(R163,Datos!$P$1:$T$13,2,FALSE)*C163),0)</f>
        <v>1632</v>
      </c>
      <c r="P163" s="9">
        <v>311975</v>
      </c>
      <c r="Q163" s="12" t="str">
        <f>+VLOOKUP(P163,Datos!$F:$G,2,FALSE)</f>
        <v>Luis Eduardo Ramirez Arriaza</v>
      </c>
      <c r="R163" s="9" t="s">
        <v>26</v>
      </c>
      <c r="V163" s="10">
        <f t="shared" si="2"/>
        <v>1</v>
      </c>
      <c r="W163" s="10">
        <f>+VLOOKUP(M163,Datos!$F:$H,3,FALSE)</f>
        <v>0</v>
      </c>
      <c r="X163">
        <v>0</v>
      </c>
      <c r="Y163" s="14"/>
      <c r="Z163" t="e">
        <f>VLOOKUP(M163,'[1]INDIVIDUAL UN'!$C$6:$F$222,4,FALSE)</f>
        <v>#N/A</v>
      </c>
    </row>
    <row r="164" spans="1:26" hidden="1" x14ac:dyDescent="0.35">
      <c r="A164" s="9" t="s">
        <v>25</v>
      </c>
      <c r="C164" s="10">
        <v>2</v>
      </c>
      <c r="D164" s="10" t="s">
        <v>29</v>
      </c>
      <c r="E164" s="10" t="s">
        <v>27</v>
      </c>
      <c r="F164" s="10">
        <v>1251</v>
      </c>
      <c r="G164" s="10" t="s">
        <v>244</v>
      </c>
      <c r="H164" s="11">
        <v>46279</v>
      </c>
      <c r="I164" s="11">
        <v>46279</v>
      </c>
      <c r="J164" s="12" t="str">
        <f>+VLOOKUP(K164,Datos!$A:$C,3,FALSE)</f>
        <v>OCCIDENTE</v>
      </c>
      <c r="K164" s="10">
        <v>243</v>
      </c>
      <c r="L164" s="12" t="str">
        <f>+VLOOKUP(K164,Datos!$A:$C,2,FALSE)</f>
        <v>PRADERA XELA</v>
      </c>
      <c r="M164" s="10">
        <v>90040632</v>
      </c>
      <c r="N164" s="12" t="str">
        <f>+VLOOKUP(M164,Datos!$F:$G,2,FALSE)</f>
        <v>Brandon Alexander Velasquez Acabal</v>
      </c>
      <c r="O164" s="13">
        <f>IFERROR(IF(A164="SI",VLOOKUP(R164,Datos!$J$1:$K$50,2,FALSE)*C164,VLOOKUP(R164,Datos!$P$1:$T$13,2,FALSE)*C164),0)</f>
        <v>1632</v>
      </c>
      <c r="P164" s="9">
        <v>315174</v>
      </c>
      <c r="Q164" s="12" t="str">
        <f>+VLOOKUP(P164,Datos!$F:$G,2,FALSE)</f>
        <v>Edwin Adolfo Soberanis Mazariegos</v>
      </c>
      <c r="R164" s="9" t="s">
        <v>26</v>
      </c>
      <c r="V164" s="10">
        <f t="shared" si="2"/>
        <v>1</v>
      </c>
      <c r="W164" s="10">
        <f>+VLOOKUP(M164,Datos!$F:$H,3,FALSE)</f>
        <v>0</v>
      </c>
      <c r="X164">
        <v>0</v>
      </c>
      <c r="Y164" s="14"/>
      <c r="Z164" t="e">
        <f>VLOOKUP(M164,'[1]INDIVIDUAL UN'!$C$6:$F$222,4,FALSE)</f>
        <v>#N/A</v>
      </c>
    </row>
    <row r="165" spans="1:26" hidden="1" x14ac:dyDescent="0.35">
      <c r="A165" s="9" t="s">
        <v>25</v>
      </c>
      <c r="C165" s="10">
        <v>4</v>
      </c>
      <c r="D165" s="10" t="s">
        <v>29</v>
      </c>
      <c r="E165" s="10" t="s">
        <v>30</v>
      </c>
      <c r="F165" s="10">
        <v>751</v>
      </c>
      <c r="G165" s="10" t="s">
        <v>245</v>
      </c>
      <c r="H165" s="11">
        <v>46279</v>
      </c>
      <c r="I165" s="11">
        <v>46279</v>
      </c>
      <c r="J165" s="12" t="str">
        <f>+VLOOKUP(K165,Datos!$A:$C,3,FALSE)</f>
        <v>SUROCCIDENTE</v>
      </c>
      <c r="K165" s="10">
        <v>143</v>
      </c>
      <c r="L165" s="12" t="str">
        <f>+VLOOKUP(K165,Datos!$A:$C,2,FALSE)</f>
        <v>RETALHULEU LA SIRENA</v>
      </c>
      <c r="M165" s="10">
        <v>312109</v>
      </c>
      <c r="N165" s="12" t="str">
        <f>+VLOOKUP(M165,Datos!$F:$G,2,FALSE)</f>
        <v>Martha Julia Shar Velasquez</v>
      </c>
      <c r="O165" s="13">
        <f>IFERROR(IF(A165="SI",VLOOKUP(R165,Datos!$J$1:$K$50,2,FALSE)*C165,VLOOKUP(R165,Datos!$P$1:$T$13,2,FALSE)*C165),0)</f>
        <v>3264</v>
      </c>
      <c r="P165" s="10">
        <v>90033850</v>
      </c>
      <c r="Q165" s="12" t="str">
        <f>+VLOOKUP(P165,Datos!$F:$G,2,FALSE)</f>
        <v>Kevin Geovani Coyoy López</v>
      </c>
      <c r="R165" s="9" t="s">
        <v>26</v>
      </c>
      <c r="V165" s="10">
        <f t="shared" si="2"/>
        <v>1</v>
      </c>
      <c r="W165" s="10">
        <f>+VLOOKUP(M165,Datos!$F:$H,3,FALSE)</f>
        <v>0</v>
      </c>
      <c r="X165">
        <v>0</v>
      </c>
      <c r="Y165" s="14"/>
      <c r="Z165" t="e">
        <f>VLOOKUP(M165,'[1]INDIVIDUAL UN'!$C$6:$F$222,4,FALSE)</f>
        <v>#N/A</v>
      </c>
    </row>
    <row r="166" spans="1:26" hidden="1" x14ac:dyDescent="0.35">
      <c r="A166" s="9" t="s">
        <v>25</v>
      </c>
      <c r="C166" s="10">
        <v>4</v>
      </c>
      <c r="D166" s="10" t="s">
        <v>29</v>
      </c>
      <c r="E166" s="10" t="s">
        <v>30</v>
      </c>
      <c r="F166" s="10">
        <v>753</v>
      </c>
      <c r="G166" s="10" t="s">
        <v>246</v>
      </c>
      <c r="H166" s="11">
        <v>46279</v>
      </c>
      <c r="I166" s="11">
        <v>46279</v>
      </c>
      <c r="J166" s="12" t="str">
        <f>+VLOOKUP(K166,Datos!$A:$C,3,FALSE)</f>
        <v>SUROCCIDENTE</v>
      </c>
      <c r="K166" s="10">
        <v>143</v>
      </c>
      <c r="L166" s="12" t="str">
        <f>+VLOOKUP(K166,Datos!$A:$C,2,FALSE)</f>
        <v>RETALHULEU LA SIRENA</v>
      </c>
      <c r="M166" s="10">
        <v>312109</v>
      </c>
      <c r="N166" s="12" t="str">
        <f>+VLOOKUP(M166,Datos!$F:$G,2,FALSE)</f>
        <v>Martha Julia Shar Velasquez</v>
      </c>
      <c r="O166" s="13">
        <f>IFERROR(IF(A166="SI",VLOOKUP(R166,Datos!$J$1:$K$50,2,FALSE)*C166,VLOOKUP(R166,Datos!$P$1:$T$13,2,FALSE)*C166),0)</f>
        <v>3264</v>
      </c>
      <c r="P166" s="10">
        <v>90033850</v>
      </c>
      <c r="Q166" s="12" t="str">
        <f>+VLOOKUP(P166,Datos!$F:$G,2,FALSE)</f>
        <v>Kevin Geovani Coyoy López</v>
      </c>
      <c r="R166" s="9" t="s">
        <v>26</v>
      </c>
      <c r="V166" s="10">
        <f t="shared" si="2"/>
        <v>1</v>
      </c>
      <c r="W166" s="10">
        <f>+VLOOKUP(M166,Datos!$F:$H,3,FALSE)</f>
        <v>0</v>
      </c>
      <c r="X166">
        <v>0</v>
      </c>
      <c r="Y166" s="14"/>
      <c r="Z166" t="e">
        <f>VLOOKUP(M166,'[1]INDIVIDUAL UN'!$C$6:$F$222,4,FALSE)</f>
        <v>#N/A</v>
      </c>
    </row>
    <row r="167" spans="1:26" hidden="1" x14ac:dyDescent="0.35">
      <c r="A167" s="9" t="s">
        <v>25</v>
      </c>
      <c r="C167" s="10">
        <v>1</v>
      </c>
      <c r="D167" s="10" t="s">
        <v>29</v>
      </c>
      <c r="E167" s="10" t="s">
        <v>37</v>
      </c>
      <c r="F167" s="10">
        <v>4475</v>
      </c>
      <c r="G167" s="10" t="s">
        <v>247</v>
      </c>
      <c r="H167" s="11">
        <v>46279</v>
      </c>
      <c r="I167" s="11">
        <v>46279</v>
      </c>
      <c r="J167" s="12" t="str">
        <f>+VLOOKUP(K167,Datos!$A:$C,3,FALSE)</f>
        <v>SUROCCIDENTE</v>
      </c>
      <c r="K167" s="10">
        <v>143</v>
      </c>
      <c r="L167" s="12" t="str">
        <f>+VLOOKUP(K167,Datos!$A:$C,2,FALSE)</f>
        <v>RETALHULEU LA SIRENA</v>
      </c>
      <c r="M167" s="10">
        <v>90087842</v>
      </c>
      <c r="N167" s="12" t="str">
        <f>+VLOOKUP(M167,Datos!$F:$G,2,FALSE)</f>
        <v>ANGEL DAVID BAMAC ORELLANA</v>
      </c>
      <c r="O167" s="13">
        <f>IFERROR(IF(A167="SI",VLOOKUP(R167,Datos!$J$1:$K$50,2,FALSE)*C167,VLOOKUP(R167,Datos!$P$1:$T$13,2,FALSE)*C167),0)</f>
        <v>816</v>
      </c>
      <c r="P167" s="10">
        <v>313194</v>
      </c>
      <c r="Q167" s="12" t="str">
        <f>+VLOOKUP(P167,Datos!$F:$G,2,FALSE)</f>
        <v>Mary Isabel Xiloj Tajiboy</v>
      </c>
      <c r="R167" s="9" t="s">
        <v>26</v>
      </c>
      <c r="V167" s="10">
        <f t="shared" si="2"/>
        <v>1</v>
      </c>
      <c r="W167" s="10">
        <f>+VLOOKUP(M167,Datos!$F:$H,3,FALSE)</f>
        <v>0</v>
      </c>
      <c r="X167">
        <v>0</v>
      </c>
      <c r="Y167" s="14"/>
      <c r="Z167" t="e">
        <f>VLOOKUP(M167,'[1]INDIVIDUAL UN'!$C$6:$F$222,4,FALSE)</f>
        <v>#N/A</v>
      </c>
    </row>
    <row r="168" spans="1:26" hidden="1" x14ac:dyDescent="0.35">
      <c r="A168" s="9" t="s">
        <v>25</v>
      </c>
      <c r="C168" s="10">
        <v>4</v>
      </c>
      <c r="D168" s="10" t="s">
        <v>29</v>
      </c>
      <c r="E168" s="10" t="s">
        <v>30</v>
      </c>
      <c r="F168" s="10">
        <v>749</v>
      </c>
      <c r="G168" s="10" t="s">
        <v>248</v>
      </c>
      <c r="H168" s="11">
        <v>46279</v>
      </c>
      <c r="I168" s="11">
        <v>46279</v>
      </c>
      <c r="J168" s="12" t="str">
        <f>+VLOOKUP(K168,Datos!$A:$C,3,FALSE)</f>
        <v>SUROCCIDENTE</v>
      </c>
      <c r="K168" s="10">
        <v>89</v>
      </c>
      <c r="L168" s="12" t="str">
        <f>+VLOOKUP(K168,Datos!$A:$C,2,FALSE)</f>
        <v>LA TRINIDAD RETALHULEU</v>
      </c>
      <c r="M168" s="10">
        <v>90064210</v>
      </c>
      <c r="N168" s="12" t="str">
        <f>+VLOOKUP(M168,Datos!$F:$G,2,FALSE)</f>
        <v>GEREMY ARMANDO HERNANDEZ CAMACHO</v>
      </c>
      <c r="O168" s="13">
        <f>IFERROR(IF(A168="SI",VLOOKUP(R168,Datos!$J$1:$K$50,2,FALSE)*C168,VLOOKUP(R168,Datos!$P$1:$T$13,2,FALSE)*C168),0)</f>
        <v>3264</v>
      </c>
      <c r="P168" s="9">
        <v>302841</v>
      </c>
      <c r="Q168" s="12" t="str">
        <f>+VLOOKUP(P168,Datos!$F:$G,2,FALSE)</f>
        <v>Jessica Maria Jose Santizo Guzman</v>
      </c>
      <c r="R168" s="9" t="s">
        <v>26</v>
      </c>
      <c r="V168" s="10">
        <f t="shared" si="2"/>
        <v>1</v>
      </c>
      <c r="W168" s="10">
        <f>+VLOOKUP(M168,Datos!$F:$H,3,FALSE)</f>
        <v>0</v>
      </c>
      <c r="X168">
        <v>0</v>
      </c>
      <c r="Y168" s="14"/>
      <c r="Z168" t="e">
        <f>VLOOKUP(M168,'[1]INDIVIDUAL UN'!$C$6:$F$222,4,FALSE)</f>
        <v>#N/A</v>
      </c>
    </row>
    <row r="169" spans="1:26" hidden="1" x14ac:dyDescent="0.35">
      <c r="A169" s="9" t="s">
        <v>25</v>
      </c>
      <c r="C169" s="10">
        <v>1</v>
      </c>
      <c r="D169" s="10" t="s">
        <v>29</v>
      </c>
      <c r="E169" s="10" t="s">
        <v>37</v>
      </c>
      <c r="F169" s="10">
        <v>4502</v>
      </c>
      <c r="G169" s="10" t="s">
        <v>249</v>
      </c>
      <c r="H169" s="11">
        <v>46279</v>
      </c>
      <c r="I169" s="11">
        <v>46279</v>
      </c>
      <c r="J169" s="12" t="str">
        <f>+VLOOKUP(K169,Datos!$A:$C,3,FALSE)</f>
        <v>SUROCCIDENTE</v>
      </c>
      <c r="K169" s="10">
        <v>89</v>
      </c>
      <c r="L169" s="12" t="str">
        <f>+VLOOKUP(K169,Datos!$A:$C,2,FALSE)</f>
        <v>LA TRINIDAD RETALHULEU</v>
      </c>
      <c r="M169" s="10">
        <v>90064210</v>
      </c>
      <c r="N169" s="12" t="str">
        <f>+VLOOKUP(M169,Datos!$F:$G,2,FALSE)</f>
        <v>GEREMY ARMANDO HERNANDEZ CAMACHO</v>
      </c>
      <c r="O169" s="13">
        <f>IFERROR(IF(A169="SI",VLOOKUP(R169,Datos!$J$1:$K$50,2,FALSE)*C169,VLOOKUP(R169,Datos!$P$1:$T$13,2,FALSE)*C169),0)</f>
        <v>816</v>
      </c>
      <c r="P169" s="9">
        <v>302841</v>
      </c>
      <c r="Q169" s="12" t="str">
        <f>+VLOOKUP(P169,Datos!$F:$G,2,FALSE)</f>
        <v>Jessica Maria Jose Santizo Guzman</v>
      </c>
      <c r="R169" s="9" t="s">
        <v>26</v>
      </c>
      <c r="V169" s="10">
        <f t="shared" si="2"/>
        <v>2</v>
      </c>
      <c r="W169" s="10">
        <f>+VLOOKUP(M169,Datos!$F:$H,3,FALSE)</f>
        <v>0</v>
      </c>
      <c r="X169">
        <v>0</v>
      </c>
      <c r="Y169" s="14"/>
      <c r="Z169" t="e">
        <f>VLOOKUP(M169,'[1]INDIVIDUAL UN'!$C$6:$F$222,4,FALSE)</f>
        <v>#N/A</v>
      </c>
    </row>
    <row r="170" spans="1:26" hidden="1" x14ac:dyDescent="0.35">
      <c r="A170" s="9" t="s">
        <v>25</v>
      </c>
      <c r="C170" s="10">
        <v>2</v>
      </c>
      <c r="D170" s="10" t="s">
        <v>29</v>
      </c>
      <c r="E170" s="10" t="s">
        <v>27</v>
      </c>
      <c r="F170" s="10">
        <v>1247</v>
      </c>
      <c r="G170" s="10" t="s">
        <v>250</v>
      </c>
      <c r="H170" s="11">
        <v>46279</v>
      </c>
      <c r="I170" s="11">
        <v>46279</v>
      </c>
      <c r="J170" s="12" t="str">
        <f>+VLOOKUP(K170,Datos!$A:$C,3,FALSE)</f>
        <v>SUROCCIDENTE</v>
      </c>
      <c r="K170" s="10">
        <v>297</v>
      </c>
      <c r="L170" s="12" t="str">
        <f>+VLOOKUP(K170,Datos!$A:$C,2,FALSE)</f>
        <v>LA TRINIDAD COATEPEQUE</v>
      </c>
      <c r="M170" s="10">
        <v>310220</v>
      </c>
      <c r="N170" s="12" t="str">
        <f>+VLOOKUP(M170,Datos!$F:$G,2,FALSE)</f>
        <v>Urias Samuel Velasquez Ardeano</v>
      </c>
      <c r="O170" s="13">
        <f>IFERROR(IF(A170="SI",VLOOKUP(R170,Datos!$J$1:$K$50,2,FALSE)*C170,VLOOKUP(R170,Datos!$P$1:$T$13,2,FALSE)*C170),0)</f>
        <v>1632</v>
      </c>
      <c r="P170" s="9">
        <v>311975</v>
      </c>
      <c r="Q170" s="12" t="str">
        <f>+VLOOKUP(P170,Datos!$F:$G,2,FALSE)</f>
        <v>Luis Eduardo Ramirez Arriaza</v>
      </c>
      <c r="R170" s="9" t="s">
        <v>26</v>
      </c>
      <c r="V170" s="10">
        <f t="shared" si="2"/>
        <v>1</v>
      </c>
      <c r="W170" s="10">
        <f>+VLOOKUP(M170,Datos!$F:$H,3,FALSE)</f>
        <v>0</v>
      </c>
      <c r="X170">
        <v>0</v>
      </c>
      <c r="Y170" s="14"/>
      <c r="Z170" t="e">
        <f>VLOOKUP(M170,'[1]INDIVIDUAL UN'!$C$6:$F$222,4,FALSE)</f>
        <v>#N/A</v>
      </c>
    </row>
    <row r="171" spans="1:26" hidden="1" x14ac:dyDescent="0.35">
      <c r="A171" s="9" t="s">
        <v>25</v>
      </c>
      <c r="C171" s="10">
        <v>2</v>
      </c>
      <c r="D171" s="10" t="s">
        <v>29</v>
      </c>
      <c r="E171" s="10" t="s">
        <v>27</v>
      </c>
      <c r="F171" s="10">
        <v>1252</v>
      </c>
      <c r="G171" s="10" t="s">
        <v>251</v>
      </c>
      <c r="H171" s="11">
        <v>46279</v>
      </c>
      <c r="I171" s="11">
        <v>46279</v>
      </c>
      <c r="J171" s="12" t="str">
        <f>+VLOOKUP(K171,Datos!$A:$C,3,FALSE)</f>
        <v>OCCIDENTE</v>
      </c>
      <c r="K171" s="10">
        <v>33</v>
      </c>
      <c r="L171" s="12" t="str">
        <f>+VLOOKUP(K171,Datos!$A:$C,2,FALSE)</f>
        <v>HUEHUETENANGO</v>
      </c>
      <c r="M171" s="10">
        <v>90023724</v>
      </c>
      <c r="N171" s="12" t="str">
        <f>+VLOOKUP(M171,Datos!$F:$G,2,FALSE)</f>
        <v xml:space="preserve">ALEXANDRA JENNYFER MATIAS GALINDO </v>
      </c>
      <c r="O171" s="13">
        <f>IFERROR(IF(A171="SI",VLOOKUP(R171,Datos!$J$1:$K$50,2,FALSE)*C171,VLOOKUP(R171,Datos!$P$1:$T$13,2,FALSE)*C171),0)</f>
        <v>1632</v>
      </c>
      <c r="P171" s="9">
        <v>313225</v>
      </c>
      <c r="Q171" s="12" t="str">
        <f>+VLOOKUP(P171,Datos!$F:$G,2,FALSE)</f>
        <v>Karen Deniss Lucas Chavez</v>
      </c>
      <c r="R171" s="9" t="s">
        <v>26</v>
      </c>
      <c r="V171" s="10">
        <f t="shared" si="2"/>
        <v>1</v>
      </c>
      <c r="W171" s="10">
        <f>+VLOOKUP(M171,Datos!$F:$H,3,FALSE)</f>
        <v>0</v>
      </c>
      <c r="X171">
        <v>0</v>
      </c>
      <c r="Y171" s="14"/>
      <c r="Z171" t="e">
        <f>VLOOKUP(M171,'[1]INDIVIDUAL UN'!$C$6:$F$222,4,FALSE)</f>
        <v>#N/A</v>
      </c>
    </row>
    <row r="172" spans="1:26" s="10" customFormat="1" hidden="1" x14ac:dyDescent="0.35">
      <c r="A172" s="9" t="s">
        <v>25</v>
      </c>
      <c r="B172" s="9"/>
      <c r="C172" s="38">
        <v>1</v>
      </c>
      <c r="D172" s="10" t="s">
        <v>29</v>
      </c>
      <c r="E172" s="23" t="s">
        <v>37</v>
      </c>
      <c r="F172" s="23">
        <v>4491</v>
      </c>
      <c r="G172" s="23" t="s">
        <v>252</v>
      </c>
      <c r="H172" s="39">
        <v>46279</v>
      </c>
      <c r="I172" s="39">
        <v>46279</v>
      </c>
      <c r="J172" s="12" t="str">
        <f>+VLOOKUP(K172,Datos!$A:$C,3,FALSE)</f>
        <v>OCCIDENTE</v>
      </c>
      <c r="K172" s="10">
        <v>65</v>
      </c>
      <c r="L172" s="12" t="str">
        <f>+VLOOKUP(K172,Datos!$A:$C,2,FALSE)</f>
        <v>PANAJACHEL</v>
      </c>
      <c r="M172" s="23">
        <v>90013868</v>
      </c>
      <c r="N172" s="12" t="str">
        <f>+VLOOKUP(M172,Datos!$F:$G,2,FALSE)</f>
        <v>CESIA IXTETELA YATAZ</v>
      </c>
      <c r="O172" s="13">
        <f>IFERROR(IF(A172="SI",VLOOKUP(R172,Datos!$J$1:$K$50,2,FALSE)*C172,VLOOKUP(R172,Datos!$P$1:$T$13,2,FALSE)*C172),0)</f>
        <v>1368</v>
      </c>
      <c r="P172" s="40">
        <v>306098</v>
      </c>
      <c r="Q172" s="12" t="str">
        <f>+VLOOKUP(P172,Datos!$F:$G,2,FALSE)</f>
        <v>Roderico Simeon Lopez Lopez</v>
      </c>
      <c r="R172" s="9" t="s">
        <v>48</v>
      </c>
      <c r="V172" s="10">
        <f t="shared" si="2"/>
        <v>1</v>
      </c>
      <c r="W172" s="10">
        <f>+VLOOKUP(M172,Datos!$F:$H,3,FALSE)</f>
        <v>0</v>
      </c>
      <c r="X172">
        <v>0</v>
      </c>
      <c r="Y172" s="20"/>
      <c r="Z172" s="10" t="e">
        <f>VLOOKUP(M172,'[1]INDIVIDUAL UN'!$C$6:$F$222,4,FALSE)</f>
        <v>#N/A</v>
      </c>
    </row>
    <row r="173" spans="1:26" s="10" customFormat="1" hidden="1" x14ac:dyDescent="0.35">
      <c r="A173" s="9" t="s">
        <v>25</v>
      </c>
      <c r="B173" s="9"/>
      <c r="C173" s="10">
        <v>1</v>
      </c>
      <c r="D173" s="10" t="s">
        <v>29</v>
      </c>
      <c r="E173" s="10" t="s">
        <v>37</v>
      </c>
      <c r="F173" s="10">
        <v>4481</v>
      </c>
      <c r="G173" s="10" t="s">
        <v>253</v>
      </c>
      <c r="H173" s="11">
        <v>46279</v>
      </c>
      <c r="I173" s="11">
        <v>46279</v>
      </c>
      <c r="J173" s="12" t="str">
        <f>+VLOOKUP(K173,Datos!$A:$C,3,FALSE)</f>
        <v>OCCIDENTE</v>
      </c>
      <c r="K173" s="10">
        <v>33</v>
      </c>
      <c r="L173" s="12" t="str">
        <f>+VLOOKUP(K173,Datos!$A:$C,2,FALSE)</f>
        <v>HUEHUETENANGO</v>
      </c>
      <c r="M173" s="10">
        <v>314636</v>
      </c>
      <c r="N173" s="12" t="str">
        <f>+VLOOKUP(M173,Datos!$F:$G,2,FALSE)</f>
        <v>Walkiria Anais Herrera Castillo</v>
      </c>
      <c r="O173" s="13">
        <f>IFERROR(IF(A173="SI",VLOOKUP(R173,Datos!$J$1:$K$50,2,FALSE)*C173,VLOOKUP(R173,Datos!$P$1:$T$13,2,FALSE)*C173),0)</f>
        <v>816</v>
      </c>
      <c r="P173" s="10">
        <v>313225</v>
      </c>
      <c r="Q173" s="12" t="str">
        <f>+VLOOKUP(P173,Datos!$F:$G,2,FALSE)</f>
        <v>Karen Deniss Lucas Chavez</v>
      </c>
      <c r="R173" s="9" t="s">
        <v>26</v>
      </c>
      <c r="V173" s="10">
        <f t="shared" si="2"/>
        <v>1</v>
      </c>
      <c r="W173" s="10">
        <f>+VLOOKUP(M173,Datos!$F:$H,3,FALSE)</f>
        <v>0</v>
      </c>
      <c r="X173">
        <v>0</v>
      </c>
      <c r="Y173" s="20"/>
      <c r="Z173" s="10" t="e">
        <f>VLOOKUP(M173,'[1]INDIVIDUAL UN'!$C$6:$F$222,4,FALSE)</f>
        <v>#N/A</v>
      </c>
    </row>
    <row r="174" spans="1:26" s="10" customFormat="1" hidden="1" x14ac:dyDescent="0.35">
      <c r="A174" s="9" t="s">
        <v>25</v>
      </c>
      <c r="B174" s="9"/>
      <c r="C174" s="10">
        <v>3</v>
      </c>
      <c r="D174" s="10" t="s">
        <v>29</v>
      </c>
      <c r="E174" s="10" t="s">
        <v>41</v>
      </c>
      <c r="F174" s="10">
        <v>651</v>
      </c>
      <c r="G174" s="10" t="s">
        <v>254</v>
      </c>
      <c r="H174" s="11">
        <v>46279</v>
      </c>
      <c r="I174" s="11">
        <v>46279</v>
      </c>
      <c r="J174" s="12" t="str">
        <f>+VLOOKUP(K174,Datos!$A:$C,3,FALSE)</f>
        <v>SUROCCIDENTE</v>
      </c>
      <c r="K174" s="10">
        <v>89</v>
      </c>
      <c r="L174" s="12" t="str">
        <f>+VLOOKUP(K174,Datos!$A:$C,2,FALSE)</f>
        <v>LA TRINIDAD RETALHULEU</v>
      </c>
      <c r="M174" s="10">
        <v>313302</v>
      </c>
      <c r="N174" s="12" t="str">
        <f>+VLOOKUP(M174,Datos!$F:$G,2,FALSE)</f>
        <v>Kimberly Guadalupe Mulul Pelico</v>
      </c>
      <c r="O174" s="13">
        <f>IFERROR(IF(A174="SI",VLOOKUP(R174,Datos!$J$1:$K$50,2,FALSE)*C174,VLOOKUP(R174,Datos!$P$1:$T$13,2,FALSE)*C174),0)</f>
        <v>2448</v>
      </c>
      <c r="P174" s="9">
        <v>302841</v>
      </c>
      <c r="Q174" s="12" t="str">
        <f>+VLOOKUP(P174,Datos!$F:$G,2,FALSE)</f>
        <v>Jessica Maria Jose Santizo Guzman</v>
      </c>
      <c r="R174" s="9" t="s">
        <v>26</v>
      </c>
      <c r="V174" s="10">
        <f t="shared" si="2"/>
        <v>1</v>
      </c>
      <c r="W174" s="10">
        <f>+VLOOKUP(M174,Datos!$F:$H,3,FALSE)</f>
        <v>0</v>
      </c>
      <c r="X174">
        <v>0</v>
      </c>
      <c r="Y174" s="20"/>
      <c r="Z174" s="10" t="e">
        <f>VLOOKUP(M174,'[1]INDIVIDUAL UN'!$C$6:$F$222,4,FALSE)</f>
        <v>#N/A</v>
      </c>
    </row>
    <row r="175" spans="1:26" s="10" customFormat="1" hidden="1" x14ac:dyDescent="0.35">
      <c r="A175" s="9" t="s">
        <v>25</v>
      </c>
      <c r="B175" s="9"/>
      <c r="C175" s="10">
        <v>1</v>
      </c>
      <c r="D175" s="10" t="s">
        <v>29</v>
      </c>
      <c r="E175" s="10" t="s">
        <v>37</v>
      </c>
      <c r="F175" s="10">
        <v>4474</v>
      </c>
      <c r="G175" s="10" t="s">
        <v>255</v>
      </c>
      <c r="H175" s="11">
        <v>46279</v>
      </c>
      <c r="I175" s="11">
        <v>46279</v>
      </c>
      <c r="J175" s="12" t="str">
        <f>+VLOOKUP(K175,Datos!$A:$C,3,FALSE)</f>
        <v>SUROCCIDENTE</v>
      </c>
      <c r="K175" s="10">
        <v>227</v>
      </c>
      <c r="L175" s="12" t="str">
        <f>+VLOOKUP(K175,Datos!$A:$C,2,FALSE)</f>
        <v>PAJAPITA</v>
      </c>
      <c r="M175" s="10">
        <v>90023752</v>
      </c>
      <c r="N175" s="12" t="str">
        <f>+VLOOKUP(M175,Datos!$F:$G,2,FALSE)</f>
        <v>EDY DIONISIO FUENTES MARTINEZ</v>
      </c>
      <c r="O175" s="13">
        <f>IFERROR(IF(A175="SI",VLOOKUP(R175,Datos!$J$1:$K$50,2,FALSE)*C175,VLOOKUP(R175,Datos!$P$1:$T$13,2,FALSE)*C175),0)</f>
        <v>816</v>
      </c>
      <c r="P175" s="9">
        <v>314738</v>
      </c>
      <c r="Q175" s="12" t="str">
        <f>+VLOOKUP(P175,Datos!$F:$G,2,FALSE)</f>
        <v>Carlos David Castillo Gamboa</v>
      </c>
      <c r="R175" s="9" t="s">
        <v>26</v>
      </c>
      <c r="V175" s="10">
        <f t="shared" si="2"/>
        <v>1</v>
      </c>
      <c r="W175" s="10">
        <f>+VLOOKUP(M175,Datos!$F:$H,3,FALSE)</f>
        <v>0</v>
      </c>
      <c r="X175">
        <v>0</v>
      </c>
      <c r="Y175" s="20"/>
      <c r="Z175" s="10" t="e">
        <f>VLOOKUP(M175,'[1]INDIVIDUAL UN'!$C$6:$F$222,4,FALSE)</f>
        <v>#N/A</v>
      </c>
    </row>
    <row r="176" spans="1:26" s="10" customFormat="1" hidden="1" x14ac:dyDescent="0.35">
      <c r="A176" s="9" t="s">
        <v>25</v>
      </c>
      <c r="B176" s="9"/>
      <c r="C176" s="16">
        <v>2</v>
      </c>
      <c r="D176" s="10" t="s">
        <v>29</v>
      </c>
      <c r="E176" s="16" t="s">
        <v>27</v>
      </c>
      <c r="F176" s="16">
        <v>1238</v>
      </c>
      <c r="G176" s="16" t="s">
        <v>256</v>
      </c>
      <c r="H176" s="11">
        <v>46279</v>
      </c>
      <c r="I176" s="41">
        <v>46279</v>
      </c>
      <c r="J176" s="12" t="str">
        <f>+VLOOKUP(K176,Datos!$A:$C,3,FALSE)</f>
        <v>SUROCCIDENTE</v>
      </c>
      <c r="K176" s="16">
        <v>227</v>
      </c>
      <c r="L176" s="12" t="str">
        <f>+VLOOKUP(K176,Datos!$A:$C,2,FALSE)</f>
        <v>PAJAPITA</v>
      </c>
      <c r="M176" s="16">
        <v>90023752</v>
      </c>
      <c r="N176" s="12" t="str">
        <f>+VLOOKUP(M176,Datos!$F:$G,2,FALSE)</f>
        <v>EDY DIONISIO FUENTES MARTINEZ</v>
      </c>
      <c r="O176" s="13">
        <f>IFERROR(IF(A176="SI",VLOOKUP(R176,Datos!$J$1:$K$50,2,FALSE)*C176,VLOOKUP(R176,Datos!$P$1:$T$13,2,FALSE)*C176),0)</f>
        <v>1632</v>
      </c>
      <c r="P176" s="16">
        <v>314738</v>
      </c>
      <c r="Q176" s="12" t="str">
        <f>+VLOOKUP(P176,Datos!$F:$G,2,FALSE)</f>
        <v>Carlos David Castillo Gamboa</v>
      </c>
      <c r="R176" s="9" t="s">
        <v>26</v>
      </c>
      <c r="V176" s="10">
        <f t="shared" si="2"/>
        <v>1</v>
      </c>
      <c r="W176" s="10">
        <f>+VLOOKUP(M176,Datos!$F:$H,3,FALSE)</f>
        <v>0</v>
      </c>
      <c r="X176">
        <v>0</v>
      </c>
      <c r="Y176" s="20"/>
      <c r="Z176" s="10" t="e">
        <f>VLOOKUP(M176,'[1]INDIVIDUAL UN'!$C$6:$F$222,4,FALSE)</f>
        <v>#N/A</v>
      </c>
    </row>
    <row r="177" spans="1:26" s="10" customFormat="1" hidden="1" x14ac:dyDescent="0.35">
      <c r="A177" s="9" t="s">
        <v>25</v>
      </c>
      <c r="B177" s="9"/>
      <c r="C177" s="10">
        <v>2</v>
      </c>
      <c r="D177" s="10" t="s">
        <v>29</v>
      </c>
      <c r="E177" s="10" t="s">
        <v>27</v>
      </c>
      <c r="F177" s="10">
        <v>1207</v>
      </c>
      <c r="G177" s="10" t="s">
        <v>257</v>
      </c>
      <c r="H177" s="11">
        <v>46279</v>
      </c>
      <c r="I177" s="18">
        <v>46276</v>
      </c>
      <c r="J177" s="12" t="str">
        <f>+VLOOKUP(K177,Datos!$A:$C,3,FALSE)</f>
        <v>SUROCCIDENTE</v>
      </c>
      <c r="K177" s="10">
        <v>227</v>
      </c>
      <c r="L177" s="12" t="str">
        <f>+VLOOKUP(K177,Datos!$A:$C,2,FALSE)</f>
        <v>PAJAPITA</v>
      </c>
      <c r="M177" s="10">
        <v>315734</v>
      </c>
      <c r="N177" s="12" t="str">
        <f>+VLOOKUP(M177,Datos!$F:$G,2,FALSE)</f>
        <v>DULCE MARINA LOPEZ SOLIS</v>
      </c>
      <c r="O177" s="13">
        <f>IFERROR(IF(A177="SI",VLOOKUP(R177,Datos!$J$1:$K$50,2,FALSE)*C177,VLOOKUP(R177,Datos!$P$1:$T$13,2,FALSE)*C177),0)</f>
        <v>1632</v>
      </c>
      <c r="P177" s="10">
        <v>314738</v>
      </c>
      <c r="Q177" s="12" t="str">
        <f>+VLOOKUP(P177,Datos!$F:$G,2,FALSE)</f>
        <v>Carlos David Castillo Gamboa</v>
      </c>
      <c r="R177" s="9" t="s">
        <v>26</v>
      </c>
      <c r="V177" s="10">
        <f t="shared" si="2"/>
        <v>1</v>
      </c>
      <c r="W177" s="10">
        <f>+VLOOKUP(M177,Datos!$F:$H,3,FALSE)</f>
        <v>0</v>
      </c>
      <c r="X177">
        <v>0</v>
      </c>
      <c r="Y177" s="20"/>
      <c r="Z177" s="10" t="e">
        <f>VLOOKUP(M177,'[1]INDIVIDUAL UN'!$C$6:$F$222,4,FALSE)</f>
        <v>#N/A</v>
      </c>
    </row>
    <row r="178" spans="1:26" s="10" customFormat="1" hidden="1" x14ac:dyDescent="0.35">
      <c r="A178" s="9" t="s">
        <v>25</v>
      </c>
      <c r="B178" s="9"/>
      <c r="C178" s="10">
        <v>1</v>
      </c>
      <c r="D178" s="10" t="s">
        <v>29</v>
      </c>
      <c r="E178" s="10" t="s">
        <v>55</v>
      </c>
      <c r="F178" s="10">
        <v>422</v>
      </c>
      <c r="G178" s="10" t="s">
        <v>109</v>
      </c>
      <c r="H178" s="11">
        <v>46279</v>
      </c>
      <c r="I178" s="18">
        <v>46276</v>
      </c>
      <c r="J178" s="12" t="str">
        <f>+VLOOKUP(K178,Datos!$A:$C,3,FALSE)</f>
        <v>SUROCCIDENTE</v>
      </c>
      <c r="K178" s="10">
        <v>227</v>
      </c>
      <c r="L178" s="12" t="str">
        <f>+VLOOKUP(K178,Datos!$A:$C,2,FALSE)</f>
        <v>PAJAPITA</v>
      </c>
      <c r="M178" s="10">
        <v>315734</v>
      </c>
      <c r="N178" s="12" t="str">
        <f>+VLOOKUP(M178,Datos!$F:$G,2,FALSE)</f>
        <v>DULCE MARINA LOPEZ SOLIS</v>
      </c>
      <c r="O178" s="13">
        <f>IFERROR(IF(A178="SI",VLOOKUP(R178,Datos!$J$1:$K$50,2,FALSE)*C178,VLOOKUP(R178,Datos!$P$1:$T$13,2,FALSE)*C178),0)</f>
        <v>1092</v>
      </c>
      <c r="P178" s="10">
        <v>314738</v>
      </c>
      <c r="Q178" s="12" t="str">
        <f>+VLOOKUP(P178,Datos!$F:$G,2,FALSE)</f>
        <v>Carlos David Castillo Gamboa</v>
      </c>
      <c r="R178" s="9" t="s">
        <v>57</v>
      </c>
      <c r="V178" s="10">
        <f t="shared" si="2"/>
        <v>2</v>
      </c>
      <c r="W178" s="10">
        <f>+VLOOKUP(M178,Datos!$F:$H,3,FALSE)</f>
        <v>0</v>
      </c>
      <c r="X178">
        <v>0</v>
      </c>
      <c r="Y178" s="20"/>
      <c r="Z178" s="10" t="e">
        <f>VLOOKUP(M178,'[1]INDIVIDUAL UN'!$C$6:$F$222,4,FALSE)</f>
        <v>#N/A</v>
      </c>
    </row>
    <row r="179" spans="1:26" s="10" customFormat="1" hidden="1" x14ac:dyDescent="0.35">
      <c r="A179" s="9" t="s">
        <v>25</v>
      </c>
      <c r="B179" s="9"/>
      <c r="C179" s="10">
        <v>1</v>
      </c>
      <c r="D179" s="10" t="s">
        <v>29</v>
      </c>
      <c r="E179" s="10" t="s">
        <v>37</v>
      </c>
      <c r="F179" s="10">
        <v>4479</v>
      </c>
      <c r="G179" s="10" t="s">
        <v>258</v>
      </c>
      <c r="H179" s="11">
        <v>46279</v>
      </c>
      <c r="I179" s="11">
        <v>46279</v>
      </c>
      <c r="J179" s="12" t="str">
        <f>+VLOOKUP(K179,Datos!$A:$C,3,FALSE)</f>
        <v>OCCIDENTE</v>
      </c>
      <c r="K179" s="10">
        <v>126</v>
      </c>
      <c r="L179" s="12" t="str">
        <f>+VLOOKUP(K179,Datos!$A:$C,2,FALSE)</f>
        <v>CHICHICASTENANGO</v>
      </c>
      <c r="M179" s="10">
        <v>310610</v>
      </c>
      <c r="N179" s="12" t="str">
        <f>+VLOOKUP(M179,Datos!$F:$G,2,FALSE)</f>
        <v>Ricky Edson Lux Cassia</v>
      </c>
      <c r="O179" s="13">
        <f>IFERROR(IF(A179="SI",VLOOKUP(R179,Datos!$J$1:$K$50,2,FALSE)*C179,VLOOKUP(R179,Datos!$P$1:$T$13,2,FALSE)*C179),0)</f>
        <v>2736</v>
      </c>
      <c r="P179" s="10">
        <v>303674</v>
      </c>
      <c r="Q179" s="12" t="str">
        <f>+VLOOKUP(P179,Datos!$F:$G,2,FALSE)</f>
        <v>Imelda Elizabeth Castro Rodas</v>
      </c>
      <c r="R179" s="9" t="s">
        <v>156</v>
      </c>
      <c r="V179" s="10">
        <f t="shared" si="2"/>
        <v>1</v>
      </c>
      <c r="W179" s="10">
        <f>+VLOOKUP(M179,Datos!$F:$H,3,FALSE)</f>
        <v>0</v>
      </c>
      <c r="X179">
        <v>0</v>
      </c>
      <c r="Y179" s="20"/>
      <c r="Z179" s="10" t="e">
        <f>VLOOKUP(M179,'[1]INDIVIDUAL UN'!$C$6:$F$222,4,FALSE)</f>
        <v>#N/A</v>
      </c>
    </row>
    <row r="180" spans="1:26" hidden="1" x14ac:dyDescent="0.35">
      <c r="A180" s="9" t="s">
        <v>25</v>
      </c>
      <c r="C180" s="16">
        <v>2</v>
      </c>
      <c r="D180" s="10" t="s">
        <v>29</v>
      </c>
      <c r="E180" s="16" t="s">
        <v>27</v>
      </c>
      <c r="F180" s="16">
        <v>1217</v>
      </c>
      <c r="G180" s="16" t="s">
        <v>259</v>
      </c>
      <c r="H180" s="11">
        <v>46279</v>
      </c>
      <c r="I180" s="42">
        <v>46277</v>
      </c>
      <c r="J180" s="12" t="str">
        <f>+VLOOKUP(K180,Datos!$A:$C,3,FALSE)</f>
        <v>OCCIDENTE</v>
      </c>
      <c r="K180" s="10">
        <v>155</v>
      </c>
      <c r="L180" s="12" t="str">
        <f>+VLOOKUP(K180,Datos!$A:$C,2,FALSE)</f>
        <v>TECPAN</v>
      </c>
      <c r="M180" s="16">
        <v>314450</v>
      </c>
      <c r="N180" s="12" t="str">
        <f>+VLOOKUP(M180,Datos!$F:$G,2,FALSE)</f>
        <v>Rafael Anibal Sut Tucubal</v>
      </c>
      <c r="O180" s="13">
        <f>IFERROR(IF(A180="SI",VLOOKUP(R180,Datos!$J$1:$K$50,2,FALSE)*C180,VLOOKUP(R180,Datos!$P$1:$T$13,2,FALSE)*C180),0)</f>
        <v>1632</v>
      </c>
      <c r="P180" s="16">
        <v>305955</v>
      </c>
      <c r="Q180" s="12" t="str">
        <f>+VLOOKUP(P180,Datos!$F:$G,2,FALSE)</f>
        <v>Jorge Alfredo Gutierrez Rodriguez</v>
      </c>
      <c r="R180" s="9" t="s">
        <v>26</v>
      </c>
      <c r="V180" s="10">
        <f t="shared" si="2"/>
        <v>1</v>
      </c>
      <c r="W180" s="10">
        <f>+VLOOKUP(M180,Datos!$F:$H,3,FALSE)</f>
        <v>0</v>
      </c>
      <c r="X180">
        <v>0</v>
      </c>
      <c r="Y180" s="14"/>
      <c r="Z180" t="e">
        <f>VLOOKUP(M180,'[1]INDIVIDUAL UN'!$C$6:$F$222,4,FALSE)</f>
        <v>#N/A</v>
      </c>
    </row>
    <row r="181" spans="1:26" hidden="1" x14ac:dyDescent="0.35">
      <c r="A181" s="9" t="s">
        <v>25</v>
      </c>
      <c r="B181" s="43"/>
      <c r="C181" s="16">
        <v>1</v>
      </c>
      <c r="D181" s="10" t="s">
        <v>29</v>
      </c>
      <c r="E181" s="16" t="s">
        <v>37</v>
      </c>
      <c r="F181" s="16">
        <v>4418</v>
      </c>
      <c r="G181" s="16" t="s">
        <v>260</v>
      </c>
      <c r="H181" s="11">
        <v>46279</v>
      </c>
      <c r="I181" s="42">
        <v>46276</v>
      </c>
      <c r="J181" s="44" t="str">
        <f>+VLOOKUP(K181,Datos!$A:$C,3,FALSE)</f>
        <v>OCCIDENTE</v>
      </c>
      <c r="K181" s="10">
        <v>155</v>
      </c>
      <c r="L181" s="44" t="str">
        <f>+VLOOKUP(K181,Datos!$A:$C,2,FALSE)</f>
        <v>TECPAN</v>
      </c>
      <c r="M181" s="16">
        <v>315629</v>
      </c>
      <c r="N181" s="44" t="str">
        <f>+VLOOKUP(M181,Datos!$F:$G,2,FALSE)</f>
        <v>Rucuch Choguaj, Miguel</v>
      </c>
      <c r="O181" s="13">
        <f>IFERROR(IF(A181="SI",VLOOKUP(R181,Datos!$J$1:$K$50,2,FALSE)*C181,VLOOKUP(R181,Datos!$P$1:$T$13,2,FALSE)*C181),0)</f>
        <v>816</v>
      </c>
      <c r="P181" s="10">
        <v>305955</v>
      </c>
      <c r="Q181" s="44" t="str">
        <f>+VLOOKUP(P181,Datos!$F:$G,2,FALSE)</f>
        <v>Jorge Alfredo Gutierrez Rodriguez</v>
      </c>
      <c r="R181" s="43" t="s">
        <v>26</v>
      </c>
      <c r="S181" s="45"/>
      <c r="V181" s="10">
        <f t="shared" si="2"/>
        <v>1</v>
      </c>
      <c r="W181" s="10">
        <f>+VLOOKUP(M181,Datos!$F:$H,3,FALSE)</f>
        <v>0</v>
      </c>
      <c r="X181">
        <v>0</v>
      </c>
      <c r="Y181" s="14"/>
      <c r="Z181" t="e">
        <f>VLOOKUP(M181,'[1]INDIVIDUAL UN'!$C$6:$F$222,4,FALSE)</f>
        <v>#N/A</v>
      </c>
    </row>
    <row r="182" spans="1:26" hidden="1" x14ac:dyDescent="0.35">
      <c r="A182" s="9" t="s">
        <v>25</v>
      </c>
      <c r="C182" s="10">
        <v>4</v>
      </c>
      <c r="D182" s="10" t="s">
        <v>29</v>
      </c>
      <c r="E182" s="10" t="s">
        <v>30</v>
      </c>
      <c r="F182" s="10">
        <v>756</v>
      </c>
      <c r="G182" s="10" t="s">
        <v>261</v>
      </c>
      <c r="H182" s="11">
        <v>46280</v>
      </c>
      <c r="I182" s="11">
        <f>+H182</f>
        <v>46280</v>
      </c>
      <c r="J182" s="12" t="str">
        <f>+VLOOKUP(K182,Datos!$A:$C,3,FALSE)</f>
        <v>OCCIDENTE</v>
      </c>
      <c r="K182" s="10">
        <v>243</v>
      </c>
      <c r="L182" s="12" t="str">
        <f>+VLOOKUP(K182,Datos!$A:$C,2,FALSE)</f>
        <v>PRADERA XELA</v>
      </c>
      <c r="M182" s="10">
        <v>90040632</v>
      </c>
      <c r="N182" s="12" t="str">
        <f>+VLOOKUP(M182,Datos!$F:$G,2,FALSE)</f>
        <v>Brandon Alexander Velasquez Acabal</v>
      </c>
      <c r="O182" s="13">
        <f>IFERROR(IF(A182="SI",VLOOKUP(R182,Datos!$J$1:$K$50,2,FALSE)*C182,VLOOKUP(R182,Datos!$P$1:$T$13,2,FALSE)*C182),0)</f>
        <v>3264</v>
      </c>
      <c r="P182" s="9">
        <v>306902</v>
      </c>
      <c r="Q182" s="12" t="str">
        <f>+VLOOKUP(P182,Datos!$F:$G,2,FALSE)</f>
        <v>Allan Kalleb Garcia Cahuex</v>
      </c>
      <c r="R182" s="9" t="s">
        <v>26</v>
      </c>
      <c r="V182" s="10">
        <f t="shared" si="2"/>
        <v>1</v>
      </c>
      <c r="W182" s="10">
        <f>+VLOOKUP(M182,Datos!$F:$H,3,FALSE)</f>
        <v>0</v>
      </c>
      <c r="X182">
        <v>0</v>
      </c>
      <c r="Y182" s="14"/>
      <c r="Z182" t="e">
        <f>VLOOKUP(M182,'[1]INDIVIDUAL UN'!$C$6:$F$222,4,FALSE)</f>
        <v>#N/A</v>
      </c>
    </row>
    <row r="183" spans="1:26" s="48" customFormat="1" hidden="1" x14ac:dyDescent="0.35">
      <c r="A183" s="9" t="s">
        <v>25</v>
      </c>
      <c r="B183" s="9"/>
      <c r="C183" s="10">
        <v>1</v>
      </c>
      <c r="D183" s="10" t="s">
        <v>29</v>
      </c>
      <c r="E183" s="10" t="s">
        <v>262</v>
      </c>
      <c r="F183" s="10">
        <v>2597</v>
      </c>
      <c r="G183" s="10" t="s">
        <v>263</v>
      </c>
      <c r="H183" s="11">
        <v>46281</v>
      </c>
      <c r="I183" s="11">
        <v>46281</v>
      </c>
      <c r="J183" s="12" t="str">
        <f>+VLOOKUP(K183,Datos!$A:$C,3,FALSE)</f>
        <v>OCCIDENTE</v>
      </c>
      <c r="K183" s="10">
        <v>56</v>
      </c>
      <c r="L183" s="12" t="str">
        <f>+VLOOKUP(K183,Datos!$A:$C,2,FALSE)</f>
        <v>LOS ALTOS</v>
      </c>
      <c r="M183" s="10">
        <v>90081234</v>
      </c>
      <c r="N183" s="12" t="str">
        <f>+VLOOKUP(M183,Datos!$F:$G,2,FALSE)</f>
        <v xml:space="preserve">FRANCISCA CARINA SANCHEZ MACHIC </v>
      </c>
      <c r="O183" s="13">
        <f>IFERROR(IF(A183="SI",VLOOKUP(R183,Datos!$J$1:$K$50,2,FALSE)*C183,VLOOKUP(R183,Datos!$P$1:$T$13,2,FALSE)*C183),0)</f>
        <v>1008</v>
      </c>
      <c r="P183" s="9">
        <v>90027915</v>
      </c>
      <c r="Q183" s="12" t="str">
        <f>+VLOOKUP(P183,Datos!$F:$G,2,FALSE)</f>
        <v>FRANDI MAZARIEGOS</v>
      </c>
      <c r="R183" s="9" t="s">
        <v>101</v>
      </c>
      <c r="S183" s="10"/>
      <c r="T183" s="46"/>
      <c r="U183" s="46"/>
      <c r="V183" s="10">
        <f t="shared" si="2"/>
        <v>1</v>
      </c>
      <c r="W183" s="46">
        <f>+VLOOKUP(M183,Datos!$F:$H,3,FALSE)</f>
        <v>0</v>
      </c>
      <c r="X183">
        <v>0</v>
      </c>
      <c r="Y183" s="47"/>
      <c r="Z183" s="48" t="e">
        <f>VLOOKUP(M183,'[1]INDIVIDUAL UN'!$C$6:$F$222,4,FALSE)</f>
        <v>#N/A</v>
      </c>
    </row>
    <row r="184" spans="1:26" hidden="1" x14ac:dyDescent="0.35">
      <c r="A184" s="9" t="s">
        <v>25</v>
      </c>
      <c r="C184" s="10">
        <v>2</v>
      </c>
      <c r="D184" s="10" t="s">
        <v>29</v>
      </c>
      <c r="E184" s="10" t="s">
        <v>27</v>
      </c>
      <c r="F184" s="10">
        <v>1262</v>
      </c>
      <c r="G184" s="10" t="s">
        <v>264</v>
      </c>
      <c r="H184" s="11">
        <v>46281</v>
      </c>
      <c r="I184" s="11">
        <v>46281</v>
      </c>
      <c r="J184" s="12" t="str">
        <f>+VLOOKUP(K184,Datos!$A:$C,3,FALSE)</f>
        <v>SUROCCIDENTE</v>
      </c>
      <c r="K184" s="10">
        <v>143</v>
      </c>
      <c r="L184" s="12" t="str">
        <f>+VLOOKUP(K184,Datos!$A:$C,2,FALSE)</f>
        <v>RETALHULEU LA SIRENA</v>
      </c>
      <c r="M184" s="10">
        <v>312294</v>
      </c>
      <c r="N184" s="12" t="str">
        <f>+VLOOKUP(M184,Datos!$F:$G,2,FALSE)</f>
        <v>Selvin Geronimo Aguilar</v>
      </c>
      <c r="O184" s="13">
        <f>IFERROR(IF(A184="SI",VLOOKUP(R184,Datos!$J$1:$K$50,2,FALSE)*C184,VLOOKUP(R184,Datos!$P$1:$T$13,2,FALSE)*C184),0)</f>
        <v>1632</v>
      </c>
      <c r="P184" s="9">
        <v>313194</v>
      </c>
      <c r="Q184" s="12" t="str">
        <f>+VLOOKUP(P184,Datos!$F:$G,2,FALSE)</f>
        <v>Mary Isabel Xiloj Tajiboy</v>
      </c>
      <c r="R184" s="9" t="s">
        <v>26</v>
      </c>
      <c r="V184" s="10">
        <f t="shared" si="2"/>
        <v>1</v>
      </c>
      <c r="W184" s="10">
        <f>+VLOOKUP(M184,Datos!$F:$H,3,FALSE)</f>
        <v>0</v>
      </c>
      <c r="X184">
        <v>0</v>
      </c>
      <c r="Y184" s="14"/>
      <c r="Z184" t="e">
        <f>VLOOKUP(M184,'[1]INDIVIDUAL UN'!$C$6:$F$222,4,FALSE)</f>
        <v>#N/A</v>
      </c>
    </row>
    <row r="185" spans="1:26" hidden="1" x14ac:dyDescent="0.35">
      <c r="A185" s="9" t="s">
        <v>25</v>
      </c>
      <c r="C185" s="10">
        <v>3</v>
      </c>
      <c r="D185" s="10" t="s">
        <v>29</v>
      </c>
      <c r="E185" s="10" t="s">
        <v>41</v>
      </c>
      <c r="F185" s="10">
        <v>649</v>
      </c>
      <c r="G185" s="10" t="s">
        <v>265</v>
      </c>
      <c r="H185" s="11">
        <v>46281</v>
      </c>
      <c r="I185" s="11">
        <v>46281</v>
      </c>
      <c r="J185" s="12" t="str">
        <f>+VLOOKUP(K185,Datos!$A:$C,3,FALSE)</f>
        <v>SUROCCIDENTE</v>
      </c>
      <c r="K185" s="10">
        <v>143</v>
      </c>
      <c r="L185" s="12" t="str">
        <f>+VLOOKUP(K185,Datos!$A:$C,2,FALSE)</f>
        <v>RETALHULEU LA SIRENA</v>
      </c>
      <c r="M185" s="10">
        <v>312294</v>
      </c>
      <c r="N185" s="12" t="str">
        <f>+VLOOKUP(M185,Datos!$F:$G,2,FALSE)</f>
        <v>Selvin Geronimo Aguilar</v>
      </c>
      <c r="O185" s="13">
        <f>IFERROR(IF(A185="SI",VLOOKUP(R185,Datos!$J$1:$K$50,2,FALSE)*C185,VLOOKUP(R185,Datos!$P$1:$T$13,2,FALSE)*C185),0)</f>
        <v>2448</v>
      </c>
      <c r="P185" s="9">
        <v>313194</v>
      </c>
      <c r="Q185" s="12" t="str">
        <f>+VLOOKUP(P185,Datos!$F:$G,2,FALSE)</f>
        <v>Mary Isabel Xiloj Tajiboy</v>
      </c>
      <c r="R185" s="9" t="s">
        <v>26</v>
      </c>
      <c r="V185" s="10">
        <f t="shared" si="2"/>
        <v>1</v>
      </c>
      <c r="W185" s="10">
        <f>+VLOOKUP(M185,Datos!$F:$H,3,FALSE)</f>
        <v>0</v>
      </c>
      <c r="X185">
        <v>0</v>
      </c>
      <c r="Y185" s="14"/>
      <c r="Z185" t="e">
        <f>VLOOKUP(M185,'[1]INDIVIDUAL UN'!$C$6:$F$222,4,FALSE)</f>
        <v>#N/A</v>
      </c>
    </row>
    <row r="186" spans="1:26" hidden="1" x14ac:dyDescent="0.35">
      <c r="A186" s="9" t="s">
        <v>25</v>
      </c>
      <c r="C186" s="10">
        <v>2</v>
      </c>
      <c r="D186" s="10" t="s">
        <v>29</v>
      </c>
      <c r="E186" s="10" t="s">
        <v>27</v>
      </c>
      <c r="F186" s="10">
        <v>1268</v>
      </c>
      <c r="G186" s="10" t="s">
        <v>266</v>
      </c>
      <c r="H186" s="11">
        <v>46281</v>
      </c>
      <c r="I186" s="11">
        <v>46281</v>
      </c>
      <c r="J186" s="12" t="str">
        <f>+VLOOKUP(K186,Datos!$A:$C,3,FALSE)</f>
        <v>SUROCCIDENTE</v>
      </c>
      <c r="K186" s="10">
        <v>297</v>
      </c>
      <c r="L186" s="12" t="str">
        <f>+VLOOKUP(K186,Datos!$A:$C,2,FALSE)</f>
        <v>LA TRINIDAD COATEPEQUE</v>
      </c>
      <c r="M186" s="10">
        <v>90063371</v>
      </c>
      <c r="N186" s="12" t="str">
        <f>+VLOOKUP(M186,Datos!$F:$G,2,FALSE)</f>
        <v>JOSIAS ANTONIO CABRERA TIRADO</v>
      </c>
      <c r="O186" s="13">
        <f>IFERROR(IF(A186="SI",VLOOKUP(R186,Datos!$J$1:$K$50,2,FALSE)*C186,VLOOKUP(R186,Datos!$P$1:$T$13,2,FALSE)*C186),0)</f>
        <v>2736</v>
      </c>
      <c r="P186" s="9">
        <v>315175</v>
      </c>
      <c r="Q186" s="12" t="str">
        <f>+VLOOKUP(P186,Datos!$F:$G,2,FALSE)</f>
        <v>Heber Nehemias Velasquez Lorenzo</v>
      </c>
      <c r="R186" s="9" t="s">
        <v>48</v>
      </c>
      <c r="V186" s="10">
        <f t="shared" si="2"/>
        <v>1</v>
      </c>
      <c r="W186" s="10">
        <f>+VLOOKUP(M186,Datos!$F:$H,3,FALSE)</f>
        <v>0</v>
      </c>
      <c r="X186">
        <v>0</v>
      </c>
      <c r="Y186" s="14"/>
      <c r="Z186" t="e">
        <f>VLOOKUP(M186,'[1]INDIVIDUAL UN'!$C$6:$F$222,4,FALSE)</f>
        <v>#N/A</v>
      </c>
    </row>
    <row r="187" spans="1:26" hidden="1" x14ac:dyDescent="0.35">
      <c r="A187" s="9" t="s">
        <v>25</v>
      </c>
      <c r="C187" s="25">
        <v>4</v>
      </c>
      <c r="D187" s="10" t="s">
        <v>29</v>
      </c>
      <c r="E187" s="10" t="s">
        <v>104</v>
      </c>
      <c r="F187" s="10">
        <v>41</v>
      </c>
      <c r="G187" s="10" t="s">
        <v>267</v>
      </c>
      <c r="H187" s="11">
        <v>46281</v>
      </c>
      <c r="I187" s="11">
        <v>46281</v>
      </c>
      <c r="J187" s="12" t="str">
        <f>+VLOOKUP(K187,Datos!$A:$C,3,FALSE)</f>
        <v>SUROCCIDENTE</v>
      </c>
      <c r="K187" s="10">
        <v>31</v>
      </c>
      <c r="L187" s="12" t="str">
        <f>+VLOOKUP(K187,Datos!$A:$C,2,FALSE)</f>
        <v>COATEPEQUE</v>
      </c>
      <c r="M187" s="10">
        <v>315679</v>
      </c>
      <c r="N187" s="12" t="str">
        <f>+VLOOKUP(M187,Datos!$F:$G,2,FALSE)</f>
        <v>ANGELA XIOMARA PONCIANO GONZALEZ</v>
      </c>
      <c r="O187" s="13">
        <f>IFERROR(IF(A187="SI",VLOOKUP(R187,Datos!$J$1:$K$50,2,FALSE)*C187,VLOOKUP(R187,Datos!$P$1:$T$13,2,FALSE)*C187),0)</f>
        <v>4368</v>
      </c>
      <c r="P187" s="9">
        <v>311258</v>
      </c>
      <c r="Q187" s="12" t="str">
        <f>+VLOOKUP(P187,Datos!$F:$G,2,FALSE)</f>
        <v>Victor Otoniel Sebastian Cardona</v>
      </c>
      <c r="R187" s="9" t="s">
        <v>57</v>
      </c>
      <c r="V187" s="10">
        <f t="shared" si="2"/>
        <v>1</v>
      </c>
      <c r="W187" s="10">
        <f>+VLOOKUP(M187,Datos!$F:$H,3,FALSE)</f>
        <v>0</v>
      </c>
      <c r="X187">
        <v>0</v>
      </c>
      <c r="Y187" s="14"/>
      <c r="Z187" t="e">
        <f>VLOOKUP(M187,'[1]INDIVIDUAL UN'!$C$6:$F$222,4,FALSE)</f>
        <v>#N/A</v>
      </c>
    </row>
    <row r="188" spans="1:26" hidden="1" x14ac:dyDescent="0.35">
      <c r="A188" s="9" t="s">
        <v>25</v>
      </c>
      <c r="C188" s="16">
        <v>2</v>
      </c>
      <c r="D188" s="16" t="s">
        <v>29</v>
      </c>
      <c r="E188" s="16" t="s">
        <v>268</v>
      </c>
      <c r="F188" s="16">
        <v>328</v>
      </c>
      <c r="G188" s="16" t="s">
        <v>269</v>
      </c>
      <c r="H188" s="11">
        <v>46281</v>
      </c>
      <c r="I188" s="11">
        <v>46281</v>
      </c>
      <c r="J188" s="12" t="str">
        <f>+VLOOKUP(K188,Datos!$A:$C,3,FALSE)</f>
        <v>SUROCCIDENTE</v>
      </c>
      <c r="K188" s="16">
        <v>31</v>
      </c>
      <c r="L188" s="12" t="str">
        <f>+VLOOKUP(K188,Datos!$A:$C,2,FALSE)</f>
        <v>COATEPEQUE</v>
      </c>
      <c r="M188" s="16">
        <v>315679</v>
      </c>
      <c r="N188" s="12" t="str">
        <f>+VLOOKUP(M188,Datos!$F:$G,2,FALSE)</f>
        <v>ANGELA XIOMARA PONCIANO GONZALEZ</v>
      </c>
      <c r="O188" s="13">
        <f>IFERROR(IF(A188="SI",VLOOKUP(R188,Datos!$J$1:$K$50,2,FALSE)*C188,VLOOKUP(R188,Datos!$P$1:$T$13,2,FALSE)*C188),0)</f>
        <v>4008</v>
      </c>
      <c r="P188" s="16">
        <v>311258</v>
      </c>
      <c r="Q188" s="12" t="str">
        <f>+VLOOKUP(P188,Datos!$F:$G,2,FALSE)</f>
        <v>Victor Otoniel Sebastian Cardona</v>
      </c>
      <c r="R188" s="9" t="s">
        <v>54</v>
      </c>
      <c r="V188" s="10">
        <f t="shared" si="2"/>
        <v>1</v>
      </c>
      <c r="W188" s="10">
        <f>+VLOOKUP(M188,Datos!$F:$H,3,FALSE)</f>
        <v>0</v>
      </c>
      <c r="X188">
        <v>0</v>
      </c>
      <c r="Y188" s="14"/>
      <c r="Z188" t="e">
        <f>VLOOKUP(M188,'[1]INDIVIDUAL UN'!$C$6:$F$222,4,FALSE)</f>
        <v>#N/A</v>
      </c>
    </row>
    <row r="189" spans="1:26" hidden="1" x14ac:dyDescent="0.35">
      <c r="A189" s="9" t="s">
        <v>25</v>
      </c>
      <c r="C189" s="16">
        <v>1</v>
      </c>
      <c r="D189" s="16" t="s">
        <v>29</v>
      </c>
      <c r="E189" s="16" t="s">
        <v>268</v>
      </c>
      <c r="F189" s="16">
        <v>2954</v>
      </c>
      <c r="G189" s="16" t="s">
        <v>270</v>
      </c>
      <c r="H189" s="11">
        <v>46281</v>
      </c>
      <c r="I189" s="11">
        <v>46281</v>
      </c>
      <c r="J189" s="12" t="str">
        <f>+VLOOKUP(K189,Datos!$A:$C,3,FALSE)</f>
        <v>SUROCCIDENTE</v>
      </c>
      <c r="K189" s="16">
        <v>31</v>
      </c>
      <c r="L189" s="12" t="str">
        <f>+VLOOKUP(K189,Datos!$A:$C,2,FALSE)</f>
        <v>COATEPEQUE</v>
      </c>
      <c r="M189" s="16">
        <v>315679</v>
      </c>
      <c r="N189" s="12" t="str">
        <f>+VLOOKUP(M189,Datos!$F:$G,2,FALSE)</f>
        <v>ANGELA XIOMARA PONCIANO GONZALEZ</v>
      </c>
      <c r="O189" s="13">
        <f>IFERROR(IF(A189="SI",VLOOKUP(R189,Datos!$J$1:$K$50,2,FALSE)*C189,VLOOKUP(R189,Datos!$P$1:$T$13,2,FALSE)*C189),0)</f>
        <v>1908</v>
      </c>
      <c r="P189" s="16">
        <v>311258</v>
      </c>
      <c r="Q189" s="12" t="str">
        <f>+VLOOKUP(P189,Datos!$F:$G,2,FALSE)</f>
        <v>Victor Otoniel Sebastian Cardona</v>
      </c>
      <c r="R189" s="9" t="s">
        <v>85</v>
      </c>
      <c r="V189" s="10">
        <f t="shared" si="2"/>
        <v>1</v>
      </c>
      <c r="W189" s="10">
        <f>+VLOOKUP(M189,Datos!$F:$H,3,FALSE)</f>
        <v>0</v>
      </c>
      <c r="X189">
        <v>0</v>
      </c>
      <c r="Y189" s="14"/>
      <c r="Z189" t="e">
        <f>VLOOKUP(M189,'[1]INDIVIDUAL UN'!$C$6:$F$222,4,FALSE)</f>
        <v>#N/A</v>
      </c>
    </row>
    <row r="190" spans="1:26" hidden="1" x14ac:dyDescent="0.35">
      <c r="A190" s="9" t="s">
        <v>25</v>
      </c>
      <c r="C190" s="10">
        <v>2</v>
      </c>
      <c r="D190" s="10" t="s">
        <v>29</v>
      </c>
      <c r="E190" s="10" t="s">
        <v>191</v>
      </c>
      <c r="F190" s="10">
        <v>1257</v>
      </c>
      <c r="G190" s="10" t="s">
        <v>271</v>
      </c>
      <c r="H190" s="11">
        <v>46281</v>
      </c>
      <c r="I190" s="11">
        <v>46281</v>
      </c>
      <c r="J190" s="12" t="str">
        <f>+VLOOKUP(K190,Datos!$A:$C,3,FALSE)</f>
        <v>SUROCCIDENTE</v>
      </c>
      <c r="K190" s="10">
        <v>297</v>
      </c>
      <c r="L190" s="12" t="str">
        <f>+VLOOKUP(K190,Datos!$A:$C,2,FALSE)</f>
        <v>LA TRINIDAD COATEPEQUE</v>
      </c>
      <c r="M190" s="10">
        <v>306248</v>
      </c>
      <c r="N190" s="12" t="str">
        <f>+VLOOKUP(M190,Datos!$F:$G,2,FALSE)</f>
        <v>Gladys Susana Marin De Leon</v>
      </c>
      <c r="O190" s="13">
        <f>IFERROR(IF(A190="SI",VLOOKUP(R190,Datos!$J$1:$K$50,2,FALSE)*C190,VLOOKUP(R190,Datos!$P$1:$T$13,2,FALSE)*C190),0)</f>
        <v>1632</v>
      </c>
      <c r="P190" s="9">
        <v>311975</v>
      </c>
      <c r="Q190" s="12" t="str">
        <f>+VLOOKUP(P190,Datos!$F:$G,2,FALSE)</f>
        <v>Luis Eduardo Ramirez Arriaza</v>
      </c>
      <c r="R190" s="9" t="s">
        <v>26</v>
      </c>
      <c r="V190" s="10">
        <f t="shared" si="2"/>
        <v>1</v>
      </c>
      <c r="W190" s="10">
        <f>+VLOOKUP(M190,Datos!$F:$H,3,FALSE)</f>
        <v>0</v>
      </c>
      <c r="X190">
        <v>0</v>
      </c>
      <c r="Y190" s="14"/>
      <c r="Z190" t="e">
        <f>VLOOKUP(M190,'[1]INDIVIDUAL UN'!$C$6:$F$222,4,FALSE)</f>
        <v>#N/A</v>
      </c>
    </row>
    <row r="191" spans="1:26" hidden="1" x14ac:dyDescent="0.35">
      <c r="A191" s="9" t="s">
        <v>25</v>
      </c>
      <c r="C191" s="23">
        <v>3</v>
      </c>
      <c r="D191" s="23" t="s">
        <v>29</v>
      </c>
      <c r="E191" s="23" t="s">
        <v>86</v>
      </c>
      <c r="F191" s="23">
        <v>345</v>
      </c>
      <c r="G191" s="23" t="s">
        <v>272</v>
      </c>
      <c r="H191" s="39">
        <v>46281</v>
      </c>
      <c r="I191" s="39">
        <v>46281</v>
      </c>
      <c r="J191" s="12" t="str">
        <f>+VLOOKUP(K191,Datos!$A:$C,3,FALSE)</f>
        <v>OCCIDENTE</v>
      </c>
      <c r="K191" s="23">
        <v>65</v>
      </c>
      <c r="L191" s="12" t="str">
        <f>+VLOOKUP(K191,Datos!$A:$C,2,FALSE)</f>
        <v>PANAJACHEL</v>
      </c>
      <c r="M191" s="35">
        <v>312996</v>
      </c>
      <c r="N191" s="12" t="str">
        <f>+VLOOKUP(M191,Datos!$F:$G,2,FALSE)</f>
        <v>Marlen Aida Pelaez Ramirez</v>
      </c>
      <c r="O191" s="13">
        <f>IFERROR(IF(A191="SI",VLOOKUP(R191,Datos!$J$1:$K$50,2,FALSE)*C191,VLOOKUP(R191,Datos!$P$1:$T$13,2,FALSE)*C191),0)</f>
        <v>4284</v>
      </c>
      <c r="P191" s="49">
        <v>305532</v>
      </c>
      <c r="Q191" s="12" t="str">
        <f>+VLOOKUP(P191,Datos!$F:$G,2,FALSE)</f>
        <v>Nicolas Ajiquichi Ibate</v>
      </c>
      <c r="R191" s="9" t="s">
        <v>36</v>
      </c>
      <c r="V191" s="10">
        <f t="shared" si="2"/>
        <v>1</v>
      </c>
      <c r="W191" s="10">
        <f>+VLOOKUP(M191,Datos!$F:$H,3,FALSE)</f>
        <v>0</v>
      </c>
      <c r="X191">
        <v>0</v>
      </c>
      <c r="Y191" s="14"/>
      <c r="Z191" t="e">
        <f>VLOOKUP(M191,'[1]INDIVIDUAL UN'!$C$6:$F$222,4,FALSE)</f>
        <v>#N/A</v>
      </c>
    </row>
    <row r="192" spans="1:26" hidden="1" x14ac:dyDescent="0.35">
      <c r="A192" s="9" t="s">
        <v>25</v>
      </c>
      <c r="C192" s="23">
        <v>2</v>
      </c>
      <c r="D192" s="23" t="s">
        <v>29</v>
      </c>
      <c r="E192" s="23" t="s">
        <v>27</v>
      </c>
      <c r="F192" s="23">
        <v>1260</v>
      </c>
      <c r="G192" s="23" t="s">
        <v>273</v>
      </c>
      <c r="H192" s="39">
        <v>46281</v>
      </c>
      <c r="I192" s="39">
        <v>46281</v>
      </c>
      <c r="J192" s="12" t="str">
        <f>+VLOOKUP(K192,Datos!$A:$C,3,FALSE)</f>
        <v>OCCIDENTE</v>
      </c>
      <c r="K192" s="23">
        <v>65</v>
      </c>
      <c r="L192" s="12" t="str">
        <f>+VLOOKUP(K192,Datos!$A:$C,2,FALSE)</f>
        <v>PANAJACHEL</v>
      </c>
      <c r="M192" s="35">
        <v>90013868</v>
      </c>
      <c r="N192" s="12" t="str">
        <f>+VLOOKUP(M192,Datos!$F:$G,2,FALSE)</f>
        <v>CESIA IXTETELA YATAZ</v>
      </c>
      <c r="O192" s="13">
        <f>IFERROR(IF(A192="SI",VLOOKUP(R192,Datos!$J$1:$K$50,2,FALSE)*C192,VLOOKUP(R192,Datos!$P$1:$T$13,2,FALSE)*C192),0)</f>
        <v>2736</v>
      </c>
      <c r="P192" s="49">
        <v>306098</v>
      </c>
      <c r="Q192" s="12" t="str">
        <f>+VLOOKUP(P192,Datos!$F:$G,2,FALSE)</f>
        <v>Roderico Simeon Lopez Lopez</v>
      </c>
      <c r="R192" s="9" t="s">
        <v>48</v>
      </c>
      <c r="V192" s="10">
        <f t="shared" si="2"/>
        <v>1</v>
      </c>
      <c r="W192" s="10">
        <f>+VLOOKUP(M192,Datos!$F:$H,3,FALSE)</f>
        <v>0</v>
      </c>
      <c r="X192">
        <v>0</v>
      </c>
      <c r="Y192" s="14"/>
      <c r="Z192" t="e">
        <f>VLOOKUP(M192,'[1]INDIVIDUAL UN'!$C$6:$F$222,4,FALSE)</f>
        <v>#N/A</v>
      </c>
    </row>
    <row r="193" spans="1:26" hidden="1" x14ac:dyDescent="0.35">
      <c r="A193" s="9" t="s">
        <v>25</v>
      </c>
      <c r="C193" s="23">
        <v>1</v>
      </c>
      <c r="D193" s="23" t="s">
        <v>29</v>
      </c>
      <c r="E193" s="23" t="s">
        <v>37</v>
      </c>
      <c r="F193" s="23">
        <v>4520</v>
      </c>
      <c r="G193" s="23" t="s">
        <v>274</v>
      </c>
      <c r="H193" s="39">
        <v>46281</v>
      </c>
      <c r="I193" s="39">
        <v>46281</v>
      </c>
      <c r="J193" s="12" t="str">
        <f>+VLOOKUP(K193,Datos!$A:$C,3,FALSE)</f>
        <v>OCCIDENTE</v>
      </c>
      <c r="K193" s="23">
        <v>65</v>
      </c>
      <c r="L193" s="12" t="str">
        <f>+VLOOKUP(K193,Datos!$A:$C,2,FALSE)</f>
        <v>PANAJACHEL</v>
      </c>
      <c r="M193" s="23">
        <v>313318</v>
      </c>
      <c r="N193" s="12" t="str">
        <f>+VLOOKUP(M193,Datos!$F:$G,2,FALSE)</f>
        <v>Claudia Yesenia Ramos Perez</v>
      </c>
      <c r="O193" s="13">
        <f>IFERROR(IF(A193="SI",VLOOKUP(R193,Datos!$J$1:$K$50,2,FALSE)*C193,VLOOKUP(R193,Datos!$P$1:$T$13,2,FALSE)*C193),0)</f>
        <v>1368</v>
      </c>
      <c r="P193" s="40">
        <v>305532</v>
      </c>
      <c r="Q193" s="12" t="str">
        <f>+VLOOKUP(P193,Datos!$F:$G,2,FALSE)</f>
        <v>Nicolas Ajiquichi Ibate</v>
      </c>
      <c r="R193" s="9" t="s">
        <v>48</v>
      </c>
      <c r="V193" s="10">
        <f t="shared" si="2"/>
        <v>1</v>
      </c>
      <c r="W193" s="10">
        <f>+VLOOKUP(M193,Datos!$F:$H,3,FALSE)</f>
        <v>0</v>
      </c>
      <c r="X193">
        <v>0</v>
      </c>
      <c r="Y193" s="14"/>
      <c r="Z193" t="e">
        <f>VLOOKUP(M193,'[1]INDIVIDUAL UN'!$C$6:$F$222,4,FALSE)</f>
        <v>#N/A</v>
      </c>
    </row>
    <row r="194" spans="1:26" hidden="1" x14ac:dyDescent="0.35">
      <c r="A194" s="9" t="s">
        <v>25</v>
      </c>
      <c r="C194" s="10">
        <v>2</v>
      </c>
      <c r="D194" s="10" t="s">
        <v>216</v>
      </c>
      <c r="E194" s="10" t="s">
        <v>27</v>
      </c>
      <c r="F194" s="10">
        <v>1269</v>
      </c>
      <c r="G194" s="10" t="s">
        <v>275</v>
      </c>
      <c r="H194" s="11">
        <v>46281</v>
      </c>
      <c r="I194" s="11">
        <v>46281</v>
      </c>
      <c r="J194" s="12" t="str">
        <f>+VLOOKUP(K194,Datos!$A:$C,3,FALSE)</f>
        <v>OCCIDENTE</v>
      </c>
      <c r="K194" s="10">
        <v>33</v>
      </c>
      <c r="L194" s="12" t="str">
        <f>+VLOOKUP(K194,Datos!$A:$C,2,FALSE)</f>
        <v>HUEHUETENANGO</v>
      </c>
      <c r="M194" s="10">
        <v>314636</v>
      </c>
      <c r="N194" s="12" t="str">
        <f>+VLOOKUP(M194,Datos!$F:$G,2,FALSE)</f>
        <v>Walkiria Anais Herrera Castillo</v>
      </c>
      <c r="O194" s="13">
        <f>IFERROR(IF(A194="SI",VLOOKUP(R194,Datos!$J$1:$K$50,2,FALSE)*C194,VLOOKUP(R194,Datos!$P$1:$T$13,2,FALSE)*C194),0)</f>
        <v>1632</v>
      </c>
      <c r="P194" s="9">
        <v>313225</v>
      </c>
      <c r="Q194" s="12" t="str">
        <f>+VLOOKUP(P194,Datos!$F:$G,2,FALSE)</f>
        <v>Karen Deniss Lucas Chavez</v>
      </c>
      <c r="R194" s="9" t="s">
        <v>26</v>
      </c>
      <c r="V194" s="10">
        <f t="shared" ref="V194:V257" si="3">+COUNTIFS($G$2:$G$444,G194)</f>
        <v>1</v>
      </c>
      <c r="W194" s="10">
        <f>+VLOOKUP(M194,Datos!$F:$H,3,FALSE)</f>
        <v>0</v>
      </c>
      <c r="X194">
        <v>0</v>
      </c>
      <c r="Y194" s="14"/>
      <c r="Z194" t="e">
        <f>VLOOKUP(M194,'[1]INDIVIDUAL UN'!$C$6:$F$222,4,FALSE)</f>
        <v>#N/A</v>
      </c>
    </row>
    <row r="195" spans="1:26" hidden="1" x14ac:dyDescent="0.35">
      <c r="A195" s="9" t="s">
        <v>25</v>
      </c>
      <c r="C195" s="10">
        <v>1</v>
      </c>
      <c r="D195" s="10" t="s">
        <v>216</v>
      </c>
      <c r="E195" s="10" t="s">
        <v>34</v>
      </c>
      <c r="F195" s="10">
        <v>2956</v>
      </c>
      <c r="G195" s="10" t="s">
        <v>276</v>
      </c>
      <c r="H195" s="11">
        <v>46281</v>
      </c>
      <c r="I195" s="11">
        <v>46281</v>
      </c>
      <c r="J195" s="12" t="str">
        <f>+VLOOKUP(K195,Datos!$A:$C,3,FALSE)</f>
        <v>OCCIDENTE</v>
      </c>
      <c r="K195" s="10">
        <v>33</v>
      </c>
      <c r="L195" s="12" t="str">
        <f>+VLOOKUP(K195,Datos!$A:$C,2,FALSE)</f>
        <v>HUEHUETENANGO</v>
      </c>
      <c r="M195" s="10">
        <v>90084483</v>
      </c>
      <c r="N195" s="12" t="str">
        <f>+VLOOKUP(M195,Datos!$F:$G,2,FALSE)</f>
        <v>ASTRID MILETCHA RAYMUNDO HIDALGO</v>
      </c>
      <c r="O195" s="13">
        <f>IFERROR(IF(A195="SI",VLOOKUP(R195,Datos!$J$1:$K$50,2,FALSE)*C195,VLOOKUP(R195,Datos!$P$1:$T$13,2,FALSE)*C195),0)</f>
        <v>2004</v>
      </c>
      <c r="P195" s="9">
        <v>301644</v>
      </c>
      <c r="Q195" s="12" t="str">
        <f>+VLOOKUP(P195,Datos!$F:$G,2,FALSE)</f>
        <v>Imelda Eugenia Recinos Martinez</v>
      </c>
      <c r="R195" s="9" t="s">
        <v>54</v>
      </c>
      <c r="V195" s="10">
        <f t="shared" si="3"/>
        <v>1</v>
      </c>
      <c r="W195" s="10">
        <f>+VLOOKUP(M195,Datos!$F:$H,3,FALSE)</f>
        <v>0</v>
      </c>
      <c r="X195">
        <v>0</v>
      </c>
      <c r="Y195" s="14"/>
      <c r="Z195" t="e">
        <f>VLOOKUP(M195,'[1]INDIVIDUAL UN'!$C$6:$F$222,4,FALSE)</f>
        <v>#N/A</v>
      </c>
    </row>
    <row r="196" spans="1:26" hidden="1" x14ac:dyDescent="0.35">
      <c r="A196" s="9" t="s">
        <v>25</v>
      </c>
      <c r="C196" s="10">
        <v>1</v>
      </c>
      <c r="D196" s="10" t="s">
        <v>216</v>
      </c>
      <c r="E196" s="10" t="s">
        <v>205</v>
      </c>
      <c r="F196" s="10">
        <v>2480</v>
      </c>
      <c r="G196" s="10" t="s">
        <v>277</v>
      </c>
      <c r="H196" s="11">
        <v>46281</v>
      </c>
      <c r="I196" s="11">
        <v>46281</v>
      </c>
      <c r="J196" s="12" t="str">
        <f>+VLOOKUP(K196,Datos!$A:$C,3,FALSE)</f>
        <v>OCCIDENTE</v>
      </c>
      <c r="K196" s="10">
        <v>33</v>
      </c>
      <c r="L196" s="12" t="str">
        <f>+VLOOKUP(K196,Datos!$A:$C,2,FALSE)</f>
        <v>HUEHUETENANGO</v>
      </c>
      <c r="M196" s="10">
        <v>90045663</v>
      </c>
      <c r="N196" s="12" t="str">
        <f>+VLOOKUP(M196,Datos!$F:$G,2,FALSE)</f>
        <v>MICHELLE JAMILETH MARTINEZ GARCIA</v>
      </c>
      <c r="O196" s="13">
        <f>IFERROR(IF(A196="SI",VLOOKUP(R196,Datos!$J$1:$K$50,2,FALSE)*C196,VLOOKUP(R196,Datos!$P$1:$T$13,2,FALSE)*C196),0)</f>
        <v>1704</v>
      </c>
      <c r="P196" s="9">
        <v>301644</v>
      </c>
      <c r="Q196" s="12" t="str">
        <f>+VLOOKUP(P196,Datos!$F:$G,2,FALSE)</f>
        <v>Imelda Eugenia Recinos Martinez</v>
      </c>
      <c r="R196" s="9" t="s">
        <v>184</v>
      </c>
      <c r="V196" s="10">
        <f t="shared" si="3"/>
        <v>1</v>
      </c>
      <c r="W196" s="10">
        <f>+VLOOKUP(M196,Datos!$F:$H,3,FALSE)</f>
        <v>0</v>
      </c>
      <c r="X196">
        <v>0</v>
      </c>
      <c r="Y196" s="14"/>
      <c r="Z196" t="e">
        <f>VLOOKUP(M196,'[1]INDIVIDUAL UN'!$C$6:$F$222,4,FALSE)</f>
        <v>#N/A</v>
      </c>
    </row>
    <row r="197" spans="1:26" hidden="1" x14ac:dyDescent="0.35">
      <c r="A197" s="9" t="s">
        <v>25</v>
      </c>
      <c r="C197" s="10">
        <v>1</v>
      </c>
      <c r="D197" s="10" t="s">
        <v>216</v>
      </c>
      <c r="E197" s="10" t="s">
        <v>205</v>
      </c>
      <c r="F197" s="10">
        <v>2479</v>
      </c>
      <c r="G197" s="10" t="s">
        <v>278</v>
      </c>
      <c r="H197" s="11">
        <v>46281</v>
      </c>
      <c r="I197" s="11">
        <v>46281</v>
      </c>
      <c r="J197" s="12" t="str">
        <f>+VLOOKUP(K197,Datos!$A:$C,3,FALSE)</f>
        <v>OCCIDENTE</v>
      </c>
      <c r="K197" s="10">
        <v>33</v>
      </c>
      <c r="L197" s="12" t="str">
        <f>+VLOOKUP(K197,Datos!$A:$C,2,FALSE)</f>
        <v>HUEHUETENANGO</v>
      </c>
      <c r="M197" s="10">
        <v>315944</v>
      </c>
      <c r="N197" s="12" t="str">
        <f>+VLOOKUP(M197,Datos!$F:$G,2,FALSE)</f>
        <v>MARIA EULISSA ADAMARY XUTUC VILLATORO</v>
      </c>
      <c r="O197" s="13">
        <f>IFERROR(IF(A197="SI",VLOOKUP(R197,Datos!$J$1:$K$50,2,FALSE)*C197,VLOOKUP(R197,Datos!$P$1:$T$13,2,FALSE)*C197),0)</f>
        <v>1704</v>
      </c>
      <c r="P197" s="10">
        <v>301644</v>
      </c>
      <c r="Q197" s="12" t="str">
        <f>+VLOOKUP(P197,Datos!$F:$G,2,FALSE)</f>
        <v>Imelda Eugenia Recinos Martinez</v>
      </c>
      <c r="R197" s="9" t="s">
        <v>184</v>
      </c>
      <c r="V197" s="10">
        <f t="shared" si="3"/>
        <v>1</v>
      </c>
      <c r="W197" s="10">
        <f>+VLOOKUP(M197,Datos!$F:$H,3,FALSE)</f>
        <v>0</v>
      </c>
      <c r="X197">
        <v>0</v>
      </c>
      <c r="Y197" s="14"/>
      <c r="Z197" t="e">
        <f>VLOOKUP(M197,'[1]INDIVIDUAL UN'!$C$6:$F$222,4,FALSE)</f>
        <v>#N/A</v>
      </c>
    </row>
    <row r="198" spans="1:26" hidden="1" x14ac:dyDescent="0.35">
      <c r="A198" s="9" t="s">
        <v>25</v>
      </c>
      <c r="C198" s="16">
        <v>4</v>
      </c>
      <c r="D198" s="16" t="s">
        <v>216</v>
      </c>
      <c r="E198" s="16" t="s">
        <v>189</v>
      </c>
      <c r="F198" s="16">
        <v>246</v>
      </c>
      <c r="G198" s="16" t="s">
        <v>279</v>
      </c>
      <c r="H198" s="11">
        <v>46281</v>
      </c>
      <c r="I198" s="11">
        <v>46281</v>
      </c>
      <c r="J198" s="12" t="str">
        <f>+VLOOKUP(K198,Datos!$A:$C,3,FALSE)</f>
        <v>OCCIDENTE</v>
      </c>
      <c r="K198" s="16">
        <v>33</v>
      </c>
      <c r="L198" s="12" t="str">
        <f>+VLOOKUP(K198,Datos!$A:$C,2,FALSE)</f>
        <v>HUEHUETENANGO</v>
      </c>
      <c r="M198" s="16">
        <v>90023724</v>
      </c>
      <c r="N198" s="12" t="str">
        <f>+VLOOKUP(M198,Datos!$F:$G,2,FALSE)</f>
        <v xml:space="preserve">ALEXANDRA JENNYFER MATIAS GALINDO </v>
      </c>
      <c r="O198" s="13">
        <f>IFERROR(IF(A198="SI",VLOOKUP(R198,Datos!$J$1:$K$50,2,FALSE)*C198,VLOOKUP(R198,Datos!$P$1:$T$13,2,FALSE)*C198),0)</f>
        <v>7632</v>
      </c>
      <c r="P198" s="16">
        <v>313225</v>
      </c>
      <c r="Q198" s="12" t="str">
        <f>+VLOOKUP(P198,Datos!$F:$G,2,FALSE)</f>
        <v>Karen Deniss Lucas Chavez</v>
      </c>
      <c r="R198" s="9" t="s">
        <v>85</v>
      </c>
      <c r="V198" s="10">
        <f t="shared" si="3"/>
        <v>1</v>
      </c>
      <c r="W198" s="10">
        <f>+VLOOKUP(M198,Datos!$F:$H,3,FALSE)</f>
        <v>0</v>
      </c>
      <c r="X198">
        <v>0</v>
      </c>
      <c r="Y198" s="14"/>
      <c r="Z198" t="e">
        <f>VLOOKUP(M198,'[1]INDIVIDUAL UN'!$C$6:$F$222,4,FALSE)</f>
        <v>#N/A</v>
      </c>
    </row>
    <row r="199" spans="1:26" hidden="1" x14ac:dyDescent="0.35">
      <c r="A199" s="9" t="s">
        <v>25</v>
      </c>
      <c r="C199" s="10">
        <v>1</v>
      </c>
      <c r="D199" s="10" t="s">
        <v>227</v>
      </c>
      <c r="E199" s="15" t="s">
        <v>37</v>
      </c>
      <c r="F199" s="15">
        <v>4539</v>
      </c>
      <c r="G199" s="15" t="s">
        <v>280</v>
      </c>
      <c r="H199" s="11">
        <v>46281</v>
      </c>
      <c r="I199" s="11">
        <v>46281</v>
      </c>
      <c r="J199" s="12" t="str">
        <f>+VLOOKUP(K199,Datos!$A:$C,3,FALSE)</f>
        <v>OCCIDENTE</v>
      </c>
      <c r="K199" s="10">
        <v>28</v>
      </c>
      <c r="L199" s="12" t="str">
        <f>+VLOOKUP(K199,Datos!$A:$C,2,FALSE)</f>
        <v>SUCURSAL QUETZALTENANGO</v>
      </c>
      <c r="M199" s="10">
        <v>90024418</v>
      </c>
      <c r="N199" s="12" t="str">
        <f>+VLOOKUP(M199,Datos!$F:$G,2,FALSE)</f>
        <v xml:space="preserve">EDNA GABRIELA RAMIREZ </v>
      </c>
      <c r="O199" s="13">
        <f>IFERROR(IF(A199="SI",VLOOKUP(R199,Datos!$J$1:$K$50,2,FALSE)*C199,VLOOKUP(R199,Datos!$P$1:$T$13,2,FALSE)*C199),0)</f>
        <v>816</v>
      </c>
      <c r="P199" s="9">
        <v>313644</v>
      </c>
      <c r="Q199" s="12" t="str">
        <f>+VLOOKUP(P199,Datos!$F:$G,2,FALSE)</f>
        <v>Estefani Elizabeth Tzul Macario</v>
      </c>
      <c r="R199" s="9" t="s">
        <v>26</v>
      </c>
      <c r="V199" s="10">
        <f t="shared" si="3"/>
        <v>1</v>
      </c>
      <c r="W199" s="10">
        <f>+VLOOKUP(M199,Datos!$F:$H,3,FALSE)</f>
        <v>0</v>
      </c>
      <c r="X199">
        <v>0</v>
      </c>
      <c r="Y199" s="14"/>
      <c r="Z199" t="e">
        <f>VLOOKUP(M199,'[1]INDIVIDUAL UN'!$C$6:$F$222,4,FALSE)</f>
        <v>#N/A</v>
      </c>
    </row>
    <row r="200" spans="1:26" hidden="1" x14ac:dyDescent="0.35">
      <c r="A200" s="9" t="s">
        <v>25</v>
      </c>
      <c r="C200" s="10">
        <v>1</v>
      </c>
      <c r="D200" s="10"/>
      <c r="E200" s="10" t="s">
        <v>37</v>
      </c>
      <c r="F200" s="10">
        <v>4525</v>
      </c>
      <c r="G200" s="10" t="s">
        <v>281</v>
      </c>
      <c r="H200" s="11">
        <v>46281</v>
      </c>
      <c r="I200" s="11">
        <v>46281</v>
      </c>
      <c r="J200" s="12" t="str">
        <f>+VLOOKUP(K200,Datos!$A:$C,3,FALSE)</f>
        <v>OCCIDENTE</v>
      </c>
      <c r="K200" s="10">
        <v>246</v>
      </c>
      <c r="L200" s="12" t="str">
        <f>+VLOOKUP(K200,Datos!$A:$C,2,FALSE)</f>
        <v>SANTA CRUZ BARILLAS</v>
      </c>
      <c r="M200" s="10">
        <v>316120</v>
      </c>
      <c r="N200" s="12" t="str">
        <f>+VLOOKUP(M200,Datos!$F:$G,2,FALSE)</f>
        <v>JUANA CANDELARIA LORENZO MATEO</v>
      </c>
      <c r="O200" s="13">
        <f>IFERROR(IF(A200="SI",VLOOKUP(R200,Datos!$J$1:$K$50,2,FALSE)*C200,VLOOKUP(R200,Datos!$P$1:$T$13,2,FALSE)*C200),0)</f>
        <v>4104</v>
      </c>
      <c r="P200" s="9">
        <v>304166</v>
      </c>
      <c r="Q200" s="12" t="str">
        <f>+VLOOKUP(P200,Datos!$F:$G,2,FALSE)</f>
        <v>Maviela Bibianeth Castillo Avila</v>
      </c>
      <c r="R200" s="9" t="s">
        <v>135</v>
      </c>
      <c r="V200" s="10">
        <f t="shared" si="3"/>
        <v>1</v>
      </c>
      <c r="W200" s="10">
        <f>+VLOOKUP(M200,Datos!$F:$H,3,FALSE)</f>
        <v>0</v>
      </c>
      <c r="X200">
        <v>0</v>
      </c>
      <c r="Y200" s="14"/>
      <c r="Z200" t="e">
        <f>VLOOKUP(M200,'[1]INDIVIDUAL UN'!$C$6:$F$222,4,FALSE)</f>
        <v>#N/A</v>
      </c>
    </row>
    <row r="201" spans="1:26" hidden="1" x14ac:dyDescent="0.35">
      <c r="A201" s="9" t="s">
        <v>25</v>
      </c>
      <c r="C201" s="10">
        <v>2</v>
      </c>
      <c r="D201" s="10"/>
      <c r="E201" s="10" t="s">
        <v>27</v>
      </c>
      <c r="F201" s="10">
        <v>1267</v>
      </c>
      <c r="G201" s="10" t="s">
        <v>282</v>
      </c>
      <c r="H201" s="11">
        <v>46281</v>
      </c>
      <c r="I201" s="11">
        <v>46281</v>
      </c>
      <c r="J201" s="12" t="str">
        <f>+VLOOKUP(K201,Datos!$A:$C,3,FALSE)</f>
        <v>OCCIDENTE</v>
      </c>
      <c r="K201" s="10">
        <v>246</v>
      </c>
      <c r="L201" s="12" t="str">
        <f>+VLOOKUP(K201,Datos!$A:$C,2,FALSE)</f>
        <v>SANTA CRUZ BARILLAS</v>
      </c>
      <c r="M201" s="10">
        <v>316120</v>
      </c>
      <c r="N201" s="12" t="str">
        <f>+VLOOKUP(M201,Datos!$F:$G,2,FALSE)</f>
        <v>JUANA CANDELARIA LORENZO MATEO</v>
      </c>
      <c r="O201" s="13">
        <f>IFERROR(IF(A201="SI",VLOOKUP(R201,Datos!$J$1:$K$50,2,FALSE)*C201,VLOOKUP(R201,Datos!$P$1:$T$13,2,FALSE)*C201),0)</f>
        <v>1632</v>
      </c>
      <c r="P201" s="9">
        <v>304166</v>
      </c>
      <c r="Q201" s="12" t="str">
        <f>+VLOOKUP(P201,Datos!$F:$G,2,FALSE)</f>
        <v>Maviela Bibianeth Castillo Avila</v>
      </c>
      <c r="R201" s="9" t="s">
        <v>26</v>
      </c>
      <c r="V201" s="10">
        <f t="shared" si="3"/>
        <v>1</v>
      </c>
      <c r="W201" s="10">
        <f>+VLOOKUP(M201,Datos!$F:$H,3,FALSE)</f>
        <v>0</v>
      </c>
      <c r="X201">
        <v>0</v>
      </c>
      <c r="Y201" s="14"/>
      <c r="Z201" t="e">
        <f>VLOOKUP(M201,'[1]INDIVIDUAL UN'!$C$6:$F$222,4,FALSE)</f>
        <v>#N/A</v>
      </c>
    </row>
    <row r="202" spans="1:26" hidden="1" x14ac:dyDescent="0.35">
      <c r="A202" s="9" t="s">
        <v>25</v>
      </c>
      <c r="C202" s="10">
        <v>2</v>
      </c>
      <c r="D202" s="10" t="s">
        <v>29</v>
      </c>
      <c r="E202" s="10" t="s">
        <v>27</v>
      </c>
      <c r="F202" s="10">
        <v>1273</v>
      </c>
      <c r="G202" s="10" t="s">
        <v>283</v>
      </c>
      <c r="H202" s="11">
        <v>46281</v>
      </c>
      <c r="I202" s="18">
        <v>46281</v>
      </c>
      <c r="J202" s="12" t="str">
        <f>+VLOOKUP(K202,Datos!$A:$C,3,FALSE)</f>
        <v>SUROCCIDENTE</v>
      </c>
      <c r="K202" s="10">
        <v>227</v>
      </c>
      <c r="L202" s="12" t="str">
        <f>+VLOOKUP(K202,Datos!$A:$C,2,FALSE)</f>
        <v>PAJAPITA</v>
      </c>
      <c r="M202" s="10">
        <v>90084484</v>
      </c>
      <c r="N202" s="12" t="str">
        <f>+VLOOKUP(M202,Datos!$F:$G,2,FALSE)</f>
        <v>JENIFER DANIELA ZACARIAS LOPEZ</v>
      </c>
      <c r="O202" s="13">
        <f>IFERROR(IF(A202="SI",VLOOKUP(R202,Datos!$J$1:$K$50,2,FALSE)*C202,VLOOKUP(R202,Datos!$P$1:$T$13,2,FALSE)*C202),0)</f>
        <v>1632</v>
      </c>
      <c r="P202" s="10">
        <v>316011</v>
      </c>
      <c r="Q202" s="12" t="str">
        <f>+VLOOKUP(P202,[3]Datos!$F:$G,2,FALSE)</f>
        <v>KEVIN MAUEL PEREZ OROZCO</v>
      </c>
      <c r="R202" s="9" t="s">
        <v>26</v>
      </c>
      <c r="V202" s="10">
        <f t="shared" si="3"/>
        <v>1</v>
      </c>
      <c r="W202" s="10">
        <f>+VLOOKUP(M202,Datos!$F:$H,3,FALSE)</f>
        <v>0</v>
      </c>
      <c r="X202">
        <v>0</v>
      </c>
      <c r="Y202" s="14"/>
      <c r="Z202" t="e">
        <f>VLOOKUP(M202,'[1]INDIVIDUAL UN'!$C$6:$F$222,4,FALSE)</f>
        <v>#N/A</v>
      </c>
    </row>
    <row r="203" spans="1:26" hidden="1" x14ac:dyDescent="0.35">
      <c r="A203" s="9" t="s">
        <v>25</v>
      </c>
      <c r="C203" s="10">
        <v>3</v>
      </c>
      <c r="D203" s="10" t="s">
        <v>29</v>
      </c>
      <c r="E203" s="10" t="s">
        <v>41</v>
      </c>
      <c r="F203" s="10">
        <v>663</v>
      </c>
      <c r="G203" s="10" t="s">
        <v>284</v>
      </c>
      <c r="H203" s="11">
        <v>46281</v>
      </c>
      <c r="I203" s="11">
        <v>46281</v>
      </c>
      <c r="J203" s="12" t="str">
        <f>+VLOOKUP(K203,Datos!$A:$C,3,FALSE)</f>
        <v>SUROCCIDENTE</v>
      </c>
      <c r="K203" s="10">
        <v>227</v>
      </c>
      <c r="L203" s="12" t="str">
        <f>+VLOOKUP(K203,Datos!$A:$C,2,FALSE)</f>
        <v>PAJAPITA</v>
      </c>
      <c r="M203" s="10">
        <v>90019192</v>
      </c>
      <c r="N203" s="12" t="str">
        <f>+VLOOKUP(M203,Datos!$F:$G,2,FALSE)</f>
        <v>AXEL YONELDIS GASPAR JUAREZ</v>
      </c>
      <c r="O203" s="13">
        <f>IFERROR(IF(A203="SI",VLOOKUP(R203,Datos!$J$1:$K$50,2,FALSE)*C203,VLOOKUP(R203,Datos!$P$1:$T$13,2,FALSE)*C203),0)</f>
        <v>2448</v>
      </c>
      <c r="P203" s="9">
        <v>316011</v>
      </c>
      <c r="Q203" s="12" t="str">
        <f>+VLOOKUP(P203,Datos!$F:$G,2,FALSE)</f>
        <v>KEVIN MAUEL PEREZ OROZCO</v>
      </c>
      <c r="R203" s="9" t="s">
        <v>26</v>
      </c>
      <c r="V203" s="10">
        <f t="shared" si="3"/>
        <v>1</v>
      </c>
      <c r="W203" s="10">
        <f>+VLOOKUP(M203,Datos!$F:$H,3,FALSE)</f>
        <v>0</v>
      </c>
      <c r="X203">
        <v>0</v>
      </c>
      <c r="Y203" s="14"/>
      <c r="Z203" t="e">
        <f>VLOOKUP(M203,'[1]INDIVIDUAL UN'!$C$6:$F$222,4,FALSE)</f>
        <v>#N/A</v>
      </c>
    </row>
    <row r="204" spans="1:26" hidden="1" x14ac:dyDescent="0.35">
      <c r="A204" s="9" t="s">
        <v>25</v>
      </c>
      <c r="C204" s="10">
        <v>2</v>
      </c>
      <c r="D204" s="10" t="s">
        <v>285</v>
      </c>
      <c r="E204" s="10" t="s">
        <v>268</v>
      </c>
      <c r="F204" s="10">
        <v>327</v>
      </c>
      <c r="G204" s="10" t="s">
        <v>286</v>
      </c>
      <c r="H204" s="11">
        <v>46281</v>
      </c>
      <c r="I204" s="11">
        <v>46281</v>
      </c>
      <c r="J204" s="12" t="str">
        <f>+VLOOKUP(K204,Datos!$A:$C,3,FALSE)</f>
        <v>OCCIDENTE</v>
      </c>
      <c r="K204" s="10">
        <v>56</v>
      </c>
      <c r="L204" s="12" t="str">
        <f>+VLOOKUP(K204,Datos!$A:$C,2,FALSE)</f>
        <v>LOS ALTOS</v>
      </c>
      <c r="M204" s="10">
        <v>90040129</v>
      </c>
      <c r="N204" s="12" t="str">
        <f>+VLOOKUP(M204,Datos!$F:$G,2,FALSE)</f>
        <v>SANDRA PATRICIA IXTABALAN SANCHEZ </v>
      </c>
      <c r="O204" s="13">
        <f>IFERROR(IF(A204="SI",VLOOKUP(R204,Datos!$J$1:$K$50,2,FALSE)*C204,VLOOKUP(R204,Datos!$P$1:$T$13,2,FALSE)*C204),0)</f>
        <v>4008</v>
      </c>
      <c r="P204" s="9">
        <v>308266</v>
      </c>
      <c r="Q204" s="12" t="str">
        <f>+VLOOKUP(P204,Datos!$F:$G,2,FALSE)</f>
        <v>Julio Cesar De Leon Huinac</v>
      </c>
      <c r="R204" s="9" t="s">
        <v>54</v>
      </c>
      <c r="V204" s="10">
        <f t="shared" si="3"/>
        <v>1</v>
      </c>
      <c r="W204" s="10">
        <f>+VLOOKUP(M204,Datos!$F:$H,3,FALSE)</f>
        <v>0</v>
      </c>
      <c r="X204">
        <v>0</v>
      </c>
      <c r="Y204" s="14"/>
      <c r="Z204" t="e">
        <f>VLOOKUP(M204,'[1]INDIVIDUAL UN'!$C$6:$F$222,4,FALSE)</f>
        <v>#N/A</v>
      </c>
    </row>
    <row r="205" spans="1:26" hidden="1" x14ac:dyDescent="0.35">
      <c r="A205" s="9" t="s">
        <v>25</v>
      </c>
      <c r="C205" s="10">
        <v>4</v>
      </c>
      <c r="D205" s="10" t="s">
        <v>29</v>
      </c>
      <c r="E205" s="10" t="s">
        <v>30</v>
      </c>
      <c r="F205" s="10">
        <v>762</v>
      </c>
      <c r="G205" s="10" t="s">
        <v>287</v>
      </c>
      <c r="H205" s="11">
        <v>46281</v>
      </c>
      <c r="I205" s="11">
        <v>46281</v>
      </c>
      <c r="J205" s="12" t="str">
        <f>+VLOOKUP(K205,Datos!$A:$C,3,FALSE)</f>
        <v>SUROCCIDENTE</v>
      </c>
      <c r="K205" s="10">
        <v>297</v>
      </c>
      <c r="L205" s="12" t="str">
        <f>+VLOOKUP(K205,Datos!$A:$C,2,FALSE)</f>
        <v>LA TRINIDAD COATEPEQUE</v>
      </c>
      <c r="M205" s="10">
        <v>312831</v>
      </c>
      <c r="N205" s="12" t="str">
        <f>+VLOOKUP(M205,Datos!$F:$G,2,FALSE)</f>
        <v>Cindy Yojana Mendoza Cajas</v>
      </c>
      <c r="O205" s="13">
        <f>IFERROR(IF(A205="SI",VLOOKUP(R205,Datos!$J$1:$K$50,2,FALSE)*C205,VLOOKUP(R205,Datos!$P$1:$T$13,2,FALSE)*C205),0)</f>
        <v>3264</v>
      </c>
      <c r="P205" s="9">
        <v>311975</v>
      </c>
      <c r="Q205" s="12" t="str">
        <f>+VLOOKUP(P205,Datos!$F:$G,2,FALSE)</f>
        <v>Luis Eduardo Ramirez Arriaza</v>
      </c>
      <c r="R205" s="9" t="s">
        <v>26</v>
      </c>
      <c r="V205" s="10">
        <f t="shared" si="3"/>
        <v>1</v>
      </c>
      <c r="W205" s="10">
        <f>+VLOOKUP(M205,Datos!$F:$H,3,FALSE)</f>
        <v>0</v>
      </c>
      <c r="X205">
        <v>0</v>
      </c>
      <c r="Y205" s="14"/>
      <c r="Z205" t="e">
        <f>VLOOKUP(M205,'[1]INDIVIDUAL UN'!$C$6:$F$222,4,FALSE)</f>
        <v>#N/A</v>
      </c>
    </row>
    <row r="206" spans="1:26" hidden="1" x14ac:dyDescent="0.35">
      <c r="A206" s="9" t="s">
        <v>25</v>
      </c>
      <c r="C206" s="10">
        <v>1</v>
      </c>
      <c r="D206" s="10" t="s">
        <v>29</v>
      </c>
      <c r="E206" s="10" t="s">
        <v>37</v>
      </c>
      <c r="F206" s="10">
        <v>4445</v>
      </c>
      <c r="G206" s="10" t="s">
        <v>288</v>
      </c>
      <c r="H206" s="11">
        <v>46281</v>
      </c>
      <c r="I206" s="11">
        <v>46277</v>
      </c>
      <c r="J206" s="12" t="str">
        <f>+VLOOKUP(K206,Datos!$A:$C,3,FALSE)</f>
        <v>SUROCCIDENTE</v>
      </c>
      <c r="K206" s="10">
        <v>48</v>
      </c>
      <c r="L206" s="12" t="str">
        <f>+VLOOKUP(K206,Datos!$A:$C,2,FALSE)</f>
        <v>TECUN UMAN SAN MARCOS</v>
      </c>
      <c r="M206" s="10">
        <v>311866</v>
      </c>
      <c r="N206" s="12" t="str">
        <f>+VLOOKUP(M206,Datos!$F:$G,2,FALSE)</f>
        <v>Treisy Lisbeth Orozco Orozco</v>
      </c>
      <c r="O206" s="13">
        <f>IFERROR(IF(A206="SI",VLOOKUP(R206,Datos!$J$1:$K$50,2,FALSE)*C206,VLOOKUP(R206,Datos!$P$1:$T$13,2,FALSE)*C206),0)</f>
        <v>816</v>
      </c>
      <c r="P206" s="9">
        <v>302285</v>
      </c>
      <c r="Q206" s="12" t="str">
        <f>+VLOOKUP(P206,Datos!$F:$G,2,FALSE)</f>
        <v>Heydi Yaneth Sales Mazariegos</v>
      </c>
      <c r="R206" s="9" t="s">
        <v>26</v>
      </c>
      <c r="V206" s="10">
        <f t="shared" si="3"/>
        <v>1</v>
      </c>
      <c r="W206" s="10">
        <f>+VLOOKUP(M206,Datos!$F:$H,3,FALSE)</f>
        <v>0</v>
      </c>
      <c r="X206">
        <v>0</v>
      </c>
      <c r="Y206" s="14"/>
      <c r="Z206" t="e">
        <f>VLOOKUP(M206,'[1]INDIVIDUAL UN'!$C$6:$F$222,4,FALSE)</f>
        <v>#N/A</v>
      </c>
    </row>
    <row r="207" spans="1:26" hidden="1" x14ac:dyDescent="0.35">
      <c r="A207" s="9" t="s">
        <v>25</v>
      </c>
      <c r="C207" s="10">
        <v>4</v>
      </c>
      <c r="D207" s="10" t="s">
        <v>29</v>
      </c>
      <c r="E207" s="10" t="s">
        <v>30</v>
      </c>
      <c r="F207" s="10">
        <v>767</v>
      </c>
      <c r="G207" s="10" t="s">
        <v>289</v>
      </c>
      <c r="H207" s="11">
        <v>46281</v>
      </c>
      <c r="I207" s="11">
        <v>46281</v>
      </c>
      <c r="J207" s="12" t="str">
        <f>+VLOOKUP(K207,Datos!$A:$C,3,FALSE)</f>
        <v>SUROCCIDENTE</v>
      </c>
      <c r="K207" s="10">
        <v>48</v>
      </c>
      <c r="L207" s="12" t="str">
        <f>+VLOOKUP(K207,Datos!$A:$C,2,FALSE)</f>
        <v>TECUN UMAN SAN MARCOS</v>
      </c>
      <c r="M207" s="10">
        <v>315651</v>
      </c>
      <c r="N207" s="12" t="str">
        <f>+VLOOKUP(M207,Datos!$F:$G,2,FALSE)</f>
        <v>WALTER EDUARDO RODAS RIOS</v>
      </c>
      <c r="O207" s="13">
        <f>IFERROR(IF(A207="SI",VLOOKUP(R207,Datos!$J$1:$K$50,2,FALSE)*C207,VLOOKUP(R207,Datos!$P$1:$T$13,2,FALSE)*C207),0)</f>
        <v>3264</v>
      </c>
      <c r="P207" s="16">
        <v>201031</v>
      </c>
      <c r="Q207" s="12" t="str">
        <f>+VLOOKUP(P207,Datos!$F:$G,2,FALSE)</f>
        <v>Delio Maynor Lopez Barrios</v>
      </c>
      <c r="R207" s="9" t="s">
        <v>26</v>
      </c>
      <c r="V207" s="10">
        <f t="shared" si="3"/>
        <v>1</v>
      </c>
      <c r="W207" s="10">
        <f>+VLOOKUP(M207,Datos!$F:$H,3,FALSE)</f>
        <v>0</v>
      </c>
      <c r="X207">
        <v>0</v>
      </c>
      <c r="Y207" s="14"/>
      <c r="Z207" t="e">
        <f>VLOOKUP(M207,'[1]INDIVIDUAL UN'!$C$6:$F$222,4,FALSE)</f>
        <v>#N/A</v>
      </c>
    </row>
    <row r="208" spans="1:26" s="10" customFormat="1" hidden="1" x14ac:dyDescent="0.35">
      <c r="A208" s="9" t="s">
        <v>25</v>
      </c>
      <c r="B208" s="9"/>
      <c r="C208" s="10">
        <v>4</v>
      </c>
      <c r="D208" s="10" t="s">
        <v>29</v>
      </c>
      <c r="E208" s="10" t="s">
        <v>30</v>
      </c>
      <c r="F208" s="10">
        <v>765</v>
      </c>
      <c r="G208" s="10" t="s">
        <v>290</v>
      </c>
      <c r="H208" s="11">
        <v>46281</v>
      </c>
      <c r="I208" s="11">
        <v>46281</v>
      </c>
      <c r="J208" s="12" t="str">
        <f>+VLOOKUP(K208,Datos!$A:$C,3,FALSE)</f>
        <v>OCCIDENTE</v>
      </c>
      <c r="K208" s="10">
        <v>243</v>
      </c>
      <c r="L208" s="12" t="str">
        <f>+VLOOKUP(K208,Datos!$A:$C,2,FALSE)</f>
        <v>PRADERA XELA</v>
      </c>
      <c r="M208" s="10">
        <v>316039</v>
      </c>
      <c r="N208" s="12" t="str">
        <f>+VLOOKUP(M208,Datos!$F:$G,2,FALSE)</f>
        <v>Edgar Francisco Garcia</v>
      </c>
      <c r="O208" s="13">
        <f>IFERROR(IF(A208="SI",VLOOKUP(R208,Datos!$J$1:$K$50,2,FALSE)*C208,VLOOKUP(R208,Datos!$P$1:$T$13,2,FALSE)*C208),0)</f>
        <v>3264</v>
      </c>
      <c r="P208" s="9">
        <v>315174</v>
      </c>
      <c r="Q208" s="12" t="str">
        <f>+VLOOKUP(P208,Datos!$F:$G,2,FALSE)</f>
        <v>Edwin Adolfo Soberanis Mazariegos</v>
      </c>
      <c r="R208" s="9" t="s">
        <v>26</v>
      </c>
      <c r="V208" s="10">
        <f t="shared" si="3"/>
        <v>1</v>
      </c>
      <c r="W208" s="10">
        <f>+VLOOKUP(M208,Datos!$F:$H,3,FALSE)</f>
        <v>0</v>
      </c>
      <c r="X208">
        <v>0</v>
      </c>
      <c r="Y208" s="20"/>
      <c r="Z208" s="10" t="e">
        <f>VLOOKUP(M208,'[1]INDIVIDUAL UN'!$C$6:$F$222,4,FALSE)</f>
        <v>#N/A</v>
      </c>
    </row>
    <row r="209" spans="1:26" s="10" customFormat="1" hidden="1" x14ac:dyDescent="0.35">
      <c r="A209" s="9" t="s">
        <v>25</v>
      </c>
      <c r="B209" s="9"/>
      <c r="C209">
        <v>1</v>
      </c>
      <c r="D209" s="10" t="s">
        <v>29</v>
      </c>
      <c r="E209" s="10" t="s">
        <v>55</v>
      </c>
      <c r="F209" s="10">
        <v>428</v>
      </c>
      <c r="G209" s="10" t="s">
        <v>291</v>
      </c>
      <c r="H209" s="11">
        <v>46281</v>
      </c>
      <c r="I209" s="11">
        <v>46281</v>
      </c>
      <c r="J209" s="12" t="str">
        <f>+VLOOKUP(K209,Datos!$A:$C,3,FALSE)</f>
        <v>SUROCCIDENTE</v>
      </c>
      <c r="K209" s="10">
        <v>31</v>
      </c>
      <c r="L209" s="12" t="str">
        <f>+VLOOKUP(K209,Datos!$A:$C,2,FALSE)</f>
        <v>COATEPEQUE</v>
      </c>
      <c r="M209" s="19">
        <v>90065999</v>
      </c>
      <c r="N209" s="12" t="str">
        <f>+VLOOKUP(M209,Datos!$F:$G,2,FALSE)</f>
        <v>SEPHORA ABIGAIL SANCHEZ HERDOCIA</v>
      </c>
      <c r="O209" s="13">
        <f>IFERROR(IF(A209="SI",VLOOKUP(R209,Datos!$J$1:$K$50,2,FALSE)*C209,VLOOKUP(R209,Datos!$P$1:$T$13,2,FALSE)*C209),0)</f>
        <v>1092</v>
      </c>
      <c r="P209" s="9">
        <v>311258</v>
      </c>
      <c r="Q209" s="12" t="str">
        <f>+VLOOKUP(P209,Datos!$F:$G,2,FALSE)</f>
        <v>Victor Otoniel Sebastian Cardona</v>
      </c>
      <c r="R209" s="9" t="s">
        <v>57</v>
      </c>
      <c r="V209" s="10">
        <f t="shared" si="3"/>
        <v>1</v>
      </c>
      <c r="W209" s="10">
        <f>+VLOOKUP(M209,Datos!$F:$H,3,FALSE)</f>
        <v>0</v>
      </c>
      <c r="X209">
        <v>0</v>
      </c>
      <c r="Y209" s="20"/>
      <c r="Z209" s="10" t="e">
        <f>VLOOKUP(M209,'[1]INDIVIDUAL UN'!$C$6:$F$222,4,FALSE)</f>
        <v>#N/A</v>
      </c>
    </row>
    <row r="210" spans="1:26" s="10" customFormat="1" hidden="1" x14ac:dyDescent="0.35">
      <c r="A210" s="9" t="s">
        <v>25</v>
      </c>
      <c r="B210" s="9"/>
      <c r="C210" s="10">
        <v>2</v>
      </c>
      <c r="D210" s="10" t="s">
        <v>29</v>
      </c>
      <c r="E210" s="10" t="s">
        <v>110</v>
      </c>
      <c r="F210" s="10">
        <v>158</v>
      </c>
      <c r="G210" s="10" t="s">
        <v>292</v>
      </c>
      <c r="H210" s="11">
        <v>46281</v>
      </c>
      <c r="I210" s="11">
        <v>46269</v>
      </c>
      <c r="J210" s="12" t="str">
        <f>+VLOOKUP(K210,Datos!$A:$C,3,FALSE)</f>
        <v>SUROCCIDENTE</v>
      </c>
      <c r="K210" s="10">
        <v>31</v>
      </c>
      <c r="L210" s="12" t="str">
        <f>+VLOOKUP(K210,Datos!$A:$C,2,FALSE)</f>
        <v>COATEPEQUE</v>
      </c>
      <c r="M210" s="10">
        <v>310671</v>
      </c>
      <c r="N210" s="12" t="str">
        <f>+VLOOKUP(M210,Datos!$F:$G,2,FALSE)</f>
        <v>Sucely Paola Godinez Gomez De Perez</v>
      </c>
      <c r="O210" s="13">
        <f>IFERROR(IF(A210="SI",VLOOKUP(R210,Datos!$J$1:$K$50,2,FALSE)*C210,VLOOKUP(R210,Datos!$P$1:$T$13,2,FALSE)*C210),0)</f>
        <v>2016</v>
      </c>
      <c r="P210" s="9">
        <v>306654</v>
      </c>
      <c r="Q210" s="12" t="str">
        <f>+VLOOKUP(P210,Datos!$F:$G,2,FALSE)</f>
        <v>Gerson Arcadio Hernandez Barrios</v>
      </c>
      <c r="R210" s="9" t="s">
        <v>101</v>
      </c>
      <c r="V210" s="10">
        <f t="shared" si="3"/>
        <v>1</v>
      </c>
      <c r="W210" s="10">
        <f>+VLOOKUP(M210,Datos!$F:$H,3,FALSE)</f>
        <v>0</v>
      </c>
      <c r="X210">
        <v>0</v>
      </c>
      <c r="Y210" s="20"/>
      <c r="Z210" s="10" t="e">
        <f>VLOOKUP(M210,'[1]INDIVIDUAL UN'!$C$6:$F$222,4,FALSE)</f>
        <v>#N/A</v>
      </c>
    </row>
    <row r="211" spans="1:26" s="10" customFormat="1" hidden="1" x14ac:dyDescent="0.35">
      <c r="A211" s="9" t="s">
        <v>25</v>
      </c>
      <c r="B211" s="9"/>
      <c r="C211" s="10">
        <v>1</v>
      </c>
      <c r="D211" s="10" t="s">
        <v>29</v>
      </c>
      <c r="E211" t="s">
        <v>37</v>
      </c>
      <c r="F211" s="10">
        <v>4294</v>
      </c>
      <c r="G211" s="10" t="s">
        <v>293</v>
      </c>
      <c r="H211" s="11">
        <v>46281</v>
      </c>
      <c r="I211" s="11">
        <v>46270</v>
      </c>
      <c r="J211" s="12" t="str">
        <f>+VLOOKUP(K211,Datos!$A:$C,3,FALSE)</f>
        <v>OCCIDENTE</v>
      </c>
      <c r="K211" s="10">
        <v>56</v>
      </c>
      <c r="L211" s="12" t="str">
        <f>+VLOOKUP(K211,Datos!$A:$C,2,FALSE)</f>
        <v>LOS ALTOS</v>
      </c>
      <c r="M211" s="10">
        <v>315133</v>
      </c>
      <c r="N211" s="12" t="str">
        <f>+VLOOKUP(M211,Datos!$F:$G,2,FALSE)</f>
        <v>Bryan Daniel Milián De Leon</v>
      </c>
      <c r="O211" s="13">
        <f>IFERROR(IF(A211="SI",VLOOKUP(R211,Datos!$J$1:$K$50,2,FALSE)*C211,VLOOKUP(R211,Datos!$P$1:$T$13,2,FALSE)*C211),0)</f>
        <v>1368</v>
      </c>
      <c r="P211" s="9">
        <v>308266</v>
      </c>
      <c r="Q211" s="12" t="str">
        <f>+VLOOKUP(P211,Datos!$F:$G,2,FALSE)</f>
        <v>Julio Cesar De Leon Huinac</v>
      </c>
      <c r="R211" s="9" t="s">
        <v>48</v>
      </c>
      <c r="V211" s="10">
        <f t="shared" si="3"/>
        <v>1</v>
      </c>
      <c r="W211" s="10">
        <f>+VLOOKUP(M211,Datos!$F:$H,3,FALSE)</f>
        <v>0</v>
      </c>
      <c r="X211">
        <v>0</v>
      </c>
      <c r="Y211" s="20"/>
      <c r="Z211" s="10" t="e">
        <f>VLOOKUP(M211,'[1]INDIVIDUAL UN'!$C$6:$F$222,4,FALSE)</f>
        <v>#N/A</v>
      </c>
    </row>
    <row r="212" spans="1:26" hidden="1" x14ac:dyDescent="0.35">
      <c r="A212" s="9" t="s">
        <v>25</v>
      </c>
      <c r="C212" s="10">
        <v>1</v>
      </c>
      <c r="D212" s="10" t="s">
        <v>29</v>
      </c>
      <c r="E212" s="15" t="s">
        <v>59</v>
      </c>
      <c r="F212" s="15">
        <v>4468</v>
      </c>
      <c r="G212" s="15" t="s">
        <v>294</v>
      </c>
      <c r="H212" s="11">
        <v>46281</v>
      </c>
      <c r="I212" s="11">
        <v>46279</v>
      </c>
      <c r="J212" s="12" t="str">
        <f>+VLOOKUP(K212,Datos!$A:$C,3,FALSE)</f>
        <v>OCCIDENTE</v>
      </c>
      <c r="K212" s="10">
        <v>28</v>
      </c>
      <c r="L212" s="12" t="str">
        <f>+VLOOKUP(K212,Datos!$A:$C,2,FALSE)</f>
        <v>SUCURSAL QUETZALTENANGO</v>
      </c>
      <c r="M212" s="10">
        <v>304024</v>
      </c>
      <c r="N212" s="12" t="str">
        <f>+VLOOKUP(M212,Datos!$F:$G,2,FALSE)</f>
        <v>Vicky Roxana Lopez Hernandez</v>
      </c>
      <c r="O212" s="13">
        <f>IFERROR(IF(A212="SI",VLOOKUP(R212,Datos!$J$1:$K$50,2,FALSE)*C212,VLOOKUP(R212,Datos!$P$1:$T$13,2,FALSE)*C212),0)</f>
        <v>816</v>
      </c>
      <c r="P212" s="29">
        <v>313644</v>
      </c>
      <c r="Q212" s="12" t="str">
        <f>+VLOOKUP(P212,Datos!$F:$G,2,FALSE)</f>
        <v>Estefani Elizabeth Tzul Macario</v>
      </c>
      <c r="R212" s="9" t="s">
        <v>26</v>
      </c>
      <c r="V212" s="10">
        <f t="shared" si="3"/>
        <v>1</v>
      </c>
      <c r="W212" s="10">
        <f>+VLOOKUP(M212,Datos!$F:$H,3,FALSE)</f>
        <v>0</v>
      </c>
      <c r="X212">
        <v>0</v>
      </c>
      <c r="Y212" s="14"/>
      <c r="Z212" t="e">
        <f>VLOOKUP(M212,'[1]INDIVIDUAL UN'!$C$6:$F$222,4,FALSE)</f>
        <v>#N/A</v>
      </c>
    </row>
    <row r="213" spans="1:26" hidden="1" x14ac:dyDescent="0.35">
      <c r="A213" s="9" t="s">
        <v>25</v>
      </c>
      <c r="C213" s="10">
        <v>3</v>
      </c>
      <c r="D213" s="10" t="s">
        <v>29</v>
      </c>
      <c r="E213" s="10" t="s">
        <v>41</v>
      </c>
      <c r="F213" s="10">
        <v>644</v>
      </c>
      <c r="G213" s="10" t="s">
        <v>295</v>
      </c>
      <c r="H213" s="11">
        <v>46281</v>
      </c>
      <c r="I213" s="11">
        <v>46279</v>
      </c>
      <c r="J213" s="12" t="str">
        <f>+VLOOKUP(K213,Datos!$A:$C,3,FALSE)</f>
        <v>OCCIDENTE</v>
      </c>
      <c r="K213" s="10">
        <v>28</v>
      </c>
      <c r="L213" s="12" t="str">
        <f>+VLOOKUP(K213,Datos!$A:$C,2,FALSE)</f>
        <v>SUCURSAL QUETZALTENANGO</v>
      </c>
      <c r="M213" s="10">
        <v>304024</v>
      </c>
      <c r="N213" s="12" t="str">
        <f>+VLOOKUP(M213,Datos!$F:$G,2,FALSE)</f>
        <v>Vicky Roxana Lopez Hernandez</v>
      </c>
      <c r="O213" s="13">
        <f>IFERROR(IF(A213="SI",VLOOKUP(R213,Datos!$J$1:$K$50,2,FALSE)*C213,VLOOKUP(R213,Datos!$P$1:$T$13,2,FALSE)*C213),0)</f>
        <v>4104</v>
      </c>
      <c r="P213" s="9">
        <v>313644</v>
      </c>
      <c r="Q213" s="12" t="str">
        <f>+VLOOKUP(P213,Datos!$F:$G,2,FALSE)</f>
        <v>Estefani Elizabeth Tzul Macario</v>
      </c>
      <c r="R213" s="9" t="s">
        <v>48</v>
      </c>
      <c r="V213" s="10">
        <f t="shared" si="3"/>
        <v>1</v>
      </c>
      <c r="W213" s="10">
        <f>+VLOOKUP(M213,Datos!$F:$H,3,FALSE)</f>
        <v>0</v>
      </c>
      <c r="X213">
        <v>0</v>
      </c>
      <c r="Y213" s="14"/>
      <c r="Z213" t="e">
        <f>VLOOKUP(M213,'[1]INDIVIDUAL UN'!$C$6:$F$222,4,FALSE)</f>
        <v>#N/A</v>
      </c>
    </row>
    <row r="214" spans="1:26" hidden="1" x14ac:dyDescent="0.35">
      <c r="A214" s="9" t="s">
        <v>25</v>
      </c>
      <c r="C214" s="10">
        <v>1</v>
      </c>
      <c r="D214" s="10" t="s">
        <v>29</v>
      </c>
      <c r="E214" s="10" t="s">
        <v>37</v>
      </c>
      <c r="F214" s="10">
        <v>4514</v>
      </c>
      <c r="G214" s="10" t="s">
        <v>296</v>
      </c>
      <c r="H214" s="11">
        <v>46281</v>
      </c>
      <c r="I214" s="11">
        <v>46281</v>
      </c>
      <c r="J214" s="12" t="str">
        <f>+VLOOKUP(K214,Datos!$A:$C,3,FALSE)</f>
        <v>OCCIDENTE</v>
      </c>
      <c r="K214" s="10">
        <v>56</v>
      </c>
      <c r="L214" s="12" t="str">
        <f>+VLOOKUP(K214,Datos!$A:$C,2,FALSE)</f>
        <v>LOS ALTOS</v>
      </c>
      <c r="M214" s="10">
        <v>315133</v>
      </c>
      <c r="N214" s="12" t="str">
        <f>+VLOOKUP(M214,Datos!$F:$G,2,FALSE)</f>
        <v>Bryan Daniel Milián De Leon</v>
      </c>
      <c r="O214" s="13">
        <f>IFERROR(IF(A214="SI",VLOOKUP(R214,Datos!$J$1:$K$50,2,FALSE)*C214,VLOOKUP(R214,Datos!$P$1:$T$13,2,FALSE)*C214),0)</f>
        <v>1368</v>
      </c>
      <c r="P214" s="9">
        <v>308266</v>
      </c>
      <c r="Q214" s="12" t="str">
        <f>+VLOOKUP(P214,Datos!$F:$G,2,FALSE)</f>
        <v>Julio Cesar De Leon Huinac</v>
      </c>
      <c r="R214" s="9" t="s">
        <v>48</v>
      </c>
      <c r="V214" s="10">
        <f t="shared" si="3"/>
        <v>1</v>
      </c>
      <c r="W214" s="10">
        <f>+VLOOKUP(M214,Datos!$F:$H,3,FALSE)</f>
        <v>0</v>
      </c>
      <c r="X214">
        <v>0</v>
      </c>
      <c r="Y214" s="14"/>
      <c r="Z214" t="e">
        <f>VLOOKUP(M214,'[1]INDIVIDUAL UN'!$C$6:$F$222,4,FALSE)</f>
        <v>#N/A</v>
      </c>
    </row>
    <row r="215" spans="1:26" hidden="1" x14ac:dyDescent="0.35">
      <c r="A215" s="9" t="s">
        <v>25</v>
      </c>
      <c r="C215" s="10">
        <v>1</v>
      </c>
      <c r="D215" s="10" t="s">
        <v>29</v>
      </c>
      <c r="E215" s="10" t="s">
        <v>37</v>
      </c>
      <c r="F215" s="10">
        <v>4488</v>
      </c>
      <c r="G215" s="10" t="s">
        <v>297</v>
      </c>
      <c r="H215" s="11">
        <v>46281</v>
      </c>
      <c r="I215" s="18">
        <v>46279</v>
      </c>
      <c r="J215" s="12" t="str">
        <f>+VLOOKUP(K215,Datos!$A:$C,3,FALSE)</f>
        <v>OCCIDENTE</v>
      </c>
      <c r="K215" s="10">
        <v>150</v>
      </c>
      <c r="L215" s="12" t="str">
        <f>+VLOOKUP(K215,Datos!$A:$C,2,FALSE)</f>
        <v>SANTA CRUZ DEL QUICHE</v>
      </c>
      <c r="M215">
        <v>90034373</v>
      </c>
      <c r="N215" s="12" t="str">
        <f>+VLOOKUP(M215,Datos!$F:$G,2,FALSE)</f>
        <v>SILVIA PATRICIA MENDOZA GOMEZ</v>
      </c>
      <c r="O215" s="13">
        <f>IFERROR(IF(A215="SI",VLOOKUP(R215,Datos!$J$1:$K$50,2,FALSE)*C215,VLOOKUP(R215,Datos!$P$1:$T$13,2,FALSE)*C215),0)</f>
        <v>816</v>
      </c>
      <c r="P215" s="10">
        <v>310329</v>
      </c>
      <c r="Q215" s="12" t="str">
        <f>+VLOOKUP(P215,Datos!$F:$G,2,FALSE)</f>
        <v>Ana Leticia Lux Say</v>
      </c>
      <c r="R215" s="9" t="s">
        <v>26</v>
      </c>
      <c r="V215" s="10">
        <f t="shared" si="3"/>
        <v>1</v>
      </c>
      <c r="W215" s="10">
        <f>+VLOOKUP(M215,Datos!$F:$H,3,FALSE)</f>
        <v>0</v>
      </c>
      <c r="X215">
        <v>0</v>
      </c>
      <c r="Y215" s="14"/>
      <c r="Z215" t="e">
        <f>VLOOKUP(M215,'[1]INDIVIDUAL UN'!$C$6:$F$222,4,FALSE)</f>
        <v>#N/A</v>
      </c>
    </row>
    <row r="216" spans="1:26" hidden="1" x14ac:dyDescent="0.35">
      <c r="A216" s="9" t="s">
        <v>25</v>
      </c>
      <c r="C216" s="10">
        <v>1</v>
      </c>
      <c r="D216" s="10" t="s">
        <v>29</v>
      </c>
      <c r="E216" s="10" t="s">
        <v>43</v>
      </c>
      <c r="F216" s="10">
        <v>2904</v>
      </c>
      <c r="G216" s="10" t="s">
        <v>298</v>
      </c>
      <c r="H216" s="11">
        <v>46281</v>
      </c>
      <c r="I216" s="18">
        <v>46279</v>
      </c>
      <c r="J216" s="12" t="str">
        <f>+VLOOKUP(K216,Datos!$A:$C,3,FALSE)</f>
        <v>OCCIDENTE</v>
      </c>
      <c r="K216" s="10">
        <v>150</v>
      </c>
      <c r="L216" s="12" t="str">
        <f>+VLOOKUP(K216,Datos!$A:$C,2,FALSE)</f>
        <v>SANTA CRUZ DEL QUICHE</v>
      </c>
      <c r="M216">
        <v>90034373</v>
      </c>
      <c r="N216" s="12" t="str">
        <f>+VLOOKUP(M216,Datos!$F:$G,2,FALSE)</f>
        <v>SILVIA PATRICIA MENDOZA GOMEZ</v>
      </c>
      <c r="O216" s="13">
        <f>IFERROR(IF(A216="SI",VLOOKUP(R216,Datos!$J$1:$K$50,2,FALSE)*C216,VLOOKUP(R216,Datos!$P$1:$T$13,2,FALSE)*C216),0)</f>
        <v>1308</v>
      </c>
      <c r="P216" s="10">
        <v>310329</v>
      </c>
      <c r="Q216" s="12" t="str">
        <f>+VLOOKUP(P216,Datos!$F:$G,2,FALSE)</f>
        <v>Ana Leticia Lux Say</v>
      </c>
      <c r="R216" s="9" t="s">
        <v>45</v>
      </c>
      <c r="V216" s="10">
        <f t="shared" si="3"/>
        <v>1</v>
      </c>
      <c r="W216" s="10">
        <f>+VLOOKUP(M216,Datos!$F:$H,3,FALSE)</f>
        <v>0</v>
      </c>
      <c r="X216">
        <v>0</v>
      </c>
      <c r="Y216" s="14"/>
      <c r="Z216" t="e">
        <f>VLOOKUP(M216,'[1]INDIVIDUAL UN'!$C$6:$F$222,4,FALSE)</f>
        <v>#N/A</v>
      </c>
    </row>
    <row r="217" spans="1:26" hidden="1" x14ac:dyDescent="0.35">
      <c r="A217" s="9" t="s">
        <v>25</v>
      </c>
      <c r="C217">
        <v>2</v>
      </c>
      <c r="D217" s="10" t="s">
        <v>29</v>
      </c>
      <c r="E217" s="10" t="s">
        <v>27</v>
      </c>
      <c r="F217" s="10">
        <v>1277</v>
      </c>
      <c r="G217" s="10" t="s">
        <v>299</v>
      </c>
      <c r="H217" s="11">
        <v>46281</v>
      </c>
      <c r="I217" s="11">
        <v>46281</v>
      </c>
      <c r="J217" s="12" t="str">
        <f>+VLOOKUP(K217,Datos!$A:$C,3,FALSE)</f>
        <v>OCCIDENTE</v>
      </c>
      <c r="K217" s="10">
        <v>157</v>
      </c>
      <c r="L217" s="12" t="str">
        <f>+VLOOKUP(K217,Datos!$A:$C,2,FALSE)</f>
        <v>TOTONICAPAN</v>
      </c>
      <c r="M217" s="10">
        <v>315460</v>
      </c>
      <c r="N217" s="12" t="str">
        <f>+VLOOKUP(M217,Datos!$F:$G,2,FALSE)</f>
        <v>Marvin Leonel Hernandez Alvarez</v>
      </c>
      <c r="O217" s="13">
        <f>IFERROR(IF(A217="SI",VLOOKUP(R217,Datos!$J$1:$K$50,2,FALSE)*C217,VLOOKUP(R217,Datos!$P$1:$T$13,2,FALSE)*C217),0)</f>
        <v>1632</v>
      </c>
      <c r="P217" s="9">
        <v>312665</v>
      </c>
      <c r="Q217" s="12" t="str">
        <f>+VLOOKUP(P217,Datos!$F:$G,2,FALSE)</f>
        <v>Zulma Damaris Menchu Mendez</v>
      </c>
      <c r="R217" s="9" t="s">
        <v>26</v>
      </c>
      <c r="V217" s="10">
        <f t="shared" si="3"/>
        <v>1</v>
      </c>
      <c r="W217" s="10">
        <f>+VLOOKUP(M217,Datos!$F:$H,3,FALSE)</f>
        <v>0</v>
      </c>
      <c r="X217">
        <v>0</v>
      </c>
      <c r="Y217" s="14"/>
      <c r="Z217" t="e">
        <f>VLOOKUP(M217,'[1]INDIVIDUAL UN'!$C$6:$F$222,4,FALSE)</f>
        <v>#N/A</v>
      </c>
    </row>
    <row r="218" spans="1:26" hidden="1" x14ac:dyDescent="0.35">
      <c r="A218" s="9" t="s">
        <v>25</v>
      </c>
      <c r="C218" s="10">
        <v>2</v>
      </c>
      <c r="D218" s="10" t="s">
        <v>29</v>
      </c>
      <c r="E218" s="10" t="s">
        <v>27</v>
      </c>
      <c r="F218" s="10">
        <v>1270</v>
      </c>
      <c r="G218" s="10" t="s">
        <v>300</v>
      </c>
      <c r="H218" s="11">
        <v>46281</v>
      </c>
      <c r="I218" s="11">
        <v>46250</v>
      </c>
      <c r="J218" s="12" t="str">
        <f>+VLOOKUP(K218,Datos!$A:$C,3,FALSE)</f>
        <v>SUROCCIDENTE</v>
      </c>
      <c r="K218" s="10">
        <v>89</v>
      </c>
      <c r="L218" s="12" t="str">
        <f>+VLOOKUP(K218,Datos!$A:$C,2,FALSE)</f>
        <v>LA TRINIDAD RETALHULEU</v>
      </c>
      <c r="M218" s="10">
        <v>310820</v>
      </c>
      <c r="N218" s="12" t="str">
        <f>+VLOOKUP(M218,Datos!$F:$G,2,FALSE)</f>
        <v>Kleidy Smaily Lopez Lopez De Vicente</v>
      </c>
      <c r="O218" s="13">
        <f>IFERROR(IF(A218="SI",VLOOKUP(R218,Datos!$J$1:$K$50,2,FALSE)*C218,VLOOKUP(R218,Datos!$P$1:$T$13,2,FALSE)*C218),0)</f>
        <v>2736</v>
      </c>
      <c r="P218" s="9">
        <v>302841</v>
      </c>
      <c r="Q218" s="12" t="str">
        <f>+VLOOKUP(P218,Datos!$F:$G,2,FALSE)</f>
        <v>Jessica Maria Jose Santizo Guzman</v>
      </c>
      <c r="R218" s="9" t="s">
        <v>48</v>
      </c>
      <c r="V218" s="10">
        <f t="shared" si="3"/>
        <v>1</v>
      </c>
      <c r="W218" s="10">
        <f>+VLOOKUP(M218,Datos!$F:$H,3,FALSE)</f>
        <v>0</v>
      </c>
      <c r="X218">
        <v>0</v>
      </c>
      <c r="Y218" s="14"/>
      <c r="Z218" t="e">
        <f>VLOOKUP(M218,'[1]INDIVIDUAL UN'!$C$6:$F$222,4,FALSE)</f>
        <v>#N/A</v>
      </c>
    </row>
    <row r="219" spans="1:26" hidden="1" x14ac:dyDescent="0.35">
      <c r="A219" s="9" t="s">
        <v>25</v>
      </c>
      <c r="C219" s="10">
        <v>2</v>
      </c>
      <c r="D219" s="10" t="s">
        <v>29</v>
      </c>
      <c r="E219" s="10" t="s">
        <v>27</v>
      </c>
      <c r="F219" s="10">
        <v>1281</v>
      </c>
      <c r="G219" s="10" t="s">
        <v>301</v>
      </c>
      <c r="H219" s="11">
        <v>46282</v>
      </c>
      <c r="I219" s="11">
        <v>46282</v>
      </c>
      <c r="J219" s="12" t="str">
        <f>+VLOOKUP(K219,Datos!$A:$C,3,FALSE)</f>
        <v>SUROCCIDENTE</v>
      </c>
      <c r="K219" s="16">
        <v>297</v>
      </c>
      <c r="L219" s="12" t="str">
        <f>+VLOOKUP(K219,Datos!$A:$C,2,FALSE)</f>
        <v>LA TRINIDAD COATEPEQUE</v>
      </c>
      <c r="M219" s="10">
        <v>310220</v>
      </c>
      <c r="N219" s="12" t="str">
        <f>+VLOOKUP(M219,Datos!$F:$G,2,FALSE)</f>
        <v>Urias Samuel Velasquez Ardeano</v>
      </c>
      <c r="O219" s="13">
        <f>IFERROR(IF(A219="SI",VLOOKUP(R219,Datos!$J$1:$K$50,2,FALSE)*C219,VLOOKUP(R219,Datos!$P$1:$T$13,2,FALSE)*C219),0)</f>
        <v>1632</v>
      </c>
      <c r="P219" s="16">
        <v>311975</v>
      </c>
      <c r="Q219" s="12" t="str">
        <f>+VLOOKUP(P219,Datos!$F:$G,2,FALSE)</f>
        <v>Luis Eduardo Ramirez Arriaza</v>
      </c>
      <c r="R219" s="9" t="s">
        <v>26</v>
      </c>
      <c r="V219" s="10">
        <f t="shared" si="3"/>
        <v>1</v>
      </c>
      <c r="W219" s="10">
        <f>+VLOOKUP(M219,Datos!$F:$H,3,FALSE)</f>
        <v>0</v>
      </c>
      <c r="X219">
        <v>0</v>
      </c>
      <c r="Y219" s="14"/>
      <c r="Z219" t="e">
        <f>VLOOKUP(M219,'[1]INDIVIDUAL UN'!$C$6:$F$222,4,FALSE)</f>
        <v>#N/A</v>
      </c>
    </row>
    <row r="220" spans="1:26" hidden="1" x14ac:dyDescent="0.35">
      <c r="A220" s="9" t="s">
        <v>25</v>
      </c>
      <c r="C220" s="10">
        <v>1</v>
      </c>
      <c r="D220" s="10" t="s">
        <v>29</v>
      </c>
      <c r="E220" s="10" t="s">
        <v>37</v>
      </c>
      <c r="F220" s="10">
        <v>4588</v>
      </c>
      <c r="G220" s="10" t="s">
        <v>302</v>
      </c>
      <c r="H220" s="11">
        <v>46282</v>
      </c>
      <c r="I220" s="11">
        <v>46282</v>
      </c>
      <c r="J220" s="12" t="str">
        <f>+VLOOKUP(K220,Datos!$A:$C,3,FALSE)</f>
        <v>OCCIDENTE</v>
      </c>
      <c r="K220" s="10">
        <v>56</v>
      </c>
      <c r="L220" s="12" t="str">
        <f>+VLOOKUP(K220,Datos!$A:$C,2,FALSE)</f>
        <v>LOS ALTOS</v>
      </c>
      <c r="M220" s="10">
        <v>90040711</v>
      </c>
      <c r="N220" s="12" t="str">
        <f>+VLOOKUP(M220,Datos!$F:$G,2,FALSE)</f>
        <v>ILDER DENILSON GALICIA TOBAR</v>
      </c>
      <c r="O220" s="13">
        <f>IFERROR(IF(A220="SI",VLOOKUP(R220,Datos!$J$1:$K$50,2,FALSE)*C220,VLOOKUP(R220,Datos!$P$1:$T$13,2,FALSE)*C220),0)</f>
        <v>816</v>
      </c>
      <c r="P220" s="9">
        <v>308266</v>
      </c>
      <c r="Q220" s="12" t="str">
        <f>+VLOOKUP(P220,Datos!$F:$G,2,FALSE)</f>
        <v>Julio Cesar De Leon Huinac</v>
      </c>
      <c r="R220" s="9" t="s">
        <v>26</v>
      </c>
      <c r="V220" s="10">
        <f t="shared" si="3"/>
        <v>1</v>
      </c>
      <c r="W220" s="10">
        <f>+VLOOKUP(M220,Datos!$F:$H,3,FALSE)</f>
        <v>0</v>
      </c>
      <c r="X220">
        <v>0</v>
      </c>
      <c r="Y220" s="14"/>
      <c r="Z220" t="e">
        <f>VLOOKUP(M220,'[1]INDIVIDUAL UN'!$C$6:$F$222,4,FALSE)</f>
        <v>#N/A</v>
      </c>
    </row>
    <row r="221" spans="1:26" hidden="1" x14ac:dyDescent="0.35">
      <c r="A221" s="9" t="s">
        <v>25</v>
      </c>
      <c r="C221" s="10">
        <v>2</v>
      </c>
      <c r="D221" s="10" t="s">
        <v>29</v>
      </c>
      <c r="E221" s="10" t="s">
        <v>27</v>
      </c>
      <c r="F221" s="10">
        <v>1292</v>
      </c>
      <c r="G221" s="10" t="s">
        <v>303</v>
      </c>
      <c r="H221" s="11">
        <v>46282</v>
      </c>
      <c r="I221" s="11">
        <v>46282</v>
      </c>
      <c r="J221" s="12" t="str">
        <f>+VLOOKUP(K221,Datos!$A:$C,3,FALSE)</f>
        <v>SUROCCIDENTE</v>
      </c>
      <c r="K221" s="10">
        <v>143</v>
      </c>
      <c r="L221" s="12" t="str">
        <f>+VLOOKUP(K221,Datos!$A:$C,2,FALSE)</f>
        <v>RETALHULEU LA SIRENA</v>
      </c>
      <c r="M221" s="10">
        <v>312294</v>
      </c>
      <c r="N221" s="12" t="str">
        <f>+VLOOKUP(M221,Datos!$F:$G,2,FALSE)</f>
        <v>Selvin Geronimo Aguilar</v>
      </c>
      <c r="O221" s="13">
        <f>IFERROR(IF(A221="SI",VLOOKUP(R221,Datos!$J$1:$K$50,2,FALSE)*C221,VLOOKUP(R221,Datos!$P$1:$T$13,2,FALSE)*C221),0)</f>
        <v>1632</v>
      </c>
      <c r="P221" s="10">
        <v>313194</v>
      </c>
      <c r="Q221" s="12" t="str">
        <f>+VLOOKUP(P221,Datos!$F:$G,2,FALSE)</f>
        <v>Mary Isabel Xiloj Tajiboy</v>
      </c>
      <c r="R221" s="9" t="s">
        <v>26</v>
      </c>
      <c r="V221" s="10">
        <f t="shared" si="3"/>
        <v>1</v>
      </c>
      <c r="W221" s="10">
        <f>+VLOOKUP(M221,Datos!$F:$H,3,FALSE)</f>
        <v>0</v>
      </c>
      <c r="X221">
        <v>0</v>
      </c>
      <c r="Y221" s="14"/>
      <c r="Z221" t="e">
        <f>VLOOKUP(M221,'[1]INDIVIDUAL UN'!$C$6:$F$222,4,FALSE)</f>
        <v>#N/A</v>
      </c>
    </row>
    <row r="222" spans="1:26" hidden="1" x14ac:dyDescent="0.35">
      <c r="A222" s="9" t="s">
        <v>25</v>
      </c>
      <c r="C222" s="10">
        <v>1</v>
      </c>
      <c r="D222" s="10" t="s">
        <v>29</v>
      </c>
      <c r="E222" s="10" t="s">
        <v>37</v>
      </c>
      <c r="F222" s="10">
        <v>4571</v>
      </c>
      <c r="G222" s="10" t="s">
        <v>304</v>
      </c>
      <c r="H222" s="11">
        <v>46282</v>
      </c>
      <c r="I222" s="11">
        <v>46282</v>
      </c>
      <c r="J222" s="12" t="str">
        <f>+VLOOKUP(K222,Datos!$A:$C,3,FALSE)</f>
        <v>SUROCCIDENTE</v>
      </c>
      <c r="K222" s="10">
        <v>143</v>
      </c>
      <c r="L222" s="12" t="str">
        <f>+VLOOKUP(K222,Datos!$A:$C,2,FALSE)</f>
        <v>RETALHULEU LA SIRENA</v>
      </c>
      <c r="M222" s="10">
        <v>312109</v>
      </c>
      <c r="N222" s="12" t="str">
        <f>+VLOOKUP(M222,Datos!$F:$G,2,FALSE)</f>
        <v>Martha Julia Shar Velasquez</v>
      </c>
      <c r="O222" s="13">
        <f>IFERROR(IF(A222="SI",VLOOKUP(R222,Datos!$J$1:$K$50,2,FALSE)*C222,VLOOKUP(R222,Datos!$P$1:$T$13,2,FALSE)*C222),0)</f>
        <v>816</v>
      </c>
      <c r="P222" s="9">
        <v>90033850</v>
      </c>
      <c r="Q222" s="12" t="str">
        <f>+VLOOKUP(P222,Datos!$F:$G,2,FALSE)</f>
        <v>Kevin Geovani Coyoy López</v>
      </c>
      <c r="R222" s="9" t="s">
        <v>26</v>
      </c>
      <c r="V222" s="10">
        <f t="shared" si="3"/>
        <v>1</v>
      </c>
      <c r="W222" s="10">
        <f>+VLOOKUP(M222,Datos!$F:$H,3,FALSE)</f>
        <v>0</v>
      </c>
      <c r="X222">
        <v>0</v>
      </c>
      <c r="Y222" s="14"/>
      <c r="Z222" t="e">
        <f>VLOOKUP(M222,'[1]INDIVIDUAL UN'!$C$6:$F$222,4,FALSE)</f>
        <v>#N/A</v>
      </c>
    </row>
    <row r="223" spans="1:26" hidden="1" x14ac:dyDescent="0.35">
      <c r="A223" s="9" t="s">
        <v>25</v>
      </c>
      <c r="C223" s="10">
        <v>2</v>
      </c>
      <c r="D223" s="10" t="s">
        <v>29</v>
      </c>
      <c r="E223" s="10" t="s">
        <v>305</v>
      </c>
      <c r="F223" s="10">
        <v>147</v>
      </c>
      <c r="G223" s="10" t="s">
        <v>306</v>
      </c>
      <c r="H223" s="11">
        <v>46282</v>
      </c>
      <c r="I223" s="11">
        <v>46251</v>
      </c>
      <c r="J223" s="12" t="str">
        <f>+VLOOKUP(K223,Datos!$A:$C,3,FALSE)</f>
        <v>SUROCCIDENTE</v>
      </c>
      <c r="K223" s="10">
        <v>89</v>
      </c>
      <c r="L223" s="12" t="str">
        <f>+VLOOKUP(K223,Datos!$A:$C,2,FALSE)</f>
        <v>LA TRINIDAD RETALHULEU</v>
      </c>
      <c r="M223" s="10">
        <v>310820</v>
      </c>
      <c r="N223" s="12" t="str">
        <f>+VLOOKUP(M223,Datos!$F:$G,2,FALSE)</f>
        <v>Kleidy Smaily Lopez Lopez De Vicente</v>
      </c>
      <c r="O223" s="13">
        <f>IFERROR(IF(A223="SI",VLOOKUP(R223,Datos!$J$1:$K$50,2,FALSE)*C223,VLOOKUP(R223,Datos!$P$1:$T$13,2,FALSE)*C223),0)</f>
        <v>2184</v>
      </c>
      <c r="P223" s="9">
        <v>302841</v>
      </c>
      <c r="Q223" s="12" t="str">
        <f>+VLOOKUP(P223,Datos!$F:$G,2,FALSE)</f>
        <v>Jessica Maria Jose Santizo Guzman</v>
      </c>
      <c r="R223" s="9" t="s">
        <v>57</v>
      </c>
      <c r="V223" s="10">
        <f t="shared" si="3"/>
        <v>1</v>
      </c>
      <c r="W223" s="10">
        <f>+VLOOKUP(M223,Datos!$F:$H,3,FALSE)</f>
        <v>0</v>
      </c>
      <c r="X223">
        <v>0</v>
      </c>
      <c r="Y223" s="14"/>
      <c r="Z223" t="e">
        <f>VLOOKUP(M223,'[1]INDIVIDUAL UN'!$C$6:$F$222,4,FALSE)</f>
        <v>#N/A</v>
      </c>
    </row>
    <row r="224" spans="1:26" s="10" customFormat="1" hidden="1" x14ac:dyDescent="0.35">
      <c r="A224" s="9" t="s">
        <v>25</v>
      </c>
      <c r="B224" s="9"/>
      <c r="C224" s="10">
        <v>4</v>
      </c>
      <c r="D224" s="10" t="s">
        <v>29</v>
      </c>
      <c r="E224" s="10" t="s">
        <v>30</v>
      </c>
      <c r="F224" s="10">
        <v>813</v>
      </c>
      <c r="G224" s="10" t="s">
        <v>307</v>
      </c>
      <c r="H224" s="11">
        <v>46282</v>
      </c>
      <c r="I224" s="11">
        <v>46282</v>
      </c>
      <c r="J224" s="12" t="str">
        <f>+VLOOKUP(K224,Datos!$A:$C,3,FALSE)</f>
        <v>SUROCCIDENTE</v>
      </c>
      <c r="K224" s="10">
        <v>297</v>
      </c>
      <c r="L224" s="12" t="str">
        <f>+VLOOKUP(K224,Datos!$A:$C,2,FALSE)</f>
        <v>LA TRINIDAD COATEPEQUE</v>
      </c>
      <c r="M224" s="10">
        <v>306248</v>
      </c>
      <c r="N224" s="12" t="str">
        <f>+VLOOKUP(M224,Datos!$F:$G,2,FALSE)</f>
        <v>Gladys Susana Marin De Leon</v>
      </c>
      <c r="O224" s="13">
        <f>IFERROR(IF(A224="SI",VLOOKUP(R224,Datos!$J$1:$K$50,2,FALSE)*C224,VLOOKUP(R224,Datos!$P$1:$T$13,2,FALSE)*C224),0)</f>
        <v>10944</v>
      </c>
      <c r="P224" s="9">
        <v>311975</v>
      </c>
      <c r="Q224" s="12" t="str">
        <f>+VLOOKUP(P224,Datos!$F:$G,2,FALSE)</f>
        <v>Luis Eduardo Ramirez Arriaza</v>
      </c>
      <c r="R224" s="9" t="s">
        <v>156</v>
      </c>
      <c r="V224" s="10">
        <f t="shared" si="3"/>
        <v>1</v>
      </c>
      <c r="W224" s="10">
        <f>+VLOOKUP(M224,Datos!$F:$H,3,FALSE)</f>
        <v>0</v>
      </c>
      <c r="X224">
        <v>0</v>
      </c>
      <c r="Y224" s="20"/>
      <c r="Z224" s="10" t="e">
        <f>VLOOKUP(M224,'[1]INDIVIDUAL UN'!$C$6:$F$222,4,FALSE)</f>
        <v>#N/A</v>
      </c>
    </row>
    <row r="225" spans="1:26" hidden="1" x14ac:dyDescent="0.35">
      <c r="A225" s="9" t="s">
        <v>25</v>
      </c>
      <c r="C225" s="50">
        <v>1</v>
      </c>
      <c r="D225" s="10" t="s">
        <v>29</v>
      </c>
      <c r="E225" s="51" t="s">
        <v>37</v>
      </c>
      <c r="F225" s="51">
        <v>4557</v>
      </c>
      <c r="G225" s="51" t="s">
        <v>308</v>
      </c>
      <c r="H225" s="11">
        <v>46282</v>
      </c>
      <c r="I225" s="11">
        <v>46282</v>
      </c>
      <c r="J225" s="12" t="str">
        <f>+VLOOKUP(K225,Datos!$A:$C,3,FALSE)</f>
        <v>OCCIDENTE</v>
      </c>
      <c r="K225" s="51">
        <v>65</v>
      </c>
      <c r="L225" s="12" t="str">
        <f>+VLOOKUP(K225,Datos!$A:$C,2,FALSE)</f>
        <v>PANAJACHEL</v>
      </c>
      <c r="M225" s="51">
        <v>90013868</v>
      </c>
      <c r="N225" s="12" t="str">
        <f>+VLOOKUP(M225,Datos!$F:$G,2,FALSE)</f>
        <v>CESIA IXTETELA YATAZ</v>
      </c>
      <c r="O225" s="13">
        <f>IFERROR(IF(A225="SI",VLOOKUP(R225,Datos!$J$1:$K$50,2,FALSE)*C225,VLOOKUP(R225,Datos!$P$1:$T$13,2,FALSE)*C225),0)</f>
        <v>816</v>
      </c>
      <c r="P225" s="9">
        <v>306098</v>
      </c>
      <c r="Q225" s="12" t="str">
        <f>+VLOOKUP(P225,Datos!$F:$G,2,FALSE)</f>
        <v>Roderico Simeon Lopez Lopez</v>
      </c>
      <c r="R225" s="9" t="s">
        <v>26</v>
      </c>
      <c r="V225" s="10">
        <f t="shared" si="3"/>
        <v>1</v>
      </c>
      <c r="W225" s="10">
        <f>+VLOOKUP(M225,Datos!$F:$H,3,FALSE)</f>
        <v>0</v>
      </c>
      <c r="X225">
        <v>0</v>
      </c>
      <c r="Y225" s="14"/>
      <c r="Z225" t="e">
        <f>VLOOKUP(M225,'[1]INDIVIDUAL UN'!$C$6:$F$222,4,FALSE)</f>
        <v>#N/A</v>
      </c>
    </row>
    <row r="226" spans="1:26" hidden="1" x14ac:dyDescent="0.35">
      <c r="A226" s="9" t="s">
        <v>25</v>
      </c>
      <c r="C226" s="38">
        <v>1</v>
      </c>
      <c r="D226" s="10" t="s">
        <v>29</v>
      </c>
      <c r="E226" s="23" t="s">
        <v>37</v>
      </c>
      <c r="F226" s="23">
        <v>4580</v>
      </c>
      <c r="G226" s="23" t="s">
        <v>309</v>
      </c>
      <c r="H226" s="11">
        <v>46282</v>
      </c>
      <c r="I226" s="11">
        <v>46282</v>
      </c>
      <c r="J226" s="12" t="str">
        <f>+VLOOKUP(K226,Datos!$A:$C,3,FALSE)</f>
        <v>OCCIDENTE</v>
      </c>
      <c r="K226" s="23">
        <v>65</v>
      </c>
      <c r="L226" s="12" t="str">
        <f>+VLOOKUP(K226,Datos!$A:$C,2,FALSE)</f>
        <v>PANAJACHEL</v>
      </c>
      <c r="M226" s="23">
        <v>312996</v>
      </c>
      <c r="N226" s="12" t="str">
        <f>+VLOOKUP(M226,Datos!$F:$G,2,FALSE)</f>
        <v>Marlen Aida Pelaez Ramirez</v>
      </c>
      <c r="O226" s="13">
        <f>IFERROR(IF(A226="SI",VLOOKUP(R226,Datos!$J$1:$K$50,2,FALSE)*C226,VLOOKUP(R226,Datos!$P$1:$T$13,2,FALSE)*C226),0)</f>
        <v>816</v>
      </c>
      <c r="P226" s="9">
        <v>305532</v>
      </c>
      <c r="Q226" s="12" t="str">
        <f>+VLOOKUP(P226,Datos!$F:$G,2,FALSE)</f>
        <v>Nicolas Ajiquichi Ibate</v>
      </c>
      <c r="R226" s="9" t="s">
        <v>26</v>
      </c>
      <c r="V226" s="10">
        <f t="shared" si="3"/>
        <v>1</v>
      </c>
      <c r="W226" s="10">
        <f>+VLOOKUP(M226,Datos!$F:$H,3,FALSE)</f>
        <v>0</v>
      </c>
      <c r="X226">
        <v>0</v>
      </c>
      <c r="Y226" s="14"/>
      <c r="Z226" t="e">
        <f>VLOOKUP(M226,'[1]INDIVIDUAL UN'!$C$6:$F$222,4,FALSE)</f>
        <v>#N/A</v>
      </c>
    </row>
    <row r="227" spans="1:26" hidden="1" x14ac:dyDescent="0.35">
      <c r="A227" s="9" t="s">
        <v>25</v>
      </c>
      <c r="C227" s="50">
        <v>2</v>
      </c>
      <c r="D227" s="10" t="s">
        <v>29</v>
      </c>
      <c r="E227" s="51" t="s">
        <v>27</v>
      </c>
      <c r="F227" s="51">
        <v>1296</v>
      </c>
      <c r="G227" s="51" t="s">
        <v>310</v>
      </c>
      <c r="H227" s="11">
        <v>46282</v>
      </c>
      <c r="I227" s="11">
        <v>46282</v>
      </c>
      <c r="J227" s="12" t="str">
        <f>+VLOOKUP(K227,Datos!$A:$C,3,FALSE)</f>
        <v>OCCIDENTE</v>
      </c>
      <c r="K227" s="51">
        <v>65</v>
      </c>
      <c r="L227" s="12" t="str">
        <f>+VLOOKUP(K227,Datos!$A:$C,2,FALSE)</f>
        <v>PANAJACHEL</v>
      </c>
      <c r="M227" s="51">
        <v>315742</v>
      </c>
      <c r="N227" s="12" t="str">
        <f>+VLOOKUP(M227,Datos!$F:$G,2,FALSE)</f>
        <v>SHAROL OSLEYDY DHARARA PATZAN YOS</v>
      </c>
      <c r="O227" s="13">
        <f>IFERROR(IF(A227="SI",VLOOKUP(R227,Datos!$J$1:$K$50,2,FALSE)*C227,VLOOKUP(R227,Datos!$P$1:$T$13,2,FALSE)*C227),0)</f>
        <v>1632</v>
      </c>
      <c r="P227" s="9">
        <v>306098</v>
      </c>
      <c r="Q227" s="12" t="str">
        <f>+VLOOKUP(P227,Datos!$F:$G,2,FALSE)</f>
        <v>Roderico Simeon Lopez Lopez</v>
      </c>
      <c r="R227" s="9" t="s">
        <v>26</v>
      </c>
      <c r="V227" s="10">
        <f t="shared" si="3"/>
        <v>1</v>
      </c>
      <c r="W227" s="10">
        <f>+VLOOKUP(M227,Datos!$F:$H,3,FALSE)</f>
        <v>0</v>
      </c>
      <c r="X227">
        <v>0</v>
      </c>
      <c r="Y227" s="14"/>
      <c r="Z227" t="e">
        <f>VLOOKUP(M227,'[1]INDIVIDUAL UN'!$C$6:$F$222,4,FALSE)</f>
        <v>#N/A</v>
      </c>
    </row>
    <row r="228" spans="1:26" hidden="1" x14ac:dyDescent="0.35">
      <c r="A228" s="9" t="s">
        <v>25</v>
      </c>
      <c r="C228" s="10">
        <v>4</v>
      </c>
      <c r="D228" s="10" t="s">
        <v>29</v>
      </c>
      <c r="E228" s="10" t="s">
        <v>30</v>
      </c>
      <c r="F228" s="10">
        <v>807</v>
      </c>
      <c r="G228" s="10" t="s">
        <v>311</v>
      </c>
      <c r="H228" s="11">
        <v>46282</v>
      </c>
      <c r="I228" s="11">
        <v>46282</v>
      </c>
      <c r="J228" s="12" t="str">
        <f>+VLOOKUP(K228,Datos!$A:$C,3,FALSE)</f>
        <v>OCCIDENTE</v>
      </c>
      <c r="K228" s="10">
        <v>126</v>
      </c>
      <c r="L228" s="12" t="str">
        <f>+VLOOKUP(K228,Datos!$A:$C,2,FALSE)</f>
        <v>CHICHICASTENANGO</v>
      </c>
      <c r="M228" s="10">
        <v>309989</v>
      </c>
      <c r="N228" s="12" t="str">
        <f>+VLOOKUP(M228,Datos!$F:$G,2,FALSE)</f>
        <v>Olga Maricela Guarcas Tol</v>
      </c>
      <c r="O228" s="13">
        <f>IFERROR(IF(A228="SI",VLOOKUP(R228,Datos!$J$1:$K$50,2,FALSE)*C228,VLOOKUP(R228,Datos!$P$1:$T$13,2,FALSE)*C228),0)</f>
        <v>3264</v>
      </c>
      <c r="P228" s="9">
        <v>303674</v>
      </c>
      <c r="Q228" s="12" t="str">
        <f>+VLOOKUP(P228,Datos!$F:$G,2,FALSE)</f>
        <v>Imelda Elizabeth Castro Rodas</v>
      </c>
      <c r="R228" s="9" t="s">
        <v>26</v>
      </c>
      <c r="V228" s="10">
        <f t="shared" si="3"/>
        <v>1</v>
      </c>
      <c r="W228" s="10">
        <f>+VLOOKUP(M228,Datos!$F:$H,3,FALSE)</f>
        <v>0</v>
      </c>
      <c r="X228">
        <v>0</v>
      </c>
      <c r="Y228" s="14"/>
      <c r="Z228" t="e">
        <f>VLOOKUP(M228,'[1]INDIVIDUAL UN'!$C$6:$F$222,4,FALSE)</f>
        <v>#N/A</v>
      </c>
    </row>
    <row r="229" spans="1:26" hidden="1" x14ac:dyDescent="0.35">
      <c r="A229" s="9" t="s">
        <v>25</v>
      </c>
      <c r="C229" s="10">
        <v>4</v>
      </c>
      <c r="D229" s="10" t="s">
        <v>29</v>
      </c>
      <c r="E229" s="10" t="s">
        <v>30</v>
      </c>
      <c r="F229" s="10">
        <v>812</v>
      </c>
      <c r="G229" s="10" t="s">
        <v>312</v>
      </c>
      <c r="H229" s="11">
        <v>46282</v>
      </c>
      <c r="I229" s="11">
        <v>46282</v>
      </c>
      <c r="J229" s="12" t="str">
        <f>+VLOOKUP(K229,Datos!$A:$C,3,FALSE)</f>
        <v>SUROCCIDENTE</v>
      </c>
      <c r="K229" s="10">
        <v>297</v>
      </c>
      <c r="L229" s="12" t="str">
        <f>+VLOOKUP(K229,Datos!$A:$C,2,FALSE)</f>
        <v>LA TRINIDAD COATEPEQUE</v>
      </c>
      <c r="M229" s="10">
        <v>90066167</v>
      </c>
      <c r="N229" s="12" t="str">
        <f>+VLOOKUP(M229,Datos!$F:$G,2,FALSE)</f>
        <v>JHONATAN ISAMEL MERIDA CAXAJ</v>
      </c>
      <c r="O229" s="13">
        <f>IFERROR(IF(A229="SI",VLOOKUP(R229,Datos!$J$1:$K$50,2,FALSE)*C229,VLOOKUP(R229,Datos!$P$1:$T$13,2,FALSE)*C229),0)</f>
        <v>3264</v>
      </c>
      <c r="P229" s="9">
        <v>315175</v>
      </c>
      <c r="Q229" s="12" t="str">
        <f>+VLOOKUP(P229,Datos!$F:$G,2,FALSE)</f>
        <v>Heber Nehemias Velasquez Lorenzo</v>
      </c>
      <c r="R229" s="9" t="s">
        <v>26</v>
      </c>
      <c r="V229" s="10">
        <f t="shared" si="3"/>
        <v>1</v>
      </c>
      <c r="W229" s="10">
        <f>+VLOOKUP(M229,Datos!$F:$H,3,FALSE)</f>
        <v>0</v>
      </c>
      <c r="X229">
        <v>0</v>
      </c>
      <c r="Y229" s="14"/>
      <c r="Z229" t="e">
        <f>VLOOKUP(M229,'[1]INDIVIDUAL UN'!$C$6:$F$222,4,FALSE)</f>
        <v>#N/A</v>
      </c>
    </row>
    <row r="230" spans="1:26" hidden="1" x14ac:dyDescent="0.35">
      <c r="A230" s="9" t="s">
        <v>25</v>
      </c>
      <c r="C230" s="10">
        <v>1</v>
      </c>
      <c r="D230" s="10" t="s">
        <v>29</v>
      </c>
      <c r="E230" s="10" t="s">
        <v>43</v>
      </c>
      <c r="F230" s="10">
        <v>2902</v>
      </c>
      <c r="G230" s="10" t="s">
        <v>214</v>
      </c>
      <c r="H230" s="18">
        <v>46282</v>
      </c>
      <c r="I230" s="18">
        <v>46282</v>
      </c>
      <c r="J230" s="12" t="str">
        <f>+VLOOKUP(K230,Datos!$A:$C,3,FALSE)</f>
        <v>OCCIDENTE</v>
      </c>
      <c r="K230" s="10">
        <v>150</v>
      </c>
      <c r="L230" s="12" t="str">
        <f>+VLOOKUP(K230,Datos!$A:$C,2,FALSE)</f>
        <v>SANTA CRUZ DEL QUICHE</v>
      </c>
      <c r="M230">
        <v>90034373</v>
      </c>
      <c r="N230" s="12" t="str">
        <f>+VLOOKUP(M230,Datos!$F:$G,2,FALSE)</f>
        <v>SILVIA PATRICIA MENDOZA GOMEZ</v>
      </c>
      <c r="O230" s="13">
        <f>IFERROR(IF(A230="SI",VLOOKUP(R230,Datos!$J$1:$K$50,2,FALSE)*C230,VLOOKUP(R230,Datos!$P$1:$T$13,2,FALSE)*C230),0)</f>
        <v>1308</v>
      </c>
      <c r="P230" s="9">
        <v>310329</v>
      </c>
      <c r="Q230" s="12" t="str">
        <f>+VLOOKUP(P230,Datos!$F:$G,2,FALSE)</f>
        <v>Ana Leticia Lux Say</v>
      </c>
      <c r="R230" s="9" t="s">
        <v>45</v>
      </c>
      <c r="V230" s="10">
        <f t="shared" si="3"/>
        <v>2</v>
      </c>
      <c r="W230" s="10">
        <f>+VLOOKUP(M230,Datos!$F:$H,3,FALSE)</f>
        <v>0</v>
      </c>
      <c r="X230">
        <v>0</v>
      </c>
      <c r="Y230" s="14"/>
      <c r="Z230" t="e">
        <f>VLOOKUP(M230,'[1]INDIVIDUAL UN'!$C$6:$F$222,4,FALSE)</f>
        <v>#N/A</v>
      </c>
    </row>
    <row r="231" spans="1:26" hidden="1" x14ac:dyDescent="0.35">
      <c r="A231" s="9" t="s">
        <v>25</v>
      </c>
      <c r="C231" s="10">
        <v>1</v>
      </c>
      <c r="D231" s="10" t="s">
        <v>29</v>
      </c>
      <c r="E231" s="10" t="s">
        <v>37</v>
      </c>
      <c r="F231" s="10">
        <v>4577</v>
      </c>
      <c r="G231" s="10" t="s">
        <v>313</v>
      </c>
      <c r="H231" s="11">
        <v>46282</v>
      </c>
      <c r="I231" s="11">
        <v>46282</v>
      </c>
      <c r="J231" s="12" t="str">
        <f>+VLOOKUP(K231,Datos!$A:$C,3,FALSE)</f>
        <v>OCCIDENTE</v>
      </c>
      <c r="K231" s="10">
        <v>56</v>
      </c>
      <c r="L231" s="12" t="str">
        <f>+VLOOKUP(K231,Datos!$A:$C,2,FALSE)</f>
        <v>LOS ALTOS</v>
      </c>
      <c r="M231" s="10">
        <v>315133</v>
      </c>
      <c r="N231" s="12" t="str">
        <f>+VLOOKUP(M231,Datos!$F:$G,2,FALSE)</f>
        <v>Bryan Daniel Milián De Leon</v>
      </c>
      <c r="O231" s="13">
        <f>IFERROR(IF(A231="SI",VLOOKUP(R231,Datos!$J$1:$K$50,2,FALSE)*C231,VLOOKUP(R231,Datos!$P$1:$T$13,2,FALSE)*C231),0)</f>
        <v>1368</v>
      </c>
      <c r="P231" s="9">
        <v>308266</v>
      </c>
      <c r="Q231" s="12" t="str">
        <f>+VLOOKUP(P231,Datos!$F:$G,2,FALSE)</f>
        <v>Julio Cesar De Leon Huinac</v>
      </c>
      <c r="R231" s="9" t="s">
        <v>48</v>
      </c>
      <c r="V231" s="10">
        <f t="shared" si="3"/>
        <v>1</v>
      </c>
      <c r="W231" s="10">
        <f>+VLOOKUP(M231,Datos!$F:$H,3,FALSE)</f>
        <v>0</v>
      </c>
      <c r="X231">
        <v>0</v>
      </c>
      <c r="Y231" s="14"/>
      <c r="Z231" t="e">
        <f>VLOOKUP(M231,'[1]INDIVIDUAL UN'!$C$6:$F$222,4,FALSE)</f>
        <v>#N/A</v>
      </c>
    </row>
    <row r="232" spans="1:26" hidden="1" x14ac:dyDescent="0.35">
      <c r="A232" s="9" t="s">
        <v>25</v>
      </c>
      <c r="C232" s="10">
        <v>4</v>
      </c>
      <c r="D232" s="10" t="s">
        <v>29</v>
      </c>
      <c r="E232" s="10" t="s">
        <v>30</v>
      </c>
      <c r="F232" s="10">
        <v>811</v>
      </c>
      <c r="G232" s="10" t="s">
        <v>314</v>
      </c>
      <c r="H232" s="11">
        <v>46282</v>
      </c>
      <c r="I232" s="11">
        <v>46282</v>
      </c>
      <c r="J232" s="12" t="str">
        <f>+VLOOKUP(K232,Datos!$A:$C,3,FALSE)</f>
        <v>SUROCCIDENTE</v>
      </c>
      <c r="K232" s="16">
        <v>227</v>
      </c>
      <c r="L232" s="12" t="str">
        <f>+VLOOKUP(K232,Datos!$A:$C,2,FALSE)</f>
        <v>PAJAPITA</v>
      </c>
      <c r="M232" s="10">
        <v>90023752</v>
      </c>
      <c r="N232" s="12" t="str">
        <f>+VLOOKUP(M232,Datos!$F:$G,2,FALSE)</f>
        <v>EDY DIONISIO FUENTES MARTINEZ</v>
      </c>
      <c r="O232" s="13">
        <f>IFERROR(IF(A232="SI",VLOOKUP(R232,Datos!$J$1:$K$50,2,FALSE)*C232,VLOOKUP(R232,Datos!$P$1:$T$13,2,FALSE)*C232),0)</f>
        <v>3264</v>
      </c>
      <c r="P232" s="16">
        <v>314738</v>
      </c>
      <c r="Q232" s="12" t="str">
        <f>+VLOOKUP(P232,Datos!$F:$G,2,FALSE)</f>
        <v>Carlos David Castillo Gamboa</v>
      </c>
      <c r="R232" s="9" t="s">
        <v>26</v>
      </c>
      <c r="V232" s="10">
        <f t="shared" si="3"/>
        <v>1</v>
      </c>
      <c r="W232" s="10">
        <f>+VLOOKUP(M232,Datos!$F:$H,3,FALSE)</f>
        <v>0</v>
      </c>
      <c r="X232">
        <v>0</v>
      </c>
      <c r="Y232" s="14"/>
      <c r="Z232" t="e">
        <f>VLOOKUP(M232,'[1]INDIVIDUAL UN'!$C$6:$F$222,4,FALSE)</f>
        <v>#N/A</v>
      </c>
    </row>
    <row r="233" spans="1:26" hidden="1" x14ac:dyDescent="0.35">
      <c r="A233" s="9" t="s">
        <v>25</v>
      </c>
      <c r="C233" s="10">
        <v>2</v>
      </c>
      <c r="D233" s="10" t="s">
        <v>29</v>
      </c>
      <c r="E233" s="10" t="s">
        <v>27</v>
      </c>
      <c r="F233" s="10">
        <v>1298</v>
      </c>
      <c r="G233" s="10" t="s">
        <v>315</v>
      </c>
      <c r="H233" s="11">
        <v>46282</v>
      </c>
      <c r="I233" s="11">
        <v>46282</v>
      </c>
      <c r="J233" s="12" t="str">
        <f>+VLOOKUP(K233,Datos!$A:$C,3,FALSE)</f>
        <v>SUROCCIDENTE</v>
      </c>
      <c r="K233" s="16">
        <v>89</v>
      </c>
      <c r="L233" s="12" t="str">
        <f>+VLOOKUP(K233,Datos!$A:$C,2,FALSE)</f>
        <v>LA TRINIDAD RETALHULEU</v>
      </c>
      <c r="M233" s="10">
        <v>314845</v>
      </c>
      <c r="N233" s="12" t="str">
        <f>+VLOOKUP(M233,Datos!$F:$G,2,FALSE)</f>
        <v>Darissa Anahi Galindo Monzon</v>
      </c>
      <c r="O233" s="13">
        <f>IFERROR(IF(A233="SI",VLOOKUP(R233,Datos!$J$1:$K$50,2,FALSE)*C233,VLOOKUP(R233,Datos!$P$1:$T$13,2,FALSE)*C233),0)</f>
        <v>1632</v>
      </c>
      <c r="P233" s="16">
        <v>315416</v>
      </c>
      <c r="Q233" s="12" t="str">
        <f>+VLOOKUP(P233,Datos!$F:$G,2,FALSE)</f>
        <v>Melvin Hermenegildo Yagut Monterroso</v>
      </c>
      <c r="R233" s="9" t="s">
        <v>26</v>
      </c>
      <c r="V233" s="10">
        <f t="shared" si="3"/>
        <v>1</v>
      </c>
      <c r="W233" s="10">
        <f>+VLOOKUP(M233,Datos!$F:$H,3,FALSE)</f>
        <v>0</v>
      </c>
      <c r="X233">
        <v>0</v>
      </c>
      <c r="Y233" s="14"/>
      <c r="Z233" t="e">
        <f>VLOOKUP(M233,'[1]INDIVIDUAL UN'!$C$6:$F$222,4,FALSE)</f>
        <v>#N/A</v>
      </c>
    </row>
    <row r="234" spans="1:26" hidden="1" x14ac:dyDescent="0.35">
      <c r="A234" s="9" t="s">
        <v>25</v>
      </c>
      <c r="C234" s="10">
        <v>4</v>
      </c>
      <c r="D234" s="10" t="s">
        <v>29</v>
      </c>
      <c r="E234" s="10" t="s">
        <v>30</v>
      </c>
      <c r="F234" s="10">
        <v>806</v>
      </c>
      <c r="G234" s="10" t="s">
        <v>316</v>
      </c>
      <c r="H234" s="11">
        <v>46282</v>
      </c>
      <c r="I234" s="11">
        <v>46282</v>
      </c>
      <c r="J234" s="12" t="str">
        <f>+VLOOKUP(K234,Datos!$A:$C,3,FALSE)</f>
        <v>OCCIDENTE</v>
      </c>
      <c r="K234" s="16">
        <v>246</v>
      </c>
      <c r="L234" s="12" t="str">
        <f>+VLOOKUP(K234,Datos!$A:$C,2,FALSE)</f>
        <v>SANTA CRUZ BARILLAS</v>
      </c>
      <c r="M234" s="10">
        <v>312087</v>
      </c>
      <c r="N234" s="12" t="str">
        <f>+VLOOKUP(M234,Datos!$F:$G,2,FALSE)</f>
        <v>Yoni Yosuen Rodriguez Sosa</v>
      </c>
      <c r="O234" s="13">
        <f>IFERROR(IF(A234="SI",VLOOKUP(R234,Datos!$J$1:$K$50,2,FALSE)*C234,VLOOKUP(R234,Datos!$P$1:$T$13,2,FALSE)*C234),0)</f>
        <v>5472</v>
      </c>
      <c r="P234" s="16">
        <v>304166</v>
      </c>
      <c r="Q234" s="12" t="str">
        <f>+VLOOKUP(P234,Datos!$F:$G,2,FALSE)</f>
        <v>Maviela Bibianeth Castillo Avila</v>
      </c>
      <c r="R234" s="9" t="s">
        <v>48</v>
      </c>
      <c r="V234" s="10">
        <f t="shared" si="3"/>
        <v>1</v>
      </c>
      <c r="W234" s="10">
        <f>+VLOOKUP(M234,Datos!$F:$H,3,FALSE)</f>
        <v>0</v>
      </c>
      <c r="X234">
        <v>0</v>
      </c>
      <c r="Y234" s="14"/>
      <c r="Z234" t="e">
        <f>VLOOKUP(M234,'[1]INDIVIDUAL UN'!$C$6:$F$222,4,FALSE)</f>
        <v>#N/A</v>
      </c>
    </row>
    <row r="235" spans="1:26" hidden="1" x14ac:dyDescent="0.35">
      <c r="A235" s="9" t="s">
        <v>25</v>
      </c>
      <c r="C235" s="10">
        <v>1</v>
      </c>
      <c r="D235" s="10" t="s">
        <v>29</v>
      </c>
      <c r="E235" s="10" t="s">
        <v>37</v>
      </c>
      <c r="F235" s="10">
        <v>4565</v>
      </c>
      <c r="G235" s="10" t="s">
        <v>317</v>
      </c>
      <c r="H235" s="11">
        <v>46282</v>
      </c>
      <c r="I235" s="11">
        <v>46282</v>
      </c>
      <c r="J235" s="12" t="str">
        <f>+VLOOKUP(K235,Datos!$A:$C,3,FALSE)</f>
        <v>SUROCCIDENTE</v>
      </c>
      <c r="K235" s="16">
        <v>297</v>
      </c>
      <c r="L235" s="12" t="str">
        <f>+VLOOKUP(K235,Datos!$A:$C,2,FALSE)</f>
        <v>LA TRINIDAD COATEPEQUE</v>
      </c>
      <c r="M235" s="10">
        <v>306248</v>
      </c>
      <c r="N235" s="12" t="str">
        <f>+VLOOKUP(M235,Datos!$F:$G,2,FALSE)</f>
        <v>Gladys Susana Marin De Leon</v>
      </c>
      <c r="O235" s="13">
        <f>IFERROR(IF(A235="SI",VLOOKUP(R235,Datos!$J$1:$K$50,2,FALSE)*C235,VLOOKUP(R235,Datos!$P$1:$T$13,2,FALSE)*C235),0)</f>
        <v>816</v>
      </c>
      <c r="P235" s="16">
        <v>311975</v>
      </c>
      <c r="Q235" s="12" t="str">
        <f>+VLOOKUP(P235,Datos!$F:$G,2,FALSE)</f>
        <v>Luis Eduardo Ramirez Arriaza</v>
      </c>
      <c r="R235" s="9" t="s">
        <v>26</v>
      </c>
      <c r="V235" s="10">
        <f t="shared" si="3"/>
        <v>1</v>
      </c>
      <c r="W235" s="10">
        <f>+VLOOKUP(M235,Datos!$F:$H,3,FALSE)</f>
        <v>0</v>
      </c>
      <c r="X235">
        <v>0</v>
      </c>
      <c r="Y235" s="14"/>
      <c r="Z235" t="e">
        <f>VLOOKUP(M235,'[1]INDIVIDUAL UN'!$C$6:$F$222,4,FALSE)</f>
        <v>#N/A</v>
      </c>
    </row>
    <row r="236" spans="1:26" hidden="1" x14ac:dyDescent="0.35">
      <c r="A236" s="9" t="s">
        <v>25</v>
      </c>
      <c r="C236" s="10">
        <v>1</v>
      </c>
      <c r="D236" s="10" t="s">
        <v>29</v>
      </c>
      <c r="E236" s="10" t="s">
        <v>318</v>
      </c>
      <c r="F236" s="10">
        <v>4574</v>
      </c>
      <c r="G236" s="10" t="s">
        <v>319</v>
      </c>
      <c r="H236" s="11">
        <v>46282</v>
      </c>
      <c r="I236" s="11">
        <v>46282</v>
      </c>
      <c r="J236" s="12" t="str">
        <f>+VLOOKUP(K236,Datos!$A:$C,3,FALSE)</f>
        <v>SUROCCIDENTE</v>
      </c>
      <c r="K236" s="10">
        <v>297</v>
      </c>
      <c r="L236" s="12" t="str">
        <f>+VLOOKUP(K236,Datos!$A:$C,2,FALSE)</f>
        <v>LA TRINIDAD COATEPEQUE</v>
      </c>
      <c r="M236" s="10">
        <v>306248</v>
      </c>
      <c r="N236" s="12" t="str">
        <f>+VLOOKUP(M236,Datos!$F:$G,2,FALSE)</f>
        <v>Gladys Susana Marin De Leon</v>
      </c>
      <c r="O236" s="13">
        <f>IFERROR(IF(A236="SI",VLOOKUP(R236,Datos!$J$1:$K$50,2,FALSE)*C236,VLOOKUP(R236,Datos!$P$1:$T$13,2,FALSE)*C236),0)</f>
        <v>816</v>
      </c>
      <c r="P236" s="9">
        <v>311975</v>
      </c>
      <c r="Q236" s="12" t="str">
        <f>+VLOOKUP(P236,Datos!$F:$G,2,FALSE)</f>
        <v>Luis Eduardo Ramirez Arriaza</v>
      </c>
      <c r="R236" s="9" t="s">
        <v>26</v>
      </c>
      <c r="V236" s="10">
        <f t="shared" si="3"/>
        <v>1</v>
      </c>
      <c r="W236" s="10">
        <f>+VLOOKUP(M236,Datos!$F:$H,3,FALSE)</f>
        <v>0</v>
      </c>
      <c r="X236">
        <v>0</v>
      </c>
      <c r="Y236" s="14"/>
      <c r="Z236" t="e">
        <f>VLOOKUP(M236,'[1]INDIVIDUAL UN'!$C$6:$F$222,4,FALSE)</f>
        <v>#N/A</v>
      </c>
    </row>
    <row r="237" spans="1:26" hidden="1" x14ac:dyDescent="0.35">
      <c r="A237" s="9" t="s">
        <v>25</v>
      </c>
      <c r="C237">
        <v>4</v>
      </c>
      <c r="D237" s="10" t="s">
        <v>29</v>
      </c>
      <c r="E237" s="10" t="s">
        <v>30</v>
      </c>
      <c r="F237" s="10">
        <v>792</v>
      </c>
      <c r="G237" s="10" t="s">
        <v>320</v>
      </c>
      <c r="H237" s="11">
        <v>46282</v>
      </c>
      <c r="I237" s="11">
        <v>46282</v>
      </c>
      <c r="J237" s="12" t="str">
        <f>+VLOOKUP(K237,Datos!$A:$C,3,FALSE)</f>
        <v>SUROCCIDENTE</v>
      </c>
      <c r="K237" s="10">
        <v>31</v>
      </c>
      <c r="L237" s="12" t="str">
        <f>+VLOOKUP(K237,Datos!$A:$C,2,FALSE)</f>
        <v>COATEPEQUE</v>
      </c>
      <c r="M237" s="19">
        <v>315882</v>
      </c>
      <c r="N237" s="12" t="str">
        <f>+VLOOKUP(M237,Datos!$F:$G,2,FALSE)</f>
        <v>RUTH ANAI GOMEZ RAMIREZ</v>
      </c>
      <c r="O237" s="13">
        <f>IFERROR(IF(A237="SI",VLOOKUP(R237,Datos!$J$1:$K$50,2,FALSE)*C237,VLOOKUP(R237,Datos!$P$1:$T$13,2,FALSE)*C237),0)</f>
        <v>10944</v>
      </c>
      <c r="P237" s="9">
        <v>306656</v>
      </c>
      <c r="Q237" s="12" t="str">
        <f>+VLOOKUP(P237,Datos!$F:$G,2,FALSE)</f>
        <v>Wilmer Benjamin Vasquez Puac</v>
      </c>
      <c r="R237" s="9" t="s">
        <v>156</v>
      </c>
      <c r="V237" s="10">
        <f t="shared" si="3"/>
        <v>1</v>
      </c>
      <c r="W237" s="10">
        <f>+VLOOKUP(M237,Datos!$F:$H,3,FALSE)</f>
        <v>0</v>
      </c>
      <c r="X237">
        <v>0</v>
      </c>
      <c r="Y237" s="14"/>
      <c r="Z237" t="e">
        <f>VLOOKUP(M237,'[1]INDIVIDUAL UN'!$C$6:$F$222,4,FALSE)</f>
        <v>#N/A</v>
      </c>
    </row>
    <row r="238" spans="1:26" hidden="1" x14ac:dyDescent="0.35">
      <c r="A238" s="9" t="s">
        <v>25</v>
      </c>
      <c r="C238" s="10">
        <v>4</v>
      </c>
      <c r="D238" s="10" t="s">
        <v>29</v>
      </c>
      <c r="E238" s="10" t="s">
        <v>30</v>
      </c>
      <c r="F238" s="10">
        <v>787</v>
      </c>
      <c r="G238" s="10" t="s">
        <v>321</v>
      </c>
      <c r="H238" s="11">
        <v>46282</v>
      </c>
      <c r="I238" s="11">
        <v>46282</v>
      </c>
      <c r="J238" s="12" t="str">
        <f>+VLOOKUP(K238,Datos!$A:$C,3,FALSE)</f>
        <v>OCCIDENTE</v>
      </c>
      <c r="K238" s="10">
        <v>155</v>
      </c>
      <c r="L238" s="12" t="str">
        <f>+VLOOKUP(K238,Datos!$A:$C,2,FALSE)</f>
        <v>TECPAN</v>
      </c>
      <c r="M238" s="10">
        <v>315629</v>
      </c>
      <c r="N238" s="12" t="str">
        <f>+VLOOKUP(M238,Datos!$F:$G,2,FALSE)</f>
        <v>Rucuch Choguaj, Miguel</v>
      </c>
      <c r="O238" s="13">
        <f>IFERROR(IF(A238="SI",VLOOKUP(R238,Datos!$J$1:$K$50,2,FALSE)*C238,VLOOKUP(R238,Datos!$P$1:$T$13,2,FALSE)*C238),0)</f>
        <v>3264</v>
      </c>
      <c r="P238" s="9">
        <v>305955</v>
      </c>
      <c r="Q238" s="12" t="str">
        <f>+VLOOKUP(P238,Datos!$F:$G,2,FALSE)</f>
        <v>Jorge Alfredo Gutierrez Rodriguez</v>
      </c>
      <c r="R238" s="9" t="s">
        <v>26</v>
      </c>
      <c r="V238" s="10">
        <f t="shared" si="3"/>
        <v>1</v>
      </c>
      <c r="W238" s="10">
        <f>+VLOOKUP(M238,Datos!$F:$H,3,FALSE)</f>
        <v>0</v>
      </c>
      <c r="X238">
        <v>0</v>
      </c>
      <c r="Y238" s="14"/>
      <c r="Z238" t="e">
        <f>VLOOKUP(M238,'[1]INDIVIDUAL UN'!$C$6:$F$222,4,FALSE)</f>
        <v>#N/A</v>
      </c>
    </row>
    <row r="239" spans="1:26" hidden="1" x14ac:dyDescent="0.35">
      <c r="A239" s="9" t="s">
        <v>25</v>
      </c>
      <c r="C239" s="10">
        <v>1</v>
      </c>
      <c r="D239" s="10" t="s">
        <v>29</v>
      </c>
      <c r="E239" s="10" t="s">
        <v>37</v>
      </c>
      <c r="F239" s="10">
        <v>4549</v>
      </c>
      <c r="G239" s="10" t="s">
        <v>322</v>
      </c>
      <c r="H239" s="11">
        <v>46282</v>
      </c>
      <c r="I239" s="11">
        <v>46281</v>
      </c>
      <c r="J239" s="12" t="str">
        <f>+VLOOKUP(K239,Datos!$A:$C,3,FALSE)</f>
        <v>OCCIDENTE</v>
      </c>
      <c r="K239" s="10">
        <v>155</v>
      </c>
      <c r="L239" s="12" t="str">
        <f>+VLOOKUP(K239,Datos!$A:$C,2,FALSE)</f>
        <v>TECPAN</v>
      </c>
      <c r="M239" s="10">
        <v>315216</v>
      </c>
      <c r="N239" s="12" t="str">
        <f>+VLOOKUP(M239,Datos!$F:$G,2,FALSE)</f>
        <v>Marcos Avilio Santizo Roman</v>
      </c>
      <c r="O239" s="13">
        <f>IFERROR(IF(A239="SI",VLOOKUP(R239,Datos!$J$1:$K$50,2,FALSE)*C239,VLOOKUP(R239,Datos!$P$1:$T$13,2,FALSE)*C239),0)</f>
        <v>816</v>
      </c>
      <c r="P239" s="9">
        <v>305955</v>
      </c>
      <c r="Q239" s="12" t="str">
        <f>+VLOOKUP(P239,Datos!$F:$G,2,FALSE)</f>
        <v>Jorge Alfredo Gutierrez Rodriguez</v>
      </c>
      <c r="R239" s="9" t="s">
        <v>26</v>
      </c>
      <c r="V239" s="10">
        <f t="shared" si="3"/>
        <v>1</v>
      </c>
      <c r="W239" s="10">
        <f>+VLOOKUP(M239,Datos!$F:$H,3,FALSE)</f>
        <v>0</v>
      </c>
      <c r="X239">
        <v>0</v>
      </c>
      <c r="Y239" s="14"/>
      <c r="Z239" t="e">
        <f>VLOOKUP(M239,'[1]INDIVIDUAL UN'!$C$6:$F$222,4,FALSE)</f>
        <v>#N/A</v>
      </c>
    </row>
    <row r="240" spans="1:26" x14ac:dyDescent="0.35">
      <c r="A240" s="9" t="s">
        <v>25</v>
      </c>
      <c r="C240" s="10">
        <v>1</v>
      </c>
      <c r="D240" s="10" t="s">
        <v>29</v>
      </c>
      <c r="E240" s="10" t="s">
        <v>37</v>
      </c>
      <c r="F240" s="10">
        <v>4315</v>
      </c>
      <c r="G240" s="10" t="s">
        <v>323</v>
      </c>
      <c r="H240" s="11">
        <v>46283</v>
      </c>
      <c r="I240" s="11">
        <v>46272</v>
      </c>
      <c r="J240" s="12" t="str">
        <f>+VLOOKUP(K240,Datos!$A:$C,3,FALSE)</f>
        <v>SUROCCIDENTE</v>
      </c>
      <c r="K240" s="10">
        <v>143</v>
      </c>
      <c r="L240" s="12" t="str">
        <f>+VLOOKUP(K240,Datos!$A:$C,2,FALSE)</f>
        <v>RETALHULEU LA SIRENA</v>
      </c>
      <c r="M240" s="10">
        <v>90087842</v>
      </c>
      <c r="N240" s="12" t="str">
        <f>+VLOOKUP(M240,Datos!$F:$G,2,FALSE)</f>
        <v>ANGEL DAVID BAMAC ORELLANA</v>
      </c>
      <c r="O240" s="13">
        <f>IFERROR(IF(A240="SI",VLOOKUP(R240,Datos!$J$1:$K$50,2,FALSE)*C240,VLOOKUP(R240,Datos!$P$1:$T$13,2,FALSE)*C240),0)</f>
        <v>816</v>
      </c>
      <c r="P240" s="10">
        <v>313194</v>
      </c>
      <c r="Q240" s="12" t="str">
        <f>+VLOOKUP(P240,Datos!$F:$G,2,FALSE)</f>
        <v>Mary Isabel Xiloj Tajiboy</v>
      </c>
      <c r="R240" s="9" t="s">
        <v>26</v>
      </c>
      <c r="V240" s="10">
        <f t="shared" si="3"/>
        <v>1</v>
      </c>
      <c r="W240" s="10">
        <f>+VLOOKUP(M240,Datos!$F:$H,3,FALSE)</f>
        <v>0</v>
      </c>
      <c r="X240">
        <v>0</v>
      </c>
      <c r="Y240" s="14"/>
      <c r="Z240" t="e">
        <f>VLOOKUP(M240,'[1]INDIVIDUAL UN'!$C$6:$F$222,4,FALSE)</f>
        <v>#N/A</v>
      </c>
    </row>
    <row r="241" spans="1:26" x14ac:dyDescent="0.35">
      <c r="A241" s="9" t="s">
        <v>25</v>
      </c>
      <c r="C241" s="10">
        <v>2</v>
      </c>
      <c r="D241" s="10" t="s">
        <v>29</v>
      </c>
      <c r="E241" s="10" t="s">
        <v>27</v>
      </c>
      <c r="F241" s="10">
        <v>1254</v>
      </c>
      <c r="G241" s="10" t="s">
        <v>324</v>
      </c>
      <c r="H241" s="11">
        <v>46283</v>
      </c>
      <c r="I241" s="11">
        <v>46281</v>
      </c>
      <c r="J241" s="12" t="str">
        <f>+VLOOKUP(K241,Datos!$A:$C,3,FALSE)</f>
        <v>SUROCCIDENTE</v>
      </c>
      <c r="K241" s="10">
        <v>48</v>
      </c>
      <c r="L241" s="12" t="str">
        <f>+VLOOKUP(K241,Datos!$A:$C,2,FALSE)</f>
        <v>TECUN UMAN SAN MARCOS</v>
      </c>
      <c r="M241" s="10">
        <v>311866</v>
      </c>
      <c r="N241" s="12" t="str">
        <f>+VLOOKUP(M241,Datos!$F:$G,2,FALSE)</f>
        <v>Treisy Lisbeth Orozco Orozco</v>
      </c>
      <c r="O241" s="13">
        <f>IFERROR(IF(A241="SI",VLOOKUP(R241,Datos!$J$1:$K$50,2,FALSE)*C241,VLOOKUP(R241,Datos!$P$1:$T$13,2,FALSE)*C241),0)</f>
        <v>1632</v>
      </c>
      <c r="P241" s="10">
        <v>302285</v>
      </c>
      <c r="Q241" s="12" t="str">
        <f>+VLOOKUP(P241,Datos!$F:$G,2,FALSE)</f>
        <v>Heydi Yaneth Sales Mazariegos</v>
      </c>
      <c r="R241" s="9" t="s">
        <v>26</v>
      </c>
      <c r="V241" s="10">
        <f t="shared" si="3"/>
        <v>1</v>
      </c>
      <c r="W241" s="10">
        <f>+VLOOKUP(M241,Datos!$F:$H,3,FALSE)</f>
        <v>0</v>
      </c>
      <c r="X241">
        <v>0</v>
      </c>
      <c r="Y241" s="14"/>
    </row>
    <row r="242" spans="1:26" x14ac:dyDescent="0.35">
      <c r="A242" s="9" t="s">
        <v>25</v>
      </c>
      <c r="C242">
        <v>3</v>
      </c>
      <c r="D242" s="10" t="s">
        <v>29</v>
      </c>
      <c r="E242" s="10" t="s">
        <v>41</v>
      </c>
      <c r="F242" s="10">
        <v>674</v>
      </c>
      <c r="G242" s="18" t="s">
        <v>325</v>
      </c>
      <c r="H242" s="11">
        <v>46283</v>
      </c>
      <c r="I242" s="11">
        <v>46282</v>
      </c>
      <c r="J242" s="12" t="str">
        <f>+VLOOKUP(K242,Datos!$A:$C,3,FALSE)</f>
        <v>OCCIDENTE</v>
      </c>
      <c r="K242" s="10">
        <v>246</v>
      </c>
      <c r="L242" s="12" t="str">
        <f>+VLOOKUP(K242,Datos!$A:$C,2,FALSE)</f>
        <v>SANTA CRUZ BARILLAS</v>
      </c>
      <c r="M242" s="10">
        <v>313666</v>
      </c>
      <c r="N242" s="12" t="str">
        <f>+VLOOKUP(M242,Datos!$F:$G,2,FALSE)</f>
        <v>Avner Josue Merida Molina</v>
      </c>
      <c r="O242" s="13">
        <f>IFERROR(IF(A242="SI",VLOOKUP(R242,Datos!$J$1:$K$50,2,FALSE)*C242,VLOOKUP(R242,Datos!$P$1:$T$13,2,FALSE)*C242),0)</f>
        <v>2448</v>
      </c>
      <c r="P242" s="9">
        <v>304166</v>
      </c>
      <c r="Q242" s="12" t="str">
        <f>+VLOOKUP(P242,Datos!$F:$G,2,FALSE)</f>
        <v>Maviela Bibianeth Castillo Avila</v>
      </c>
      <c r="R242" s="9" t="s">
        <v>26</v>
      </c>
      <c r="V242" s="10">
        <f t="shared" si="3"/>
        <v>2</v>
      </c>
      <c r="W242" s="10">
        <f>+VLOOKUP(M242,Datos!$F:$H,3,FALSE)</f>
        <v>0</v>
      </c>
      <c r="X242">
        <v>0</v>
      </c>
      <c r="Y242" s="14"/>
    </row>
    <row r="243" spans="1:26" s="10" customFormat="1" x14ac:dyDescent="0.35">
      <c r="A243" s="9" t="s">
        <v>25</v>
      </c>
      <c r="B243" s="9"/>
      <c r="C243" s="10">
        <v>2</v>
      </c>
      <c r="D243" s="10" t="s">
        <v>29</v>
      </c>
      <c r="E243" s="10" t="s">
        <v>27</v>
      </c>
      <c r="F243" s="10">
        <v>1323</v>
      </c>
      <c r="G243" s="10" t="s">
        <v>326</v>
      </c>
      <c r="H243" s="11">
        <v>46283</v>
      </c>
      <c r="I243" s="11">
        <v>46283</v>
      </c>
      <c r="J243" s="12" t="str">
        <f>+VLOOKUP(K243,Datos!$A:$C,3,FALSE)</f>
        <v>OCCIDENTE</v>
      </c>
      <c r="K243" s="10">
        <v>155</v>
      </c>
      <c r="L243" s="12" t="str">
        <f>+VLOOKUP(K243,Datos!$A:$C,2,FALSE)</f>
        <v>TECPAN</v>
      </c>
      <c r="M243" s="10">
        <v>314450</v>
      </c>
      <c r="N243" s="12" t="str">
        <f>+VLOOKUP(M243,Datos!$F:$G,2,FALSE)</f>
        <v>Rafael Anibal Sut Tucubal</v>
      </c>
      <c r="O243" s="13">
        <f>IFERROR(IF(A243="SI",VLOOKUP(R243,Datos!$J$1:$K$50,2,FALSE)*C243,VLOOKUP(R243,Datos!$P$1:$T$13,2,FALSE)*C243),0)</f>
        <v>1632</v>
      </c>
      <c r="P243" s="9">
        <v>305955</v>
      </c>
      <c r="Q243" s="12" t="str">
        <f>+VLOOKUP(P243,Datos!$F:$G,2,FALSE)</f>
        <v>Jorge Alfredo Gutierrez Rodriguez</v>
      </c>
      <c r="R243" s="9" t="s">
        <v>26</v>
      </c>
      <c r="V243" s="10">
        <f t="shared" si="3"/>
        <v>1</v>
      </c>
      <c r="W243" s="10">
        <f>+VLOOKUP(M243,Datos!$F:$H,3,FALSE)</f>
        <v>0</v>
      </c>
      <c r="X243">
        <v>0</v>
      </c>
      <c r="Y243" s="20"/>
    </row>
    <row r="244" spans="1:26" s="54" customFormat="1" x14ac:dyDescent="0.35">
      <c r="A244" s="9" t="s">
        <v>25</v>
      </c>
      <c r="B244" s="9"/>
      <c r="C244" s="10">
        <v>3</v>
      </c>
      <c r="D244" s="16" t="s">
        <v>219</v>
      </c>
      <c r="E244" s="10" t="s">
        <v>148</v>
      </c>
      <c r="F244" s="10">
        <v>67</v>
      </c>
      <c r="G244" s="10" t="s">
        <v>327</v>
      </c>
      <c r="H244" s="11">
        <v>46283</v>
      </c>
      <c r="I244" s="11">
        <v>46283</v>
      </c>
      <c r="J244" s="12" t="str">
        <f>+VLOOKUP(K244,Datos!$A:$C,3,FALSE)</f>
        <v>OCCIDENTE</v>
      </c>
      <c r="K244" s="10">
        <v>56</v>
      </c>
      <c r="L244" s="12" t="str">
        <f>+VLOOKUP(K244,Datos!$A:$C,2,FALSE)</f>
        <v>LOS ALTOS</v>
      </c>
      <c r="M244" s="10">
        <v>90040129</v>
      </c>
      <c r="N244" s="12" t="str">
        <f>+VLOOKUP(M244,Datos!$F:$G,2,FALSE)</f>
        <v>SANDRA PATRICIA IXTABALAN SANCHEZ </v>
      </c>
      <c r="O244" s="13">
        <f>IFERROR(IF(A244="SI",VLOOKUP(R244,Datos!$J$1:$K$50,2,FALSE)*C244,VLOOKUP(R244,Datos!$P$1:$T$13,2,FALSE)*C244),0)</f>
        <v>3024</v>
      </c>
      <c r="P244" s="9">
        <v>308266</v>
      </c>
      <c r="Q244" s="12" t="str">
        <f>+VLOOKUP(P244,Datos!$F:$G,2,FALSE)</f>
        <v>Julio Cesar De Leon Huinac</v>
      </c>
      <c r="R244" s="9" t="s">
        <v>101</v>
      </c>
      <c r="S244" s="10"/>
      <c r="T244" s="52"/>
      <c r="U244" s="52"/>
      <c r="V244" s="52">
        <f t="shared" si="3"/>
        <v>1</v>
      </c>
      <c r="W244" s="52">
        <f>+VLOOKUP(M244,Datos!$F:$H,3,FALSE)</f>
        <v>0</v>
      </c>
      <c r="X244">
        <v>0</v>
      </c>
      <c r="Y244" s="53"/>
      <c r="Z244" s="54" t="e">
        <f>VLOOKUP(M244,'[1]INDIVIDUAL UN'!$C$6:$F$222,4,FALSE)</f>
        <v>#N/A</v>
      </c>
    </row>
    <row r="245" spans="1:26" x14ac:dyDescent="0.35">
      <c r="A245" s="9" t="s">
        <v>25</v>
      </c>
      <c r="C245" s="10">
        <v>4</v>
      </c>
      <c r="D245" s="16" t="s">
        <v>219</v>
      </c>
      <c r="E245" s="10" t="s">
        <v>30</v>
      </c>
      <c r="F245" s="10">
        <v>841</v>
      </c>
      <c r="G245" s="10" t="s">
        <v>328</v>
      </c>
      <c r="H245" s="11">
        <v>46283</v>
      </c>
      <c r="I245" s="11">
        <v>46283</v>
      </c>
      <c r="J245" s="12" t="str">
        <f>+VLOOKUP(K245,Datos!$A:$C,3,FALSE)</f>
        <v>SUROCCIDENTE</v>
      </c>
      <c r="K245" s="10">
        <v>89</v>
      </c>
      <c r="L245" s="12" t="str">
        <f>+VLOOKUP(K245,Datos!$A:$C,2,FALSE)</f>
        <v>LA TRINIDAD RETALHULEU</v>
      </c>
      <c r="M245" s="10">
        <v>310820</v>
      </c>
      <c r="N245" s="12" t="str">
        <f>+VLOOKUP(M245,Datos!$F:$G,2,FALSE)</f>
        <v>Kleidy Smaily Lopez Lopez De Vicente</v>
      </c>
      <c r="O245" s="13">
        <f>IFERROR(IF(A245="SI",VLOOKUP(R245,Datos!$J$1:$K$50,2,FALSE)*C245,VLOOKUP(R245,Datos!$P$1:$T$13,2,FALSE)*C245),0)</f>
        <v>3264</v>
      </c>
      <c r="P245" s="9">
        <v>302841</v>
      </c>
      <c r="Q245" s="12" t="str">
        <f>+VLOOKUP(P245,Datos!$F:$G,2,FALSE)</f>
        <v>Jessica Maria Jose Santizo Guzman</v>
      </c>
      <c r="R245" s="9" t="s">
        <v>26</v>
      </c>
      <c r="V245" s="10">
        <f t="shared" si="3"/>
        <v>1</v>
      </c>
      <c r="W245" s="10">
        <f>+VLOOKUP(M245,Datos!$F:$H,3,FALSE)</f>
        <v>0</v>
      </c>
      <c r="X245">
        <v>0</v>
      </c>
      <c r="Y245" s="14"/>
      <c r="Z245" t="e">
        <f>VLOOKUP(M245,'[1]INDIVIDUAL UN'!$C$6:$F$222,4,FALSE)</f>
        <v>#N/A</v>
      </c>
    </row>
    <row r="246" spans="1:26" x14ac:dyDescent="0.35">
      <c r="A246" s="9" t="s">
        <v>25</v>
      </c>
      <c r="C246" s="10">
        <v>2</v>
      </c>
      <c r="D246" s="16" t="s">
        <v>219</v>
      </c>
      <c r="E246" s="10" t="s">
        <v>27</v>
      </c>
      <c r="F246" s="10">
        <v>1272</v>
      </c>
      <c r="G246" s="10" t="s">
        <v>329</v>
      </c>
      <c r="H246" s="11">
        <v>46283</v>
      </c>
      <c r="I246" s="11">
        <v>46283</v>
      </c>
      <c r="J246" s="12" t="str">
        <f>+VLOOKUP(K246,Datos!$A:$C,3,FALSE)</f>
        <v>SUROCCIDENTE</v>
      </c>
      <c r="K246" s="10">
        <v>143</v>
      </c>
      <c r="L246" s="12" t="str">
        <f>+VLOOKUP(K246,Datos!$A:$C,2,FALSE)</f>
        <v>RETALHULEU LA SIRENA</v>
      </c>
      <c r="M246" s="10">
        <v>90064210</v>
      </c>
      <c r="N246" s="12" t="str">
        <f>+VLOOKUP(M246,Datos!$F:$G,2,FALSE)</f>
        <v>GEREMY ARMANDO HERNANDEZ CAMACHO</v>
      </c>
      <c r="O246" s="13">
        <f>IFERROR(IF(A246="SI",VLOOKUP(R246,Datos!$J$1:$K$50,2,FALSE)*C246,VLOOKUP(R246,Datos!$P$1:$T$13,2,FALSE)*C246),0)</f>
        <v>1632</v>
      </c>
      <c r="P246" s="9">
        <v>313194</v>
      </c>
      <c r="Q246" s="12" t="str">
        <f>+VLOOKUP(P246,Datos!$F:$G,2,FALSE)</f>
        <v>Mary Isabel Xiloj Tajiboy</v>
      </c>
      <c r="R246" s="9" t="s">
        <v>26</v>
      </c>
      <c r="V246" s="10">
        <f t="shared" si="3"/>
        <v>1</v>
      </c>
      <c r="W246" s="10">
        <f>+VLOOKUP(M246,Datos!$F:$H,3,FALSE)</f>
        <v>0</v>
      </c>
      <c r="X246">
        <v>0</v>
      </c>
      <c r="Y246" s="14"/>
      <c r="Z246" t="e">
        <f>VLOOKUP(M246,'[1]INDIVIDUAL UN'!$C$6:$F$222,4,FALSE)</f>
        <v>#N/A</v>
      </c>
    </row>
    <row r="247" spans="1:26" x14ac:dyDescent="0.35">
      <c r="A247" s="9" t="s">
        <v>25</v>
      </c>
      <c r="C247" s="10">
        <v>4</v>
      </c>
      <c r="D247" s="16" t="s">
        <v>219</v>
      </c>
      <c r="E247" s="10" t="s">
        <v>30</v>
      </c>
      <c r="F247" s="10">
        <v>819</v>
      </c>
      <c r="G247" s="10" t="s">
        <v>330</v>
      </c>
      <c r="H247" s="11">
        <v>46283</v>
      </c>
      <c r="I247" s="11">
        <v>46283</v>
      </c>
      <c r="J247" s="12" t="str">
        <f>+VLOOKUP(K247,Datos!$A:$C,3,FALSE)</f>
        <v>SUROCCIDENTE</v>
      </c>
      <c r="K247" s="10">
        <v>143</v>
      </c>
      <c r="L247" s="12" t="str">
        <f>+VLOOKUP(K247,Datos!$A:$C,2,FALSE)</f>
        <v>RETALHULEU LA SIRENA</v>
      </c>
      <c r="M247" s="10">
        <v>90064210</v>
      </c>
      <c r="N247" s="12" t="str">
        <f>+VLOOKUP(M247,Datos!$F:$G,2,FALSE)</f>
        <v>GEREMY ARMANDO HERNANDEZ CAMACHO</v>
      </c>
      <c r="O247" s="13">
        <f>IFERROR(IF(A247="SI",VLOOKUP(R247,Datos!$J$1:$K$50,2,FALSE)*C247,VLOOKUP(R247,Datos!$P$1:$T$13,2,FALSE)*C247),0)</f>
        <v>3264</v>
      </c>
      <c r="P247" s="9">
        <v>313194</v>
      </c>
      <c r="Q247" s="12" t="str">
        <f>+VLOOKUP(P247,Datos!$F:$G,2,FALSE)</f>
        <v>Mary Isabel Xiloj Tajiboy</v>
      </c>
      <c r="R247" s="9" t="s">
        <v>26</v>
      </c>
      <c r="V247" s="10">
        <f t="shared" si="3"/>
        <v>1</v>
      </c>
      <c r="W247" s="10">
        <f>+VLOOKUP(M247,Datos!$F:$H,3,FALSE)</f>
        <v>0</v>
      </c>
      <c r="X247">
        <v>0</v>
      </c>
      <c r="Y247" s="14"/>
      <c r="Z247" t="e">
        <f>VLOOKUP(M247,'[1]INDIVIDUAL UN'!$C$6:$F$222,4,FALSE)</f>
        <v>#N/A</v>
      </c>
    </row>
    <row r="248" spans="1:26" x14ac:dyDescent="0.35">
      <c r="A248" s="9" t="s">
        <v>25</v>
      </c>
      <c r="C248" s="10">
        <v>4</v>
      </c>
      <c r="D248" s="16" t="s">
        <v>219</v>
      </c>
      <c r="E248" s="10" t="s">
        <v>30</v>
      </c>
      <c r="F248" s="10">
        <v>4502</v>
      </c>
      <c r="G248" s="10" t="s">
        <v>249</v>
      </c>
      <c r="H248" s="11">
        <v>46283</v>
      </c>
      <c r="I248" s="11">
        <v>46283</v>
      </c>
      <c r="J248" s="12" t="str">
        <f>+VLOOKUP(K248,Datos!$A:$C,3,FALSE)</f>
        <v>SUROCCIDENTE</v>
      </c>
      <c r="K248" s="10">
        <v>143</v>
      </c>
      <c r="L248" s="12" t="str">
        <f>+VLOOKUP(K248,Datos!$A:$C,2,FALSE)</f>
        <v>RETALHULEU LA SIRENA</v>
      </c>
      <c r="M248" s="10">
        <v>90064210</v>
      </c>
      <c r="N248" s="12" t="str">
        <f>+VLOOKUP(M248,Datos!$F:$G,2,FALSE)</f>
        <v>GEREMY ARMANDO HERNANDEZ CAMACHO</v>
      </c>
      <c r="O248" s="13">
        <f>IFERROR(IF(A248="SI",VLOOKUP(R248,Datos!$J$1:$K$50,2,FALSE)*C248,VLOOKUP(R248,Datos!$P$1:$T$13,2,FALSE)*C248),0)</f>
        <v>3264</v>
      </c>
      <c r="P248" s="9">
        <v>313194</v>
      </c>
      <c r="Q248" s="12" t="str">
        <f>+VLOOKUP(P248,Datos!$F:$G,2,FALSE)</f>
        <v>Mary Isabel Xiloj Tajiboy</v>
      </c>
      <c r="R248" s="9" t="s">
        <v>26</v>
      </c>
      <c r="V248" s="10">
        <f t="shared" si="3"/>
        <v>2</v>
      </c>
      <c r="W248" s="10">
        <f>+VLOOKUP(M248,Datos!$F:$H,3,FALSE)</f>
        <v>0</v>
      </c>
      <c r="X248">
        <v>0</v>
      </c>
      <c r="Y248" s="14"/>
      <c r="Z248" t="e">
        <f>VLOOKUP(M248,'[1]INDIVIDUAL UN'!$C$6:$F$222,4,FALSE)</f>
        <v>#N/A</v>
      </c>
    </row>
    <row r="249" spans="1:26" x14ac:dyDescent="0.35">
      <c r="A249" s="9" t="s">
        <v>25</v>
      </c>
      <c r="C249" s="25">
        <v>1</v>
      </c>
      <c r="D249" s="16" t="s">
        <v>219</v>
      </c>
      <c r="E249" s="10" t="s">
        <v>34</v>
      </c>
      <c r="F249" s="10">
        <v>2962</v>
      </c>
      <c r="G249" s="10" t="s">
        <v>331</v>
      </c>
      <c r="H249" s="11">
        <v>46283</v>
      </c>
      <c r="I249" s="11">
        <v>46283</v>
      </c>
      <c r="J249" s="12" t="str">
        <f>+VLOOKUP(K249,Datos!$A:$C,3,FALSE)</f>
        <v>SUROCCIDENTE</v>
      </c>
      <c r="K249" s="10">
        <v>31</v>
      </c>
      <c r="L249" s="12" t="str">
        <f>+VLOOKUP(K249,Datos!$A:$C,2,FALSE)</f>
        <v>COATEPEQUE</v>
      </c>
      <c r="M249" s="10">
        <v>315679</v>
      </c>
      <c r="N249" s="12" t="str">
        <f>+VLOOKUP(M249,Datos!$F:$G,2,FALSE)</f>
        <v>ANGELA XIOMARA PONCIANO GONZALEZ</v>
      </c>
      <c r="O249" s="13">
        <f>IFERROR(IF(A249="SI",VLOOKUP(R249,Datos!$J$1:$K$50,2,FALSE)*C249,VLOOKUP(R249,Datos!$P$1:$T$13,2,FALSE)*C249),0)</f>
        <v>1908</v>
      </c>
      <c r="P249" s="10">
        <v>311258</v>
      </c>
      <c r="Q249" s="12" t="str">
        <f>+VLOOKUP(P249,Datos!$F:$G,2,FALSE)</f>
        <v>Victor Otoniel Sebastian Cardona</v>
      </c>
      <c r="R249" s="9" t="s">
        <v>85</v>
      </c>
      <c r="V249" s="10">
        <f t="shared" si="3"/>
        <v>1</v>
      </c>
      <c r="W249" s="10">
        <f>+VLOOKUP(M249,Datos!$F:$H,3,FALSE)</f>
        <v>0</v>
      </c>
      <c r="X249">
        <v>0</v>
      </c>
      <c r="Y249" s="14"/>
      <c r="Z249" t="e">
        <f>VLOOKUP(M249,'[1]INDIVIDUAL UN'!$C$6:$F$222,4,FALSE)</f>
        <v>#N/A</v>
      </c>
    </row>
    <row r="250" spans="1:26" x14ac:dyDescent="0.35">
      <c r="A250" s="9" t="s">
        <v>25</v>
      </c>
      <c r="C250" s="16">
        <v>4</v>
      </c>
      <c r="D250" s="16" t="s">
        <v>219</v>
      </c>
      <c r="E250" s="16" t="s">
        <v>30</v>
      </c>
      <c r="F250" s="16">
        <v>839</v>
      </c>
      <c r="G250" s="16" t="s">
        <v>332</v>
      </c>
      <c r="H250" s="11">
        <v>46283</v>
      </c>
      <c r="I250" s="11">
        <v>46283</v>
      </c>
      <c r="J250" s="12" t="str">
        <f>+VLOOKUP(K250,Datos!$A:$C,3,FALSE)</f>
        <v>OCCIDENTE</v>
      </c>
      <c r="K250" s="16">
        <v>33</v>
      </c>
      <c r="L250" s="12" t="str">
        <f>+VLOOKUP(K250,Datos!$A:$C,2,FALSE)</f>
        <v>HUEHUETENANGO</v>
      </c>
      <c r="M250" s="16">
        <v>315944</v>
      </c>
      <c r="N250" s="12" t="str">
        <f>+VLOOKUP(M250,Datos!$F:$G,2,FALSE)</f>
        <v>MARIA EULISSA ADAMARY XUTUC VILLATORO</v>
      </c>
      <c r="O250" s="13">
        <f>IFERROR(IF(A250="SI",VLOOKUP(R250,Datos!$J$1:$K$50,2,FALSE)*C250,VLOOKUP(R250,Datos!$P$1:$T$13,2,FALSE)*C250),0)</f>
        <v>3264</v>
      </c>
      <c r="P250" s="9">
        <v>301644</v>
      </c>
      <c r="Q250" s="12" t="str">
        <f>+VLOOKUP(P250,Datos!$F:$G,2,FALSE)</f>
        <v>Imelda Eugenia Recinos Martinez</v>
      </c>
      <c r="R250" s="9" t="s">
        <v>26</v>
      </c>
      <c r="V250" s="10">
        <f t="shared" si="3"/>
        <v>1</v>
      </c>
      <c r="W250" s="10">
        <f>+VLOOKUP(M250,Datos!$F:$H,3,FALSE)</f>
        <v>0</v>
      </c>
      <c r="X250">
        <v>0</v>
      </c>
      <c r="Y250" s="14"/>
      <c r="Z250" t="e">
        <f>VLOOKUP(M250,'[1]INDIVIDUAL UN'!$C$6:$F$222,4,FALSE)</f>
        <v>#N/A</v>
      </c>
    </row>
    <row r="251" spans="1:26" x14ac:dyDescent="0.35">
      <c r="A251" s="9" t="s">
        <v>25</v>
      </c>
      <c r="C251" s="10">
        <v>1</v>
      </c>
      <c r="D251" s="16" t="s">
        <v>219</v>
      </c>
      <c r="E251" s="10" t="s">
        <v>34</v>
      </c>
      <c r="F251" s="10">
        <v>2959</v>
      </c>
      <c r="G251" s="10" t="s">
        <v>333</v>
      </c>
      <c r="H251" s="11">
        <v>46283</v>
      </c>
      <c r="I251" s="11">
        <v>46283</v>
      </c>
      <c r="J251" s="12" t="str">
        <f>+VLOOKUP(K251,Datos!$A:$C,3,FALSE)</f>
        <v>OCCIDENTE</v>
      </c>
      <c r="K251" s="10">
        <v>33</v>
      </c>
      <c r="L251" s="12" t="str">
        <f>+VLOOKUP(K251,Datos!$A:$C,2,FALSE)</f>
        <v>HUEHUETENANGO</v>
      </c>
      <c r="M251" s="10">
        <v>90023724</v>
      </c>
      <c r="N251" s="12" t="str">
        <f>+VLOOKUP(M251,Datos!$F:$G,2,FALSE)</f>
        <v xml:space="preserve">ALEXANDRA JENNYFER MATIAS GALINDO </v>
      </c>
      <c r="O251" s="13">
        <f>IFERROR(IF(A251="SI",VLOOKUP(R251,Datos!$J$1:$K$50,2,FALSE)*C251,VLOOKUP(R251,Datos!$P$1:$T$13,2,FALSE)*C251),0)</f>
        <v>2004</v>
      </c>
      <c r="P251" s="9">
        <v>313225</v>
      </c>
      <c r="Q251" s="12" t="str">
        <f>+VLOOKUP(P251,Datos!$F:$G,2,FALSE)</f>
        <v>Karen Deniss Lucas Chavez</v>
      </c>
      <c r="R251" s="9" t="s">
        <v>54</v>
      </c>
      <c r="V251" s="10">
        <f t="shared" si="3"/>
        <v>1</v>
      </c>
      <c r="W251" s="10">
        <f>+VLOOKUP(M251,Datos!$F:$H,3,FALSE)</f>
        <v>0</v>
      </c>
      <c r="X251">
        <v>0</v>
      </c>
      <c r="Y251" s="14"/>
      <c r="Z251" t="e">
        <f>VLOOKUP(M251,'[1]INDIVIDUAL UN'!$C$6:$F$222,4,FALSE)</f>
        <v>#N/A</v>
      </c>
    </row>
    <row r="252" spans="1:26" x14ac:dyDescent="0.35">
      <c r="A252" s="9" t="s">
        <v>25</v>
      </c>
      <c r="C252" s="10">
        <v>1</v>
      </c>
      <c r="D252" s="16" t="s">
        <v>219</v>
      </c>
      <c r="E252" s="10" t="s">
        <v>34</v>
      </c>
      <c r="F252" s="10">
        <v>2961</v>
      </c>
      <c r="G252" s="10" t="s">
        <v>334</v>
      </c>
      <c r="H252" s="11">
        <v>46283</v>
      </c>
      <c r="I252" s="11">
        <v>46283</v>
      </c>
      <c r="J252" s="12" t="str">
        <f>+VLOOKUP(K252,Datos!$A:$C,3,FALSE)</f>
        <v>OCCIDENTE</v>
      </c>
      <c r="K252" s="10">
        <v>33</v>
      </c>
      <c r="L252" s="12" t="str">
        <f>+VLOOKUP(K252,Datos!$A:$C,2,FALSE)</f>
        <v>HUEHUETENANGO</v>
      </c>
      <c r="M252" s="10">
        <v>90084483</v>
      </c>
      <c r="N252" s="12" t="str">
        <f>+VLOOKUP(M252,Datos!$F:$G,2,FALSE)</f>
        <v>ASTRID MILETCHA RAYMUNDO HIDALGO</v>
      </c>
      <c r="O252" s="13">
        <f>IFERROR(IF(A252="SI",VLOOKUP(R252,Datos!$J$1:$K$50,2,FALSE)*C252,VLOOKUP(R252,Datos!$P$1:$T$13,2,FALSE)*C252),0)</f>
        <v>2004</v>
      </c>
      <c r="P252" s="9">
        <v>301644</v>
      </c>
      <c r="Q252" s="12" t="str">
        <f>+VLOOKUP(P252,Datos!$F:$G,2,FALSE)</f>
        <v>Imelda Eugenia Recinos Martinez</v>
      </c>
      <c r="R252" s="9" t="s">
        <v>54</v>
      </c>
      <c r="V252" s="10">
        <f t="shared" si="3"/>
        <v>1</v>
      </c>
      <c r="W252" s="10">
        <f>+VLOOKUP(M252,Datos!$F:$H,3,FALSE)</f>
        <v>0</v>
      </c>
      <c r="X252">
        <v>0</v>
      </c>
      <c r="Y252" s="14"/>
      <c r="Z252" t="e">
        <f>VLOOKUP(M252,'[1]INDIVIDUAL UN'!$C$6:$F$222,4,FALSE)</f>
        <v>#N/A</v>
      </c>
    </row>
    <row r="253" spans="1:26" x14ac:dyDescent="0.35">
      <c r="A253" s="9" t="s">
        <v>25</v>
      </c>
      <c r="C253" s="10">
        <v>1</v>
      </c>
      <c r="D253" s="16" t="s">
        <v>219</v>
      </c>
      <c r="E253" s="10" t="s">
        <v>37</v>
      </c>
      <c r="F253" s="10">
        <v>4567</v>
      </c>
      <c r="G253" s="10" t="s">
        <v>335</v>
      </c>
      <c r="H253" s="11">
        <v>46283</v>
      </c>
      <c r="I253" s="11">
        <v>46282</v>
      </c>
      <c r="J253" s="12" t="str">
        <f>+VLOOKUP(K253,Datos!$A:$C,3,FALSE)</f>
        <v>SUROCCIDENTE</v>
      </c>
      <c r="K253" s="55">
        <v>89</v>
      </c>
      <c r="L253" s="12" t="str">
        <f>+VLOOKUP(K253,Datos!$A:$C,2,FALSE)</f>
        <v>LA TRINIDAD RETALHULEU</v>
      </c>
      <c r="M253" s="10">
        <v>313302</v>
      </c>
      <c r="N253" s="12" t="str">
        <f>+VLOOKUP(M253,Datos!$F:$G,2,FALSE)</f>
        <v>Kimberly Guadalupe Mulul Pelico</v>
      </c>
      <c r="O253" s="13">
        <f>IFERROR(IF(A253="SI",VLOOKUP(R253,Datos!$J$1:$K$50,2,FALSE)*C253,VLOOKUP(R253,Datos!$P$1:$T$13,2,FALSE)*C253),0)</f>
        <v>816</v>
      </c>
      <c r="P253" s="55">
        <v>302841</v>
      </c>
      <c r="Q253" s="12" t="str">
        <f>+VLOOKUP(P253,Datos!$F:$G,2,FALSE)</f>
        <v>Jessica Maria Jose Santizo Guzman</v>
      </c>
      <c r="R253" s="9" t="s">
        <v>26</v>
      </c>
      <c r="V253" s="10">
        <f t="shared" si="3"/>
        <v>1</v>
      </c>
      <c r="W253" s="10">
        <f>+VLOOKUP(M253,Datos!$F:$H,3,FALSE)</f>
        <v>0</v>
      </c>
      <c r="X253">
        <v>0</v>
      </c>
      <c r="Y253" s="14"/>
      <c r="Z253" t="e">
        <f>VLOOKUP(M253,'[1]INDIVIDUAL UN'!$C$6:$F$222,4,FALSE)</f>
        <v>#N/A</v>
      </c>
    </row>
    <row r="254" spans="1:26" x14ac:dyDescent="0.35">
      <c r="A254" s="9" t="s">
        <v>25</v>
      </c>
      <c r="C254" s="17">
        <v>2</v>
      </c>
      <c r="D254" s="16" t="s">
        <v>219</v>
      </c>
      <c r="E254" s="17" t="s">
        <v>336</v>
      </c>
      <c r="F254" s="17">
        <v>149</v>
      </c>
      <c r="G254" s="17" t="s">
        <v>337</v>
      </c>
      <c r="H254" s="22">
        <v>46283</v>
      </c>
      <c r="I254" s="22">
        <v>46283</v>
      </c>
      <c r="J254" s="12" t="str">
        <f>+VLOOKUP(K254,Datos!$A:$C,3,FALSE)</f>
        <v>SUROCCIDENTE</v>
      </c>
      <c r="K254" s="10">
        <v>31</v>
      </c>
      <c r="L254" s="12" t="str">
        <f>+VLOOKUP(K254,Datos!$A:$C,2,FALSE)</f>
        <v>COATEPEQUE</v>
      </c>
      <c r="M254" s="15">
        <v>309812</v>
      </c>
      <c r="N254" s="12" t="str">
        <f>+VLOOKUP(M254,Datos!$F:$G,2,FALSE)</f>
        <v>Elena Yazmin Valdez Gallegos</v>
      </c>
      <c r="O254" s="13">
        <f>IFERROR(IF(A254="SI",VLOOKUP(R254,Datos!$J$1:$K$50,2,FALSE)*C254,VLOOKUP(R254,Datos!$P$1:$T$13,2,FALSE)*C254),0)</f>
        <v>3408</v>
      </c>
      <c r="P254" s="10">
        <v>306654</v>
      </c>
      <c r="Q254" s="12" t="str">
        <f>+VLOOKUP(P254,Datos!$F:$G,2,FALSE)</f>
        <v>Gerson Arcadio Hernandez Barrios</v>
      </c>
      <c r="R254" s="9" t="s">
        <v>184</v>
      </c>
      <c r="V254" s="10">
        <f t="shared" si="3"/>
        <v>1</v>
      </c>
      <c r="W254" s="10">
        <f>+VLOOKUP(M254,Datos!$F:$H,3,FALSE)</f>
        <v>0</v>
      </c>
      <c r="X254">
        <v>0</v>
      </c>
      <c r="Y254" s="14"/>
      <c r="Z254" t="e">
        <f>VLOOKUP(M254,'[1]INDIVIDUAL UN'!$C$6:$F$222,4,FALSE)</f>
        <v>#N/A</v>
      </c>
    </row>
    <row r="255" spans="1:26" x14ac:dyDescent="0.35">
      <c r="A255" s="9" t="s">
        <v>25</v>
      </c>
      <c r="C255" s="10">
        <v>1</v>
      </c>
      <c r="D255" s="16" t="s">
        <v>219</v>
      </c>
      <c r="E255" s="10" t="s">
        <v>55</v>
      </c>
      <c r="F255" s="10">
        <v>434</v>
      </c>
      <c r="G255" s="10" t="s">
        <v>338</v>
      </c>
      <c r="H255" s="11">
        <v>46283</v>
      </c>
      <c r="I255" s="11">
        <v>46283</v>
      </c>
      <c r="J255" s="12" t="str">
        <f>+VLOOKUP(K255,Datos!$A:$C,3,FALSE)</f>
        <v>SUROCCIDENTE</v>
      </c>
      <c r="K255" s="10">
        <v>31</v>
      </c>
      <c r="L255" s="12" t="str">
        <f>+VLOOKUP(K255,Datos!$A:$C,2,FALSE)</f>
        <v>COATEPEQUE</v>
      </c>
      <c r="M255" s="10">
        <v>310671</v>
      </c>
      <c r="N255" s="12" t="str">
        <f>+VLOOKUP(M255,Datos!$F:$G,2,FALSE)</f>
        <v>Sucely Paola Godinez Gomez De Perez</v>
      </c>
      <c r="O255" s="13">
        <f>IFERROR(IF(A255="SI",VLOOKUP(R255,Datos!$J$1:$K$50,2,FALSE)*C255,VLOOKUP(R255,Datos!$P$1:$T$13,2,FALSE)*C255),0)</f>
        <v>1092</v>
      </c>
      <c r="P255" s="10">
        <v>306654</v>
      </c>
      <c r="Q255" s="12" t="str">
        <f>+VLOOKUP(P255,Datos!$F:$G,2,FALSE)</f>
        <v>Gerson Arcadio Hernandez Barrios</v>
      </c>
      <c r="R255" s="9" t="s">
        <v>57</v>
      </c>
      <c r="V255" s="10">
        <f t="shared" si="3"/>
        <v>1</v>
      </c>
      <c r="W255" s="10">
        <f>+VLOOKUP(M255,Datos!$F:$H,3,FALSE)</f>
        <v>0</v>
      </c>
      <c r="X255">
        <v>0</v>
      </c>
      <c r="Y255" s="14"/>
      <c r="Z255" t="e">
        <f>VLOOKUP(M255,'[1]INDIVIDUAL UN'!$C$6:$F$222,4,FALSE)</f>
        <v>#N/A</v>
      </c>
    </row>
    <row r="256" spans="1:26" x14ac:dyDescent="0.35">
      <c r="A256" s="9" t="s">
        <v>25</v>
      </c>
      <c r="C256" s="10">
        <v>1</v>
      </c>
      <c r="D256" s="16" t="s">
        <v>219</v>
      </c>
      <c r="E256" s="10" t="s">
        <v>55</v>
      </c>
      <c r="F256" s="10">
        <v>436</v>
      </c>
      <c r="G256" s="10" t="s">
        <v>339</v>
      </c>
      <c r="H256" s="18">
        <v>46283</v>
      </c>
      <c r="I256" s="18">
        <v>46283</v>
      </c>
      <c r="J256" s="12" t="str">
        <f>+VLOOKUP(K256,Datos!$A:$C,3,FALSE)</f>
        <v>OCCIDENTE</v>
      </c>
      <c r="K256" s="10">
        <v>150</v>
      </c>
      <c r="L256" s="12" t="str">
        <f>+VLOOKUP(K256,Datos!$A:$C,2,FALSE)</f>
        <v>SANTA CRUZ DEL QUICHE</v>
      </c>
      <c r="M256" s="10">
        <v>90034373</v>
      </c>
      <c r="N256" s="12" t="str">
        <f>+VLOOKUP(M256,Datos!$F:$G,2,FALSE)</f>
        <v>SILVIA PATRICIA MENDOZA GOMEZ</v>
      </c>
      <c r="O256" s="13">
        <f>IFERROR(IF(A256="SI",VLOOKUP(R256,Datos!$J$1:$K$50,2,FALSE)*C256,VLOOKUP(R256,Datos!$P$1:$T$13,2,FALSE)*C256),0)</f>
        <v>1092</v>
      </c>
      <c r="P256" s="9">
        <v>310329</v>
      </c>
      <c r="Q256" s="12" t="str">
        <f>+VLOOKUP(P256,Datos!$F:$G,2,FALSE)</f>
        <v>Ana Leticia Lux Say</v>
      </c>
      <c r="R256" s="9" t="s">
        <v>57</v>
      </c>
      <c r="V256" s="10">
        <f t="shared" si="3"/>
        <v>1</v>
      </c>
      <c r="W256" s="10">
        <f>+VLOOKUP(M256,Datos!$F:$H,3,FALSE)</f>
        <v>0</v>
      </c>
      <c r="X256">
        <v>0</v>
      </c>
      <c r="Y256" s="14"/>
      <c r="Z256" t="e">
        <f>VLOOKUP(M256,'[1]INDIVIDUAL UN'!$C$6:$F$222,4,FALSE)</f>
        <v>#N/A</v>
      </c>
    </row>
    <row r="257" spans="1:26" x14ac:dyDescent="0.35">
      <c r="A257" s="9" t="s">
        <v>25</v>
      </c>
      <c r="C257" s="23">
        <v>1</v>
      </c>
      <c r="D257" s="16" t="s">
        <v>219</v>
      </c>
      <c r="E257" s="23" t="s">
        <v>37</v>
      </c>
      <c r="F257" s="23">
        <v>4616</v>
      </c>
      <c r="G257" s="23" t="s">
        <v>340</v>
      </c>
      <c r="H257" s="39">
        <v>46283</v>
      </c>
      <c r="I257" s="39">
        <v>46283</v>
      </c>
      <c r="J257" s="12" t="str">
        <f>+VLOOKUP(K257,Datos!$A:$C,3,FALSE)</f>
        <v>OCCIDENTE</v>
      </c>
      <c r="K257" s="10">
        <v>65</v>
      </c>
      <c r="L257" s="12" t="str">
        <f>+VLOOKUP(K257,Datos!$A:$C,2,FALSE)</f>
        <v>PANAJACHEL</v>
      </c>
      <c r="M257" s="23">
        <v>315742</v>
      </c>
      <c r="N257" s="12" t="str">
        <f>+VLOOKUP(M257,Datos!$F:$G,2,FALSE)</f>
        <v>SHAROL OSLEYDY DHARARA PATZAN YOS</v>
      </c>
      <c r="O257" s="13">
        <f>IFERROR(IF(A257="SI",VLOOKUP(R257,Datos!$J$1:$K$50,2,FALSE)*C257,VLOOKUP(R257,Datos!$P$1:$T$13,2,FALSE)*C257),0)</f>
        <v>1368</v>
      </c>
      <c r="P257" s="10">
        <v>306098</v>
      </c>
      <c r="Q257" s="12" t="str">
        <f>+VLOOKUP(P257,Datos!$F:$G,2,FALSE)</f>
        <v>Roderico Simeon Lopez Lopez</v>
      </c>
      <c r="R257" s="9" t="s">
        <v>48</v>
      </c>
      <c r="V257" s="10">
        <f t="shared" si="3"/>
        <v>1</v>
      </c>
      <c r="W257" s="10">
        <f>+VLOOKUP(M257,Datos!$F:$H,3,FALSE)</f>
        <v>0</v>
      </c>
      <c r="X257">
        <v>0</v>
      </c>
      <c r="Y257" s="14"/>
      <c r="Z257" t="e">
        <f>VLOOKUP(M257,'[1]INDIVIDUAL UN'!$C$6:$F$222,4,FALSE)</f>
        <v>#N/A</v>
      </c>
    </row>
    <row r="258" spans="1:26" x14ac:dyDescent="0.35">
      <c r="A258" s="9" t="s">
        <v>25</v>
      </c>
      <c r="C258" s="10">
        <v>3</v>
      </c>
      <c r="D258" s="16" t="s">
        <v>219</v>
      </c>
      <c r="E258" s="10" t="s">
        <v>41</v>
      </c>
      <c r="F258" s="10">
        <v>681</v>
      </c>
      <c r="G258" s="10" t="s">
        <v>341</v>
      </c>
      <c r="H258" s="11">
        <v>46283</v>
      </c>
      <c r="I258" s="11">
        <v>46283</v>
      </c>
      <c r="J258" s="12" t="str">
        <f>+VLOOKUP(K258,Datos!$A:$C,3,FALSE)</f>
        <v>OCCIDENTE</v>
      </c>
      <c r="K258" s="10">
        <v>246</v>
      </c>
      <c r="L258" s="12" t="str">
        <f>+VLOOKUP(K258,Datos!$A:$C,2,FALSE)</f>
        <v>SANTA CRUZ BARILLAS</v>
      </c>
      <c r="M258" s="10">
        <v>312087</v>
      </c>
      <c r="N258" s="12" t="str">
        <f>+VLOOKUP(M258,Datos!$F:$G,2,FALSE)</f>
        <v>Yoni Yosuen Rodriguez Sosa</v>
      </c>
      <c r="O258" s="13">
        <f>IFERROR(IF(A258="SI",VLOOKUP(R258,Datos!$J$1:$K$50,2,FALSE)*C258,VLOOKUP(R258,Datos!$P$1:$T$13,2,FALSE)*C258),0)</f>
        <v>4104</v>
      </c>
      <c r="P258" s="9">
        <v>304166</v>
      </c>
      <c r="Q258" s="12" t="str">
        <f>+VLOOKUP(P258,Datos!$F:$G,2,FALSE)</f>
        <v>Maviela Bibianeth Castillo Avila</v>
      </c>
      <c r="R258" s="9" t="s">
        <v>48</v>
      </c>
      <c r="V258" s="10">
        <f t="shared" ref="V258:V321" si="4">+COUNTIFS($G$2:$G$444,G258)</f>
        <v>1</v>
      </c>
      <c r="W258" s="10">
        <f>+VLOOKUP(M258,Datos!$F:$H,3,FALSE)</f>
        <v>0</v>
      </c>
      <c r="X258">
        <v>0</v>
      </c>
      <c r="Y258" s="14"/>
      <c r="Z258" t="e">
        <f>VLOOKUP(M258,'[1]INDIVIDUAL UN'!$C$6:$F$222,4,FALSE)</f>
        <v>#N/A</v>
      </c>
    </row>
    <row r="259" spans="1:26" x14ac:dyDescent="0.35">
      <c r="A259" s="9" t="s">
        <v>25</v>
      </c>
      <c r="C259" s="10">
        <v>3</v>
      </c>
      <c r="D259" s="16" t="s">
        <v>219</v>
      </c>
      <c r="E259" s="15" t="s">
        <v>41</v>
      </c>
      <c r="F259" s="15">
        <v>638</v>
      </c>
      <c r="G259" s="15" t="s">
        <v>342</v>
      </c>
      <c r="H259" s="11">
        <v>46283</v>
      </c>
      <c r="I259" s="11">
        <v>46277</v>
      </c>
      <c r="J259" s="12" t="str">
        <f>+VLOOKUP(K259,Datos!$A:$C,3,FALSE)</f>
        <v>OCCIDENTE</v>
      </c>
      <c r="K259" s="10">
        <v>28</v>
      </c>
      <c r="L259" s="12" t="str">
        <f>+VLOOKUP(K259,Datos!$A:$C,2,FALSE)</f>
        <v>SUCURSAL QUETZALTENANGO</v>
      </c>
      <c r="M259" s="10">
        <v>90024418</v>
      </c>
      <c r="N259" s="12" t="str">
        <f>+VLOOKUP(M259,Datos!$F:$G,2,FALSE)</f>
        <v xml:space="preserve">EDNA GABRIELA RAMIREZ </v>
      </c>
      <c r="O259" s="13">
        <f>IFERROR(IF(A259="SI",VLOOKUP(R259,Datos!$J$1:$K$50,2,FALSE)*C259,VLOOKUP(R259,Datos!$P$1:$T$13,2,FALSE)*C259),0)</f>
        <v>2448</v>
      </c>
      <c r="P259" s="10">
        <v>313644</v>
      </c>
      <c r="Q259" s="12" t="str">
        <f>+VLOOKUP(P259,Datos!$F:$G,2,FALSE)</f>
        <v>Estefani Elizabeth Tzul Macario</v>
      </c>
      <c r="R259" s="9" t="s">
        <v>26</v>
      </c>
      <c r="V259" s="10">
        <f t="shared" si="4"/>
        <v>1</v>
      </c>
      <c r="W259" s="10">
        <f>+VLOOKUP(M259,Datos!$F:$H,3,FALSE)</f>
        <v>0</v>
      </c>
      <c r="X259">
        <v>0</v>
      </c>
      <c r="Y259" s="14"/>
      <c r="Z259" t="e">
        <f>VLOOKUP(M259,'[1]INDIVIDUAL UN'!$C$6:$F$222,4,FALSE)</f>
        <v>#N/A</v>
      </c>
    </row>
    <row r="260" spans="1:26" x14ac:dyDescent="0.35">
      <c r="A260" s="9" t="s">
        <v>25</v>
      </c>
      <c r="C260" s="10">
        <v>4</v>
      </c>
      <c r="D260" s="16" t="s">
        <v>219</v>
      </c>
      <c r="E260" s="10" t="s">
        <v>104</v>
      </c>
      <c r="F260" s="10">
        <v>42</v>
      </c>
      <c r="G260" s="10" t="s">
        <v>343</v>
      </c>
      <c r="H260" s="11">
        <v>46283</v>
      </c>
      <c r="I260" s="11">
        <v>46283</v>
      </c>
      <c r="J260" s="12" t="str">
        <f>+VLOOKUP(K260,Datos!$A:$C,3,FALSE)</f>
        <v>OCCIDENTE</v>
      </c>
      <c r="K260" s="10">
        <v>56</v>
      </c>
      <c r="L260" s="12" t="str">
        <f>+VLOOKUP(K260,Datos!$A:$C,2,FALSE)</f>
        <v>LOS ALTOS</v>
      </c>
      <c r="M260" s="10">
        <v>90040129</v>
      </c>
      <c r="N260" s="12" t="str">
        <f>+VLOOKUP(M260,Datos!$F:$G,2,FALSE)</f>
        <v>SANDRA PATRICIA IXTABALAN SANCHEZ </v>
      </c>
      <c r="O260" s="13">
        <f>IFERROR(IF(A260="SI",VLOOKUP(R260,Datos!$J$1:$K$50,2,FALSE)*C260,VLOOKUP(R260,Datos!$P$1:$T$13,2,FALSE)*C260),0)</f>
        <v>4032</v>
      </c>
      <c r="P260" s="9">
        <v>308266</v>
      </c>
      <c r="Q260" s="12" t="str">
        <f>+VLOOKUP(P260,Datos!$F:$G,2,FALSE)</f>
        <v>Julio Cesar De Leon Huinac</v>
      </c>
      <c r="R260" s="9" t="s">
        <v>101</v>
      </c>
      <c r="V260" s="10">
        <f t="shared" si="4"/>
        <v>1</v>
      </c>
      <c r="W260" s="10">
        <f>+VLOOKUP(M260,Datos!$F:$H,3,FALSE)</f>
        <v>0</v>
      </c>
      <c r="X260">
        <v>0</v>
      </c>
      <c r="Y260" s="14"/>
      <c r="Z260" t="e">
        <f>VLOOKUP(M260,'[1]INDIVIDUAL UN'!$C$6:$F$222,4,FALSE)</f>
        <v>#N/A</v>
      </c>
    </row>
    <row r="261" spans="1:26" x14ac:dyDescent="0.35">
      <c r="A261" s="9" t="s">
        <v>25</v>
      </c>
      <c r="C261" s="10">
        <v>2</v>
      </c>
      <c r="D261" s="16" t="s">
        <v>219</v>
      </c>
      <c r="E261" s="10" t="s">
        <v>27</v>
      </c>
      <c r="F261" s="10">
        <v>1305</v>
      </c>
      <c r="G261" s="10" t="s">
        <v>344</v>
      </c>
      <c r="H261" s="11">
        <v>46283</v>
      </c>
      <c r="I261" s="11">
        <v>46283</v>
      </c>
      <c r="J261" s="12" t="str">
        <f>+VLOOKUP(K261,Datos!$A:$C,3,FALSE)</f>
        <v>OCCIDENTE</v>
      </c>
      <c r="K261" s="10">
        <v>56</v>
      </c>
      <c r="L261" s="12" t="str">
        <f>+VLOOKUP(K261,Datos!$A:$C,2,FALSE)</f>
        <v>LOS ALTOS</v>
      </c>
      <c r="M261" s="10">
        <v>90040129</v>
      </c>
      <c r="N261" s="12" t="str">
        <f>+VLOOKUP(M261,Datos!$F:$G,2,FALSE)</f>
        <v>SANDRA PATRICIA IXTABALAN SANCHEZ </v>
      </c>
      <c r="O261" s="13">
        <f>IFERROR(IF(A261="SI",VLOOKUP(R261,Datos!$J$1:$K$50,2,FALSE)*C261,VLOOKUP(R261,Datos!$P$1:$T$13,2,FALSE)*C261),0)</f>
        <v>1632</v>
      </c>
      <c r="P261" s="9">
        <v>308266</v>
      </c>
      <c r="Q261" s="12" t="str">
        <f>+VLOOKUP(P261,Datos!$F:$G,2,FALSE)</f>
        <v>Julio Cesar De Leon Huinac</v>
      </c>
      <c r="R261" s="9" t="s">
        <v>26</v>
      </c>
      <c r="V261" s="10">
        <f t="shared" si="4"/>
        <v>1</v>
      </c>
      <c r="W261" s="10">
        <f>+VLOOKUP(M261,Datos!$F:$H,3,FALSE)</f>
        <v>0</v>
      </c>
      <c r="X261">
        <v>0</v>
      </c>
      <c r="Y261" s="14"/>
      <c r="Z261" t="e">
        <f>VLOOKUP(M261,'[1]INDIVIDUAL UN'!$C$6:$F$222,4,FALSE)</f>
        <v>#N/A</v>
      </c>
    </row>
    <row r="262" spans="1:26" x14ac:dyDescent="0.35">
      <c r="A262" s="9" t="s">
        <v>25</v>
      </c>
      <c r="C262" s="10">
        <v>3</v>
      </c>
      <c r="D262" s="16" t="s">
        <v>219</v>
      </c>
      <c r="E262" s="10" t="s">
        <v>345</v>
      </c>
      <c r="F262" s="10">
        <v>687</v>
      </c>
      <c r="G262" s="10" t="s">
        <v>346</v>
      </c>
      <c r="H262" s="11">
        <v>46283</v>
      </c>
      <c r="I262" s="11">
        <v>46283</v>
      </c>
      <c r="J262" s="12" t="str">
        <f>+VLOOKUP(K262,Datos!$A:$C,3,FALSE)</f>
        <v>OCCIDENTE</v>
      </c>
      <c r="K262" s="10">
        <v>56</v>
      </c>
      <c r="L262" s="12" t="str">
        <f>+VLOOKUP(K262,Datos!$A:$C,2,FALSE)</f>
        <v>LOS ALTOS</v>
      </c>
      <c r="M262" s="10">
        <v>315133</v>
      </c>
      <c r="N262" s="12" t="str">
        <f>+VLOOKUP(M262,Datos!$F:$G,2,FALSE)</f>
        <v>Bryan Daniel Milián De Leon</v>
      </c>
      <c r="O262" s="13">
        <f>IFERROR(IF(A262="SI",VLOOKUP(R262,Datos!$J$1:$K$50,2,FALSE)*C262,VLOOKUP(R262,Datos!$P$1:$T$13,2,FALSE)*C262),0)</f>
        <v>4104</v>
      </c>
      <c r="P262" s="9">
        <v>308266</v>
      </c>
      <c r="Q262" s="12" t="str">
        <f>+VLOOKUP(P262,Datos!$F:$G,2,FALSE)</f>
        <v>Julio Cesar De Leon Huinac</v>
      </c>
      <c r="R262" s="9" t="s">
        <v>48</v>
      </c>
      <c r="V262" s="10">
        <f t="shared" si="4"/>
        <v>1</v>
      </c>
      <c r="W262" s="10">
        <f>+VLOOKUP(M262,Datos!$F:$H,3,FALSE)</f>
        <v>0</v>
      </c>
      <c r="X262">
        <v>0</v>
      </c>
      <c r="Y262" s="14"/>
      <c r="Z262" t="e">
        <f>VLOOKUP(M262,'[1]INDIVIDUAL UN'!$C$6:$F$222,4,FALSE)</f>
        <v>#N/A</v>
      </c>
    </row>
    <row r="263" spans="1:26" x14ac:dyDescent="0.35">
      <c r="A263" s="9" t="s">
        <v>25</v>
      </c>
      <c r="C263" s="10">
        <v>1</v>
      </c>
      <c r="D263" s="10" t="s">
        <v>29</v>
      </c>
      <c r="E263" s="10" t="s">
        <v>37</v>
      </c>
      <c r="F263" s="10">
        <v>4601</v>
      </c>
      <c r="G263" s="10" t="s">
        <v>347</v>
      </c>
      <c r="H263" s="11">
        <v>46283</v>
      </c>
      <c r="I263" s="11">
        <v>46283</v>
      </c>
      <c r="J263" s="12" t="str">
        <f>+VLOOKUP(K263,Datos!$A:$C,3,FALSE)</f>
        <v>SUROCCIDENTE</v>
      </c>
      <c r="K263" s="10">
        <v>89</v>
      </c>
      <c r="L263" s="12" t="str">
        <f>+VLOOKUP(K263,Datos!$A:$C,2,FALSE)</f>
        <v>LA TRINIDAD RETALHULEU</v>
      </c>
      <c r="M263" s="10">
        <v>90083156</v>
      </c>
      <c r="N263" s="12" t="str">
        <f>+VLOOKUP(M263,Datos!$F:$G,2,FALSE)</f>
        <v xml:space="preserve">SARAI ALEXANDRA LOPEZ DE LEON </v>
      </c>
      <c r="O263" s="13">
        <f>IFERROR(IF(A263="SI",VLOOKUP(R263,Datos!$J$1:$K$50,2,FALSE)*C263,VLOOKUP(R263,Datos!$P$1:$T$13,2,FALSE)*C263),0)</f>
        <v>816</v>
      </c>
      <c r="P263" s="9">
        <v>315416</v>
      </c>
      <c r="Q263" s="12" t="str">
        <f>+VLOOKUP(P263,Datos!$F:$G,2,FALSE)</f>
        <v>Melvin Hermenegildo Yagut Monterroso</v>
      </c>
      <c r="R263" s="9" t="s">
        <v>26</v>
      </c>
      <c r="V263" s="10">
        <f t="shared" si="4"/>
        <v>1</v>
      </c>
      <c r="W263" s="10">
        <f>+VLOOKUP(M263,Datos!$F:$H,3,FALSE)</f>
        <v>0</v>
      </c>
      <c r="X263">
        <v>0</v>
      </c>
      <c r="Y263" s="14"/>
      <c r="Z263" t="e">
        <f>VLOOKUP(M263,'[1]INDIVIDUAL UN'!$C$6:$F$222,4,FALSE)</f>
        <v>#N/A</v>
      </c>
    </row>
    <row r="264" spans="1:26" x14ac:dyDescent="0.35">
      <c r="A264" s="9" t="s">
        <v>25</v>
      </c>
      <c r="C264" s="10">
        <v>1</v>
      </c>
      <c r="D264" s="10" t="s">
        <v>175</v>
      </c>
      <c r="E264" s="10" t="s">
        <v>37</v>
      </c>
      <c r="F264" s="10">
        <v>4604</v>
      </c>
      <c r="G264" s="10" t="s">
        <v>348</v>
      </c>
      <c r="H264" s="11">
        <v>46283</v>
      </c>
      <c r="I264" s="11">
        <v>46283</v>
      </c>
      <c r="J264" s="12" t="str">
        <f>+VLOOKUP(K264,Datos!$A:$C,3,FALSE)</f>
        <v>OCCIDENTE</v>
      </c>
      <c r="K264" s="10">
        <v>243</v>
      </c>
      <c r="L264" s="12" t="str">
        <f>+VLOOKUP(K264,Datos!$A:$C,2,FALSE)</f>
        <v>PRADERA XELA</v>
      </c>
      <c r="M264" s="10">
        <v>316039</v>
      </c>
      <c r="N264" s="12" t="str">
        <f>+VLOOKUP(M264,Datos!$F:$G,2,FALSE)</f>
        <v>Edgar Francisco Garcia</v>
      </c>
      <c r="O264" s="13">
        <f>IFERROR(IF(A264="SI",VLOOKUP(R264,Datos!$J$1:$K$50,2,FALSE)*C264,VLOOKUP(R264,Datos!$P$1:$T$13,2,FALSE)*C264),0)</f>
        <v>816</v>
      </c>
      <c r="P264" s="9">
        <v>315174</v>
      </c>
      <c r="Q264" s="12" t="str">
        <f>+VLOOKUP(P264,Datos!$F:$G,2,FALSE)</f>
        <v>Edwin Adolfo Soberanis Mazariegos</v>
      </c>
      <c r="R264" s="9" t="s">
        <v>26</v>
      </c>
      <c r="V264" s="10">
        <f t="shared" si="4"/>
        <v>1</v>
      </c>
      <c r="W264" s="10">
        <f>+VLOOKUP(M264,Datos!$F:$H,3,FALSE)</f>
        <v>0</v>
      </c>
      <c r="X264">
        <v>0</v>
      </c>
      <c r="Y264" s="14"/>
      <c r="Z264" t="e">
        <f>VLOOKUP(M264,'[1]INDIVIDUAL UN'!$C$6:$F$222,4,FALSE)</f>
        <v>#N/A</v>
      </c>
    </row>
    <row r="265" spans="1:26" x14ac:dyDescent="0.35">
      <c r="A265" s="9" t="s">
        <v>25</v>
      </c>
      <c r="C265" s="16">
        <v>2</v>
      </c>
      <c r="D265" s="16" t="s">
        <v>29</v>
      </c>
      <c r="E265" s="16" t="s">
        <v>27</v>
      </c>
      <c r="F265" s="16">
        <v>1246</v>
      </c>
      <c r="G265" s="16" t="s">
        <v>349</v>
      </c>
      <c r="H265" s="11">
        <v>46283</v>
      </c>
      <c r="I265" s="42">
        <v>46283</v>
      </c>
      <c r="J265" s="12" t="str">
        <f>+VLOOKUP(K265,Datos!$A:$C,3,FALSE)</f>
        <v>OCCIDENTE</v>
      </c>
      <c r="K265" s="10">
        <v>155</v>
      </c>
      <c r="L265" s="12" t="str">
        <f>+VLOOKUP(K265,Datos!$A:$C,2,FALSE)</f>
        <v>TECPAN</v>
      </c>
      <c r="M265" s="16">
        <v>315216</v>
      </c>
      <c r="N265" s="12" t="str">
        <f>+VLOOKUP(M265,Datos!$F:$G,2,FALSE)</f>
        <v>Marcos Avilio Santizo Roman</v>
      </c>
      <c r="O265" s="13">
        <f>IFERROR(IF(A265="SI",VLOOKUP(R265,Datos!$J$1:$K$50,2,FALSE)*C265,VLOOKUP(R265,Datos!$P$1:$T$13,2,FALSE)*C265),0)</f>
        <v>1632</v>
      </c>
      <c r="P265" s="9">
        <v>305955</v>
      </c>
      <c r="Q265" s="12" t="str">
        <f>+VLOOKUP(P265,Datos!$F:$G,2,FALSE)</f>
        <v>Jorge Alfredo Gutierrez Rodriguez</v>
      </c>
      <c r="R265" s="9" t="s">
        <v>26</v>
      </c>
      <c r="V265" s="10">
        <f t="shared" si="4"/>
        <v>1</v>
      </c>
      <c r="W265" s="10">
        <f>+VLOOKUP(M265,Datos!$F:$H,3,FALSE)</f>
        <v>0</v>
      </c>
      <c r="X265">
        <v>0</v>
      </c>
      <c r="Y265" s="14"/>
      <c r="Z265" t="e">
        <f>VLOOKUP(M265,'[1]INDIVIDUAL UN'!$C$6:$F$222,4,FALSE)</f>
        <v>#N/A</v>
      </c>
    </row>
    <row r="266" spans="1:26" s="10" customFormat="1" x14ac:dyDescent="0.35">
      <c r="A266" s="9" t="s">
        <v>25</v>
      </c>
      <c r="B266" s="9"/>
      <c r="C266" s="10">
        <v>4</v>
      </c>
      <c r="D266" s="10" t="s">
        <v>29</v>
      </c>
      <c r="E266" s="10" t="s">
        <v>30</v>
      </c>
      <c r="F266" s="10">
        <v>816</v>
      </c>
      <c r="G266" s="10" t="s">
        <v>350</v>
      </c>
      <c r="H266" s="11">
        <v>46283</v>
      </c>
      <c r="I266" s="11">
        <v>46283</v>
      </c>
      <c r="J266" s="12" t="str">
        <f>+VLOOKUP(K266,Datos!$A:$C,3,FALSE)</f>
        <v>SUROCCIDENTE</v>
      </c>
      <c r="K266" s="10">
        <v>89</v>
      </c>
      <c r="L266" s="12" t="str">
        <f>+VLOOKUP(K266,Datos!$A:$C,2,FALSE)</f>
        <v>LA TRINIDAD RETALHULEU</v>
      </c>
      <c r="M266" s="10">
        <v>90009266</v>
      </c>
      <c r="N266" s="12" t="str">
        <f>+VLOOKUP(M266,Datos!$F:$G,2,FALSE)</f>
        <v xml:space="preserve">AURA MARIAN MEJIA REYES </v>
      </c>
      <c r="O266" s="13">
        <f>IFERROR(IF(A266="SI",VLOOKUP(R266,Datos!$J$1:$K$50,2,FALSE)*C266,VLOOKUP(R266,Datos!$P$1:$T$13,2,FALSE)*C266),0)</f>
        <v>3264</v>
      </c>
      <c r="P266" s="9">
        <v>311261</v>
      </c>
      <c r="Q266" s="12" t="str">
        <f>+VLOOKUP(P266,Datos!$F:$G,2,FALSE)</f>
        <v>Nasly Abigail Cazian Lopez</v>
      </c>
      <c r="R266" s="9" t="s">
        <v>26</v>
      </c>
      <c r="V266" s="10">
        <f t="shared" si="4"/>
        <v>1</v>
      </c>
      <c r="W266" s="10">
        <f>+VLOOKUP(M266,Datos!$F:$H,3,FALSE)</f>
        <v>0</v>
      </c>
      <c r="X266">
        <v>0</v>
      </c>
      <c r="Y266" s="20"/>
      <c r="Z266" s="10" t="e">
        <f>VLOOKUP(M266,'[1]INDIVIDUAL UN'!$C$6:$F$222,4,FALSE)</f>
        <v>#N/A</v>
      </c>
    </row>
    <row r="267" spans="1:26" x14ac:dyDescent="0.35">
      <c r="A267" s="9" t="s">
        <v>25</v>
      </c>
      <c r="C267" s="10">
        <v>3</v>
      </c>
      <c r="D267" s="10" t="s">
        <v>29</v>
      </c>
      <c r="E267" s="10">
        <v>20220034</v>
      </c>
      <c r="F267" s="10">
        <v>674</v>
      </c>
      <c r="G267" s="18" t="s">
        <v>325</v>
      </c>
      <c r="H267" s="11">
        <v>46283</v>
      </c>
      <c r="I267" s="11">
        <v>46282</v>
      </c>
      <c r="J267" s="12" t="str">
        <f>+VLOOKUP(K267,Datos!$A:$C,3,FALSE)</f>
        <v>OCCIDENTE</v>
      </c>
      <c r="K267" s="10">
        <v>246</v>
      </c>
      <c r="L267" s="12" t="str">
        <f>+VLOOKUP(K267,Datos!$A:$C,2,FALSE)</f>
        <v>SANTA CRUZ BARILLAS</v>
      </c>
      <c r="M267" s="10">
        <v>313666</v>
      </c>
      <c r="N267" s="12" t="str">
        <f>+VLOOKUP(M267,Datos!$F:$G,2,FALSE)</f>
        <v>Avner Josue Merida Molina</v>
      </c>
      <c r="O267" s="13">
        <f>IFERROR(IF(A267="SI",VLOOKUP(R267,Datos!$J$1:$K$50,2,FALSE)*C267,VLOOKUP(R267,Datos!$P$1:$T$13,2,FALSE)*C267),0)</f>
        <v>2448</v>
      </c>
      <c r="P267" s="9">
        <v>304166</v>
      </c>
      <c r="Q267" s="12" t="str">
        <f>+VLOOKUP(P267,Datos!$F:$G,2,FALSE)</f>
        <v>Maviela Bibianeth Castillo Avila</v>
      </c>
      <c r="R267" s="9" t="s">
        <v>26</v>
      </c>
      <c r="V267" s="10">
        <f t="shared" si="4"/>
        <v>2</v>
      </c>
      <c r="W267" s="10">
        <f>+VLOOKUP(M267,Datos!$F:$H,3,FALSE)</f>
        <v>0</v>
      </c>
      <c r="X267">
        <v>0</v>
      </c>
      <c r="Y267" s="14"/>
      <c r="Z267" t="e">
        <f>VLOOKUP(M267,'[1]INDIVIDUAL UN'!$C$6:$F$222,4,FALSE)</f>
        <v>#N/A</v>
      </c>
    </row>
    <row r="268" spans="1:26" x14ac:dyDescent="0.35">
      <c r="A268" s="9" t="s">
        <v>25</v>
      </c>
      <c r="C268" s="10">
        <v>1</v>
      </c>
      <c r="D268" s="10" t="s">
        <v>219</v>
      </c>
      <c r="E268" s="10" t="s">
        <v>351</v>
      </c>
      <c r="F268" s="10">
        <v>2599</v>
      </c>
      <c r="G268" s="10" t="s">
        <v>352</v>
      </c>
      <c r="H268" s="11">
        <v>46284</v>
      </c>
      <c r="I268" s="11">
        <v>46284</v>
      </c>
      <c r="J268" s="12" t="str">
        <f>+VLOOKUP(K268,Datos!$A:$C,3,FALSE)</f>
        <v>SUROCCIDENTE</v>
      </c>
      <c r="K268" s="10">
        <v>31</v>
      </c>
      <c r="L268" s="12" t="str">
        <f>+VLOOKUP(K268,Datos!$A:$C,2,FALSE)</f>
        <v>COATEPEQUE</v>
      </c>
      <c r="M268" s="10">
        <v>310671</v>
      </c>
      <c r="N268" s="12" t="str">
        <f>+VLOOKUP(M268,Datos!$F:$G,2,FALSE)</f>
        <v>Sucely Paola Godinez Gomez De Perez</v>
      </c>
      <c r="O268" s="13">
        <f>IFERROR(IF(A268="SI",VLOOKUP(R268,Datos!$J$1:$K$50,2,FALSE)*C268,VLOOKUP(R268,Datos!$P$1:$T$13,2,FALSE)*C268),0)</f>
        <v>1008</v>
      </c>
      <c r="P268" s="10">
        <v>306654</v>
      </c>
      <c r="Q268" s="12" t="str">
        <f>+VLOOKUP(P268,Datos!$F:$G,2,FALSE)</f>
        <v>Gerson Arcadio Hernandez Barrios</v>
      </c>
      <c r="R268" s="9" t="s">
        <v>101</v>
      </c>
      <c r="V268" s="10">
        <f t="shared" si="4"/>
        <v>1</v>
      </c>
      <c r="W268" s="10">
        <f>+VLOOKUP(M268,Datos!$F:$H,3,FALSE)</f>
        <v>0</v>
      </c>
      <c r="X268">
        <v>0</v>
      </c>
      <c r="Y268" s="14"/>
      <c r="Z268" t="e">
        <f>VLOOKUP(M268,'[1]INDIVIDUAL UN'!$C$6:$F$222,4,FALSE)</f>
        <v>#N/A</v>
      </c>
    </row>
    <row r="269" spans="1:26" x14ac:dyDescent="0.35">
      <c r="A269" s="9" t="s">
        <v>25</v>
      </c>
      <c r="C269" s="25">
        <v>2</v>
      </c>
      <c r="D269" s="10" t="s">
        <v>29</v>
      </c>
      <c r="E269" s="10" t="s">
        <v>34</v>
      </c>
      <c r="F269" s="10">
        <v>330</v>
      </c>
      <c r="G269" s="10" t="s">
        <v>353</v>
      </c>
      <c r="H269" s="11">
        <v>46284</v>
      </c>
      <c r="I269" s="11">
        <v>46284</v>
      </c>
      <c r="J269" s="12" t="str">
        <f>+VLOOKUP(K269,Datos!$A:$C,3,FALSE)</f>
        <v>SUROCCIDENTE</v>
      </c>
      <c r="K269" s="10">
        <v>31</v>
      </c>
      <c r="L269" s="12" t="str">
        <f>+VLOOKUP(K269,Datos!$A:$C,2,FALSE)</f>
        <v>COATEPEQUE</v>
      </c>
      <c r="M269" s="10">
        <v>315882</v>
      </c>
      <c r="N269" s="12" t="str">
        <f>+VLOOKUP(M269,Datos!$F:$G,2,FALSE)</f>
        <v>RUTH ANAI GOMEZ RAMIREZ</v>
      </c>
      <c r="O269" s="13">
        <f>IFERROR(IF(A269="SI",VLOOKUP(R269,Datos!$J$1:$K$50,2,FALSE)*C269,VLOOKUP(R269,Datos!$P$1:$T$13,2,FALSE)*C269),0)</f>
        <v>4008</v>
      </c>
      <c r="P269" s="10">
        <v>306656</v>
      </c>
      <c r="Q269" s="12" t="str">
        <f>+VLOOKUP(P269,Datos!$F:$G,2,FALSE)</f>
        <v>Wilmer Benjamin Vasquez Puac</v>
      </c>
      <c r="R269" s="9" t="s">
        <v>54</v>
      </c>
      <c r="V269" s="10">
        <f t="shared" si="4"/>
        <v>1</v>
      </c>
      <c r="W269" s="10">
        <f>+VLOOKUP(M269,Datos!$F:$H,3,FALSE)</f>
        <v>0</v>
      </c>
      <c r="X269">
        <v>0</v>
      </c>
      <c r="Y269" s="14"/>
      <c r="Z269" t="e">
        <f>VLOOKUP(M269,'[1]INDIVIDUAL UN'!$C$6:$F$222,4,FALSE)</f>
        <v>#N/A</v>
      </c>
    </row>
    <row r="270" spans="1:26" s="48" customFormat="1" x14ac:dyDescent="0.35">
      <c r="A270" s="9" t="s">
        <v>25</v>
      </c>
      <c r="B270" s="9"/>
      <c r="C270" s="15">
        <v>4</v>
      </c>
      <c r="D270" s="15" t="s">
        <v>175</v>
      </c>
      <c r="E270" s="15" t="s">
        <v>30</v>
      </c>
      <c r="F270" s="15">
        <v>866</v>
      </c>
      <c r="G270" s="15" t="s">
        <v>354</v>
      </c>
      <c r="H270" s="56">
        <v>46284</v>
      </c>
      <c r="I270" s="56">
        <v>46284</v>
      </c>
      <c r="J270" s="12" t="str">
        <f>+VLOOKUP(K270,Datos!$A:$C,3,FALSE)</f>
        <v>SUROCCIDENTE</v>
      </c>
      <c r="K270" s="10">
        <v>31</v>
      </c>
      <c r="L270" s="12" t="str">
        <f>+VLOOKUP(K270,Datos!$A:$C,2,FALSE)</f>
        <v>COATEPEQUE</v>
      </c>
      <c r="M270" s="15">
        <v>309812</v>
      </c>
      <c r="N270" s="12" t="str">
        <f>+VLOOKUP(M270,Datos!$F:$G,2,FALSE)</f>
        <v>Elena Yazmin Valdez Gallegos</v>
      </c>
      <c r="O270" s="13">
        <f>IFERROR(IF(A270="SI",VLOOKUP(R270,Datos!$J$1:$K$50,2,FALSE)*C270,VLOOKUP(R270,Datos!$P$1:$T$13,2,FALSE)*C270),0)</f>
        <v>3264</v>
      </c>
      <c r="P270" s="10">
        <v>306654</v>
      </c>
      <c r="Q270" s="12" t="str">
        <f>+VLOOKUP(P270,Datos!$F:$G,2,FALSE)</f>
        <v>Gerson Arcadio Hernandez Barrios</v>
      </c>
      <c r="R270" s="9" t="s">
        <v>26</v>
      </c>
      <c r="S270" s="10"/>
      <c r="T270" s="46"/>
      <c r="U270" s="46"/>
      <c r="V270" s="10">
        <f t="shared" si="4"/>
        <v>1</v>
      </c>
      <c r="W270" s="46">
        <f>+VLOOKUP(M270,Datos!$F:$H,3,FALSE)</f>
        <v>0</v>
      </c>
      <c r="X270">
        <v>0</v>
      </c>
      <c r="Y270" s="47"/>
      <c r="Z270" s="48" t="e">
        <f>VLOOKUP(M270,'[1]INDIVIDUAL UN'!$C$6:$F$222,4,FALSE)</f>
        <v>#N/A</v>
      </c>
    </row>
    <row r="271" spans="1:26" x14ac:dyDescent="0.35">
      <c r="A271" s="9" t="s">
        <v>25</v>
      </c>
      <c r="C271" s="38">
        <v>1</v>
      </c>
      <c r="D271" s="38" t="s">
        <v>29</v>
      </c>
      <c r="E271" s="23" t="s">
        <v>37</v>
      </c>
      <c r="F271" s="23">
        <v>4640</v>
      </c>
      <c r="G271" s="23" t="s">
        <v>355</v>
      </c>
      <c r="H271" s="39">
        <v>46284</v>
      </c>
      <c r="I271" s="39">
        <v>46284</v>
      </c>
      <c r="J271" s="12" t="str">
        <f>+VLOOKUP(K271,Datos!$A:$C,3,FALSE)</f>
        <v>OCCIDENTE</v>
      </c>
      <c r="K271" s="23">
        <v>65</v>
      </c>
      <c r="L271" s="12" t="str">
        <f>+VLOOKUP(K271,Datos!$A:$C,2,FALSE)</f>
        <v>PANAJACHEL</v>
      </c>
      <c r="M271" s="35">
        <v>315742</v>
      </c>
      <c r="N271" s="12" t="str">
        <f>+VLOOKUP(M271,Datos!$F:$G,2,FALSE)</f>
        <v>SHAROL OSLEYDY DHARARA PATZAN YOS</v>
      </c>
      <c r="O271" s="13">
        <f>IFERROR(IF(A271="SI",VLOOKUP(R271,Datos!$J$1:$K$50,2,FALSE)*C271,VLOOKUP(R271,Datos!$P$1:$T$13,2,FALSE)*C271),0)</f>
        <v>1368</v>
      </c>
      <c r="P271" s="35">
        <v>306098</v>
      </c>
      <c r="Q271" s="12" t="str">
        <f>+VLOOKUP(P271,Datos!$F:$G,2,FALSE)</f>
        <v>Roderico Simeon Lopez Lopez</v>
      </c>
      <c r="R271" s="9" t="s">
        <v>48</v>
      </c>
      <c r="V271" s="10">
        <f t="shared" si="4"/>
        <v>1</v>
      </c>
      <c r="W271" s="10">
        <f>+VLOOKUP(M271,Datos!$F:$H,3,FALSE)</f>
        <v>0</v>
      </c>
      <c r="X271">
        <v>0</v>
      </c>
      <c r="Y271" s="14"/>
      <c r="Z271" t="e">
        <f>VLOOKUP(M271,'[1]INDIVIDUAL UN'!$C$6:$F$222,4,FALSE)</f>
        <v>#N/A</v>
      </c>
    </row>
    <row r="272" spans="1:26" x14ac:dyDescent="0.35">
      <c r="A272" s="9" t="s">
        <v>25</v>
      </c>
      <c r="C272" s="38">
        <v>3</v>
      </c>
      <c r="D272" s="38" t="s">
        <v>29</v>
      </c>
      <c r="E272" s="23" t="s">
        <v>41</v>
      </c>
      <c r="F272" s="23">
        <v>704</v>
      </c>
      <c r="G272" s="23" t="s">
        <v>356</v>
      </c>
      <c r="H272" s="39">
        <v>46284</v>
      </c>
      <c r="I272" s="39">
        <v>46284</v>
      </c>
      <c r="J272" s="12" t="str">
        <f>+VLOOKUP(K272,Datos!$A:$C,3,FALSE)</f>
        <v>OCCIDENTE</v>
      </c>
      <c r="K272" s="23">
        <v>65</v>
      </c>
      <c r="L272" s="12" t="str">
        <f>+VLOOKUP(K272,Datos!$A:$C,2,FALSE)</f>
        <v>PANAJACHEL</v>
      </c>
      <c r="M272" s="23">
        <v>313318</v>
      </c>
      <c r="N272" s="12" t="str">
        <f>+VLOOKUP(M272,Datos!$F:$G,2,FALSE)</f>
        <v>Claudia Yesenia Ramos Perez</v>
      </c>
      <c r="O272" s="13">
        <f>IFERROR(IF(A272="SI",VLOOKUP(R272,Datos!$J$1:$K$50,2,FALSE)*C272,VLOOKUP(R272,Datos!$P$1:$T$13,2,FALSE)*C272),0)</f>
        <v>4104</v>
      </c>
      <c r="P272" s="35">
        <v>305532</v>
      </c>
      <c r="Q272" s="12" t="str">
        <f>+VLOOKUP(P272,Datos!$F:$G,2,FALSE)</f>
        <v>Nicolas Ajiquichi Ibate</v>
      </c>
      <c r="R272" s="9" t="s">
        <v>48</v>
      </c>
      <c r="V272" s="10">
        <f t="shared" si="4"/>
        <v>1</v>
      </c>
      <c r="W272" s="10">
        <f>+VLOOKUP(M272,Datos!$F:$H,3,FALSE)</f>
        <v>0</v>
      </c>
      <c r="X272">
        <v>0</v>
      </c>
      <c r="Y272" s="14"/>
      <c r="Z272" t="e">
        <f>VLOOKUP(M272,'[1]INDIVIDUAL UN'!$C$6:$F$222,4,FALSE)</f>
        <v>#N/A</v>
      </c>
    </row>
    <row r="273" spans="1:26" x14ac:dyDescent="0.35">
      <c r="A273" s="9" t="s">
        <v>25</v>
      </c>
      <c r="C273" s="38">
        <v>1</v>
      </c>
      <c r="D273" s="38" t="s">
        <v>29</v>
      </c>
      <c r="E273" s="23" t="s">
        <v>37</v>
      </c>
      <c r="F273" s="23">
        <v>4642</v>
      </c>
      <c r="G273" s="23" t="s">
        <v>357</v>
      </c>
      <c r="H273" s="39">
        <v>46284</v>
      </c>
      <c r="I273" s="39">
        <v>46284</v>
      </c>
      <c r="J273" s="12" t="str">
        <f>+VLOOKUP(K273,Datos!$A:$C,3,FALSE)</f>
        <v>OCCIDENTE</v>
      </c>
      <c r="K273" s="23">
        <v>65</v>
      </c>
      <c r="L273" s="12" t="str">
        <f>+VLOOKUP(K273,Datos!$A:$C,2,FALSE)</f>
        <v>PANAJACHEL</v>
      </c>
      <c r="M273" s="23">
        <v>315652</v>
      </c>
      <c r="N273" s="12" t="str">
        <f>+VLOOKUP(M273,Datos!$F:$G,2,FALSE)</f>
        <v>Erickson Eliezer Matzar Cululen</v>
      </c>
      <c r="O273" s="13">
        <f>IFERROR(IF(A273="SI",VLOOKUP(R273,Datos!$J$1:$K$50,2,FALSE)*C273,VLOOKUP(R273,Datos!$P$1:$T$13,2,FALSE)*C273),0)</f>
        <v>816</v>
      </c>
      <c r="P273" s="35">
        <v>306098</v>
      </c>
      <c r="Q273" s="12" t="str">
        <f>+VLOOKUP(P273,Datos!$F:$G,2,FALSE)</f>
        <v>Roderico Simeon Lopez Lopez</v>
      </c>
      <c r="R273" s="9" t="s">
        <v>26</v>
      </c>
      <c r="V273" s="10">
        <f t="shared" si="4"/>
        <v>1</v>
      </c>
      <c r="W273" s="10">
        <f>+VLOOKUP(M273,Datos!$F:$H,3,FALSE)</f>
        <v>0</v>
      </c>
      <c r="X273">
        <v>0</v>
      </c>
      <c r="Y273" s="14"/>
      <c r="Z273" t="e">
        <f>VLOOKUP(M273,'[1]INDIVIDUAL UN'!$C$6:$F$222,4,FALSE)</f>
        <v>#N/A</v>
      </c>
    </row>
    <row r="274" spans="1:26" x14ac:dyDescent="0.35">
      <c r="A274" s="9" t="s">
        <v>25</v>
      </c>
      <c r="C274" s="10">
        <v>1</v>
      </c>
      <c r="D274" s="10" t="s">
        <v>29</v>
      </c>
      <c r="E274" s="10" t="s">
        <v>37</v>
      </c>
      <c r="F274" s="10">
        <v>4654</v>
      </c>
      <c r="G274" s="10" t="s">
        <v>358</v>
      </c>
      <c r="H274" s="11">
        <v>46284</v>
      </c>
      <c r="I274" s="11">
        <v>46284</v>
      </c>
      <c r="J274" s="12" t="str">
        <f>+VLOOKUP(K274,Datos!$A:$C,3,FALSE)</f>
        <v>SUROCCIDENTE</v>
      </c>
      <c r="K274" s="10">
        <v>143</v>
      </c>
      <c r="L274" s="12" t="str">
        <f>+VLOOKUP(K274,Datos!$A:$C,2,FALSE)</f>
        <v>RETALHULEU LA SIRENA</v>
      </c>
      <c r="M274" s="10">
        <v>312109</v>
      </c>
      <c r="N274" s="12" t="str">
        <f>+VLOOKUP(M274,Datos!$F:$G,2,FALSE)</f>
        <v>Martha Julia Shar Velasquez</v>
      </c>
      <c r="O274" s="13">
        <f>IFERROR(IF(A274="SI",VLOOKUP(R274,Datos!$J$1:$K$50,2,FALSE)*C274,VLOOKUP(R274,Datos!$P$1:$T$13,2,FALSE)*C274),0)</f>
        <v>816</v>
      </c>
      <c r="P274" s="9">
        <v>90033850</v>
      </c>
      <c r="Q274" s="12" t="str">
        <f>+VLOOKUP(P274,Datos!$F:$G,2,FALSE)</f>
        <v>Kevin Geovani Coyoy López</v>
      </c>
      <c r="R274" s="9" t="s">
        <v>26</v>
      </c>
      <c r="V274" s="10">
        <f t="shared" si="4"/>
        <v>1</v>
      </c>
      <c r="W274" s="10">
        <f>+VLOOKUP(M274,Datos!$F:$H,3,FALSE)</f>
        <v>0</v>
      </c>
      <c r="X274">
        <v>0</v>
      </c>
      <c r="Y274" s="14"/>
      <c r="Z274" t="e">
        <f>VLOOKUP(M274,'[1]INDIVIDUAL UN'!$C$6:$F$222,4,FALSE)</f>
        <v>#N/A</v>
      </c>
    </row>
    <row r="275" spans="1:26" x14ac:dyDescent="0.35">
      <c r="A275" s="9" t="s">
        <v>25</v>
      </c>
      <c r="C275">
        <v>1</v>
      </c>
      <c r="D275" s="10" t="s">
        <v>29</v>
      </c>
      <c r="E275" s="10" t="s">
        <v>37</v>
      </c>
      <c r="F275" s="10">
        <v>4637</v>
      </c>
      <c r="G275" s="10" t="s">
        <v>359</v>
      </c>
      <c r="H275" s="11">
        <v>46284</v>
      </c>
      <c r="I275" s="11">
        <v>46284</v>
      </c>
      <c r="J275" s="12" t="str">
        <f>+VLOOKUP(K275,Datos!$A:$C,3,FALSE)</f>
        <v>OCCIDENTE</v>
      </c>
      <c r="K275" s="10">
        <v>157</v>
      </c>
      <c r="L275" s="12" t="str">
        <f>+VLOOKUP(K275,Datos!$A:$C,2,FALSE)</f>
        <v>TOTONICAPAN</v>
      </c>
      <c r="M275" s="10">
        <v>315460</v>
      </c>
      <c r="N275" s="12" t="str">
        <f>+VLOOKUP(M275,Datos!$F:$G,2,FALSE)</f>
        <v>Marvin Leonel Hernandez Alvarez</v>
      </c>
      <c r="O275" s="13">
        <f>IFERROR(IF(A275="SI",VLOOKUP(R275,Datos!$J$1:$K$50,2,FALSE)*C275,VLOOKUP(R275,Datos!$P$1:$T$13,2,FALSE)*C275),0)</f>
        <v>816</v>
      </c>
      <c r="P275" s="10">
        <v>312665</v>
      </c>
      <c r="Q275" s="12" t="str">
        <f>+VLOOKUP(P275,Datos!$F:$G,2,FALSE)</f>
        <v>Zulma Damaris Menchu Mendez</v>
      </c>
      <c r="R275" s="9" t="s">
        <v>26</v>
      </c>
      <c r="V275" s="10">
        <f t="shared" si="4"/>
        <v>1</v>
      </c>
      <c r="W275" s="10">
        <f>+VLOOKUP(M275,Datos!$F:$H,3,FALSE)</f>
        <v>0</v>
      </c>
      <c r="X275">
        <v>0</v>
      </c>
      <c r="Y275" s="14"/>
      <c r="Z275" t="e">
        <f>VLOOKUP(M275,'[1]INDIVIDUAL UN'!$C$6:$F$222,4,FALSE)</f>
        <v>#N/A</v>
      </c>
    </row>
    <row r="276" spans="1:26" x14ac:dyDescent="0.35">
      <c r="A276" s="9" t="s">
        <v>25</v>
      </c>
      <c r="C276" s="10">
        <v>1</v>
      </c>
      <c r="D276" s="10"/>
      <c r="E276" s="10" t="s">
        <v>37</v>
      </c>
      <c r="F276" s="10">
        <v>4634</v>
      </c>
      <c r="G276" s="10" t="s">
        <v>360</v>
      </c>
      <c r="H276" s="11">
        <v>46284</v>
      </c>
      <c r="I276" s="11">
        <v>46284</v>
      </c>
      <c r="J276" s="12" t="str">
        <f>+VLOOKUP(K276,Datos!$A:$C,3,FALSE)</f>
        <v>OCCIDENTE</v>
      </c>
      <c r="K276" s="10">
        <v>246</v>
      </c>
      <c r="L276" s="12" t="str">
        <f>+VLOOKUP(K276,Datos!$A:$C,2,FALSE)</f>
        <v>SANTA CRUZ BARILLAS</v>
      </c>
      <c r="M276" s="10">
        <v>316120</v>
      </c>
      <c r="N276" s="12" t="str">
        <f>+VLOOKUP(M276,Datos!$F:$G,2,FALSE)</f>
        <v>JUANA CANDELARIA LORENZO MATEO</v>
      </c>
      <c r="O276" s="13">
        <f>IFERROR(IF(A276="SI",VLOOKUP(R276,Datos!$J$1:$K$50,2,FALSE)*C276,VLOOKUP(R276,Datos!$P$1:$T$13,2,FALSE)*C276),0)</f>
        <v>4104</v>
      </c>
      <c r="P276" s="10">
        <v>304166</v>
      </c>
      <c r="Q276" s="12" t="str">
        <f>+VLOOKUP(P276,Datos!$F:$G,2,FALSE)</f>
        <v>Maviela Bibianeth Castillo Avila</v>
      </c>
      <c r="R276" s="9" t="s">
        <v>135</v>
      </c>
      <c r="V276" s="10">
        <f t="shared" si="4"/>
        <v>1</v>
      </c>
      <c r="W276" s="10">
        <f>+VLOOKUP(M276,Datos!$F:$H,3,FALSE)</f>
        <v>0</v>
      </c>
      <c r="X276">
        <v>0</v>
      </c>
      <c r="Y276" s="14"/>
      <c r="Z276" t="e">
        <f>VLOOKUP(M276,'[1]INDIVIDUAL UN'!$C$6:$F$222,4,FALSE)</f>
        <v>#N/A</v>
      </c>
    </row>
    <row r="277" spans="1:26" s="10" customFormat="1" x14ac:dyDescent="0.35">
      <c r="A277" s="9" t="s">
        <v>25</v>
      </c>
      <c r="B277" s="9"/>
      <c r="C277" s="10">
        <v>4</v>
      </c>
      <c r="E277" s="10" t="s">
        <v>30</v>
      </c>
      <c r="F277" s="10">
        <v>848</v>
      </c>
      <c r="G277" s="10" t="s">
        <v>361</v>
      </c>
      <c r="H277" s="11">
        <v>46284</v>
      </c>
      <c r="I277" s="11">
        <v>46284</v>
      </c>
      <c r="J277" s="12" t="str">
        <f>+VLOOKUP(K277,Datos!$A:$C,3,FALSE)</f>
        <v>OCCIDENTE</v>
      </c>
      <c r="K277" s="10">
        <v>246</v>
      </c>
      <c r="L277" s="12" t="str">
        <f>+VLOOKUP(K277,Datos!$A:$C,2,FALSE)</f>
        <v>SANTA CRUZ BARILLAS</v>
      </c>
      <c r="M277" s="10">
        <v>316120</v>
      </c>
      <c r="N277" s="12" t="str">
        <f>+VLOOKUP(M277,Datos!$F:$G,2,FALSE)</f>
        <v>JUANA CANDELARIA LORENZO MATEO</v>
      </c>
      <c r="O277" s="13">
        <f>IFERROR(IF(A277="SI",VLOOKUP(R277,Datos!$J$1:$K$50,2,FALSE)*C277,VLOOKUP(R277,Datos!$P$1:$T$13,2,FALSE)*C277),0)</f>
        <v>3264</v>
      </c>
      <c r="P277" s="10">
        <v>304166</v>
      </c>
      <c r="Q277" s="12" t="str">
        <f>+VLOOKUP(P277,Datos!$F:$G,2,FALSE)</f>
        <v>Maviela Bibianeth Castillo Avila</v>
      </c>
      <c r="R277" s="9" t="s">
        <v>26</v>
      </c>
      <c r="V277" s="10">
        <f t="shared" si="4"/>
        <v>1</v>
      </c>
      <c r="W277" s="10">
        <f>+VLOOKUP(M277,Datos!$F:$H,3,FALSE)</f>
        <v>0</v>
      </c>
      <c r="X277">
        <v>0</v>
      </c>
      <c r="Y277" s="20"/>
      <c r="Z277" s="10" t="e">
        <f>VLOOKUP(M277,'[1]INDIVIDUAL UN'!$C$6:$F$222,4,FALSE)</f>
        <v>#N/A</v>
      </c>
    </row>
    <row r="278" spans="1:26" s="10" customFormat="1" x14ac:dyDescent="0.35">
      <c r="A278" s="9" t="s">
        <v>25</v>
      </c>
      <c r="B278" s="9"/>
      <c r="C278" s="10">
        <v>1</v>
      </c>
      <c r="D278" s="10" t="s">
        <v>216</v>
      </c>
      <c r="E278" s="10" t="s">
        <v>362</v>
      </c>
      <c r="F278" s="10">
        <v>4633</v>
      </c>
      <c r="G278" s="10" t="s">
        <v>363</v>
      </c>
      <c r="H278" s="11">
        <v>46284</v>
      </c>
      <c r="I278" s="18">
        <v>46284</v>
      </c>
      <c r="J278" s="12" t="str">
        <f>+VLOOKUP(K278,Datos!$A:$C,3,FALSE)</f>
        <v>OCCIDENTE</v>
      </c>
      <c r="K278" s="10">
        <v>33</v>
      </c>
      <c r="L278" s="12" t="str">
        <f>+VLOOKUP(K278,Datos!$A:$C,2,FALSE)</f>
        <v>HUEHUETENANGO</v>
      </c>
      <c r="M278" s="10">
        <v>315944</v>
      </c>
      <c r="N278" s="12" t="str">
        <f>+VLOOKUP(M278,Datos!$F:$G,2,FALSE)</f>
        <v>MARIA EULISSA ADAMARY XUTUC VILLATORO</v>
      </c>
      <c r="O278" s="13">
        <f>IFERROR(IF(A278="SI",VLOOKUP(R278,Datos!$J$1:$K$50,2,FALSE)*C278,VLOOKUP(R278,Datos!$P$1:$T$13,2,FALSE)*C278),0)</f>
        <v>816</v>
      </c>
      <c r="P278" s="9">
        <v>301644</v>
      </c>
      <c r="Q278" s="12" t="str">
        <f>+VLOOKUP(P278,Datos!$F:$G,2,FALSE)</f>
        <v>Imelda Eugenia Recinos Martinez</v>
      </c>
      <c r="R278" s="9" t="s">
        <v>26</v>
      </c>
      <c r="V278" s="10">
        <f t="shared" si="4"/>
        <v>1</v>
      </c>
      <c r="X278">
        <v>0</v>
      </c>
      <c r="Y278" s="20"/>
      <c r="Z278" s="10" t="e">
        <f>VLOOKUP(M278,'[1]INDIVIDUAL UN'!$C$6:$F$222,4,FALSE)</f>
        <v>#N/A</v>
      </c>
    </row>
    <row r="279" spans="1:26" x14ac:dyDescent="0.35">
      <c r="A279" s="9" t="s">
        <v>25</v>
      </c>
      <c r="C279" s="10">
        <v>4</v>
      </c>
      <c r="D279" s="10" t="s">
        <v>29</v>
      </c>
      <c r="E279" s="10" t="s">
        <v>30</v>
      </c>
      <c r="F279" s="10">
        <v>846</v>
      </c>
      <c r="G279" s="10" t="s">
        <v>364</v>
      </c>
      <c r="H279" s="11">
        <v>46284</v>
      </c>
      <c r="I279" s="11">
        <v>46284</v>
      </c>
      <c r="J279" s="12" t="str">
        <f>+VLOOKUP(K279,Datos!$A:$C,3,FALSE)</f>
        <v>OCCIDENTE</v>
      </c>
      <c r="K279" s="10">
        <v>155</v>
      </c>
      <c r="L279" s="12" t="str">
        <f>+VLOOKUP(K279,Datos!$A:$C,2,FALSE)</f>
        <v>TECPAN</v>
      </c>
      <c r="M279" s="10">
        <v>314450</v>
      </c>
      <c r="N279" s="12" t="str">
        <f>+VLOOKUP(M279,Datos!$F:$G,2,FALSE)</f>
        <v>Rafael Anibal Sut Tucubal</v>
      </c>
      <c r="O279" s="13">
        <f>IFERROR(IF(A279="SI",VLOOKUP(R279,Datos!$J$1:$K$50,2,FALSE)*C279,VLOOKUP(R279,Datos!$P$1:$T$13,2,FALSE)*C279),0)</f>
        <v>3264</v>
      </c>
      <c r="P279" s="10">
        <v>305955</v>
      </c>
      <c r="Q279" s="12" t="str">
        <f>+VLOOKUP(P279,Datos!$F:$G,2,FALSE)</f>
        <v>Jorge Alfredo Gutierrez Rodriguez</v>
      </c>
      <c r="R279" s="9" t="s">
        <v>26</v>
      </c>
      <c r="V279" s="10">
        <f t="shared" si="4"/>
        <v>1</v>
      </c>
      <c r="W279" s="10">
        <f>+VLOOKUP(M279,Datos!$F:$H,3,FALSE)</f>
        <v>0</v>
      </c>
      <c r="X279">
        <v>0</v>
      </c>
      <c r="Y279" s="14"/>
      <c r="Z279" t="e">
        <f>VLOOKUP(M279,'[1]INDIVIDUAL UN'!$C$6:$F$222,4,FALSE)</f>
        <v>#N/A</v>
      </c>
    </row>
    <row r="280" spans="1:26" x14ac:dyDescent="0.35">
      <c r="A280" s="9" t="s">
        <v>25</v>
      </c>
      <c r="C280" s="10">
        <v>1</v>
      </c>
      <c r="D280" s="10" t="s">
        <v>29</v>
      </c>
      <c r="E280" s="10" t="s">
        <v>37</v>
      </c>
      <c r="F280" s="10">
        <v>4650</v>
      </c>
      <c r="G280" s="10" t="s">
        <v>365</v>
      </c>
      <c r="H280" s="11">
        <v>46284</v>
      </c>
      <c r="I280" s="11">
        <v>46284</v>
      </c>
      <c r="J280" s="12" t="str">
        <f>+VLOOKUP(K280,Datos!$A:$C,3,FALSE)</f>
        <v>OCCIDENTE</v>
      </c>
      <c r="K280" s="10">
        <v>155</v>
      </c>
      <c r="L280" s="12" t="str">
        <f>+VLOOKUP(K280,Datos!$A:$C,2,FALSE)</f>
        <v>TECPAN</v>
      </c>
      <c r="M280" s="10">
        <v>315629</v>
      </c>
      <c r="N280" s="12" t="str">
        <f>+VLOOKUP(M280,Datos!$F:$G,2,FALSE)</f>
        <v>Rucuch Choguaj, Miguel</v>
      </c>
      <c r="O280" s="13">
        <f>IFERROR(IF(A280="SI",VLOOKUP(R280,Datos!$J$1:$K$50,2,FALSE)*C280,VLOOKUP(R280,Datos!$P$1:$T$13,2,FALSE)*C280),0)</f>
        <v>816</v>
      </c>
      <c r="P280" s="10">
        <v>305955</v>
      </c>
      <c r="Q280" s="12" t="str">
        <f>+VLOOKUP(P280,Datos!$F:$G,2,FALSE)</f>
        <v>Jorge Alfredo Gutierrez Rodriguez</v>
      </c>
      <c r="R280" s="9" t="s">
        <v>26</v>
      </c>
      <c r="V280" s="10">
        <f t="shared" si="4"/>
        <v>1</v>
      </c>
      <c r="W280" s="10">
        <f>+VLOOKUP(M280,Datos!$F:$H,3,FALSE)</f>
        <v>0</v>
      </c>
      <c r="X280">
        <v>0</v>
      </c>
      <c r="Y280" s="14"/>
      <c r="Z280" t="e">
        <f>VLOOKUP(M280,'[1]INDIVIDUAL UN'!$C$6:$F$222,4,FALSE)</f>
        <v>#N/A</v>
      </c>
    </row>
    <row r="281" spans="1:26" x14ac:dyDescent="0.35">
      <c r="A281" s="9" t="s">
        <v>25</v>
      </c>
      <c r="C281" s="10">
        <v>2</v>
      </c>
      <c r="D281" s="16" t="s">
        <v>219</v>
      </c>
      <c r="E281" s="10" t="s">
        <v>268</v>
      </c>
      <c r="F281" s="10">
        <v>329</v>
      </c>
      <c r="G281" s="10" t="s">
        <v>366</v>
      </c>
      <c r="H281" s="11">
        <v>46284</v>
      </c>
      <c r="I281" s="11">
        <v>46283</v>
      </c>
      <c r="J281" s="12" t="str">
        <f>+VLOOKUP(K281,Datos!$A:$C,3,FALSE)</f>
        <v>SUROCCIDENTE</v>
      </c>
      <c r="K281" s="10">
        <v>48</v>
      </c>
      <c r="L281" s="12" t="str">
        <f>+VLOOKUP(K281,Datos!$A:$C,2,FALSE)</f>
        <v>TECUN UMAN SAN MARCOS</v>
      </c>
      <c r="M281" s="10">
        <v>90024489</v>
      </c>
      <c r="N281" s="12" t="str">
        <f>+VLOOKUP(M281,Datos!$F:$G,2,FALSE)</f>
        <v xml:space="preserve">Mario Roberto Yoc de Leon </v>
      </c>
      <c r="O281" s="13">
        <f>IFERROR(IF(A281="SI",VLOOKUP(R281,Datos!$J$1:$K$50,2,FALSE)*C281,VLOOKUP(R281,Datos!$P$1:$T$13,2,FALSE)*C281),0)</f>
        <v>2856</v>
      </c>
      <c r="P281" s="10">
        <v>302285</v>
      </c>
      <c r="Q281" s="12" t="str">
        <f>+VLOOKUP(P281,Datos!$F:$G,2,FALSE)</f>
        <v>Heydi Yaneth Sales Mazariegos</v>
      </c>
      <c r="R281" s="9" t="s">
        <v>36</v>
      </c>
      <c r="V281" s="10">
        <f t="shared" si="4"/>
        <v>1</v>
      </c>
      <c r="W281" s="10">
        <f>+VLOOKUP(M281,Datos!$F:$H,3,FALSE)</f>
        <v>0</v>
      </c>
      <c r="X281">
        <v>0</v>
      </c>
      <c r="Y281" s="14"/>
      <c r="Z281" t="e">
        <f>VLOOKUP(M281,'[1]INDIVIDUAL UN'!$C$6:$F$222,4,FALSE)</f>
        <v>#N/A</v>
      </c>
    </row>
    <row r="282" spans="1:26" x14ac:dyDescent="0.35">
      <c r="A282" s="9" t="s">
        <v>25</v>
      </c>
      <c r="C282" s="10">
        <v>4</v>
      </c>
      <c r="D282" s="16" t="s">
        <v>219</v>
      </c>
      <c r="E282" s="10" t="s">
        <v>30</v>
      </c>
      <c r="F282" s="10">
        <v>829</v>
      </c>
      <c r="G282" s="10" t="s">
        <v>367</v>
      </c>
      <c r="H282" s="11">
        <v>46284</v>
      </c>
      <c r="I282" s="11">
        <v>46283</v>
      </c>
      <c r="J282" s="12" t="str">
        <f>+VLOOKUP(K282,Datos!$A:$C,3,FALSE)</f>
        <v>SUROCCIDENTE</v>
      </c>
      <c r="K282" s="10">
        <v>48</v>
      </c>
      <c r="L282" s="12" t="str">
        <f>+VLOOKUP(K282,Datos!$A:$C,2,FALSE)</f>
        <v>TECUN UMAN SAN MARCOS</v>
      </c>
      <c r="M282" s="10">
        <v>305666</v>
      </c>
      <c r="N282" s="12" t="str">
        <f>+VLOOKUP(M282,Datos!$F:$G,2,FALSE)</f>
        <v>Kezmi Romani Garcia Mendez</v>
      </c>
      <c r="O282" s="13">
        <f>IFERROR(IF(A282="SI",VLOOKUP(R282,Datos!$J$1:$K$50,2,FALSE)*C282,VLOOKUP(R282,Datos!$P$1:$T$13,2,FALSE)*C282),0)</f>
        <v>3264</v>
      </c>
      <c r="P282" s="9">
        <v>201031</v>
      </c>
      <c r="Q282" s="12" t="str">
        <f>+VLOOKUP(P282,Datos!$F:$G,2,FALSE)</f>
        <v>Delio Maynor Lopez Barrios</v>
      </c>
      <c r="R282" s="9" t="s">
        <v>26</v>
      </c>
      <c r="V282" s="10">
        <f t="shared" si="4"/>
        <v>1</v>
      </c>
      <c r="W282" s="10">
        <f>+VLOOKUP(M282,Datos!$F:$H,3,FALSE)</f>
        <v>0</v>
      </c>
      <c r="X282">
        <v>0</v>
      </c>
      <c r="Y282" s="14"/>
      <c r="Z282" t="e">
        <f>VLOOKUP(M282,'[1]INDIVIDUAL UN'!$C$6:$F$222,4,FALSE)</f>
        <v>#N/A</v>
      </c>
    </row>
    <row r="283" spans="1:26" x14ac:dyDescent="0.35">
      <c r="A283" s="9" t="s">
        <v>25</v>
      </c>
      <c r="C283" s="10">
        <v>3</v>
      </c>
      <c r="D283" s="16" t="s">
        <v>219</v>
      </c>
      <c r="E283" s="10" t="s">
        <v>41</v>
      </c>
      <c r="F283" s="10">
        <v>684</v>
      </c>
      <c r="G283" s="10" t="s">
        <v>368</v>
      </c>
      <c r="H283" s="11">
        <v>46284</v>
      </c>
      <c r="I283" s="11">
        <v>46283</v>
      </c>
      <c r="J283" s="12" t="str">
        <f>+VLOOKUP(K283,Datos!$A:$C,3,FALSE)</f>
        <v>SUROCCIDENTE</v>
      </c>
      <c r="K283" s="10">
        <v>48</v>
      </c>
      <c r="L283" s="12" t="str">
        <f>+VLOOKUP(K283,Datos!$A:$C,2,FALSE)</f>
        <v>TECUN UMAN SAN MARCOS</v>
      </c>
      <c r="M283" s="10">
        <v>311866</v>
      </c>
      <c r="N283" s="12" t="str">
        <f>+VLOOKUP(M283,Datos!$F:$G,2,FALSE)</f>
        <v>Treisy Lisbeth Orozco Orozco</v>
      </c>
      <c r="O283" s="13">
        <f>IFERROR(IF(A283="SI",VLOOKUP(R283,Datos!$J$1:$K$50,2,FALSE)*C283,VLOOKUP(R283,Datos!$P$1:$T$13,2,FALSE)*C283),0)</f>
        <v>2448</v>
      </c>
      <c r="P283" s="9">
        <v>302285</v>
      </c>
      <c r="Q283" s="12" t="str">
        <f>+VLOOKUP(P283,Datos!$F:$G,2,FALSE)</f>
        <v>Heydi Yaneth Sales Mazariegos</v>
      </c>
      <c r="R283" s="9" t="s">
        <v>26</v>
      </c>
      <c r="V283" s="10">
        <f t="shared" si="4"/>
        <v>1</v>
      </c>
      <c r="W283" s="10">
        <f>+VLOOKUP(M283,Datos!$F:$H,3,FALSE)</f>
        <v>0</v>
      </c>
      <c r="X283">
        <v>0</v>
      </c>
      <c r="Y283" s="14"/>
      <c r="Z283" t="e">
        <f>VLOOKUP(M283,'[1]INDIVIDUAL UN'!$C$6:$F$222,4,FALSE)</f>
        <v>#N/A</v>
      </c>
    </row>
    <row r="284" spans="1:26" s="10" customFormat="1" x14ac:dyDescent="0.35">
      <c r="A284" s="9" t="s">
        <v>25</v>
      </c>
      <c r="B284" s="9"/>
      <c r="C284" s="10">
        <v>3</v>
      </c>
      <c r="D284" s="16" t="s">
        <v>219</v>
      </c>
      <c r="E284" s="10" t="s">
        <v>41</v>
      </c>
      <c r="F284" s="10">
        <v>695</v>
      </c>
      <c r="G284" s="10" t="s">
        <v>369</v>
      </c>
      <c r="H284" s="11">
        <v>46284</v>
      </c>
      <c r="I284" s="11">
        <v>46283</v>
      </c>
      <c r="J284" s="12" t="str">
        <f>+VLOOKUP(K284,Datos!$A:$C,3,FALSE)</f>
        <v>SUROCCIDENTE</v>
      </c>
      <c r="K284" s="10">
        <v>48</v>
      </c>
      <c r="L284" s="12" t="str">
        <f>+VLOOKUP(K284,Datos!$A:$C,2,FALSE)</f>
        <v>TECUN UMAN SAN MARCOS</v>
      </c>
      <c r="M284" s="10">
        <v>90024489</v>
      </c>
      <c r="N284" s="12" t="str">
        <f>+VLOOKUP(M284,Datos!$F:$G,2,FALSE)</f>
        <v xml:space="preserve">Mario Roberto Yoc de Leon </v>
      </c>
      <c r="O284" s="13">
        <f>IFERROR(IF(A284="SI",VLOOKUP(R284,Datos!$J$1:$K$50,2,FALSE)*C284,VLOOKUP(R284,Datos!$P$1:$T$13,2,FALSE)*C284),0)</f>
        <v>4104</v>
      </c>
      <c r="P284" s="9">
        <v>302285</v>
      </c>
      <c r="Q284" s="12" t="str">
        <f>+VLOOKUP(P284,Datos!$F:$G,2,FALSE)</f>
        <v>Heydi Yaneth Sales Mazariegos</v>
      </c>
      <c r="R284" s="9" t="s">
        <v>48</v>
      </c>
      <c r="V284" s="10">
        <f t="shared" si="4"/>
        <v>1</v>
      </c>
      <c r="W284" s="10">
        <f>+VLOOKUP(M284,Datos!$F:$H,3,FALSE)</f>
        <v>0</v>
      </c>
      <c r="X284">
        <v>0</v>
      </c>
      <c r="Y284" s="20"/>
      <c r="Z284" s="10" t="e">
        <f>VLOOKUP(M284,'[1]INDIVIDUAL UN'!$C$6:$F$222,4,FALSE)</f>
        <v>#N/A</v>
      </c>
    </row>
    <row r="285" spans="1:26" s="10" customFormat="1" x14ac:dyDescent="0.35">
      <c r="A285" s="9" t="s">
        <v>25</v>
      </c>
      <c r="B285" s="43"/>
      <c r="C285">
        <v>3</v>
      </c>
      <c r="D285" s="16" t="s">
        <v>219</v>
      </c>
      <c r="E285" s="10" t="s">
        <v>41</v>
      </c>
      <c r="F285" s="10">
        <v>702</v>
      </c>
      <c r="G285" s="18" t="s">
        <v>370</v>
      </c>
      <c r="H285" s="11">
        <v>46284</v>
      </c>
      <c r="I285" s="11">
        <v>46284</v>
      </c>
      <c r="J285" s="44" t="str">
        <f>+VLOOKUP(K285,Datos!$A:$C,3,FALSE)</f>
        <v>OCCIDENTE</v>
      </c>
      <c r="K285" s="10">
        <v>246</v>
      </c>
      <c r="L285" s="44" t="str">
        <f>+VLOOKUP(K285,Datos!$A:$C,2,FALSE)</f>
        <v>SANTA CRUZ BARILLAS</v>
      </c>
      <c r="M285" s="10">
        <v>90024340</v>
      </c>
      <c r="N285" s="44" t="str">
        <f>+VLOOKUP(M285,Datos!$F:$G,2,FALSE)</f>
        <v>FRAYAN ROBERTO MERIDA ESCOBEDO</v>
      </c>
      <c r="O285" s="13">
        <f>IFERROR(IF(A285="SI",VLOOKUP(R285,Datos!$J$1:$K$50,2,FALSE)*C285,VLOOKUP(R285,Datos!$P$1:$T$13,2,FALSE)*C285),0)</f>
        <v>2448</v>
      </c>
      <c r="P285" s="9">
        <v>304166</v>
      </c>
      <c r="Q285" s="44" t="str">
        <f>+VLOOKUP(P285,Datos!$F:$G,2,FALSE)</f>
        <v>Maviela Bibianeth Castillo Avila</v>
      </c>
      <c r="R285" s="43" t="s">
        <v>26</v>
      </c>
      <c r="V285" s="10">
        <f t="shared" si="4"/>
        <v>1</v>
      </c>
      <c r="W285" s="10">
        <f>+VLOOKUP(M285,Datos!$F:$H,3,FALSE)</f>
        <v>0</v>
      </c>
      <c r="X285">
        <v>0</v>
      </c>
      <c r="Y285" s="20"/>
      <c r="Z285" s="10" t="e">
        <f>VLOOKUP(M285,'[1]INDIVIDUAL UN'!$C$6:$F$222,4,FALSE)</f>
        <v>#N/A</v>
      </c>
    </row>
    <row r="286" spans="1:26" x14ac:dyDescent="0.35">
      <c r="A286" s="9" t="s">
        <v>25</v>
      </c>
      <c r="C286" s="10">
        <v>2</v>
      </c>
      <c r="D286" s="10" t="s">
        <v>175</v>
      </c>
      <c r="E286" s="10" t="s">
        <v>27</v>
      </c>
      <c r="F286" s="10">
        <v>1363</v>
      </c>
      <c r="G286" s="10" t="s">
        <v>371</v>
      </c>
      <c r="H286" s="11">
        <v>46285</v>
      </c>
      <c r="I286" s="11">
        <v>46285</v>
      </c>
      <c r="J286" s="12" t="str">
        <f>+VLOOKUP(K286,Datos!$A:$C,3,FALSE)</f>
        <v>OCCIDENTE</v>
      </c>
      <c r="K286" s="10">
        <v>243</v>
      </c>
      <c r="L286" s="12" t="str">
        <f>+VLOOKUP(K286,Datos!$A:$C,2,FALSE)</f>
        <v>PRADERA XELA</v>
      </c>
      <c r="M286" s="10">
        <v>316039</v>
      </c>
      <c r="N286" s="12" t="str">
        <f>+VLOOKUP(M286,Datos!$F:$G,2,FALSE)</f>
        <v>Edgar Francisco Garcia</v>
      </c>
      <c r="O286" s="13">
        <f>IFERROR(IF(A286="SI",VLOOKUP(R286,Datos!$J$1:$K$50,2,FALSE)*C286,VLOOKUP(R286,Datos!$P$1:$T$13,2,FALSE)*C286),0)</f>
        <v>1632</v>
      </c>
      <c r="P286" s="9">
        <v>315174</v>
      </c>
      <c r="Q286" s="12" t="str">
        <f>+VLOOKUP(P286,Datos!$F:$G,2,FALSE)</f>
        <v>Edwin Adolfo Soberanis Mazariegos</v>
      </c>
      <c r="R286" s="9" t="s">
        <v>26</v>
      </c>
      <c r="V286" s="10">
        <f t="shared" si="4"/>
        <v>1</v>
      </c>
      <c r="W286" s="10">
        <f>+VLOOKUP(M286,Datos!$F:$H,3,FALSE)</f>
        <v>0</v>
      </c>
      <c r="X286">
        <v>0</v>
      </c>
      <c r="Y286" s="14"/>
      <c r="Z286" t="e">
        <f>VLOOKUP(M286,'[1]INDIVIDUAL UN'!$C$6:$F$222,4,FALSE)</f>
        <v>#N/A</v>
      </c>
    </row>
    <row r="287" spans="1:26" x14ac:dyDescent="0.35">
      <c r="A287" s="9" t="s">
        <v>25</v>
      </c>
      <c r="B287" s="57"/>
      <c r="C287" s="10">
        <v>1</v>
      </c>
      <c r="D287" s="10" t="s">
        <v>29</v>
      </c>
      <c r="E287" s="10" t="s">
        <v>37</v>
      </c>
      <c r="F287" s="10">
        <v>4669</v>
      </c>
      <c r="G287" s="10" t="s">
        <v>372</v>
      </c>
      <c r="H287" s="11">
        <v>46285</v>
      </c>
      <c r="I287" s="11">
        <v>46285</v>
      </c>
      <c r="J287" s="58" t="str">
        <f>+VLOOKUP(K287,Datos!$A:$C,3,FALSE)</f>
        <v>OCCIDENTE</v>
      </c>
      <c r="K287" s="59">
        <v>55</v>
      </c>
      <c r="L287" s="58" t="str">
        <f>+VLOOKUP(K287,Datos!$A:$C,2,FALSE)</f>
        <v>ZENTROPLAZA</v>
      </c>
      <c r="M287" s="60">
        <v>90040629</v>
      </c>
      <c r="N287" s="58" t="str">
        <f>+VLOOKUP(M287,Datos!$F:$G,2,FALSE)</f>
        <v>FRANCIS JOSUE TOMAS ESCALANTE</v>
      </c>
      <c r="O287" s="61">
        <f>IFERROR(IF(A287="SI",VLOOKUP(R287,Datos!$J$1:$K$50,2,FALSE)*C287,VLOOKUP(R287,Datos!$P$1:$T$13,2,FALSE)*C287),0)</f>
        <v>816</v>
      </c>
      <c r="P287" s="60">
        <v>309191</v>
      </c>
      <c r="Q287" s="58" t="str">
        <f>+VLOOKUP(P287,Datos!$F:$G,2,FALSE)</f>
        <v>Raul Matias Matias</v>
      </c>
      <c r="R287" s="62" t="s">
        <v>26</v>
      </c>
      <c r="S287" s="52"/>
      <c r="V287" s="10">
        <f t="shared" si="4"/>
        <v>1</v>
      </c>
      <c r="W287" s="10">
        <f>+VLOOKUP(M287,Datos!$F:$H,3,FALSE)</f>
        <v>0</v>
      </c>
      <c r="X287">
        <v>0</v>
      </c>
      <c r="Y287" s="14"/>
      <c r="Z287" t="e">
        <f>VLOOKUP(M287,'[1]INDIVIDUAL UN'!$C$6:$F$222,4,FALSE)</f>
        <v>#N/A</v>
      </c>
    </row>
    <row r="288" spans="1:26" x14ac:dyDescent="0.35">
      <c r="A288" s="9" t="s">
        <v>25</v>
      </c>
      <c r="C288" s="10">
        <v>3</v>
      </c>
      <c r="D288" s="10" t="s">
        <v>29</v>
      </c>
      <c r="E288" s="10" t="s">
        <v>41</v>
      </c>
      <c r="F288" s="10">
        <v>710</v>
      </c>
      <c r="G288" s="10" t="s">
        <v>373</v>
      </c>
      <c r="H288" s="11">
        <v>46285</v>
      </c>
      <c r="I288" s="11">
        <v>46285</v>
      </c>
      <c r="J288" s="12" t="str">
        <f>+VLOOKUP(K288,Datos!$A:$C,3,FALSE)</f>
        <v>SUROCCIDENTE</v>
      </c>
      <c r="K288" s="10">
        <v>89</v>
      </c>
      <c r="L288" s="12" t="str">
        <f>+VLOOKUP(K288,Datos!$A:$C,2,FALSE)</f>
        <v>LA TRINIDAD RETALHULEU</v>
      </c>
      <c r="M288" s="10">
        <v>311721</v>
      </c>
      <c r="N288" s="12" t="str">
        <f>+VLOOKUP(M288,Datos!$F:$G,2,FALSE)</f>
        <v>Evelyn Yaneth Aceituno Lara</v>
      </c>
      <c r="O288" s="13">
        <f>IFERROR(IF(A288="SI",VLOOKUP(R288,Datos!$J$1:$K$50,2,FALSE)*C288,VLOOKUP(R288,Datos!$P$1:$T$13,2,FALSE)*C288),0)</f>
        <v>2448</v>
      </c>
      <c r="P288" s="9">
        <v>315416</v>
      </c>
      <c r="Q288" s="12" t="str">
        <f>+VLOOKUP(P288,Datos!$F:$G,2,FALSE)</f>
        <v>Melvin Hermenegildo Yagut Monterroso</v>
      </c>
      <c r="R288" s="9" t="s">
        <v>26</v>
      </c>
      <c r="V288" s="10">
        <f t="shared" si="4"/>
        <v>1</v>
      </c>
      <c r="W288" s="10">
        <f>+VLOOKUP(M288,Datos!$F:$H,3,FALSE)</f>
        <v>0</v>
      </c>
      <c r="X288">
        <v>0</v>
      </c>
      <c r="Y288" s="14"/>
      <c r="Z288" t="e">
        <f>VLOOKUP(M288,'[1]INDIVIDUAL UN'!$C$6:$F$222,4,FALSE)</f>
        <v>#N/A</v>
      </c>
    </row>
    <row r="289" spans="1:26" x14ac:dyDescent="0.35">
      <c r="A289" s="9" t="s">
        <v>25</v>
      </c>
      <c r="C289" s="10">
        <v>4</v>
      </c>
      <c r="D289" s="10" t="s">
        <v>29</v>
      </c>
      <c r="E289" s="10" t="s">
        <v>30</v>
      </c>
      <c r="F289" s="10">
        <v>871</v>
      </c>
      <c r="G289" s="10" t="s">
        <v>374</v>
      </c>
      <c r="H289" s="11">
        <v>46285</v>
      </c>
      <c r="I289" s="11">
        <v>46285</v>
      </c>
      <c r="J289" s="12" t="str">
        <f>+VLOOKUP(K289,Datos!$A:$C,3,FALSE)</f>
        <v>SUROCCIDENTE</v>
      </c>
      <c r="K289" s="10">
        <v>31</v>
      </c>
      <c r="L289" s="12" t="str">
        <f>+VLOOKUP(K289,Datos!$A:$C,2,FALSE)</f>
        <v>COATEPEQUE</v>
      </c>
      <c r="M289" s="10">
        <v>310731</v>
      </c>
      <c r="N289" s="12" t="str">
        <f>+VLOOKUP(M289,Datos!$F:$G,2,FALSE)</f>
        <v>Sofia Etelvina Lopez Perez</v>
      </c>
      <c r="O289" s="13">
        <f>IFERROR(IF(A289="SI",VLOOKUP(R289,Datos!$J$1:$K$50,2,FALSE)*C289,VLOOKUP(R289,Datos!$P$1:$T$13,2,FALSE)*C289),0)</f>
        <v>3264</v>
      </c>
      <c r="P289" s="9">
        <v>306654</v>
      </c>
      <c r="Q289" s="12" t="str">
        <f>+VLOOKUP(P289,Datos!$F:$G,2,FALSE)</f>
        <v>Gerson Arcadio Hernandez Barrios</v>
      </c>
      <c r="R289" s="9" t="s">
        <v>26</v>
      </c>
      <c r="V289" s="10">
        <f t="shared" si="4"/>
        <v>1</v>
      </c>
      <c r="W289" s="10">
        <f>+VLOOKUP(M289,Datos!$F:$H,3,FALSE)</f>
        <v>0</v>
      </c>
      <c r="X289">
        <v>0</v>
      </c>
      <c r="Y289" s="14"/>
      <c r="Z289" t="e">
        <f>VLOOKUP(M289,'[1]INDIVIDUAL UN'!$C$6:$F$222,4,FALSE)</f>
        <v>#N/A</v>
      </c>
    </row>
    <row r="290" spans="1:26" x14ac:dyDescent="0.35">
      <c r="A290" s="9" t="s">
        <v>25</v>
      </c>
      <c r="C290" s="10">
        <v>1</v>
      </c>
      <c r="D290" s="10" t="s">
        <v>29</v>
      </c>
      <c r="E290" s="10" t="s">
        <v>37</v>
      </c>
      <c r="F290" s="10">
        <v>4662</v>
      </c>
      <c r="G290" s="10" t="s">
        <v>375</v>
      </c>
      <c r="H290" s="11">
        <v>46285</v>
      </c>
      <c r="I290" s="11">
        <v>46285</v>
      </c>
      <c r="J290" s="12" t="str">
        <f>+VLOOKUP(K290,Datos!$A:$C,3,FALSE)</f>
        <v>SUROCCIDENTE</v>
      </c>
      <c r="K290" s="10">
        <v>31</v>
      </c>
      <c r="L290" s="12" t="str">
        <f>+VLOOKUP(K290,Datos!$A:$C,2,FALSE)</f>
        <v>COATEPEQUE</v>
      </c>
      <c r="M290" s="10">
        <v>310731</v>
      </c>
      <c r="N290" s="12" t="str">
        <f>+VLOOKUP(M290,Datos!$F:$G,2,FALSE)</f>
        <v>Sofia Etelvina Lopez Perez</v>
      </c>
      <c r="O290" s="13">
        <f>IFERROR(IF(A290="SI",VLOOKUP(R290,Datos!$J$1:$K$50,2,FALSE)*C290,VLOOKUP(R290,Datos!$P$1:$T$13,2,FALSE)*C290),0)</f>
        <v>816</v>
      </c>
      <c r="P290" s="9">
        <v>306654</v>
      </c>
      <c r="Q290" s="12" t="str">
        <f>+VLOOKUP(P290,Datos!$F:$G,2,FALSE)</f>
        <v>Gerson Arcadio Hernandez Barrios</v>
      </c>
      <c r="R290" s="9" t="s">
        <v>26</v>
      </c>
      <c r="V290" s="10">
        <f t="shared" si="4"/>
        <v>1</v>
      </c>
      <c r="W290" s="10">
        <f>+VLOOKUP(M290,Datos!$F:$H,3,FALSE)</f>
        <v>0</v>
      </c>
      <c r="X290">
        <v>0</v>
      </c>
      <c r="Y290" s="14"/>
      <c r="Z290" t="e">
        <f>VLOOKUP(M290,'[1]INDIVIDUAL UN'!$C$6:$F$222,4,FALSE)</f>
        <v>#N/A</v>
      </c>
    </row>
    <row r="291" spans="1:26" x14ac:dyDescent="0.35">
      <c r="A291" s="9" t="s">
        <v>25</v>
      </c>
      <c r="C291" s="10">
        <v>2</v>
      </c>
      <c r="D291" s="10" t="s">
        <v>29</v>
      </c>
      <c r="E291" s="10" t="s">
        <v>305</v>
      </c>
      <c r="F291" s="10">
        <v>156</v>
      </c>
      <c r="G291" s="10" t="s">
        <v>376</v>
      </c>
      <c r="H291" s="11">
        <v>46285</v>
      </c>
      <c r="I291" s="11">
        <v>46285</v>
      </c>
      <c r="J291" s="12" t="str">
        <f>+VLOOKUP(K291,Datos!$A:$C,3,FALSE)</f>
        <v>SUROCCIDENTE</v>
      </c>
      <c r="K291" s="10">
        <v>31</v>
      </c>
      <c r="L291" s="12" t="str">
        <f>+VLOOKUP(K291,Datos!$A:$C,2,FALSE)</f>
        <v>COATEPEQUE</v>
      </c>
      <c r="M291" s="10">
        <v>310731</v>
      </c>
      <c r="N291" s="12" t="str">
        <f>+VLOOKUP(M291,Datos!$F:$G,2,FALSE)</f>
        <v>Sofia Etelvina Lopez Perez</v>
      </c>
      <c r="O291" s="13">
        <f>IFERROR(IF(A291="SI",VLOOKUP(R291,Datos!$J$1:$K$50,2,FALSE)*C291,VLOOKUP(R291,Datos!$P$1:$T$13,2,FALSE)*C291),0)</f>
        <v>2184</v>
      </c>
      <c r="P291" s="9">
        <v>306654</v>
      </c>
      <c r="Q291" s="12" t="str">
        <f>+VLOOKUP(P291,Datos!$F:$G,2,FALSE)</f>
        <v>Gerson Arcadio Hernandez Barrios</v>
      </c>
      <c r="R291" s="9" t="s">
        <v>57</v>
      </c>
      <c r="V291" s="10">
        <f t="shared" si="4"/>
        <v>1</v>
      </c>
      <c r="W291" s="10">
        <f>+VLOOKUP(M291,Datos!$F:$H,3,FALSE)</f>
        <v>0</v>
      </c>
      <c r="X291">
        <v>0</v>
      </c>
      <c r="Y291" s="14"/>
      <c r="Z291" t="e">
        <f>VLOOKUP(M291,'[1]INDIVIDUAL UN'!$C$6:$F$222,4,FALSE)</f>
        <v>#N/A</v>
      </c>
    </row>
    <row r="292" spans="1:26" x14ac:dyDescent="0.35">
      <c r="A292" s="9" t="s">
        <v>25</v>
      </c>
      <c r="C292" s="10">
        <v>1</v>
      </c>
      <c r="D292" s="10" t="s">
        <v>29</v>
      </c>
      <c r="E292" s="10" t="s">
        <v>37</v>
      </c>
      <c r="F292" s="10">
        <v>4667</v>
      </c>
      <c r="G292" s="10" t="s">
        <v>377</v>
      </c>
      <c r="H292" s="11">
        <v>46285</v>
      </c>
      <c r="I292" s="11">
        <v>46285</v>
      </c>
      <c r="J292" s="12" t="str">
        <f>+VLOOKUP(K292,Datos!$A:$C,3,FALSE)</f>
        <v>SUROCCIDENTE</v>
      </c>
      <c r="K292" s="10">
        <v>31</v>
      </c>
      <c r="L292" s="12" t="str">
        <f>+VLOOKUP(K292,Datos!$A:$C,2,FALSE)</f>
        <v>COATEPEQUE</v>
      </c>
      <c r="M292" s="10">
        <v>310731</v>
      </c>
      <c r="N292" s="12" t="str">
        <f>+VLOOKUP(M292,Datos!$F:$G,2,FALSE)</f>
        <v>Sofia Etelvina Lopez Perez</v>
      </c>
      <c r="O292" s="13">
        <f>IFERROR(IF(A292="SI",VLOOKUP(R292,Datos!$J$1:$K$50,2,FALSE)*C292,VLOOKUP(R292,Datos!$P$1:$T$13,2,FALSE)*C292),0)</f>
        <v>816</v>
      </c>
      <c r="P292" s="9">
        <v>306654</v>
      </c>
      <c r="Q292" s="12" t="str">
        <f>+VLOOKUP(P292,Datos!$F:$G,2,FALSE)</f>
        <v>Gerson Arcadio Hernandez Barrios</v>
      </c>
      <c r="R292" s="9" t="s">
        <v>26</v>
      </c>
      <c r="V292" s="10">
        <f t="shared" si="4"/>
        <v>1</v>
      </c>
      <c r="W292" s="10">
        <f>+VLOOKUP(M292,Datos!$F:$H,3,FALSE)</f>
        <v>0</v>
      </c>
      <c r="X292">
        <v>0</v>
      </c>
      <c r="Y292" s="14"/>
      <c r="Z292" t="e">
        <f>VLOOKUP(M292,'[1]INDIVIDUAL UN'!$C$6:$F$222,4,FALSE)</f>
        <v>#N/A</v>
      </c>
    </row>
    <row r="293" spans="1:26" x14ac:dyDescent="0.35">
      <c r="A293" s="9" t="s">
        <v>25</v>
      </c>
      <c r="C293" s="10">
        <v>1</v>
      </c>
      <c r="D293" s="10" t="s">
        <v>29</v>
      </c>
      <c r="E293" s="10" t="s">
        <v>37</v>
      </c>
      <c r="F293" s="10">
        <v>4666</v>
      </c>
      <c r="G293" s="10" t="s">
        <v>378</v>
      </c>
      <c r="H293" s="11">
        <v>46285</v>
      </c>
      <c r="I293" s="11">
        <v>46285</v>
      </c>
      <c r="J293" s="12" t="str">
        <f>+VLOOKUP(K293,Datos!$A:$C,3,FALSE)</f>
        <v>OCCIDENTE</v>
      </c>
      <c r="K293" s="10">
        <v>126</v>
      </c>
      <c r="L293" s="12" t="str">
        <f>+VLOOKUP(K293,Datos!$A:$C,2,FALSE)</f>
        <v>CHICHICASTENANGO</v>
      </c>
      <c r="M293" s="10">
        <v>314956</v>
      </c>
      <c r="N293" s="12" t="str">
        <f>+VLOOKUP(M293,Datos!$F:$G,2,FALSE)</f>
        <v>Sebastian Geovanny Calel Ixtuc</v>
      </c>
      <c r="O293" s="13">
        <f>IFERROR(IF(A293="SI",VLOOKUP(R293,Datos!$J$1:$K$50,2,FALSE)*C293,VLOOKUP(R293,Datos!$P$1:$T$13,2,FALSE)*C293),0)</f>
        <v>1368</v>
      </c>
      <c r="P293" s="9">
        <v>306497</v>
      </c>
      <c r="Q293" s="12" t="str">
        <f>+VLOOKUP(P293,Datos!$F:$G,2,FALSE)</f>
        <v>Erika Ixtan Canil</v>
      </c>
      <c r="R293" s="9" t="s">
        <v>48</v>
      </c>
      <c r="V293" s="10">
        <f t="shared" si="4"/>
        <v>1</v>
      </c>
      <c r="W293" s="10">
        <f>+VLOOKUP(M293,Datos!$F:$H,3,FALSE)</f>
        <v>0</v>
      </c>
      <c r="X293">
        <v>0</v>
      </c>
      <c r="Y293" s="14"/>
      <c r="Z293" t="e">
        <f>VLOOKUP(M293,'[1]INDIVIDUAL UN'!$C$6:$F$222,4,FALSE)</f>
        <v>#N/A</v>
      </c>
    </row>
    <row r="294" spans="1:26" x14ac:dyDescent="0.35">
      <c r="A294" s="9" t="s">
        <v>25</v>
      </c>
      <c r="C294" s="10">
        <v>1</v>
      </c>
      <c r="D294" s="10" t="s">
        <v>29</v>
      </c>
      <c r="E294" s="10" t="s">
        <v>37</v>
      </c>
      <c r="F294" s="10">
        <v>4664</v>
      </c>
      <c r="G294" s="10" t="s">
        <v>379</v>
      </c>
      <c r="H294" s="11">
        <v>46285</v>
      </c>
      <c r="I294" s="11">
        <v>46285</v>
      </c>
      <c r="J294" s="12" t="str">
        <f>+VLOOKUP(K294,Datos!$A:$C,3,FALSE)</f>
        <v>OCCIDENTE</v>
      </c>
      <c r="K294" s="10">
        <v>126</v>
      </c>
      <c r="L294" s="12" t="str">
        <f>+VLOOKUP(K294,Datos!$A:$C,2,FALSE)</f>
        <v>CHICHICASTENANGO</v>
      </c>
      <c r="M294" s="10">
        <v>310610</v>
      </c>
      <c r="N294" s="12" t="str">
        <f>+VLOOKUP(M294,Datos!$F:$G,2,FALSE)</f>
        <v>Ricky Edson Lux Cassia</v>
      </c>
      <c r="O294" s="13">
        <f>IFERROR(IF(A294="SI",VLOOKUP(R294,Datos!$J$1:$K$50,2,FALSE)*C294,VLOOKUP(R294,Datos!$P$1:$T$13,2,FALSE)*C294),0)</f>
        <v>816</v>
      </c>
      <c r="P294" s="10">
        <v>303674</v>
      </c>
      <c r="Q294" s="12" t="str">
        <f>+VLOOKUP(P294,Datos!$F:$G,2,FALSE)</f>
        <v>Imelda Elizabeth Castro Rodas</v>
      </c>
      <c r="R294" s="9" t="s">
        <v>26</v>
      </c>
      <c r="V294" s="10">
        <f t="shared" si="4"/>
        <v>1</v>
      </c>
      <c r="W294" s="10">
        <f>+VLOOKUP(M294,Datos!$F:$H,3,FALSE)</f>
        <v>0</v>
      </c>
      <c r="X294">
        <v>0</v>
      </c>
      <c r="Y294" s="14"/>
      <c r="Z294" t="e">
        <f>VLOOKUP(M294,'[1]INDIVIDUAL UN'!$C$6:$F$222,4,FALSE)</f>
        <v>#N/A</v>
      </c>
    </row>
    <row r="295" spans="1:26" x14ac:dyDescent="0.35">
      <c r="A295" s="9" t="s">
        <v>25</v>
      </c>
      <c r="D295" s="10"/>
      <c r="J295" s="12" t="e">
        <f>+VLOOKUP(K295,Datos!$A:$C,3,FALSE)</f>
        <v>#N/A</v>
      </c>
      <c r="L295" s="12" t="e">
        <f>+VLOOKUP(K295,Datos!$A:$C,2,FALSE)</f>
        <v>#N/A</v>
      </c>
      <c r="N295" s="12" t="e">
        <f>+VLOOKUP(M295,Datos!$F:$G,2,FALSE)</f>
        <v>#N/A</v>
      </c>
      <c r="O295" s="13">
        <f>IFERROR(IF(A295="SI",VLOOKUP(R295,Datos!$J$1:$K$50,2,FALSE)*C295,VLOOKUP(R295,Datos!$P$1:$T$13,2,FALSE)*C295),0)</f>
        <v>0</v>
      </c>
      <c r="P295" s="9"/>
      <c r="Q295" s="12" t="e">
        <f>+VLOOKUP(P295,Datos!$F:$G,2,FALSE)</f>
        <v>#N/A</v>
      </c>
      <c r="V295" s="10">
        <f t="shared" si="4"/>
        <v>0</v>
      </c>
      <c r="W295" s="10" t="e">
        <f>+VLOOKUP(M295,Datos!$F:$H,3,FALSE)</f>
        <v>#N/A</v>
      </c>
      <c r="X295">
        <v>0</v>
      </c>
      <c r="Y295" s="14"/>
      <c r="Z295" t="e">
        <f>VLOOKUP(M295,'[1]INDIVIDUAL UN'!$C$6:$F$222,4,FALSE)</f>
        <v>#N/A</v>
      </c>
    </row>
    <row r="296" spans="1:26" x14ac:dyDescent="0.35">
      <c r="A296" s="9" t="s">
        <v>25</v>
      </c>
      <c r="C296" s="10"/>
      <c r="D296" s="10"/>
      <c r="E296" s="10"/>
      <c r="F296" s="10"/>
      <c r="G296" s="10"/>
      <c r="H296" s="11"/>
      <c r="I296" s="11"/>
      <c r="J296" s="12" t="e">
        <f>+VLOOKUP(K296,Datos!$A:$C,3,FALSE)</f>
        <v>#N/A</v>
      </c>
      <c r="K296" s="10"/>
      <c r="L296" s="12" t="e">
        <f>+VLOOKUP(K296,Datos!$A:$C,2,FALSE)</f>
        <v>#N/A</v>
      </c>
      <c r="M296" s="10"/>
      <c r="N296" s="12" t="e">
        <f>+VLOOKUP(M296,Datos!$F:$G,2,FALSE)</f>
        <v>#N/A</v>
      </c>
      <c r="O296" s="13">
        <f>IFERROR(IF(A296="SI",VLOOKUP(R296,Datos!$J$1:$K$50,2,FALSE)*C296,VLOOKUP(R296,Datos!$P$1:$T$13,2,FALSE)*C296),0)</f>
        <v>0</v>
      </c>
      <c r="P296" s="10"/>
      <c r="Q296" s="12" t="e">
        <f>+VLOOKUP(P296,Datos!$F:$G,2,FALSE)</f>
        <v>#N/A</v>
      </c>
      <c r="V296" s="10">
        <f t="shared" si="4"/>
        <v>0</v>
      </c>
      <c r="W296" s="10" t="e">
        <f>+VLOOKUP(M296,Datos!$F:$H,3,FALSE)</f>
        <v>#N/A</v>
      </c>
      <c r="X296">
        <v>0</v>
      </c>
      <c r="Y296" s="14"/>
      <c r="Z296" t="e">
        <f>VLOOKUP(M296,'[1]INDIVIDUAL UN'!$C$6:$F$222,4,FALSE)</f>
        <v>#N/A</v>
      </c>
    </row>
    <row r="297" spans="1:26" s="10" customFormat="1" x14ac:dyDescent="0.35">
      <c r="A297" s="9" t="s">
        <v>25</v>
      </c>
      <c r="B297" s="9"/>
      <c r="H297" s="11"/>
      <c r="I297" s="11"/>
      <c r="J297" s="12" t="e">
        <f>+VLOOKUP(K297,Datos!$A:$C,3,FALSE)</f>
        <v>#N/A</v>
      </c>
      <c r="L297" s="12" t="e">
        <f>+VLOOKUP(K297,Datos!$A:$C,2,FALSE)</f>
        <v>#N/A</v>
      </c>
      <c r="N297" s="12" t="e">
        <f>+VLOOKUP(M297,Datos!$F:$G,2,FALSE)</f>
        <v>#N/A</v>
      </c>
      <c r="O297" s="13">
        <f>IFERROR(IF(A297="SI",VLOOKUP(R297,Datos!$J$1:$K$50,2,FALSE)*C297,VLOOKUP(R297,Datos!$P$1:$T$13,2,FALSE)*C297),0)</f>
        <v>0</v>
      </c>
      <c r="P297" s="9"/>
      <c r="Q297" s="12" t="e">
        <f>+VLOOKUP(P297,Datos!$F:$G,2,FALSE)</f>
        <v>#N/A</v>
      </c>
      <c r="R297" s="9"/>
      <c r="V297" s="10">
        <f t="shared" si="4"/>
        <v>0</v>
      </c>
      <c r="W297" s="10" t="e">
        <f>+VLOOKUP(M297,Datos!$F:$H,3,FALSE)</f>
        <v>#N/A</v>
      </c>
      <c r="X297">
        <v>0</v>
      </c>
      <c r="Y297" s="20"/>
      <c r="Z297" s="10" t="e">
        <f>VLOOKUP(M297,'[1]INDIVIDUAL UN'!$C$6:$F$222,4,FALSE)</f>
        <v>#N/A</v>
      </c>
    </row>
    <row r="298" spans="1:26" s="10" customFormat="1" x14ac:dyDescent="0.35">
      <c r="A298" s="9" t="s">
        <v>25</v>
      </c>
      <c r="B298" s="9"/>
      <c r="H298" s="11"/>
      <c r="I298" s="11"/>
      <c r="J298" s="12" t="e">
        <f>+VLOOKUP(K298,Datos!$A:$C,3,FALSE)</f>
        <v>#N/A</v>
      </c>
      <c r="L298" s="12" t="e">
        <f>+VLOOKUP(K298,Datos!$A:$C,2,FALSE)</f>
        <v>#N/A</v>
      </c>
      <c r="N298" s="12" t="e">
        <f>+VLOOKUP(M298,Datos!$F:$G,2,FALSE)</f>
        <v>#N/A</v>
      </c>
      <c r="O298" s="13">
        <f>IFERROR(IF(A298="SI",VLOOKUP(R298,Datos!$J$1:$K$50,2,FALSE)*C298,VLOOKUP(R298,Datos!$P$1:$T$13,2,FALSE)*C298),0)</f>
        <v>0</v>
      </c>
      <c r="P298" s="9"/>
      <c r="Q298" s="12" t="e">
        <f>+VLOOKUP(P298,Datos!$F:$G,2,FALSE)</f>
        <v>#N/A</v>
      </c>
      <c r="R298" s="9"/>
      <c r="V298" s="10">
        <f t="shared" si="4"/>
        <v>0</v>
      </c>
      <c r="W298" s="10" t="e">
        <f>+VLOOKUP(M298,Datos!$F:$H,3,FALSE)</f>
        <v>#N/A</v>
      </c>
      <c r="X298">
        <v>0</v>
      </c>
      <c r="Y298" s="20"/>
      <c r="Z298" s="10" t="e">
        <f>VLOOKUP(M298,'[1]INDIVIDUAL UN'!$C$6:$F$222,4,FALSE)</f>
        <v>#N/A</v>
      </c>
    </row>
    <row r="299" spans="1:26" s="10" customFormat="1" x14ac:dyDescent="0.35">
      <c r="A299" s="9" t="s">
        <v>25</v>
      </c>
      <c r="B299" s="9"/>
      <c r="C299" s="9"/>
      <c r="G299" s="64"/>
      <c r="H299" s="63"/>
      <c r="I299" s="63"/>
      <c r="J299" s="12" t="e">
        <f>+VLOOKUP(K299,Datos!$A:$C,3,FALSE)</f>
        <v>#N/A</v>
      </c>
      <c r="K299" s="9"/>
      <c r="L299" s="12" t="e">
        <f>+VLOOKUP(K299,Datos!$A:$C,2,FALSE)</f>
        <v>#N/A</v>
      </c>
      <c r="M299" s="9"/>
      <c r="N299" s="12" t="e">
        <f>+VLOOKUP(M299,Datos!$F:$G,2,FALSE)</f>
        <v>#N/A</v>
      </c>
      <c r="O299" s="13">
        <f>IFERROR(IF(A299="SI",VLOOKUP(R299,Datos!$J$1:$K$50,2,FALSE)*C299,VLOOKUP(R299,Datos!$P$1:$T$13,2,FALSE)*C299),0)</f>
        <v>0</v>
      </c>
      <c r="P299" s="9"/>
      <c r="Q299" s="12" t="e">
        <f>+VLOOKUP(P299,Datos!$F:$G,2,FALSE)</f>
        <v>#N/A</v>
      </c>
      <c r="R299" s="9"/>
      <c r="V299" s="10">
        <f t="shared" si="4"/>
        <v>0</v>
      </c>
      <c r="W299" s="10" t="e">
        <f>+VLOOKUP(M299,Datos!$F:$H,3,FALSE)</f>
        <v>#N/A</v>
      </c>
      <c r="X299">
        <v>0</v>
      </c>
      <c r="Y299" s="20"/>
      <c r="Z299" s="10" t="e">
        <f>VLOOKUP(M299,'[1]INDIVIDUAL UN'!$C$6:$F$222,4,FALSE)</f>
        <v>#N/A</v>
      </c>
    </row>
    <row r="300" spans="1:26" s="10" customFormat="1" x14ac:dyDescent="0.35">
      <c r="A300" s="9" t="s">
        <v>25</v>
      </c>
      <c r="B300" s="9"/>
      <c r="C300" s="16"/>
      <c r="E300" s="16"/>
      <c r="F300" s="16"/>
      <c r="G300" s="16"/>
      <c r="H300" s="42"/>
      <c r="I300" s="42"/>
      <c r="J300" s="12" t="e">
        <f>+VLOOKUP(K300,Datos!$A:$C,3,FALSE)</f>
        <v>#N/A</v>
      </c>
      <c r="K300" s="16"/>
      <c r="L300" s="12" t="e">
        <f>+VLOOKUP(K300,Datos!$A:$C,2,FALSE)</f>
        <v>#N/A</v>
      </c>
      <c r="M300" s="16"/>
      <c r="N300" s="12" t="e">
        <f>+VLOOKUP(M300,Datos!$F:$G,2,FALSE)</f>
        <v>#N/A</v>
      </c>
      <c r="O300" s="13">
        <f>IFERROR(IF(A300="SI",VLOOKUP(R300,Datos!$J$1:$K$50,2,FALSE)*C300,VLOOKUP(R300,Datos!$P$1:$T$13,2,FALSE)*C300),0)</f>
        <v>0</v>
      </c>
      <c r="P300" s="16"/>
      <c r="Q300" s="12" t="e">
        <f>+VLOOKUP(P300,Datos!$F:$G,2,FALSE)</f>
        <v>#N/A</v>
      </c>
      <c r="R300" s="9"/>
      <c r="V300" s="10">
        <f t="shared" si="4"/>
        <v>0</v>
      </c>
      <c r="W300" s="10" t="e">
        <f>+VLOOKUP(M300,Datos!$F:$H,3,FALSE)</f>
        <v>#N/A</v>
      </c>
      <c r="X300">
        <v>0</v>
      </c>
      <c r="Y300" s="20"/>
      <c r="Z300" s="10" t="e">
        <f>VLOOKUP(M300,'[1]INDIVIDUAL UN'!$C$6:$F$222,4,FALSE)</f>
        <v>#N/A</v>
      </c>
    </row>
    <row r="301" spans="1:26" s="10" customFormat="1" x14ac:dyDescent="0.35">
      <c r="A301" s="9" t="s">
        <v>25</v>
      </c>
      <c r="B301" s="9"/>
      <c r="C301" s="16"/>
      <c r="E301" s="16"/>
      <c r="F301" s="16"/>
      <c r="G301" s="16"/>
      <c r="H301" s="42"/>
      <c r="I301" s="42"/>
      <c r="J301" s="12" t="e">
        <f>+VLOOKUP(K301,Datos!$A:$C,3,FALSE)</f>
        <v>#N/A</v>
      </c>
      <c r="K301" s="16"/>
      <c r="L301" s="12" t="e">
        <f>+VLOOKUP(K301,Datos!$A:$C,2,FALSE)</f>
        <v>#N/A</v>
      </c>
      <c r="M301" s="16"/>
      <c r="N301" s="12" t="e">
        <f>+VLOOKUP(M301,Datos!$F:$G,2,FALSE)</f>
        <v>#N/A</v>
      </c>
      <c r="O301" s="13">
        <f>IFERROR(IF(A301="SI",VLOOKUP(R301,Datos!$J$1:$K$50,2,FALSE)*C301,VLOOKUP(R301,Datos!$P$1:$T$13,2,FALSE)*C301),0)</f>
        <v>0</v>
      </c>
      <c r="P301" s="16"/>
      <c r="Q301" s="12" t="e">
        <f>+VLOOKUP(P301,Datos!$F:$G,2,FALSE)</f>
        <v>#N/A</v>
      </c>
      <c r="R301" s="9"/>
      <c r="V301" s="10">
        <f t="shared" si="4"/>
        <v>0</v>
      </c>
      <c r="W301" s="10" t="e">
        <f>+VLOOKUP(M301,Datos!$F:$H,3,FALSE)</f>
        <v>#N/A</v>
      </c>
      <c r="X301">
        <v>0</v>
      </c>
      <c r="Y301" s="20"/>
      <c r="Z301" s="10" t="e">
        <f>VLOOKUP(M301,'[1]INDIVIDUAL UN'!$C$6:$F$222,4,FALSE)</f>
        <v>#N/A</v>
      </c>
    </row>
    <row r="302" spans="1:26" x14ac:dyDescent="0.35">
      <c r="A302" s="9" t="s">
        <v>25</v>
      </c>
      <c r="C302" s="10"/>
      <c r="D302" s="10"/>
      <c r="E302" s="10"/>
      <c r="F302" s="10"/>
      <c r="G302" s="10"/>
      <c r="H302" s="11"/>
      <c r="I302" s="11"/>
      <c r="J302" s="12" t="e">
        <f>+VLOOKUP(K302,Datos!$A:$C,3,FALSE)</f>
        <v>#N/A</v>
      </c>
      <c r="K302" s="10"/>
      <c r="L302" s="12" t="e">
        <f>+VLOOKUP(K302,Datos!$A:$C,2,FALSE)</f>
        <v>#N/A</v>
      </c>
      <c r="M302" s="10"/>
      <c r="N302" s="12" t="e">
        <f>+VLOOKUP(M302,Datos!$F:$G,2,FALSE)</f>
        <v>#N/A</v>
      </c>
      <c r="O302" s="13">
        <f>IFERROR(IF(A302="SI",VLOOKUP(R302,Datos!$J$1:$K$50,2,FALSE)*C302,VLOOKUP(R302,Datos!$P$1:$T$13,2,FALSE)*C302),0)</f>
        <v>0</v>
      </c>
      <c r="P302" s="10"/>
      <c r="Q302" s="12" t="e">
        <f>+VLOOKUP(P302,Datos!$F:$G,2,FALSE)</f>
        <v>#N/A</v>
      </c>
      <c r="V302" s="10">
        <f t="shared" si="4"/>
        <v>0</v>
      </c>
      <c r="W302" s="10" t="e">
        <f>+VLOOKUP(P302,Datos!$F:$H,3,FALSE)</f>
        <v>#N/A</v>
      </c>
      <c r="X302">
        <v>0</v>
      </c>
      <c r="Y302" s="14"/>
      <c r="Z302" t="e">
        <f>VLOOKUP(P302,'[1]INDIVIDUAL UN'!$C$6:$F$222,4,FALSE)</f>
        <v>#N/A</v>
      </c>
    </row>
    <row r="303" spans="1:26" x14ac:dyDescent="0.35">
      <c r="A303" s="9" t="s">
        <v>25</v>
      </c>
      <c r="C303" s="10"/>
      <c r="D303" s="10"/>
      <c r="E303" s="10"/>
      <c r="F303" s="10"/>
      <c r="G303" s="10"/>
      <c r="H303" s="11"/>
      <c r="I303" s="11"/>
      <c r="J303" s="12" t="e">
        <f>+VLOOKUP(K303,Datos!$A:$C,3,FALSE)</f>
        <v>#N/A</v>
      </c>
      <c r="K303" s="10"/>
      <c r="L303" s="12" t="e">
        <f>+VLOOKUP(K303,Datos!$A:$C,2,FALSE)</f>
        <v>#N/A</v>
      </c>
      <c r="M303" s="10"/>
      <c r="N303" s="12" t="e">
        <f>+VLOOKUP(M303,Datos!$F:$G,2,FALSE)</f>
        <v>#N/A</v>
      </c>
      <c r="O303" s="13">
        <f>IFERROR(IF(A303="SI",VLOOKUP(R303,Datos!$J$1:$K$50,2,FALSE)*C303,VLOOKUP(R303,Datos!$P$1:$T$13,2,FALSE)*C303),0)</f>
        <v>0</v>
      </c>
      <c r="P303" s="10"/>
      <c r="Q303" s="12" t="e">
        <f>+VLOOKUP(P303,Datos!$F:$G,2,FALSE)</f>
        <v>#N/A</v>
      </c>
      <c r="V303" s="10">
        <f t="shared" si="4"/>
        <v>0</v>
      </c>
      <c r="W303" s="10" t="e">
        <f>+VLOOKUP(M303,Datos!$F:$H,3,FALSE)</f>
        <v>#N/A</v>
      </c>
      <c r="X303">
        <v>0</v>
      </c>
      <c r="Y303" s="14"/>
      <c r="Z303" t="e">
        <f>VLOOKUP(M303,'[1]INDIVIDUAL UN'!$C$6:$F$222,4,FALSE)</f>
        <v>#N/A</v>
      </c>
    </row>
    <row r="304" spans="1:26" x14ac:dyDescent="0.35">
      <c r="A304" s="9" t="s">
        <v>25</v>
      </c>
      <c r="C304" s="10"/>
      <c r="D304" s="10"/>
      <c r="E304" s="10"/>
      <c r="F304" s="10"/>
      <c r="G304" s="10"/>
      <c r="H304" s="11"/>
      <c r="I304" s="11"/>
      <c r="J304" s="12" t="e">
        <f>+VLOOKUP(K304,Datos!$A:$C,3,FALSE)</f>
        <v>#N/A</v>
      </c>
      <c r="K304" s="10"/>
      <c r="L304" s="12" t="e">
        <f>+VLOOKUP(K304,Datos!$A:$C,2,FALSE)</f>
        <v>#N/A</v>
      </c>
      <c r="M304" s="10"/>
      <c r="N304" s="12" t="e">
        <f>+VLOOKUP(M304,Datos!$F:$G,2,FALSE)</f>
        <v>#N/A</v>
      </c>
      <c r="O304" s="13">
        <f>IFERROR(IF(A304="SI",VLOOKUP(R304,Datos!$J$1:$K$50,2,FALSE)*C304,VLOOKUP(R304,Datos!$P$1:$T$13,2,FALSE)*C304),0)</f>
        <v>0</v>
      </c>
      <c r="P304" s="9"/>
      <c r="Q304" s="12" t="e">
        <f>+VLOOKUP(P304,Datos!$F:$G,2,FALSE)</f>
        <v>#N/A</v>
      </c>
      <c r="V304" s="10">
        <f t="shared" si="4"/>
        <v>0</v>
      </c>
      <c r="W304" s="10" t="e">
        <f>+VLOOKUP(M304,Datos!$F:$H,3,FALSE)</f>
        <v>#N/A</v>
      </c>
      <c r="X304">
        <v>0</v>
      </c>
      <c r="Y304" s="14"/>
      <c r="Z304" t="e">
        <f>VLOOKUP(M304,'[1]INDIVIDUAL UN'!$C$6:$F$222,4,FALSE)</f>
        <v>#N/A</v>
      </c>
    </row>
    <row r="305" spans="1:26" x14ac:dyDescent="0.35">
      <c r="A305" s="9" t="s">
        <v>25</v>
      </c>
      <c r="C305" s="10"/>
      <c r="D305" s="10"/>
      <c r="E305" s="10"/>
      <c r="F305" s="10"/>
      <c r="G305" s="65"/>
      <c r="H305" s="11"/>
      <c r="I305" s="11"/>
      <c r="J305" s="12" t="e">
        <f>+VLOOKUP(K305,Datos!$A:$C,3,FALSE)</f>
        <v>#N/A</v>
      </c>
      <c r="K305" s="10"/>
      <c r="L305" s="12" t="e">
        <f>+VLOOKUP(K305,Datos!$A:$C,2,FALSE)</f>
        <v>#N/A</v>
      </c>
      <c r="M305" s="10"/>
      <c r="N305" s="12" t="e">
        <f>+VLOOKUP(M305,Datos!$F:$G,2,FALSE)</f>
        <v>#N/A</v>
      </c>
      <c r="O305" s="13">
        <f>IFERROR(IF(A305="SI",VLOOKUP(R305,Datos!$J$1:$K$50,2,FALSE)*C305,VLOOKUP(R305,Datos!$P$1:$T$13,2,FALSE)*C305),0)</f>
        <v>0</v>
      </c>
      <c r="P305" s="9"/>
      <c r="Q305" s="12" t="e">
        <f>+VLOOKUP(P305,Datos!$F:$G,2,FALSE)</f>
        <v>#N/A</v>
      </c>
      <c r="V305" s="10">
        <f t="shared" si="4"/>
        <v>0</v>
      </c>
      <c r="W305" s="10" t="e">
        <f>+VLOOKUP(M305,Datos!$F:$H,3,FALSE)</f>
        <v>#N/A</v>
      </c>
      <c r="X305">
        <v>0</v>
      </c>
      <c r="Y305" s="14"/>
      <c r="Z305" t="e">
        <f>VLOOKUP(M305,'[1]INDIVIDUAL UN'!$C$6:$F$222,4,FALSE)</f>
        <v>#N/A</v>
      </c>
    </row>
    <row r="306" spans="1:26" x14ac:dyDescent="0.35">
      <c r="A306" s="9" t="s">
        <v>25</v>
      </c>
      <c r="C306" s="10"/>
      <c r="D306" s="10"/>
      <c r="E306" s="10"/>
      <c r="F306" s="10"/>
      <c r="G306" s="10"/>
      <c r="H306" s="11"/>
      <c r="I306" s="11"/>
      <c r="J306" s="12" t="e">
        <f>+VLOOKUP(K306,Datos!$A:$C,3,FALSE)</f>
        <v>#N/A</v>
      </c>
      <c r="K306" s="10"/>
      <c r="L306" s="12" t="e">
        <f>+VLOOKUP(K306,Datos!$A:$C,2,FALSE)</f>
        <v>#N/A</v>
      </c>
      <c r="M306" s="10"/>
      <c r="N306" s="12" t="e">
        <f>+VLOOKUP(M306,Datos!$F:$G,2,FALSE)</f>
        <v>#N/A</v>
      </c>
      <c r="O306" s="13">
        <f>IFERROR(IF(A306="SI",VLOOKUP(R306,Datos!$J$1:$K$50,2,FALSE)*C306,VLOOKUP(R306,Datos!$P$1:$T$13,2,FALSE)*C306),0)</f>
        <v>0</v>
      </c>
      <c r="P306" s="9"/>
      <c r="Q306" s="12" t="e">
        <f>+VLOOKUP(P306,Datos!$F:$G,2,FALSE)</f>
        <v>#N/A</v>
      </c>
      <c r="V306" s="10">
        <f t="shared" si="4"/>
        <v>0</v>
      </c>
      <c r="W306" s="10" t="e">
        <f>+VLOOKUP(M306,Datos!$F:$H,3,FALSE)</f>
        <v>#N/A</v>
      </c>
      <c r="X306">
        <v>0</v>
      </c>
      <c r="Y306" s="14"/>
      <c r="Z306" t="e">
        <f>VLOOKUP(M306,'[1]INDIVIDUAL UN'!$C$6:$F$222,4,FALSE)</f>
        <v>#N/A</v>
      </c>
    </row>
    <row r="307" spans="1:26" x14ac:dyDescent="0.35">
      <c r="A307" s="9" t="s">
        <v>25</v>
      </c>
      <c r="C307" s="10"/>
      <c r="D307" s="10"/>
      <c r="E307" s="10"/>
      <c r="F307" s="10"/>
      <c r="G307" s="10"/>
      <c r="H307" s="11"/>
      <c r="I307" s="11"/>
      <c r="J307" s="12" t="e">
        <f>+VLOOKUP(K307,Datos!$A:$C,3,FALSE)</f>
        <v>#N/A</v>
      </c>
      <c r="K307" s="10"/>
      <c r="L307" s="12" t="e">
        <f>+VLOOKUP(K307,Datos!$A:$C,2,FALSE)</f>
        <v>#N/A</v>
      </c>
      <c r="M307" s="10"/>
      <c r="N307" s="12" t="e">
        <f>+VLOOKUP(M307,Datos!$F:$G,2,FALSE)</f>
        <v>#N/A</v>
      </c>
      <c r="O307" s="13">
        <f>IFERROR(IF(A307="SI",VLOOKUP(R307,Datos!$J$1:$K$50,2,FALSE)*C307,VLOOKUP(R307,Datos!$P$1:$T$13,2,FALSE)*C307),0)</f>
        <v>0</v>
      </c>
      <c r="P307" s="9"/>
      <c r="Q307" s="12" t="e">
        <f>+VLOOKUP(P307,Datos!$F:$G,2,FALSE)</f>
        <v>#N/A</v>
      </c>
      <c r="V307" s="10">
        <f t="shared" si="4"/>
        <v>0</v>
      </c>
      <c r="W307" s="10" t="e">
        <f>+VLOOKUP(M307,Datos!$F:$H,3,FALSE)</f>
        <v>#N/A</v>
      </c>
      <c r="X307">
        <v>0</v>
      </c>
      <c r="Y307" s="14"/>
      <c r="Z307" t="e">
        <f>VLOOKUP(M307,'[1]INDIVIDUAL UN'!$C$6:$F$222,4,FALSE)</f>
        <v>#N/A</v>
      </c>
    </row>
    <row r="308" spans="1:26" x14ac:dyDescent="0.35">
      <c r="A308" s="9" t="s">
        <v>25</v>
      </c>
      <c r="C308" s="10"/>
      <c r="D308" s="10"/>
      <c r="E308" s="10"/>
      <c r="F308" s="10"/>
      <c r="G308" s="10"/>
      <c r="H308" s="11"/>
      <c r="I308" s="11"/>
      <c r="J308" s="12" t="e">
        <f>+VLOOKUP(K308,Datos!$A:$C,3,FALSE)</f>
        <v>#N/A</v>
      </c>
      <c r="K308" s="10"/>
      <c r="L308" s="12" t="e">
        <f>+VLOOKUP(K308,Datos!$A:$C,2,FALSE)</f>
        <v>#N/A</v>
      </c>
      <c r="M308" s="10"/>
      <c r="N308" s="12" t="e">
        <f>+VLOOKUP(M308,Datos!$F:$G,2,FALSE)</f>
        <v>#N/A</v>
      </c>
      <c r="O308" s="13">
        <f>IFERROR(IF(A308="SI",VLOOKUP(R308,Datos!$J$1:$K$50,2,FALSE)*C308,VLOOKUP(R308,Datos!$P$1:$T$13,2,FALSE)*C308),0)</f>
        <v>0</v>
      </c>
      <c r="P308" s="10"/>
      <c r="Q308" s="12" t="e">
        <f>+VLOOKUP(P308,Datos!$F:$G,2,FALSE)</f>
        <v>#N/A</v>
      </c>
      <c r="V308" s="10">
        <f t="shared" si="4"/>
        <v>0</v>
      </c>
      <c r="W308" s="10" t="e">
        <f>+VLOOKUP(M308,Datos!$F:$H,3,FALSE)</f>
        <v>#N/A</v>
      </c>
      <c r="X308">
        <v>0</v>
      </c>
      <c r="Y308" s="14"/>
      <c r="Z308" t="e">
        <f>VLOOKUP(M308,'[1]INDIVIDUAL UN'!$C$6:$F$222,4,FALSE)</f>
        <v>#N/A</v>
      </c>
    </row>
    <row r="309" spans="1:26" x14ac:dyDescent="0.35">
      <c r="A309" s="9" t="s">
        <v>25</v>
      </c>
      <c r="C309" s="10"/>
      <c r="D309" s="10"/>
      <c r="E309" s="10"/>
      <c r="F309" s="10"/>
      <c r="G309" s="10"/>
      <c r="H309" s="11"/>
      <c r="I309" s="11"/>
      <c r="J309" s="12" t="e">
        <f>+VLOOKUP(K309,Datos!$A:$C,3,FALSE)</f>
        <v>#N/A</v>
      </c>
      <c r="K309" s="10"/>
      <c r="L309" s="12" t="e">
        <f>+VLOOKUP(K309,Datos!$A:$C,2,FALSE)</f>
        <v>#N/A</v>
      </c>
      <c r="M309" s="10"/>
      <c r="N309" s="12" t="e">
        <f>+VLOOKUP(M309,Datos!$F:$G,2,FALSE)</f>
        <v>#N/A</v>
      </c>
      <c r="O309" s="13">
        <f>IFERROR(IF(A309="SI",VLOOKUP(R309,Datos!$J$1:$K$50,2,FALSE)*C309,VLOOKUP(R309,Datos!$P$1:$T$13,2,FALSE)*C309),0)</f>
        <v>0</v>
      </c>
      <c r="P309" s="10"/>
      <c r="Q309" s="12" t="e">
        <f>+VLOOKUP(P309,Datos!$F:$G,2,FALSE)</f>
        <v>#N/A</v>
      </c>
      <c r="V309" s="10">
        <f t="shared" si="4"/>
        <v>0</v>
      </c>
      <c r="W309" s="10" t="e">
        <f>+VLOOKUP(M309,Datos!$F:$H,3,FALSE)</f>
        <v>#N/A</v>
      </c>
      <c r="X309">
        <v>0</v>
      </c>
      <c r="Y309" s="14"/>
      <c r="Z309" t="e">
        <f>VLOOKUP(M309,'[1]INDIVIDUAL UN'!$C$6:$F$222,4,FALSE)</f>
        <v>#N/A</v>
      </c>
    </row>
    <row r="310" spans="1:26" x14ac:dyDescent="0.35">
      <c r="A310" s="9" t="s">
        <v>25</v>
      </c>
      <c r="C310" s="10"/>
      <c r="D310" s="10"/>
      <c r="E310" s="10"/>
      <c r="F310" s="10"/>
      <c r="G310" s="10"/>
      <c r="H310" s="11"/>
      <c r="I310" s="11"/>
      <c r="J310" s="12" t="e">
        <f>+VLOOKUP(K310,Datos!$A:$C,3,FALSE)</f>
        <v>#N/A</v>
      </c>
      <c r="K310" s="10"/>
      <c r="L310" s="12" t="e">
        <f>+VLOOKUP(K310,Datos!$A:$C,2,FALSE)</f>
        <v>#N/A</v>
      </c>
      <c r="M310" s="10"/>
      <c r="N310" s="12" t="e">
        <f>+VLOOKUP(M310,Datos!$F:$G,2,FALSE)</f>
        <v>#N/A</v>
      </c>
      <c r="O310" s="13">
        <f>IFERROR(IF(A310="SI",VLOOKUP(R310,Datos!$J$1:$K$50,2,FALSE)*C310,VLOOKUP(R310,Datos!$P$1:$T$13,2,FALSE)*C310),0)</f>
        <v>0</v>
      </c>
      <c r="P310" s="9"/>
      <c r="Q310" s="12" t="e">
        <f>+VLOOKUP(P310,Datos!$F:$G,2,FALSE)</f>
        <v>#N/A</v>
      </c>
      <c r="V310" s="10">
        <f t="shared" si="4"/>
        <v>0</v>
      </c>
      <c r="W310" s="10" t="e">
        <f>+VLOOKUP(M310,Datos!$F:$H,3,FALSE)</f>
        <v>#N/A</v>
      </c>
      <c r="X310">
        <v>0</v>
      </c>
      <c r="Y310" s="14"/>
      <c r="Z310" t="e">
        <f>VLOOKUP(M310,'[1]INDIVIDUAL UN'!$C$6:$F$222,4,FALSE)</f>
        <v>#N/A</v>
      </c>
    </row>
    <row r="311" spans="1:26" x14ac:dyDescent="0.35">
      <c r="A311" s="9" t="s">
        <v>25</v>
      </c>
      <c r="C311" s="10"/>
      <c r="D311" s="10"/>
      <c r="E311" s="10"/>
      <c r="F311" s="10"/>
      <c r="G311" s="10"/>
      <c r="H311" s="11"/>
      <c r="I311" s="11"/>
      <c r="J311" s="12" t="e">
        <f>+VLOOKUP(K311,Datos!$A:$C,3,FALSE)</f>
        <v>#N/A</v>
      </c>
      <c r="K311" s="10"/>
      <c r="L311" s="12" t="e">
        <f>+VLOOKUP(K311,Datos!$A:$C,2,FALSE)</f>
        <v>#N/A</v>
      </c>
      <c r="M311" s="10"/>
      <c r="N311" s="12" t="e">
        <f>+VLOOKUP(M311,Datos!$F:$G,2,FALSE)</f>
        <v>#N/A</v>
      </c>
      <c r="O311" s="13">
        <f>IFERROR(IF(A311="SI",VLOOKUP(R311,Datos!$J$1:$K$50,2,FALSE)*C311,VLOOKUP(R311,Datos!$P$1:$T$13,2,FALSE)*C311),0)</f>
        <v>0</v>
      </c>
      <c r="P311" s="9"/>
      <c r="Q311" s="12" t="e">
        <f>+VLOOKUP(P311,Datos!$F:$G,2,FALSE)</f>
        <v>#N/A</v>
      </c>
      <c r="V311" s="10">
        <f t="shared" si="4"/>
        <v>0</v>
      </c>
      <c r="W311" s="10" t="e">
        <f>+VLOOKUP(M311,Datos!$F:$H,3,FALSE)</f>
        <v>#N/A</v>
      </c>
      <c r="X311">
        <v>0</v>
      </c>
      <c r="Y311" s="14"/>
      <c r="Z311" t="e">
        <f>VLOOKUP(M311,'[1]INDIVIDUAL UN'!$C$6:$F$222,4,FALSE)</f>
        <v>#N/A</v>
      </c>
    </row>
    <row r="312" spans="1:26" x14ac:dyDescent="0.35">
      <c r="A312" s="9" t="s">
        <v>25</v>
      </c>
      <c r="C312" s="10"/>
      <c r="D312" s="10"/>
      <c r="E312" s="10"/>
      <c r="F312" s="10"/>
      <c r="G312" s="10"/>
      <c r="H312" s="11"/>
      <c r="I312" s="11"/>
      <c r="J312" s="12" t="e">
        <f>+VLOOKUP(K312,Datos!$A:$C,3,FALSE)</f>
        <v>#N/A</v>
      </c>
      <c r="K312" s="10"/>
      <c r="L312" s="12" t="e">
        <f>+VLOOKUP(K312,Datos!$A:$C,2,FALSE)</f>
        <v>#N/A</v>
      </c>
      <c r="M312" s="10"/>
      <c r="N312" s="12" t="e">
        <f>+VLOOKUP(M312,Datos!$F:$G,2,FALSE)</f>
        <v>#N/A</v>
      </c>
      <c r="O312" s="13">
        <f>IFERROR(IF(A312="SI",VLOOKUP(R312,Datos!$J$1:$K$50,2,FALSE)*C312,VLOOKUP(R312,Datos!$P$1:$T$13,2,FALSE)*C312),0)</f>
        <v>0</v>
      </c>
      <c r="P312" s="9"/>
      <c r="Q312" s="12" t="e">
        <f>+VLOOKUP(P312,Datos!$F:$G,2,FALSE)</f>
        <v>#N/A</v>
      </c>
      <c r="V312" s="10">
        <f t="shared" si="4"/>
        <v>0</v>
      </c>
      <c r="W312" s="10" t="e">
        <f>+VLOOKUP(M312,Datos!$F:$H,3,FALSE)</f>
        <v>#N/A</v>
      </c>
      <c r="X312">
        <v>0</v>
      </c>
      <c r="Y312" s="14"/>
      <c r="Z312" t="e">
        <f>VLOOKUP(M312,'[1]INDIVIDUAL UN'!$C$6:$F$222,4,FALSE)</f>
        <v>#N/A</v>
      </c>
    </row>
    <row r="313" spans="1:26" x14ac:dyDescent="0.35">
      <c r="A313" s="9" t="s">
        <v>25</v>
      </c>
      <c r="C313" s="10"/>
      <c r="D313" s="10"/>
      <c r="E313" s="10"/>
      <c r="F313" s="10"/>
      <c r="G313" s="10"/>
      <c r="H313" s="11"/>
      <c r="I313" s="11"/>
      <c r="J313" s="12" t="e">
        <f>+VLOOKUP(K313,Datos!$A:$C,3,FALSE)</f>
        <v>#N/A</v>
      </c>
      <c r="K313" s="10"/>
      <c r="L313" s="12" t="e">
        <f>+VLOOKUP(K313,Datos!$A:$C,2,FALSE)</f>
        <v>#N/A</v>
      </c>
      <c r="M313" s="10"/>
      <c r="N313" s="12" t="e">
        <f>+VLOOKUP(M313,Datos!$F:$G,2,FALSE)</f>
        <v>#N/A</v>
      </c>
      <c r="O313" s="13">
        <f>IFERROR(IF(A313="SI",VLOOKUP(R313,Datos!$J$1:$K$50,2,FALSE)*C313,VLOOKUP(R313,Datos!$P$1:$T$13,2,FALSE)*C313),0)</f>
        <v>0</v>
      </c>
      <c r="P313" s="9"/>
      <c r="Q313" s="12" t="e">
        <f>+VLOOKUP(P313,Datos!$F:$G,2,FALSE)</f>
        <v>#N/A</v>
      </c>
      <c r="V313" s="10">
        <f t="shared" si="4"/>
        <v>0</v>
      </c>
      <c r="W313" s="10" t="e">
        <f>+VLOOKUP(M313,Datos!$F:$H,3,FALSE)</f>
        <v>#N/A</v>
      </c>
      <c r="X313">
        <v>0</v>
      </c>
      <c r="Y313" s="14"/>
      <c r="Z313" t="e">
        <f>VLOOKUP(M313,'[1]INDIVIDUAL UN'!$C$6:$F$222,4,FALSE)</f>
        <v>#N/A</v>
      </c>
    </row>
    <row r="314" spans="1:26" x14ac:dyDescent="0.35">
      <c r="A314" s="9" t="s">
        <v>25</v>
      </c>
      <c r="C314" s="10"/>
      <c r="D314" s="10"/>
      <c r="E314" s="10"/>
      <c r="F314" s="10"/>
      <c r="G314" s="10"/>
      <c r="H314" s="11"/>
      <c r="I314" s="11"/>
      <c r="J314" s="12" t="e">
        <f>+VLOOKUP(K314,Datos!$A:$C,3,FALSE)</f>
        <v>#N/A</v>
      </c>
      <c r="K314" s="10"/>
      <c r="L314" s="12" t="e">
        <f>+VLOOKUP(K314,Datos!$A:$C,2,FALSE)</f>
        <v>#N/A</v>
      </c>
      <c r="M314" s="10"/>
      <c r="N314" s="12" t="e">
        <f>+VLOOKUP(M314,Datos!$F:$G,2,FALSE)</f>
        <v>#N/A</v>
      </c>
      <c r="O314" s="13">
        <f>IFERROR(IF(A314="SI",VLOOKUP(R314,Datos!$J$1:$K$50,2,FALSE)*C314,VLOOKUP(R314,Datos!$P$1:$T$13,2,FALSE)*C314),0)</f>
        <v>0</v>
      </c>
      <c r="P314" s="9"/>
      <c r="Q314" s="12" t="e">
        <f>+VLOOKUP(P314,Datos!$F:$G,2,FALSE)</f>
        <v>#N/A</v>
      </c>
      <c r="V314" s="10">
        <f t="shared" si="4"/>
        <v>0</v>
      </c>
      <c r="W314" s="10" t="e">
        <f>+VLOOKUP(M314,Datos!$F:$H,3,FALSE)</f>
        <v>#N/A</v>
      </c>
      <c r="X314">
        <v>0</v>
      </c>
      <c r="Y314" s="14"/>
      <c r="Z314" t="e">
        <f>VLOOKUP(M314,'[1]INDIVIDUAL UN'!$C$6:$F$222,4,FALSE)</f>
        <v>#N/A</v>
      </c>
    </row>
    <row r="315" spans="1:26" x14ac:dyDescent="0.35">
      <c r="A315" s="9" t="s">
        <v>25</v>
      </c>
      <c r="C315" s="10"/>
      <c r="D315" s="10"/>
      <c r="E315" s="10"/>
      <c r="F315" s="10"/>
      <c r="G315" s="10"/>
      <c r="H315" s="11"/>
      <c r="I315" s="11"/>
      <c r="J315" s="12" t="e">
        <f>+VLOOKUP(K315,Datos!$A:$C,3,FALSE)</f>
        <v>#N/A</v>
      </c>
      <c r="K315" s="10"/>
      <c r="L315" s="12" t="e">
        <f>+VLOOKUP(K315,Datos!$A:$C,2,FALSE)</f>
        <v>#N/A</v>
      </c>
      <c r="M315" s="10"/>
      <c r="N315" s="12" t="e">
        <f>+VLOOKUP(M315,Datos!$F:$G,2,FALSE)</f>
        <v>#N/A</v>
      </c>
      <c r="O315" s="13">
        <f>IFERROR(IF(A315="SI",VLOOKUP(R315,Datos!$J$1:$K$50,2,FALSE)*C315,VLOOKUP(R315,Datos!$P$1:$T$13,2,FALSE)*C315),0)</f>
        <v>0</v>
      </c>
      <c r="P315" s="9"/>
      <c r="Q315" s="12" t="e">
        <f>+VLOOKUP(P315,Datos!$F:$G,2,FALSE)</f>
        <v>#N/A</v>
      </c>
      <c r="V315" s="10">
        <f t="shared" si="4"/>
        <v>0</v>
      </c>
      <c r="W315" s="10" t="e">
        <f>+VLOOKUP(M315,Datos!$F:$H,3,FALSE)</f>
        <v>#N/A</v>
      </c>
      <c r="X315">
        <v>0</v>
      </c>
      <c r="Y315" s="14"/>
      <c r="Z315" t="e">
        <f>VLOOKUP(M315,'[1]INDIVIDUAL UN'!$C$6:$F$222,4,FALSE)</f>
        <v>#N/A</v>
      </c>
    </row>
    <row r="316" spans="1:26" x14ac:dyDescent="0.35">
      <c r="A316" s="9" t="s">
        <v>25</v>
      </c>
      <c r="C316" s="10"/>
      <c r="D316" s="10"/>
      <c r="E316" s="10"/>
      <c r="F316" s="10"/>
      <c r="G316" s="10"/>
      <c r="H316" s="11"/>
      <c r="I316" s="11"/>
      <c r="J316" s="12" t="e">
        <f>+VLOOKUP(K316,Datos!$A:$C,3,FALSE)</f>
        <v>#N/A</v>
      </c>
      <c r="K316" s="10"/>
      <c r="L316" s="12" t="e">
        <f>+VLOOKUP(K316,Datos!$A:$C,2,FALSE)</f>
        <v>#N/A</v>
      </c>
      <c r="M316" s="10"/>
      <c r="N316" s="12" t="e">
        <f>+VLOOKUP(M316,Datos!$F:$G,2,FALSE)</f>
        <v>#N/A</v>
      </c>
      <c r="O316" s="13">
        <f>IFERROR(IF(A316="SI",VLOOKUP(R316,Datos!$J$1:$K$50,2,FALSE)*C316,VLOOKUP(R316,Datos!$P$1:$T$13,2,FALSE)*C316),0)</f>
        <v>0</v>
      </c>
      <c r="P316" s="9"/>
      <c r="Q316" s="12" t="e">
        <f>+VLOOKUP(P316,Datos!$F:$G,2,FALSE)</f>
        <v>#N/A</v>
      </c>
      <c r="V316" s="10">
        <f t="shared" si="4"/>
        <v>0</v>
      </c>
      <c r="W316" s="10" t="e">
        <f>+VLOOKUP(M316,Datos!$F:$H,3,FALSE)</f>
        <v>#N/A</v>
      </c>
      <c r="X316">
        <v>0</v>
      </c>
      <c r="Y316" s="14"/>
      <c r="Z316" t="e">
        <f>VLOOKUP(M316,'[1]INDIVIDUAL UN'!$C$6:$F$222,4,FALSE)</f>
        <v>#N/A</v>
      </c>
    </row>
    <row r="317" spans="1:26" x14ac:dyDescent="0.35">
      <c r="A317" s="9" t="s">
        <v>25</v>
      </c>
      <c r="C317" s="10"/>
      <c r="D317" s="10"/>
      <c r="E317" s="10"/>
      <c r="F317" s="10"/>
      <c r="G317" s="10"/>
      <c r="H317" s="11"/>
      <c r="I317" s="11"/>
      <c r="J317" s="12" t="e">
        <f>+VLOOKUP(K317,Datos!$A:$C,3,FALSE)</f>
        <v>#N/A</v>
      </c>
      <c r="K317" s="10"/>
      <c r="L317" s="12" t="e">
        <f>+VLOOKUP(K317,Datos!$A:$C,2,FALSE)</f>
        <v>#N/A</v>
      </c>
      <c r="M317" s="10"/>
      <c r="N317" s="12" t="e">
        <f>+VLOOKUP(M317,Datos!$F:$G,2,FALSE)</f>
        <v>#N/A</v>
      </c>
      <c r="O317" s="13">
        <f>IFERROR(IF(A317="SI",VLOOKUP(R317,Datos!$J$1:$K$50,2,FALSE)*C317,VLOOKUP(R317,Datos!$P$1:$T$13,2,FALSE)*C317),0)</f>
        <v>0</v>
      </c>
      <c r="P317" s="9"/>
      <c r="Q317" s="12" t="e">
        <f>+VLOOKUP(P317,Datos!$F:$G,2,FALSE)</f>
        <v>#N/A</v>
      </c>
      <c r="V317" s="10">
        <f t="shared" si="4"/>
        <v>0</v>
      </c>
      <c r="W317" s="10" t="e">
        <f>+VLOOKUP(M317,Datos!$F:$H,3,FALSE)</f>
        <v>#N/A</v>
      </c>
      <c r="X317">
        <v>0</v>
      </c>
      <c r="Y317" s="14"/>
      <c r="Z317" t="e">
        <f>VLOOKUP(M317,'[1]INDIVIDUAL UN'!$C$6:$F$222,4,FALSE)</f>
        <v>#N/A</v>
      </c>
    </row>
    <row r="318" spans="1:26" x14ac:dyDescent="0.35">
      <c r="A318" s="9" t="s">
        <v>25</v>
      </c>
      <c r="C318" s="10"/>
      <c r="D318" s="10"/>
      <c r="E318" s="10"/>
      <c r="F318" s="10"/>
      <c r="G318" s="10"/>
      <c r="H318" s="11"/>
      <c r="I318" s="11"/>
      <c r="J318" s="12" t="e">
        <f>+VLOOKUP(K318,Datos!$A:$C,3,FALSE)</f>
        <v>#N/A</v>
      </c>
      <c r="K318" s="10"/>
      <c r="L318" s="12" t="e">
        <f>+VLOOKUP(K318,Datos!$A:$C,2,FALSE)</f>
        <v>#N/A</v>
      </c>
      <c r="M318" s="10"/>
      <c r="N318" s="12" t="e">
        <f>+VLOOKUP(M318,Datos!$F:$G,2,FALSE)</f>
        <v>#N/A</v>
      </c>
      <c r="O318" s="13">
        <f>IFERROR(IF(A318="SI",VLOOKUP(R318,Datos!$J$1:$K$50,2,FALSE)*C318,VLOOKUP(R318,Datos!$P$1:$T$13,2,FALSE)*C318),0)</f>
        <v>0</v>
      </c>
      <c r="P318" s="9"/>
      <c r="Q318" s="12" t="e">
        <f>+VLOOKUP(P318,Datos!$F:$G,2,FALSE)</f>
        <v>#N/A</v>
      </c>
      <c r="V318" s="10">
        <f t="shared" si="4"/>
        <v>0</v>
      </c>
      <c r="W318" s="10" t="e">
        <f>+VLOOKUP(M318,Datos!$F:$H,3,FALSE)</f>
        <v>#N/A</v>
      </c>
      <c r="X318">
        <v>0</v>
      </c>
      <c r="Y318" s="14"/>
      <c r="Z318" t="e">
        <f>VLOOKUP(M318,'[1]INDIVIDUAL UN'!$C$6:$F$222,4,FALSE)</f>
        <v>#N/A</v>
      </c>
    </row>
    <row r="319" spans="1:26" x14ac:dyDescent="0.35">
      <c r="A319" s="9" t="s">
        <v>25</v>
      </c>
      <c r="C319" s="10"/>
      <c r="D319" s="10"/>
      <c r="E319" s="10"/>
      <c r="F319" s="10"/>
      <c r="G319" s="10"/>
      <c r="H319" s="11"/>
      <c r="I319" s="11"/>
      <c r="J319" s="12" t="e">
        <f>+VLOOKUP(K319,Datos!$A:$C,3,FALSE)</f>
        <v>#N/A</v>
      </c>
      <c r="K319" s="10"/>
      <c r="L319" s="12" t="e">
        <f>+VLOOKUP(K319,Datos!$A:$C,2,FALSE)</f>
        <v>#N/A</v>
      </c>
      <c r="M319" s="10"/>
      <c r="N319" s="12" t="e">
        <f>+VLOOKUP(M319,Datos!$F:$G,2,FALSE)</f>
        <v>#N/A</v>
      </c>
      <c r="O319" s="13">
        <f>IFERROR(IF(A319="SI",VLOOKUP(R319,Datos!$J$1:$K$50,2,FALSE)*C319,VLOOKUP(R319,Datos!$P$1:$T$13,2,FALSE)*C319),0)</f>
        <v>0</v>
      </c>
      <c r="P319" s="9"/>
      <c r="Q319" s="12" t="e">
        <f>+VLOOKUP(P319,Datos!$F:$G,2,FALSE)</f>
        <v>#N/A</v>
      </c>
      <c r="V319" s="10">
        <f t="shared" si="4"/>
        <v>0</v>
      </c>
      <c r="W319" s="10" t="e">
        <f>+VLOOKUP(M319,Datos!$F:$H,3,FALSE)</f>
        <v>#N/A</v>
      </c>
      <c r="X319">
        <v>0</v>
      </c>
      <c r="Y319" s="14"/>
      <c r="Z319" t="e">
        <f>VLOOKUP(M319,'[1]INDIVIDUAL UN'!$C$6:$F$222,4,FALSE)</f>
        <v>#N/A</v>
      </c>
    </row>
    <row r="320" spans="1:26" x14ac:dyDescent="0.35">
      <c r="A320" s="9" t="s">
        <v>25</v>
      </c>
      <c r="C320" s="10"/>
      <c r="D320" s="10"/>
      <c r="E320" s="10"/>
      <c r="F320" s="10"/>
      <c r="G320" s="10"/>
      <c r="H320" s="11"/>
      <c r="I320" s="11"/>
      <c r="J320" s="12" t="e">
        <f>+VLOOKUP(K320,Datos!$A:$C,3,FALSE)</f>
        <v>#N/A</v>
      </c>
      <c r="K320" s="10"/>
      <c r="L320" s="12" t="e">
        <f>+VLOOKUP(K320,Datos!$A:$C,2,FALSE)</f>
        <v>#N/A</v>
      </c>
      <c r="M320" s="55"/>
      <c r="N320" s="12" t="e">
        <f>+VLOOKUP(M320,Datos!$F:$G,2,FALSE)</f>
        <v>#N/A</v>
      </c>
      <c r="O320" s="13">
        <f>IFERROR(IF(A320="SI",VLOOKUP(R320,Datos!$J$1:$K$50,2,FALSE)*C320,VLOOKUP(R320,Datos!$P$1:$T$13,2,FALSE)*C320),0)</f>
        <v>0</v>
      </c>
      <c r="P320" s="9"/>
      <c r="Q320" s="12" t="e">
        <f>+VLOOKUP(P320,Datos!$F:$G,2,FALSE)</f>
        <v>#N/A</v>
      </c>
      <c r="V320" s="10">
        <f t="shared" si="4"/>
        <v>0</v>
      </c>
      <c r="W320" s="10" t="e">
        <f>+VLOOKUP(M320,Datos!$F:$H,3,FALSE)</f>
        <v>#N/A</v>
      </c>
      <c r="X320">
        <v>0</v>
      </c>
      <c r="Y320" s="14"/>
      <c r="Z320" t="e">
        <f>VLOOKUP(M320,'[1]INDIVIDUAL UN'!$C$6:$F$222,4,FALSE)</f>
        <v>#N/A</v>
      </c>
    </row>
    <row r="321" spans="1:26" x14ac:dyDescent="0.35">
      <c r="A321" s="9" t="s">
        <v>25</v>
      </c>
      <c r="C321" s="10"/>
      <c r="D321" s="10"/>
      <c r="E321" s="10"/>
      <c r="F321" s="10"/>
      <c r="G321" s="10"/>
      <c r="H321" s="11"/>
      <c r="I321" s="11"/>
      <c r="J321" s="12" t="e">
        <f>+VLOOKUP(K321,Datos!$A:$C,3,FALSE)</f>
        <v>#N/A</v>
      </c>
      <c r="K321" s="10"/>
      <c r="L321" s="12" t="e">
        <f>+VLOOKUP(K321,Datos!$A:$C,2,FALSE)</f>
        <v>#N/A</v>
      </c>
      <c r="M321" s="10"/>
      <c r="N321" s="12" t="e">
        <f>+VLOOKUP(M321,Datos!$F:$G,2,FALSE)</f>
        <v>#N/A</v>
      </c>
      <c r="O321" s="13">
        <f>IFERROR(IF(A321="SI",VLOOKUP(R321,Datos!$J$1:$K$50,2,FALSE)*C321,VLOOKUP(R321,Datos!$P$1:$T$13,2,FALSE)*C321),0)</f>
        <v>0</v>
      </c>
      <c r="P321" s="9"/>
      <c r="Q321" s="12" t="e">
        <f>+VLOOKUP(P321,Datos!$F:$G,2,FALSE)</f>
        <v>#N/A</v>
      </c>
      <c r="V321" s="10">
        <f t="shared" si="4"/>
        <v>0</v>
      </c>
      <c r="W321" s="10" t="e">
        <f>+VLOOKUP(M321,Datos!$F:$H,3,FALSE)</f>
        <v>#N/A</v>
      </c>
      <c r="X321">
        <v>0</v>
      </c>
      <c r="Y321" s="14"/>
      <c r="Z321" t="e">
        <f>VLOOKUP(M321,'[1]INDIVIDUAL UN'!$C$6:$F$222,4,FALSE)</f>
        <v>#N/A</v>
      </c>
    </row>
    <row r="322" spans="1:26" x14ac:dyDescent="0.35">
      <c r="A322" s="9" t="s">
        <v>25</v>
      </c>
      <c r="C322" s="10"/>
      <c r="D322" s="10"/>
      <c r="E322" s="10"/>
      <c r="F322" s="10"/>
      <c r="G322" s="10"/>
      <c r="H322" s="11"/>
      <c r="I322" s="11"/>
      <c r="J322" s="12" t="e">
        <f>+VLOOKUP(K322,Datos!$A:$C,3,FALSE)</f>
        <v>#N/A</v>
      </c>
      <c r="K322" s="10"/>
      <c r="L322" s="12" t="e">
        <f>+VLOOKUP(K322,Datos!$A:$C,2,FALSE)</f>
        <v>#N/A</v>
      </c>
      <c r="M322" s="10"/>
      <c r="N322" s="12" t="e">
        <f>+VLOOKUP(M322,Datos!$F:$G,2,FALSE)</f>
        <v>#N/A</v>
      </c>
      <c r="O322" s="13">
        <f>IFERROR(IF(A322="SI",VLOOKUP(R322,Datos!$J$1:$K$50,2,FALSE)*C322,VLOOKUP(R322,Datos!$P$1:$T$13,2,FALSE)*C322),0)</f>
        <v>0</v>
      </c>
      <c r="P322" s="9"/>
      <c r="Q322" s="12" t="e">
        <f>+VLOOKUP(P322,Datos!$F:$G,2,FALSE)</f>
        <v>#N/A</v>
      </c>
      <c r="V322" s="10">
        <f t="shared" ref="V322:V385" si="5">+COUNTIFS($G$2:$G$444,G322)</f>
        <v>0</v>
      </c>
      <c r="W322" s="10" t="e">
        <f>+VLOOKUP(M322,Datos!$F:$H,3,FALSE)</f>
        <v>#N/A</v>
      </c>
      <c r="X322">
        <v>0</v>
      </c>
      <c r="Y322" s="14"/>
      <c r="Z322" t="e">
        <f>VLOOKUP(M322,'[1]INDIVIDUAL UN'!$C$6:$F$222,4,FALSE)</f>
        <v>#N/A</v>
      </c>
    </row>
    <row r="323" spans="1:26" x14ac:dyDescent="0.35">
      <c r="A323" s="9" t="s">
        <v>25</v>
      </c>
      <c r="C323" s="10"/>
      <c r="D323" s="10"/>
      <c r="E323" s="10"/>
      <c r="F323" s="10"/>
      <c r="G323" s="10"/>
      <c r="H323" s="11"/>
      <c r="I323" s="11"/>
      <c r="J323" s="12" t="e">
        <f>+VLOOKUP(K323,Datos!$A:$C,3,FALSE)</f>
        <v>#N/A</v>
      </c>
      <c r="K323" s="10"/>
      <c r="L323" s="12" t="e">
        <f>+VLOOKUP(K323,Datos!$A:$C,2,FALSE)</f>
        <v>#N/A</v>
      </c>
      <c r="M323" s="10"/>
      <c r="N323" s="12" t="e">
        <f>+VLOOKUP(M323,Datos!$F:$G,2,FALSE)</f>
        <v>#N/A</v>
      </c>
      <c r="O323" s="13">
        <f>IFERROR(IF(A323="SI",VLOOKUP(R323,Datos!$J$1:$K$50,2,FALSE)*C323,VLOOKUP(R323,Datos!$P$1:$T$13,2,FALSE)*C323),0)</f>
        <v>0</v>
      </c>
      <c r="P323" s="10"/>
      <c r="Q323" s="12" t="e">
        <f>+VLOOKUP(P323,Datos!$F:$G,2,FALSE)</f>
        <v>#N/A</v>
      </c>
      <c r="V323" s="10">
        <f t="shared" si="5"/>
        <v>0</v>
      </c>
      <c r="W323" s="10" t="e">
        <f>+VLOOKUP(M323,Datos!$F:$H,3,FALSE)</f>
        <v>#N/A</v>
      </c>
      <c r="X323">
        <v>0</v>
      </c>
      <c r="Y323" s="14"/>
      <c r="Z323" t="e">
        <f>VLOOKUP(M323,'[1]INDIVIDUAL UN'!$C$6:$F$222,4,FALSE)</f>
        <v>#N/A</v>
      </c>
    </row>
    <row r="324" spans="1:26" x14ac:dyDescent="0.35">
      <c r="A324" s="9" t="s">
        <v>25</v>
      </c>
      <c r="C324" s="10"/>
      <c r="D324" s="10"/>
      <c r="E324" s="10"/>
      <c r="F324" s="10"/>
      <c r="G324" s="10"/>
      <c r="H324" s="11"/>
      <c r="I324" s="11"/>
      <c r="J324" s="12" t="e">
        <f>+VLOOKUP(K324,Datos!$A:$C,3,FALSE)</f>
        <v>#N/A</v>
      </c>
      <c r="K324" s="10"/>
      <c r="L324" s="12" t="e">
        <f>+VLOOKUP(K324,Datos!$A:$C,2,FALSE)</f>
        <v>#N/A</v>
      </c>
      <c r="M324" s="10"/>
      <c r="N324" s="12" t="e">
        <f>+VLOOKUP(M324,Datos!$F:$G,2,FALSE)</f>
        <v>#N/A</v>
      </c>
      <c r="O324" s="13">
        <f>IFERROR(IF(A324="SI",VLOOKUP(R324,Datos!$J$1:$K$50,2,FALSE)*C324,VLOOKUP(R324,Datos!$P$1:$T$13,2,FALSE)*C324),0)</f>
        <v>0</v>
      </c>
      <c r="P324" s="9"/>
      <c r="Q324" s="12" t="e">
        <f>+VLOOKUP(P324,Datos!$F:$G,2,FALSE)</f>
        <v>#N/A</v>
      </c>
      <c r="V324" s="10">
        <f t="shared" si="5"/>
        <v>0</v>
      </c>
      <c r="W324" s="10" t="e">
        <f>+VLOOKUP(M324,Datos!$F:$H,3,FALSE)</f>
        <v>#N/A</v>
      </c>
      <c r="X324">
        <v>0</v>
      </c>
      <c r="Y324" s="14"/>
      <c r="Z324" t="e">
        <f>VLOOKUP(M324,'[1]INDIVIDUAL UN'!$C$6:$F$222,4,FALSE)</f>
        <v>#N/A</v>
      </c>
    </row>
    <row r="325" spans="1:26" x14ac:dyDescent="0.35">
      <c r="A325" s="9" t="s">
        <v>25</v>
      </c>
      <c r="C325" s="10"/>
      <c r="D325" s="10"/>
      <c r="E325" s="10"/>
      <c r="F325" s="10"/>
      <c r="G325" s="10"/>
      <c r="H325" s="11"/>
      <c r="I325" s="11"/>
      <c r="J325" s="12" t="e">
        <f>+VLOOKUP(K325,Datos!$A:$C,3,FALSE)</f>
        <v>#N/A</v>
      </c>
      <c r="K325" s="10"/>
      <c r="L325" s="12" t="e">
        <f>+VLOOKUP(K325,Datos!$A:$C,2,FALSE)</f>
        <v>#N/A</v>
      </c>
      <c r="M325" s="10"/>
      <c r="N325" s="12" t="e">
        <f>+VLOOKUP(M325,Datos!$F:$G,2,FALSE)</f>
        <v>#N/A</v>
      </c>
      <c r="O325" s="13">
        <f>IFERROR(IF(A325="SI",VLOOKUP(R325,Datos!$J$1:$K$50,2,FALSE)*C325,VLOOKUP(R325,Datos!$P$1:$T$13,2,FALSE)*C325),0)</f>
        <v>0</v>
      </c>
      <c r="P325" s="9"/>
      <c r="Q325" s="12" t="e">
        <f>+VLOOKUP(P325,Datos!$F:$G,2,FALSE)</f>
        <v>#N/A</v>
      </c>
      <c r="V325" s="10">
        <f t="shared" si="5"/>
        <v>0</v>
      </c>
      <c r="W325" s="10" t="e">
        <f>+VLOOKUP(M325,Datos!$F:$H,3,FALSE)</f>
        <v>#N/A</v>
      </c>
      <c r="X325">
        <v>0</v>
      </c>
      <c r="Y325" s="14"/>
      <c r="Z325" t="e">
        <f>VLOOKUP(M325,'[1]INDIVIDUAL UN'!$C$6:$F$222,4,FALSE)</f>
        <v>#N/A</v>
      </c>
    </row>
    <row r="326" spans="1:26" x14ac:dyDescent="0.35">
      <c r="A326" s="9" t="s">
        <v>25</v>
      </c>
      <c r="C326" s="10"/>
      <c r="D326" s="10"/>
      <c r="E326" s="10"/>
      <c r="F326" s="10"/>
      <c r="G326" s="10"/>
      <c r="H326" s="11"/>
      <c r="I326" s="11"/>
      <c r="J326" s="12" t="e">
        <f>+VLOOKUP(K326,Datos!$A:$C,3,FALSE)</f>
        <v>#N/A</v>
      </c>
      <c r="K326" s="10"/>
      <c r="L326" s="12" t="e">
        <f>+VLOOKUP(K326,Datos!$A:$C,2,FALSE)</f>
        <v>#N/A</v>
      </c>
      <c r="M326" s="10"/>
      <c r="N326" s="12" t="e">
        <f>+VLOOKUP(M326,Datos!$F:$G,2,FALSE)</f>
        <v>#N/A</v>
      </c>
      <c r="O326" s="13">
        <f>IFERROR(IF(A326="SI",VLOOKUP(R326,Datos!$J$1:$K$50,2,FALSE)*C326,VLOOKUP(R326,Datos!$P$1:$T$13,2,FALSE)*C326),0)</f>
        <v>0</v>
      </c>
      <c r="P326" s="9"/>
      <c r="Q326" s="12" t="e">
        <f>+VLOOKUP(P326,Datos!$F:$G,2,FALSE)</f>
        <v>#N/A</v>
      </c>
      <c r="V326" s="10">
        <f t="shared" si="5"/>
        <v>0</v>
      </c>
      <c r="W326" s="10" t="e">
        <f>+VLOOKUP(M326,Datos!$F:$H,3,FALSE)</f>
        <v>#N/A</v>
      </c>
      <c r="X326">
        <v>0</v>
      </c>
      <c r="Y326" s="14"/>
      <c r="Z326" t="e">
        <f>VLOOKUP(M326,'[1]INDIVIDUAL UN'!$C$6:$F$222,4,FALSE)</f>
        <v>#N/A</v>
      </c>
    </row>
    <row r="327" spans="1:26" x14ac:dyDescent="0.35">
      <c r="A327" s="9" t="s">
        <v>25</v>
      </c>
      <c r="C327" s="10"/>
      <c r="D327" s="10"/>
      <c r="E327" s="10"/>
      <c r="F327" s="10"/>
      <c r="G327" s="10"/>
      <c r="H327" s="11"/>
      <c r="I327" s="11"/>
      <c r="J327" s="12" t="e">
        <f>+VLOOKUP(K327,Datos!$A:$C,3,FALSE)</f>
        <v>#N/A</v>
      </c>
      <c r="K327" s="10"/>
      <c r="L327" s="12" t="e">
        <f>+VLOOKUP(K327,Datos!$A:$C,2,FALSE)</f>
        <v>#N/A</v>
      </c>
      <c r="M327" s="10"/>
      <c r="N327" s="12" t="e">
        <f>+VLOOKUP(M327,Datos!$F:$G,2,FALSE)</f>
        <v>#N/A</v>
      </c>
      <c r="O327" s="13">
        <f>IFERROR(IF(A327="SI",VLOOKUP(R327,Datos!$J$1:$K$50,2,FALSE)*C327,VLOOKUP(R327,Datos!$P$1:$T$13,2,FALSE)*C327),0)</f>
        <v>0</v>
      </c>
      <c r="P327" s="9"/>
      <c r="Q327" s="12" t="e">
        <f>+VLOOKUP(P327,Datos!$F:$G,2,FALSE)</f>
        <v>#N/A</v>
      </c>
      <c r="V327" s="10">
        <f t="shared" si="5"/>
        <v>0</v>
      </c>
      <c r="W327" s="10" t="e">
        <f>+VLOOKUP(M327,Datos!$F:$H,3,FALSE)</f>
        <v>#N/A</v>
      </c>
      <c r="X327">
        <v>0</v>
      </c>
      <c r="Y327" s="14"/>
      <c r="Z327" t="e">
        <f>VLOOKUP(M327,'[1]INDIVIDUAL UN'!$C$6:$F$222,4,FALSE)</f>
        <v>#N/A</v>
      </c>
    </row>
    <row r="328" spans="1:26" x14ac:dyDescent="0.35">
      <c r="A328" s="9" t="s">
        <v>25</v>
      </c>
      <c r="C328" s="10"/>
      <c r="D328" s="10"/>
      <c r="E328" s="10"/>
      <c r="F328" s="10"/>
      <c r="G328" s="10"/>
      <c r="H328" s="11"/>
      <c r="I328" s="11"/>
      <c r="J328" s="12" t="e">
        <f>+VLOOKUP(K328,Datos!$A:$C,3,FALSE)</f>
        <v>#N/A</v>
      </c>
      <c r="K328" s="10"/>
      <c r="L328" s="12" t="e">
        <f>+VLOOKUP(K328,Datos!$A:$C,2,FALSE)</f>
        <v>#N/A</v>
      </c>
      <c r="M328" s="10"/>
      <c r="N328" s="12" t="e">
        <f>+VLOOKUP(M328,Datos!$F:$G,2,FALSE)</f>
        <v>#N/A</v>
      </c>
      <c r="O328" s="13">
        <f>IFERROR(IF(A328="SI",VLOOKUP(R328,Datos!$J$1:$K$50,2,FALSE)*C328,VLOOKUP(R328,Datos!$P$1:$T$13,2,FALSE)*C328),0)</f>
        <v>0</v>
      </c>
      <c r="P328" s="10"/>
      <c r="Q328" s="12" t="e">
        <f>+VLOOKUP(P328,Datos!$F:$G,2,FALSE)</f>
        <v>#N/A</v>
      </c>
      <c r="V328" s="10">
        <f t="shared" si="5"/>
        <v>0</v>
      </c>
      <c r="W328" s="10" t="e">
        <f>+VLOOKUP(M328,Datos!$F:$H,3,FALSE)</f>
        <v>#N/A</v>
      </c>
      <c r="X328">
        <v>0</v>
      </c>
      <c r="Y328" s="14"/>
      <c r="Z328" t="e">
        <f>VLOOKUP(M328,'[1]INDIVIDUAL UN'!$C$6:$F$222,4,FALSE)</f>
        <v>#N/A</v>
      </c>
    </row>
    <row r="329" spans="1:26" x14ac:dyDescent="0.35">
      <c r="A329" s="9" t="s">
        <v>25</v>
      </c>
      <c r="C329" s="10"/>
      <c r="D329" s="10"/>
      <c r="E329" s="10"/>
      <c r="F329" s="10"/>
      <c r="G329" s="10"/>
      <c r="H329" s="11"/>
      <c r="I329" s="11"/>
      <c r="J329" s="12" t="e">
        <f>+VLOOKUP(K329,Datos!$A:$C,3,FALSE)</f>
        <v>#N/A</v>
      </c>
      <c r="K329" s="10"/>
      <c r="L329" s="12" t="e">
        <f>+VLOOKUP(K329,Datos!$A:$C,2,FALSE)</f>
        <v>#N/A</v>
      </c>
      <c r="M329" s="10"/>
      <c r="N329" s="12" t="e">
        <f>+VLOOKUP(M329,Datos!$F:$G,2,FALSE)</f>
        <v>#N/A</v>
      </c>
      <c r="O329" s="13">
        <f>IFERROR(IF(A329="SI",VLOOKUP(R329,Datos!$J$1:$K$50,2,FALSE)*C329,VLOOKUP(R329,Datos!$P$1:$T$13,2,FALSE)*C329),0)</f>
        <v>0</v>
      </c>
      <c r="P329" s="9"/>
      <c r="Q329" s="12" t="e">
        <f>+VLOOKUP(P329,Datos!$F:$G,2,FALSE)</f>
        <v>#N/A</v>
      </c>
      <c r="V329" s="10">
        <f t="shared" si="5"/>
        <v>0</v>
      </c>
      <c r="W329" s="10" t="e">
        <f>+VLOOKUP(M329,Datos!$F:$H,3,FALSE)</f>
        <v>#N/A</v>
      </c>
      <c r="X329">
        <v>0</v>
      </c>
      <c r="Y329" s="14"/>
      <c r="Z329" t="e">
        <f>VLOOKUP(M329,'[1]INDIVIDUAL UN'!$C$6:$F$222,4,FALSE)</f>
        <v>#N/A</v>
      </c>
    </row>
    <row r="330" spans="1:26" x14ac:dyDescent="0.35">
      <c r="A330" s="9" t="s">
        <v>25</v>
      </c>
      <c r="C330" s="10"/>
      <c r="D330" s="10"/>
      <c r="E330" s="10"/>
      <c r="F330" s="10"/>
      <c r="G330" s="10"/>
      <c r="H330" s="11"/>
      <c r="I330" s="11"/>
      <c r="J330" s="12" t="e">
        <f>+VLOOKUP(K330,Datos!$A:$C,3,FALSE)</f>
        <v>#N/A</v>
      </c>
      <c r="K330" s="10"/>
      <c r="L330" s="12" t="e">
        <f>+VLOOKUP(K330,Datos!$A:$C,2,FALSE)</f>
        <v>#N/A</v>
      </c>
      <c r="M330" s="10"/>
      <c r="N330" s="12" t="e">
        <f>+VLOOKUP(M330,Datos!$F:$G,2,FALSE)</f>
        <v>#N/A</v>
      </c>
      <c r="O330" s="13">
        <f>IFERROR(IF(A330="SI",VLOOKUP(R330,Datos!$J$1:$K$50,2,FALSE)*C330,VLOOKUP(R330,Datos!$P$1:$T$13,2,FALSE)*C330),0)</f>
        <v>0</v>
      </c>
      <c r="P330" s="9"/>
      <c r="Q330" s="12" t="e">
        <f>+VLOOKUP(P330,Datos!$F:$G,2,FALSE)</f>
        <v>#N/A</v>
      </c>
      <c r="V330" s="10">
        <f t="shared" si="5"/>
        <v>0</v>
      </c>
      <c r="W330" s="10" t="e">
        <f>+VLOOKUP(M330,Datos!$F:$H,3,FALSE)</f>
        <v>#N/A</v>
      </c>
      <c r="X330">
        <v>0</v>
      </c>
      <c r="Y330" s="14"/>
      <c r="Z330" t="e">
        <f>VLOOKUP(M330,'[1]INDIVIDUAL UN'!$C$6:$F$222,4,FALSE)</f>
        <v>#N/A</v>
      </c>
    </row>
    <row r="331" spans="1:26" x14ac:dyDescent="0.35">
      <c r="A331" s="9" t="s">
        <v>25</v>
      </c>
      <c r="C331" s="10"/>
      <c r="D331" s="10"/>
      <c r="E331" s="10"/>
      <c r="F331" s="10"/>
      <c r="G331" s="10"/>
      <c r="H331" s="11"/>
      <c r="I331" s="11"/>
      <c r="J331" s="12" t="e">
        <f>+VLOOKUP(K331,Datos!$A:$C,3,FALSE)</f>
        <v>#N/A</v>
      </c>
      <c r="K331" s="10"/>
      <c r="L331" s="12" t="e">
        <f>+VLOOKUP(K331,Datos!$A:$C,2,FALSE)</f>
        <v>#N/A</v>
      </c>
      <c r="M331" s="10"/>
      <c r="N331" s="12" t="e">
        <f>+VLOOKUP(M331,Datos!$F:$G,2,FALSE)</f>
        <v>#N/A</v>
      </c>
      <c r="O331" s="13">
        <f>IFERROR(IF(A331="SI",VLOOKUP(R331,Datos!$J$1:$K$50,2,FALSE)*C331,VLOOKUP(R331,Datos!$P$1:$T$13,2,FALSE)*C331),0)</f>
        <v>0</v>
      </c>
      <c r="P331" s="9"/>
      <c r="Q331" s="12" t="e">
        <f>+VLOOKUP(P331,Datos!$F:$G,2,FALSE)</f>
        <v>#N/A</v>
      </c>
      <c r="V331" s="10">
        <f t="shared" si="5"/>
        <v>0</v>
      </c>
      <c r="W331" s="10" t="e">
        <f>+VLOOKUP(M331,Datos!$F:$H,3,FALSE)</f>
        <v>#N/A</v>
      </c>
      <c r="X331">
        <v>0</v>
      </c>
      <c r="Y331" s="14"/>
      <c r="Z331" t="e">
        <f>VLOOKUP(M331,'[1]INDIVIDUAL UN'!$C$6:$F$222,4,FALSE)</f>
        <v>#N/A</v>
      </c>
    </row>
    <row r="332" spans="1:26" x14ac:dyDescent="0.35">
      <c r="A332" s="9" t="s">
        <v>25</v>
      </c>
      <c r="C332" s="10"/>
      <c r="D332" s="10"/>
      <c r="E332" s="10"/>
      <c r="F332" s="10"/>
      <c r="G332" s="10"/>
      <c r="H332" s="11"/>
      <c r="I332" s="11"/>
      <c r="J332" s="12" t="e">
        <f>+VLOOKUP(K332,Datos!$A:$C,3,FALSE)</f>
        <v>#N/A</v>
      </c>
      <c r="K332" s="10"/>
      <c r="L332" s="12" t="e">
        <f>+VLOOKUP(K332,Datos!$A:$C,2,FALSE)</f>
        <v>#N/A</v>
      </c>
      <c r="M332" s="10"/>
      <c r="N332" s="12" t="e">
        <f>+VLOOKUP(M332,Datos!$F:$G,2,FALSE)</f>
        <v>#N/A</v>
      </c>
      <c r="O332" s="13">
        <f>IFERROR(IF(A332="SI",VLOOKUP(R332,Datos!$J$1:$K$50,2,FALSE)*C332,VLOOKUP(R332,Datos!$P$1:$T$13,2,FALSE)*C332),0)</f>
        <v>0</v>
      </c>
      <c r="P332" s="9"/>
      <c r="Q332" s="12" t="e">
        <f>+VLOOKUP(P332,Datos!$F:$G,2,FALSE)</f>
        <v>#N/A</v>
      </c>
      <c r="V332" s="10">
        <f t="shared" si="5"/>
        <v>0</v>
      </c>
      <c r="W332" s="10" t="e">
        <f>+VLOOKUP(M332,Datos!$F:$H,3,FALSE)</f>
        <v>#N/A</v>
      </c>
      <c r="X332">
        <v>0</v>
      </c>
      <c r="Y332" s="14"/>
      <c r="Z332" t="e">
        <f>VLOOKUP(M332,'[1]INDIVIDUAL UN'!$C$6:$F$222,4,FALSE)</f>
        <v>#N/A</v>
      </c>
    </row>
    <row r="333" spans="1:26" x14ac:dyDescent="0.35">
      <c r="A333" s="9" t="s">
        <v>25</v>
      </c>
      <c r="C333" s="10"/>
      <c r="D333" s="10"/>
      <c r="E333" s="10"/>
      <c r="F333" s="10"/>
      <c r="G333" s="10"/>
      <c r="H333" s="11"/>
      <c r="I333" s="11"/>
      <c r="J333" s="12" t="e">
        <f>+VLOOKUP(K333,Datos!$A:$C,3,FALSE)</f>
        <v>#N/A</v>
      </c>
      <c r="K333" s="10"/>
      <c r="L333" s="12" t="e">
        <f>+VLOOKUP(K333,Datos!$A:$C,2,FALSE)</f>
        <v>#N/A</v>
      </c>
      <c r="M333" s="10"/>
      <c r="N333" s="12" t="e">
        <f>+VLOOKUP(M333,Datos!$F:$G,2,FALSE)</f>
        <v>#N/A</v>
      </c>
      <c r="O333" s="13">
        <f>IFERROR(IF(A333="SI",VLOOKUP(R333,Datos!$J$1:$K$50,2,FALSE)*C333,VLOOKUP(R333,Datos!$P$1:$T$13,2,FALSE)*C333),0)</f>
        <v>0</v>
      </c>
      <c r="P333" s="9"/>
      <c r="Q333" s="12" t="e">
        <f>+VLOOKUP(P333,Datos!$F:$G,2,FALSE)</f>
        <v>#N/A</v>
      </c>
      <c r="V333" s="10">
        <f t="shared" si="5"/>
        <v>0</v>
      </c>
      <c r="W333" s="10" t="e">
        <f>+VLOOKUP(M333,Datos!$F:$H,3,FALSE)</f>
        <v>#N/A</v>
      </c>
      <c r="X333">
        <v>0</v>
      </c>
      <c r="Y333" s="14"/>
      <c r="Z333" t="e">
        <f>VLOOKUP(M333,'[1]INDIVIDUAL UN'!$C$6:$F$222,4,FALSE)</f>
        <v>#N/A</v>
      </c>
    </row>
    <row r="334" spans="1:26" x14ac:dyDescent="0.35">
      <c r="A334" s="9" t="s">
        <v>25</v>
      </c>
      <c r="C334" s="10"/>
      <c r="D334" s="10"/>
      <c r="E334" s="10"/>
      <c r="F334" s="10"/>
      <c r="G334" s="10"/>
      <c r="H334" s="11"/>
      <c r="I334" s="11"/>
      <c r="J334" s="12" t="e">
        <f>+VLOOKUP(K334,Datos!$A:$C,3,FALSE)</f>
        <v>#N/A</v>
      </c>
      <c r="K334" s="10"/>
      <c r="L334" s="12" t="e">
        <f>+VLOOKUP(K334,Datos!$A:$C,2,FALSE)</f>
        <v>#N/A</v>
      </c>
      <c r="M334" s="10"/>
      <c r="N334" s="12" t="e">
        <f>+VLOOKUP(M334,Datos!$F:$G,2,FALSE)</f>
        <v>#N/A</v>
      </c>
      <c r="O334" s="13">
        <f>IFERROR(IF(A334="SI",VLOOKUP(R334,Datos!$J$1:$K$50,2,FALSE)*C334,VLOOKUP(R334,Datos!$P$1:$T$13,2,FALSE)*C334),0)</f>
        <v>0</v>
      </c>
      <c r="P334" s="9"/>
      <c r="Q334" s="12" t="e">
        <f>+VLOOKUP(P334,Datos!$F:$G,2,FALSE)</f>
        <v>#N/A</v>
      </c>
      <c r="V334" s="10">
        <f t="shared" si="5"/>
        <v>0</v>
      </c>
      <c r="W334" s="10" t="e">
        <f>+VLOOKUP(M334,Datos!$F:$H,3,FALSE)</f>
        <v>#N/A</v>
      </c>
      <c r="X334">
        <v>0</v>
      </c>
      <c r="Y334" s="14"/>
      <c r="Z334" t="e">
        <f>VLOOKUP(M334,'[1]INDIVIDUAL UN'!$C$6:$F$222,4,FALSE)</f>
        <v>#N/A</v>
      </c>
    </row>
    <row r="335" spans="1:26" x14ac:dyDescent="0.35">
      <c r="A335" s="9" t="s">
        <v>25</v>
      </c>
      <c r="C335" s="10"/>
      <c r="D335" s="10"/>
      <c r="E335" s="10"/>
      <c r="F335" s="10"/>
      <c r="G335" s="10"/>
      <c r="H335" s="11"/>
      <c r="I335" s="11"/>
      <c r="J335" s="12" t="e">
        <f>+VLOOKUP(K335,Datos!$A:$C,3,FALSE)</f>
        <v>#N/A</v>
      </c>
      <c r="K335" s="10"/>
      <c r="L335" s="12" t="e">
        <f>+VLOOKUP(K335,Datos!$A:$C,2,FALSE)</f>
        <v>#N/A</v>
      </c>
      <c r="M335" s="10"/>
      <c r="N335" s="12" t="e">
        <f>+VLOOKUP(M335,Datos!$F:$G,2,FALSE)</f>
        <v>#N/A</v>
      </c>
      <c r="O335" s="13">
        <f>IFERROR(IF(A335="SI",VLOOKUP(R335,Datos!$J$1:$K$50,2,FALSE)*C335,VLOOKUP(R335,Datos!$P$1:$T$13,2,FALSE)*C335),0)</f>
        <v>0</v>
      </c>
      <c r="P335" s="9"/>
      <c r="Q335" s="12" t="e">
        <f>+VLOOKUP(P335,Datos!$F:$G,2,FALSE)</f>
        <v>#N/A</v>
      </c>
      <c r="V335" s="10">
        <f t="shared" si="5"/>
        <v>0</v>
      </c>
      <c r="W335" s="10" t="e">
        <f>+VLOOKUP(M335,Datos!$F:$H,3,FALSE)</f>
        <v>#N/A</v>
      </c>
      <c r="X335">
        <v>0</v>
      </c>
      <c r="Y335" s="14"/>
      <c r="Z335" t="e">
        <f>VLOOKUP(M335,'[1]INDIVIDUAL UN'!$C$6:$F$222,4,FALSE)</f>
        <v>#N/A</v>
      </c>
    </row>
    <row r="336" spans="1:26" x14ac:dyDescent="0.35">
      <c r="A336" s="9" t="s">
        <v>25</v>
      </c>
      <c r="C336" s="10"/>
      <c r="D336" s="10"/>
      <c r="E336" s="10"/>
      <c r="F336" s="10"/>
      <c r="G336" s="10"/>
      <c r="H336" s="11"/>
      <c r="I336" s="11"/>
      <c r="J336" s="12" t="e">
        <f>+VLOOKUP(K336,Datos!$A:$C,3,FALSE)</f>
        <v>#N/A</v>
      </c>
      <c r="K336" s="10"/>
      <c r="L336" s="12" t="e">
        <f>+VLOOKUP(K336,Datos!$A:$C,2,FALSE)</f>
        <v>#N/A</v>
      </c>
      <c r="M336" s="10"/>
      <c r="N336" s="12" t="e">
        <f>+VLOOKUP(M336,Datos!$F:$G,2,FALSE)</f>
        <v>#N/A</v>
      </c>
      <c r="O336" s="13">
        <f>IFERROR(IF(A336="SI",VLOOKUP(R336,Datos!$J$1:$K$50,2,FALSE)*C336,VLOOKUP(R336,Datos!$P$1:$T$13,2,FALSE)*C336),0)</f>
        <v>0</v>
      </c>
      <c r="P336" s="9"/>
      <c r="Q336" s="12" t="e">
        <f>+VLOOKUP(P336,Datos!$F:$G,2,FALSE)</f>
        <v>#N/A</v>
      </c>
      <c r="V336" s="10">
        <f t="shared" si="5"/>
        <v>0</v>
      </c>
      <c r="W336" s="10" t="e">
        <f>+VLOOKUP(M336,Datos!$F:$H,3,FALSE)</f>
        <v>#N/A</v>
      </c>
      <c r="X336">
        <v>0</v>
      </c>
      <c r="Y336" s="14"/>
      <c r="Z336" t="e">
        <f>VLOOKUP(M336,'[1]INDIVIDUAL UN'!$C$6:$F$222,4,FALSE)</f>
        <v>#N/A</v>
      </c>
    </row>
    <row r="337" spans="1:26" x14ac:dyDescent="0.35">
      <c r="A337" s="9" t="s">
        <v>25</v>
      </c>
      <c r="C337" s="10"/>
      <c r="D337" s="10"/>
      <c r="E337" s="10"/>
      <c r="F337" s="10"/>
      <c r="G337" s="10"/>
      <c r="H337" s="11"/>
      <c r="I337" s="11"/>
      <c r="J337" s="12" t="e">
        <f>+VLOOKUP(K337,Datos!$A:$C,3,FALSE)</f>
        <v>#N/A</v>
      </c>
      <c r="K337" s="10"/>
      <c r="L337" s="12" t="e">
        <f>+VLOOKUP(K337,Datos!$A:$C,2,FALSE)</f>
        <v>#N/A</v>
      </c>
      <c r="M337" s="10"/>
      <c r="N337" s="12" t="e">
        <f>+VLOOKUP(M337,Datos!$F:$G,2,FALSE)</f>
        <v>#N/A</v>
      </c>
      <c r="O337" s="13">
        <f>IFERROR(IF(A337="SI",VLOOKUP(R337,Datos!$J$1:$K$50,2,FALSE)*C337,VLOOKUP(R337,Datos!$P$1:$T$13,2,FALSE)*C337),0)</f>
        <v>0</v>
      </c>
      <c r="P337" s="9"/>
      <c r="Q337" s="12" t="e">
        <f>+VLOOKUP(P337,Datos!$F:$G,2,FALSE)</f>
        <v>#N/A</v>
      </c>
      <c r="V337" s="10">
        <f t="shared" si="5"/>
        <v>0</v>
      </c>
      <c r="W337" s="10" t="e">
        <f>+VLOOKUP(M337,Datos!$F:$H,3,FALSE)</f>
        <v>#N/A</v>
      </c>
      <c r="X337">
        <v>0</v>
      </c>
      <c r="Y337" s="14"/>
      <c r="Z337" t="e">
        <f>VLOOKUP(M337,'[1]INDIVIDUAL UN'!$C$6:$F$222,4,FALSE)</f>
        <v>#N/A</v>
      </c>
    </row>
    <row r="338" spans="1:26" x14ac:dyDescent="0.35">
      <c r="A338" s="9" t="s">
        <v>25</v>
      </c>
      <c r="C338" s="16"/>
      <c r="D338" s="16"/>
      <c r="E338" s="16"/>
      <c r="F338" s="16"/>
      <c r="G338" s="16"/>
      <c r="H338" s="42"/>
      <c r="I338" s="42"/>
      <c r="J338" s="12" t="e">
        <f>+VLOOKUP(K338,Datos!$A:$C,3,FALSE)</f>
        <v>#N/A</v>
      </c>
      <c r="K338" s="16"/>
      <c r="L338" s="12" t="e">
        <f>+VLOOKUP(K338,Datos!$A:$C,2,FALSE)</f>
        <v>#N/A</v>
      </c>
      <c r="M338" s="16"/>
      <c r="N338" s="12" t="e">
        <f>+VLOOKUP(M338,Datos!$F:$G,2,FALSE)</f>
        <v>#N/A</v>
      </c>
      <c r="O338" s="13">
        <f>IFERROR(IF(A338="SI",VLOOKUP(R338,Datos!$J$1:$K$50,2,FALSE)*C338,VLOOKUP(R338,Datos!$P$1:$T$13,2,FALSE)*C338),0)</f>
        <v>0</v>
      </c>
      <c r="P338" s="16"/>
      <c r="Q338" s="12" t="e">
        <f>+VLOOKUP(P338,Datos!$F:$G,2,FALSE)</f>
        <v>#N/A</v>
      </c>
      <c r="V338" s="10">
        <f t="shared" si="5"/>
        <v>0</v>
      </c>
      <c r="W338" s="10" t="e">
        <f>+VLOOKUP(M338,Datos!$F:$H,3,FALSE)</f>
        <v>#N/A</v>
      </c>
      <c r="X338">
        <v>0</v>
      </c>
      <c r="Y338" s="14"/>
      <c r="Z338" t="e">
        <f>VLOOKUP(M338,'[1]INDIVIDUAL UN'!$C$6:$F$222,4,FALSE)</f>
        <v>#N/A</v>
      </c>
    </row>
    <row r="339" spans="1:26" x14ac:dyDescent="0.35">
      <c r="A339" s="9" t="s">
        <v>25</v>
      </c>
      <c r="C339" s="16"/>
      <c r="D339" s="16"/>
      <c r="E339" s="16"/>
      <c r="F339" s="16"/>
      <c r="G339" s="16"/>
      <c r="H339" s="42"/>
      <c r="I339" s="42"/>
      <c r="J339" s="12" t="e">
        <f>+VLOOKUP(K339,Datos!$A:$C,3,FALSE)</f>
        <v>#N/A</v>
      </c>
      <c r="K339" s="16"/>
      <c r="L339" s="12" t="e">
        <f>+VLOOKUP(K339,Datos!$A:$C,2,FALSE)</f>
        <v>#N/A</v>
      </c>
      <c r="M339" s="16"/>
      <c r="N339" s="12" t="e">
        <f>+VLOOKUP(M339,Datos!$F:$G,2,FALSE)</f>
        <v>#N/A</v>
      </c>
      <c r="O339" s="13">
        <f>IFERROR(IF(A339="SI",VLOOKUP(R339,Datos!$J$1:$K$50,2,FALSE)*C339,VLOOKUP(R339,Datos!$P$1:$T$13,2,FALSE)*C339),0)</f>
        <v>0</v>
      </c>
      <c r="P339" s="16"/>
      <c r="Q339" s="12" t="e">
        <f>+VLOOKUP(P339,Datos!$F:$G,2,FALSE)</f>
        <v>#N/A</v>
      </c>
      <c r="V339" s="10">
        <f t="shared" si="5"/>
        <v>0</v>
      </c>
      <c r="W339" s="10" t="e">
        <f>+VLOOKUP(M339,Datos!$F:$H,3,FALSE)</f>
        <v>#N/A</v>
      </c>
      <c r="X339">
        <v>0</v>
      </c>
      <c r="Y339" s="14"/>
      <c r="Z339" t="e">
        <f>VLOOKUP(M339,'[1]INDIVIDUAL UN'!$C$6:$F$222,4,FALSE)</f>
        <v>#N/A</v>
      </c>
    </row>
    <row r="340" spans="1:26" x14ac:dyDescent="0.35">
      <c r="A340" s="9" t="s">
        <v>25</v>
      </c>
      <c r="C340" s="16"/>
      <c r="D340" s="16"/>
      <c r="E340" s="16"/>
      <c r="F340" s="16"/>
      <c r="G340" s="16"/>
      <c r="H340" s="42"/>
      <c r="I340" s="42"/>
      <c r="J340" s="12" t="e">
        <f>+VLOOKUP(K340,Datos!$A:$C,3,FALSE)</f>
        <v>#N/A</v>
      </c>
      <c r="K340" s="16"/>
      <c r="L340" s="12" t="e">
        <f>+VLOOKUP(K340,Datos!$A:$C,2,FALSE)</f>
        <v>#N/A</v>
      </c>
      <c r="M340" s="16"/>
      <c r="N340" s="12" t="e">
        <f>+VLOOKUP(M340,Datos!$F:$G,2,FALSE)</f>
        <v>#N/A</v>
      </c>
      <c r="O340" s="13">
        <f>IFERROR(IF(A340="SI",VLOOKUP(R340,Datos!$J$1:$K$50,2,FALSE)*C340,VLOOKUP(R340,Datos!$P$1:$T$13,2,FALSE)*C340),0)</f>
        <v>0</v>
      </c>
      <c r="P340" s="16"/>
      <c r="Q340" s="12" t="e">
        <f>+VLOOKUP(P340,Datos!$F:$G,2,FALSE)</f>
        <v>#N/A</v>
      </c>
      <c r="V340" s="10">
        <f t="shared" si="5"/>
        <v>0</v>
      </c>
      <c r="W340" s="10" t="e">
        <f>+VLOOKUP(M340,Datos!$F:$H,3,FALSE)</f>
        <v>#N/A</v>
      </c>
      <c r="X340">
        <v>0</v>
      </c>
      <c r="Y340" s="14"/>
      <c r="Z340" t="e">
        <f>VLOOKUP(M340,'[1]INDIVIDUAL UN'!$C$6:$F$222,4,FALSE)</f>
        <v>#N/A</v>
      </c>
    </row>
    <row r="341" spans="1:26" x14ac:dyDescent="0.35">
      <c r="A341" s="9" t="s">
        <v>25</v>
      </c>
      <c r="C341" s="16"/>
      <c r="D341" s="16"/>
      <c r="E341" s="16"/>
      <c r="F341" s="16"/>
      <c r="G341" s="16"/>
      <c r="H341" s="42"/>
      <c r="I341" s="42"/>
      <c r="J341" s="12" t="e">
        <f>+VLOOKUP(K341,Datos!$A:$C,3,FALSE)</f>
        <v>#N/A</v>
      </c>
      <c r="K341" s="16"/>
      <c r="L341" s="12" t="e">
        <f>+VLOOKUP(K341,Datos!$A:$C,2,FALSE)</f>
        <v>#N/A</v>
      </c>
      <c r="M341" s="16"/>
      <c r="N341" s="12" t="e">
        <f>+VLOOKUP(M341,Datos!$F:$G,2,FALSE)</f>
        <v>#N/A</v>
      </c>
      <c r="O341" s="13">
        <f>IFERROR(IF(A341="SI",VLOOKUP(R341,Datos!$J$1:$K$50,2,FALSE)*C341,VLOOKUP(R341,Datos!$P$1:$T$13,2,FALSE)*C341),0)</f>
        <v>0</v>
      </c>
      <c r="P341" s="16"/>
      <c r="Q341" s="12" t="e">
        <f>+VLOOKUP(P341,Datos!$F:$G,2,FALSE)</f>
        <v>#N/A</v>
      </c>
      <c r="V341" s="10">
        <f t="shared" si="5"/>
        <v>0</v>
      </c>
      <c r="W341" s="10" t="e">
        <f>+VLOOKUP(M341,Datos!$F:$H,3,FALSE)</f>
        <v>#N/A</v>
      </c>
      <c r="X341">
        <v>0</v>
      </c>
      <c r="Y341" s="14"/>
      <c r="Z341" t="e">
        <f>VLOOKUP(M341,'[1]INDIVIDUAL UN'!$C$6:$F$222,4,FALSE)</f>
        <v>#N/A</v>
      </c>
    </row>
    <row r="342" spans="1:26" x14ac:dyDescent="0.35">
      <c r="A342" s="9" t="s">
        <v>25</v>
      </c>
      <c r="C342" s="10"/>
      <c r="D342" s="10"/>
      <c r="E342" s="10"/>
      <c r="F342" s="10"/>
      <c r="G342" s="10"/>
      <c r="H342" s="11"/>
      <c r="I342" s="11"/>
      <c r="J342" s="12" t="e">
        <f>+VLOOKUP(K342,Datos!$A:$C,3,FALSE)</f>
        <v>#N/A</v>
      </c>
      <c r="K342" s="10"/>
      <c r="L342" s="12" t="e">
        <f>+VLOOKUP(K342,Datos!$A:$C,2,FALSE)</f>
        <v>#N/A</v>
      </c>
      <c r="M342" s="10"/>
      <c r="N342" s="12" t="e">
        <f>+VLOOKUP(M342,Datos!$F:$G,2,FALSE)</f>
        <v>#N/A</v>
      </c>
      <c r="O342" s="13">
        <f>IFERROR(IF(A342="SI",VLOOKUP(R342,Datos!$J$1:$K$50,2,FALSE)*C342,VLOOKUP(R342,Datos!$P$1:$T$13,2,FALSE)*C342),0)</f>
        <v>0</v>
      </c>
      <c r="P342" s="10"/>
      <c r="Q342" s="12" t="e">
        <f>+VLOOKUP(P342,Datos!$F:$G,2,FALSE)</f>
        <v>#N/A</v>
      </c>
      <c r="V342" s="10">
        <f t="shared" si="5"/>
        <v>0</v>
      </c>
      <c r="W342" s="10" t="e">
        <f>+VLOOKUP(M342,Datos!$F:$H,3,FALSE)</f>
        <v>#N/A</v>
      </c>
      <c r="X342">
        <v>0</v>
      </c>
      <c r="Y342" s="14"/>
      <c r="Z342" t="e">
        <f>VLOOKUP(M342,'[1]INDIVIDUAL UN'!$C$6:$F$222,4,FALSE)</f>
        <v>#N/A</v>
      </c>
    </row>
    <row r="343" spans="1:26" x14ac:dyDescent="0.35">
      <c r="A343" s="9" t="s">
        <v>25</v>
      </c>
      <c r="C343" s="10"/>
      <c r="D343" s="10"/>
      <c r="E343" s="10"/>
      <c r="F343" s="10"/>
      <c r="G343" s="10"/>
      <c r="H343" s="11"/>
      <c r="I343" s="11"/>
      <c r="J343" s="12" t="e">
        <f>+VLOOKUP(K343,Datos!$A:$C,3,FALSE)</f>
        <v>#N/A</v>
      </c>
      <c r="K343" s="10"/>
      <c r="L343" s="12" t="e">
        <f>+VLOOKUP(K343,Datos!$A:$C,2,FALSE)</f>
        <v>#N/A</v>
      </c>
      <c r="M343" s="10"/>
      <c r="N343" s="12" t="e">
        <f>+VLOOKUP(M343,Datos!$F:$G,2,FALSE)</f>
        <v>#N/A</v>
      </c>
      <c r="O343" s="13">
        <f>IFERROR(IF(A343="SI",VLOOKUP(R343,Datos!$J$1:$K$50,2,FALSE)*C343,VLOOKUP(R343,Datos!$P$1:$T$13,2,FALSE)*C343),0)</f>
        <v>0</v>
      </c>
      <c r="P343" s="10"/>
      <c r="Q343" s="12" t="e">
        <f>+VLOOKUP(P343,Datos!$F:$G,2,FALSE)</f>
        <v>#N/A</v>
      </c>
      <c r="V343" s="10">
        <f t="shared" si="5"/>
        <v>0</v>
      </c>
      <c r="W343" s="10" t="e">
        <f>+VLOOKUP(M343,Datos!$F:$H,3,FALSE)</f>
        <v>#N/A</v>
      </c>
      <c r="X343">
        <v>0</v>
      </c>
      <c r="Y343" s="14"/>
      <c r="Z343" t="e">
        <f>VLOOKUP(M343,'[1]INDIVIDUAL UN'!$C$6:$F$222,4,FALSE)</f>
        <v>#N/A</v>
      </c>
    </row>
    <row r="344" spans="1:26" x14ac:dyDescent="0.35">
      <c r="A344" s="9" t="s">
        <v>25</v>
      </c>
      <c r="C344" s="10"/>
      <c r="D344" s="10"/>
      <c r="E344" s="10"/>
      <c r="F344" s="10"/>
      <c r="G344" s="10"/>
      <c r="H344" s="11"/>
      <c r="I344" s="11"/>
      <c r="J344" s="12" t="e">
        <f>+VLOOKUP(K344,Datos!$A:$C,3,FALSE)</f>
        <v>#N/A</v>
      </c>
      <c r="K344" s="10"/>
      <c r="L344" s="12" t="e">
        <f>+VLOOKUP(K344,Datos!$A:$C,2,FALSE)</f>
        <v>#N/A</v>
      </c>
      <c r="M344" s="10"/>
      <c r="N344" s="12" t="e">
        <f>+VLOOKUP(M344,Datos!$F:$G,2,FALSE)</f>
        <v>#N/A</v>
      </c>
      <c r="O344" s="13">
        <f>IFERROR(IF(A344="SI",VLOOKUP(R344,Datos!$J$1:$K$50,2,FALSE)*C344,VLOOKUP(R344,Datos!$P$1:$T$13,2,FALSE)*C344),0)</f>
        <v>0</v>
      </c>
      <c r="P344" s="10"/>
      <c r="Q344" s="12" t="e">
        <f>+VLOOKUP(P344,Datos!$F:$G,2,FALSE)</f>
        <v>#N/A</v>
      </c>
      <c r="V344" s="10">
        <f t="shared" si="5"/>
        <v>0</v>
      </c>
      <c r="W344" s="10" t="e">
        <f>+VLOOKUP(M344,Datos!$F:$H,3,FALSE)</f>
        <v>#N/A</v>
      </c>
      <c r="X344">
        <v>0</v>
      </c>
      <c r="Y344" s="14"/>
      <c r="Z344" t="e">
        <f>VLOOKUP(M344,'[1]INDIVIDUAL UN'!$C$6:$F$222,4,FALSE)</f>
        <v>#N/A</v>
      </c>
    </row>
    <row r="345" spans="1:26" x14ac:dyDescent="0.35">
      <c r="A345" s="9" t="s">
        <v>25</v>
      </c>
      <c r="C345" s="10"/>
      <c r="D345" s="10"/>
      <c r="E345" s="10"/>
      <c r="F345" s="10"/>
      <c r="G345" s="10"/>
      <c r="H345" s="11"/>
      <c r="I345" s="11"/>
      <c r="J345" s="12" t="e">
        <f>+VLOOKUP(K345,Datos!$A:$C,3,FALSE)</f>
        <v>#N/A</v>
      </c>
      <c r="K345" s="10"/>
      <c r="L345" s="12" t="e">
        <f>+VLOOKUP(K345,Datos!$A:$C,2,FALSE)</f>
        <v>#N/A</v>
      </c>
      <c r="M345" s="10"/>
      <c r="N345" s="12" t="e">
        <f>+VLOOKUP(M345,Datos!$F:$G,2,FALSE)</f>
        <v>#N/A</v>
      </c>
      <c r="O345" s="13">
        <f>IFERROR(IF(A345="SI",VLOOKUP(R345,Datos!$J$1:$K$50,2,FALSE)*C345,VLOOKUP(R345,Datos!$P$1:$T$13,2,FALSE)*C345),0)</f>
        <v>0</v>
      </c>
      <c r="P345" s="10"/>
      <c r="Q345" s="12" t="e">
        <f>+VLOOKUP(P345,Datos!$F:$G,2,FALSE)</f>
        <v>#N/A</v>
      </c>
      <c r="V345" s="10">
        <f t="shared" si="5"/>
        <v>0</v>
      </c>
      <c r="W345" s="10" t="e">
        <f>+VLOOKUP(M345,Datos!$F:$H,3,FALSE)</f>
        <v>#N/A</v>
      </c>
      <c r="X345">
        <v>0</v>
      </c>
      <c r="Y345" s="14"/>
      <c r="Z345" t="e">
        <f>VLOOKUP(M345,'[1]INDIVIDUAL UN'!$C$6:$F$222,4,FALSE)</f>
        <v>#N/A</v>
      </c>
    </row>
    <row r="346" spans="1:26" x14ac:dyDescent="0.35">
      <c r="A346" s="9" t="s">
        <v>25</v>
      </c>
      <c r="D346" s="10"/>
      <c r="E346" s="10"/>
      <c r="F346" s="10"/>
      <c r="G346" s="64"/>
      <c r="H346" s="11"/>
      <c r="J346" s="12" t="e">
        <f>+VLOOKUP(K346,Datos!$A:$C,3,FALSE)</f>
        <v>#N/A</v>
      </c>
      <c r="L346" s="12" t="e">
        <f>+VLOOKUP(K346,Datos!$A:$C,2,FALSE)</f>
        <v>#N/A</v>
      </c>
      <c r="N346" s="12" t="e">
        <f>+VLOOKUP(M346,Datos!$F:$G,2,FALSE)</f>
        <v>#N/A</v>
      </c>
      <c r="O346" s="13">
        <f>IFERROR(IF(A346="SI",VLOOKUP(R346,Datos!$J$1:$K$50,2,FALSE)*C346,VLOOKUP(R346,Datos!$P$1:$T$13,2,FALSE)*C346),0)</f>
        <v>0</v>
      </c>
      <c r="P346" s="9"/>
      <c r="Q346" s="12" t="e">
        <f>+VLOOKUP(P346,Datos!$F:$G,2,FALSE)</f>
        <v>#N/A</v>
      </c>
      <c r="V346" s="10">
        <f t="shared" si="5"/>
        <v>0</v>
      </c>
      <c r="W346" s="10" t="e">
        <f>+VLOOKUP(M346,Datos!$F:$H,3,FALSE)</f>
        <v>#N/A</v>
      </c>
      <c r="X346">
        <v>0</v>
      </c>
      <c r="Y346" s="14"/>
      <c r="Z346" t="e">
        <f>VLOOKUP(M346,'[1]INDIVIDUAL UN'!$C$6:$F$222,4,FALSE)</f>
        <v>#N/A</v>
      </c>
    </row>
    <row r="347" spans="1:26" x14ac:dyDescent="0.35">
      <c r="A347" s="9" t="s">
        <v>25</v>
      </c>
      <c r="C347" s="10"/>
      <c r="D347" s="10"/>
      <c r="E347" s="10"/>
      <c r="F347" s="10"/>
      <c r="G347" s="10"/>
      <c r="H347" s="11"/>
      <c r="I347" s="11"/>
      <c r="J347" s="12" t="e">
        <f>+VLOOKUP(K347,Datos!$A:$C,3,FALSE)</f>
        <v>#N/A</v>
      </c>
      <c r="K347" s="10"/>
      <c r="L347" s="12" t="e">
        <f>+VLOOKUP(K347,Datos!$A:$C,2,FALSE)</f>
        <v>#N/A</v>
      </c>
      <c r="M347" s="10"/>
      <c r="N347" s="12" t="e">
        <f>+VLOOKUP(M347,Datos!$F:$G,2,FALSE)</f>
        <v>#N/A</v>
      </c>
      <c r="O347" s="13">
        <f>IFERROR(IF(A347="SI",VLOOKUP(R347,Datos!$J$1:$K$50,2,FALSE)*C347,VLOOKUP(R347,Datos!$P$1:$T$13,2,FALSE)*C347),0)</f>
        <v>0</v>
      </c>
      <c r="P347" s="10"/>
      <c r="Q347" s="12" t="e">
        <f>+VLOOKUP(P347,Datos!$F:$G,2,FALSE)</f>
        <v>#N/A</v>
      </c>
      <c r="V347" s="10">
        <f t="shared" si="5"/>
        <v>0</v>
      </c>
      <c r="W347" s="10" t="e">
        <f>+VLOOKUP(M347,Datos!$F:$H,3,FALSE)</f>
        <v>#N/A</v>
      </c>
      <c r="X347">
        <v>0</v>
      </c>
      <c r="Y347" s="14"/>
      <c r="Z347" t="e">
        <f>VLOOKUP(M347,'[1]INDIVIDUAL UN'!$C$6:$F$222,4,FALSE)</f>
        <v>#N/A</v>
      </c>
    </row>
    <row r="348" spans="1:26" x14ac:dyDescent="0.35">
      <c r="A348" s="9" t="s">
        <v>25</v>
      </c>
      <c r="C348" s="10"/>
      <c r="D348" s="10"/>
      <c r="E348" s="10"/>
      <c r="F348" s="10"/>
      <c r="G348" s="10"/>
      <c r="H348" s="11"/>
      <c r="I348" s="11"/>
      <c r="J348" s="12" t="e">
        <f>+VLOOKUP(K348,Datos!$A:$C,3,FALSE)</f>
        <v>#N/A</v>
      </c>
      <c r="K348" s="10"/>
      <c r="L348" s="12" t="e">
        <f>+VLOOKUP(K348,Datos!$A:$C,2,FALSE)</f>
        <v>#N/A</v>
      </c>
      <c r="M348" s="10"/>
      <c r="N348" s="12" t="e">
        <f>+VLOOKUP(M348,Datos!$F:$G,2,FALSE)</f>
        <v>#N/A</v>
      </c>
      <c r="O348" s="13">
        <f>IFERROR(IF(A348="SI",VLOOKUP(R348,Datos!$J$1:$K$50,2,FALSE)*C348,VLOOKUP(R348,Datos!$P$1:$T$13,2,FALSE)*C348),0)</f>
        <v>0</v>
      </c>
      <c r="P348" s="9"/>
      <c r="Q348" s="12" t="e">
        <f>+VLOOKUP(P348,Datos!$F:$G,2,FALSE)</f>
        <v>#N/A</v>
      </c>
      <c r="V348" s="10">
        <f t="shared" si="5"/>
        <v>0</v>
      </c>
      <c r="W348" s="10" t="e">
        <f>+VLOOKUP(M348,Datos!$F:$H,3,FALSE)</f>
        <v>#N/A</v>
      </c>
      <c r="X348">
        <v>0</v>
      </c>
      <c r="Y348" s="14"/>
      <c r="Z348" t="e">
        <f>VLOOKUP(M348,'[1]INDIVIDUAL UN'!$C$6:$F$222,4,FALSE)</f>
        <v>#N/A</v>
      </c>
    </row>
    <row r="349" spans="1:26" x14ac:dyDescent="0.35">
      <c r="A349" s="9" t="s">
        <v>25</v>
      </c>
      <c r="C349" s="10"/>
      <c r="D349" s="10"/>
      <c r="E349" s="10"/>
      <c r="F349" s="10"/>
      <c r="G349" s="10"/>
      <c r="H349" s="11"/>
      <c r="I349" s="11"/>
      <c r="J349" s="12" t="e">
        <f>+VLOOKUP(K349,Datos!$A:$C,3,FALSE)</f>
        <v>#N/A</v>
      </c>
      <c r="K349" s="10"/>
      <c r="L349" s="12" t="e">
        <f>+VLOOKUP(K349,Datos!$A:$C,2,FALSE)</f>
        <v>#N/A</v>
      </c>
      <c r="M349" s="10"/>
      <c r="N349" s="12" t="e">
        <f>+VLOOKUP(M349,Datos!$F:$G,2,FALSE)</f>
        <v>#N/A</v>
      </c>
      <c r="O349" s="13">
        <f>IFERROR(IF(A349="SI",VLOOKUP(R349,Datos!$J$1:$K$50,2,FALSE)*C349,VLOOKUP(R349,Datos!$P$1:$T$13,2,FALSE)*C349),0)</f>
        <v>0</v>
      </c>
      <c r="P349" s="9"/>
      <c r="Q349" s="12" t="e">
        <f>+VLOOKUP(P349,Datos!$F:$G,2,FALSE)</f>
        <v>#N/A</v>
      </c>
      <c r="V349" s="10">
        <f t="shared" si="5"/>
        <v>0</v>
      </c>
      <c r="W349" s="10" t="e">
        <f>+VLOOKUP(M349,Datos!$F:$H,3,FALSE)</f>
        <v>#N/A</v>
      </c>
      <c r="X349">
        <v>0</v>
      </c>
      <c r="Y349" s="14"/>
      <c r="Z349" t="e">
        <f>VLOOKUP(M349,'[1]INDIVIDUAL UN'!$C$6:$F$222,4,FALSE)</f>
        <v>#N/A</v>
      </c>
    </row>
    <row r="350" spans="1:26" x14ac:dyDescent="0.35">
      <c r="A350" s="9" t="s">
        <v>25</v>
      </c>
      <c r="C350" s="10"/>
      <c r="D350" s="10"/>
      <c r="E350" s="10"/>
      <c r="F350" s="10"/>
      <c r="G350" s="10"/>
      <c r="H350" s="11"/>
      <c r="I350" s="11"/>
      <c r="J350" s="12" t="e">
        <f>+VLOOKUP(K350,Datos!$A:$C,3,FALSE)</f>
        <v>#N/A</v>
      </c>
      <c r="K350" s="10"/>
      <c r="L350" s="12" t="e">
        <f>+VLOOKUP(K350,Datos!$A:$C,2,FALSE)</f>
        <v>#N/A</v>
      </c>
      <c r="M350" s="10"/>
      <c r="N350" s="12" t="e">
        <f>+VLOOKUP(M350,Datos!$F:$G,2,FALSE)</f>
        <v>#N/A</v>
      </c>
      <c r="O350" s="13">
        <f>IFERROR(IF(A350="SI",VLOOKUP(R350,Datos!$J$1:$K$50,2,FALSE)*C350,VLOOKUP(R350,Datos!$P$1:$T$13,2,FALSE)*C350),0)</f>
        <v>0</v>
      </c>
      <c r="P350" s="10"/>
      <c r="Q350" s="12" t="e">
        <f>+VLOOKUP(P350,Datos!$F:$G,2,FALSE)</f>
        <v>#N/A</v>
      </c>
      <c r="V350" s="10">
        <f t="shared" si="5"/>
        <v>0</v>
      </c>
      <c r="W350" s="10" t="e">
        <f>+VLOOKUP(M350,Datos!$F:$H,3,FALSE)</f>
        <v>#N/A</v>
      </c>
      <c r="X350">
        <v>0</v>
      </c>
      <c r="Y350" s="14"/>
      <c r="Z350" t="e">
        <f>VLOOKUP(M350,'[1]INDIVIDUAL UN'!$C$6:$F$222,4,FALSE)</f>
        <v>#N/A</v>
      </c>
    </row>
    <row r="351" spans="1:26" x14ac:dyDescent="0.35">
      <c r="A351" s="9" t="s">
        <v>25</v>
      </c>
      <c r="C351" s="64"/>
      <c r="D351" s="10"/>
      <c r="F351" s="64"/>
      <c r="G351" s="64"/>
      <c r="H351" s="11"/>
      <c r="I351" s="66"/>
      <c r="J351" s="12" t="e">
        <f>+VLOOKUP(K351,Datos!$A:$C,3,FALSE)</f>
        <v>#N/A</v>
      </c>
      <c r="K351" s="64"/>
      <c r="L351" s="12" t="e">
        <f>+VLOOKUP(K351,Datos!$A:$C,2,FALSE)</f>
        <v>#N/A</v>
      </c>
      <c r="M351" s="64"/>
      <c r="N351" s="12" t="e">
        <f>+VLOOKUP(M351,Datos!$F:$G,2,FALSE)</f>
        <v>#N/A</v>
      </c>
      <c r="O351" s="13">
        <f>IFERROR(IF(A351="SI",VLOOKUP(R351,Datos!$J$1:$K$50,2,FALSE)*C351,VLOOKUP(R351,Datos!$P$1:$T$13,2,FALSE)*C351),0)</f>
        <v>0</v>
      </c>
      <c r="P351" s="64"/>
      <c r="Q351" s="12" t="e">
        <f>+VLOOKUP(P351,Datos!$F:$G,2,FALSE)</f>
        <v>#N/A</v>
      </c>
      <c r="V351" s="10">
        <f t="shared" si="5"/>
        <v>0</v>
      </c>
      <c r="W351" s="10" t="e">
        <f>+VLOOKUP(M351,Datos!$F:$H,3,FALSE)</f>
        <v>#N/A</v>
      </c>
      <c r="X351">
        <v>0</v>
      </c>
      <c r="Y351" s="14"/>
      <c r="Z351" t="e">
        <f>VLOOKUP(M351,'[1]INDIVIDUAL UN'!$C$6:$F$222,4,FALSE)</f>
        <v>#N/A</v>
      </c>
    </row>
    <row r="352" spans="1:26" x14ac:dyDescent="0.35">
      <c r="A352" s="9" t="s">
        <v>25</v>
      </c>
      <c r="C352" s="10"/>
      <c r="D352" s="10"/>
      <c r="E352" s="10"/>
      <c r="F352" s="10"/>
      <c r="G352" s="10"/>
      <c r="H352" s="11"/>
      <c r="I352" s="11"/>
      <c r="J352" s="12" t="e">
        <f>+VLOOKUP(K352,Datos!$A:$C,3,FALSE)</f>
        <v>#N/A</v>
      </c>
      <c r="K352" s="10"/>
      <c r="L352" s="12" t="e">
        <f>+VLOOKUP(K352,Datos!$A:$C,2,FALSE)</f>
        <v>#N/A</v>
      </c>
      <c r="M352" s="10"/>
      <c r="N352" s="12" t="e">
        <f>+VLOOKUP(M352,Datos!$F:$G,2,FALSE)</f>
        <v>#N/A</v>
      </c>
      <c r="O352" s="13">
        <f>IFERROR(IF(A352="SI",VLOOKUP(R352,Datos!$J$1:$K$50,2,FALSE)*C352,VLOOKUP(R352,Datos!$P$1:$T$13,2,FALSE)*C352),0)</f>
        <v>0</v>
      </c>
      <c r="P352" s="9"/>
      <c r="Q352" s="12" t="e">
        <f>+VLOOKUP(P352,Datos!$F:$G,2,FALSE)</f>
        <v>#N/A</v>
      </c>
      <c r="V352" s="10">
        <f t="shared" si="5"/>
        <v>0</v>
      </c>
      <c r="W352" s="10" t="e">
        <f>+VLOOKUP(M352,Datos!$F:$H,3,FALSE)</f>
        <v>#N/A</v>
      </c>
      <c r="X352">
        <v>0</v>
      </c>
      <c r="Y352" s="14"/>
      <c r="Z352" t="e">
        <f>VLOOKUP(M352,'[1]INDIVIDUAL UN'!$C$6:$F$222,4,FALSE)</f>
        <v>#N/A</v>
      </c>
    </row>
    <row r="353" spans="1:26" x14ac:dyDescent="0.35">
      <c r="A353" s="9" t="s">
        <v>25</v>
      </c>
      <c r="C353" s="10"/>
      <c r="D353" s="10"/>
      <c r="E353" s="10"/>
      <c r="F353" s="10"/>
      <c r="G353" s="10"/>
      <c r="H353" s="11"/>
      <c r="I353" s="11"/>
      <c r="J353" s="12" t="e">
        <f>+VLOOKUP(K353,Datos!$A:$C,3,FALSE)</f>
        <v>#N/A</v>
      </c>
      <c r="K353" s="10"/>
      <c r="L353" s="12" t="e">
        <f>+VLOOKUP(K353,Datos!$A:$C,2,FALSE)</f>
        <v>#N/A</v>
      </c>
      <c r="M353" s="10"/>
      <c r="N353" s="12" t="e">
        <f>+VLOOKUP(M353,Datos!$F:$G,2,FALSE)</f>
        <v>#N/A</v>
      </c>
      <c r="O353" s="13">
        <f>IFERROR(IF(A353="SI",VLOOKUP(R353,Datos!$J$1:$K$50,2,FALSE)*C353,VLOOKUP(R353,Datos!$P$1:$T$13,2,FALSE)*C353),0)</f>
        <v>0</v>
      </c>
      <c r="P353" s="9"/>
      <c r="Q353" s="12" t="e">
        <f>+VLOOKUP(P353,Datos!$F:$G,2,FALSE)</f>
        <v>#N/A</v>
      </c>
      <c r="V353" s="10">
        <f t="shared" si="5"/>
        <v>0</v>
      </c>
      <c r="W353" s="10" t="e">
        <f>+VLOOKUP(M353,Datos!$F:$H,3,FALSE)</f>
        <v>#N/A</v>
      </c>
      <c r="X353">
        <v>0</v>
      </c>
      <c r="Y353" s="14"/>
      <c r="Z353" t="e">
        <f>VLOOKUP(M353,'[1]INDIVIDUAL UN'!$C$6:$F$222,4,FALSE)</f>
        <v>#N/A</v>
      </c>
    </row>
    <row r="354" spans="1:26" x14ac:dyDescent="0.35">
      <c r="A354" s="9" t="s">
        <v>25</v>
      </c>
      <c r="D354" s="10"/>
      <c r="H354" s="11"/>
      <c r="J354" s="12" t="e">
        <f>+VLOOKUP(K354,Datos!$A:$C,3,FALSE)</f>
        <v>#N/A</v>
      </c>
      <c r="L354" s="12" t="e">
        <f>+VLOOKUP(K354,Datos!$A:$C,2,FALSE)</f>
        <v>#N/A</v>
      </c>
      <c r="N354" s="12" t="e">
        <f>+VLOOKUP(M354,Datos!$F:$G,2,FALSE)</f>
        <v>#N/A</v>
      </c>
      <c r="O354" s="13">
        <f>IFERROR(IF(A354="SI",VLOOKUP(R354,Datos!$J$1:$K$50,2,FALSE)*C354,VLOOKUP(R354,Datos!$P$1:$T$13,2,FALSE)*C354),0)</f>
        <v>0</v>
      </c>
      <c r="P354" s="9"/>
      <c r="Q354" s="12" t="e">
        <f>+VLOOKUP(P354,Datos!$F:$G,2,FALSE)</f>
        <v>#N/A</v>
      </c>
      <c r="T354" s="52"/>
      <c r="V354" s="10">
        <f t="shared" si="5"/>
        <v>0</v>
      </c>
      <c r="W354" s="10" t="e">
        <f>+VLOOKUP(M354,Datos!$F:$H,3,FALSE)</f>
        <v>#N/A</v>
      </c>
      <c r="X354">
        <v>0</v>
      </c>
      <c r="Y354" s="14"/>
      <c r="Z354" t="e">
        <f>VLOOKUP(M354,'[1]INDIVIDUAL UN'!$C$6:$F$222,4,FALSE)</f>
        <v>#N/A</v>
      </c>
    </row>
    <row r="355" spans="1:26" x14ac:dyDescent="0.35">
      <c r="A355" s="9" t="s">
        <v>25</v>
      </c>
      <c r="C355" s="10"/>
      <c r="D355" s="10"/>
      <c r="E355" s="10"/>
      <c r="F355" s="10"/>
      <c r="G355" s="10"/>
      <c r="H355" s="11"/>
      <c r="I355" s="11"/>
      <c r="J355" s="12" t="e">
        <f>+VLOOKUP(K355,Datos!$A:$C,3,FALSE)</f>
        <v>#N/A</v>
      </c>
      <c r="K355" s="10"/>
      <c r="L355" s="12" t="e">
        <f>+VLOOKUP(K355,Datos!$A:$C,2,FALSE)</f>
        <v>#N/A</v>
      </c>
      <c r="M355" s="10"/>
      <c r="N355" s="12" t="e">
        <f>+VLOOKUP(M355,Datos!$F:$G,2,FALSE)</f>
        <v>#N/A</v>
      </c>
      <c r="O355" s="13">
        <f>IFERROR(IF(A355="SI",VLOOKUP(R355,Datos!$J$1:$K$50,2,FALSE)*C355,VLOOKUP(R355,Datos!$P$1:$T$13,2,FALSE)*C355),0)</f>
        <v>0</v>
      </c>
      <c r="P355" s="9"/>
      <c r="Q355" s="12" t="e">
        <f>+VLOOKUP(P355,Datos!$F:$G,2,FALSE)</f>
        <v>#N/A</v>
      </c>
      <c r="V355" s="10">
        <f t="shared" si="5"/>
        <v>0</v>
      </c>
      <c r="W355" s="10" t="e">
        <f>+VLOOKUP(M355,Datos!$F:$H,3,FALSE)</f>
        <v>#N/A</v>
      </c>
      <c r="X355">
        <v>0</v>
      </c>
      <c r="Y355" s="14"/>
      <c r="Z355" t="e">
        <f>VLOOKUP(M355,'[1]INDIVIDUAL UN'!$C$6:$F$222,4,FALSE)</f>
        <v>#N/A</v>
      </c>
    </row>
    <row r="356" spans="1:26" x14ac:dyDescent="0.35">
      <c r="A356" s="9" t="s">
        <v>25</v>
      </c>
      <c r="C356" s="16"/>
      <c r="D356" s="10"/>
      <c r="E356" s="16"/>
      <c r="F356" s="16"/>
      <c r="G356" s="16"/>
      <c r="H356" s="11"/>
      <c r="I356" s="42"/>
      <c r="J356" s="12" t="e">
        <f>+VLOOKUP(K356,Datos!$A:$C,3,FALSE)</f>
        <v>#N/A</v>
      </c>
      <c r="K356" s="16"/>
      <c r="L356" s="12" t="e">
        <f>+VLOOKUP(K356,Datos!$A:$C,2,FALSE)</f>
        <v>#N/A</v>
      </c>
      <c r="M356" s="16"/>
      <c r="N356" s="12" t="e">
        <f>+VLOOKUP(M356,Datos!$F:$G,2,FALSE)</f>
        <v>#N/A</v>
      </c>
      <c r="O356" s="13">
        <f>IFERROR(IF(A356="SI",VLOOKUP(R356,Datos!$J$1:$K$50,2,FALSE)*C356,VLOOKUP(R356,Datos!$P$1:$T$13,2,FALSE)*C356),0)</f>
        <v>0</v>
      </c>
      <c r="P356" s="16"/>
      <c r="Q356" s="12" t="e">
        <f>+VLOOKUP(P356,Datos!$F:$G,2,FALSE)</f>
        <v>#N/A</v>
      </c>
      <c r="V356" s="10">
        <f t="shared" si="5"/>
        <v>0</v>
      </c>
      <c r="W356" s="10" t="e">
        <f>+VLOOKUP(M356,Datos!$F:$H,3,FALSE)</f>
        <v>#N/A</v>
      </c>
      <c r="X356">
        <v>0</v>
      </c>
      <c r="Y356" s="14"/>
      <c r="Z356" t="e">
        <f>VLOOKUP(M356,'[1]INDIVIDUAL UN'!$C$6:$F$222,4,FALSE)</f>
        <v>#N/A</v>
      </c>
    </row>
    <row r="357" spans="1:26" x14ac:dyDescent="0.35">
      <c r="A357" s="9" t="s">
        <v>25</v>
      </c>
      <c r="C357" s="67"/>
      <c r="D357" s="10"/>
      <c r="E357" s="10"/>
      <c r="F357" s="10"/>
      <c r="G357" s="10"/>
      <c r="H357" s="11"/>
      <c r="I357" s="68"/>
      <c r="J357" s="12" t="e">
        <f>+VLOOKUP(K357,Datos!$A:$C,3,FALSE)</f>
        <v>#N/A</v>
      </c>
      <c r="K357" s="67"/>
      <c r="L357" s="12" t="e">
        <f>+VLOOKUP(K357,Datos!$A:$C,2,FALSE)</f>
        <v>#N/A</v>
      </c>
      <c r="M357" s="67"/>
      <c r="N357" s="12" t="e">
        <f>+VLOOKUP(M357,Datos!$F:$G,2,FALSE)</f>
        <v>#N/A</v>
      </c>
      <c r="O357" s="13">
        <f>IFERROR(IF(A357="SI",VLOOKUP(R357,Datos!$J$1:$K$50,2,FALSE)*C357,VLOOKUP(R357,Datos!$P$1:$T$13,2,FALSE)*C357),0)</f>
        <v>0</v>
      </c>
      <c r="P357" s="67"/>
      <c r="Q357" s="12" t="e">
        <f>+VLOOKUP(P357,Datos!$F:$G,2,FALSE)</f>
        <v>#N/A</v>
      </c>
      <c r="V357" s="10">
        <f t="shared" si="5"/>
        <v>0</v>
      </c>
      <c r="W357" s="10" t="e">
        <f>+VLOOKUP(M357,Datos!$F:$H,3,FALSE)</f>
        <v>#N/A</v>
      </c>
      <c r="X357">
        <v>0</v>
      </c>
      <c r="Y357" s="14"/>
      <c r="Z357" t="e">
        <f>VLOOKUP(M357,'[1]INDIVIDUAL UN'!$C$6:$F$222,4,FALSE)</f>
        <v>#N/A</v>
      </c>
    </row>
    <row r="358" spans="1:26" s="10" customFormat="1" x14ac:dyDescent="0.35">
      <c r="A358" s="9" t="s">
        <v>25</v>
      </c>
      <c r="B358" s="9"/>
      <c r="C358" s="67"/>
      <c r="H358" s="11"/>
      <c r="I358" s="68"/>
      <c r="J358" s="12" t="e">
        <f>+VLOOKUP(K358,Datos!$A:$C,3,FALSE)</f>
        <v>#N/A</v>
      </c>
      <c r="K358" s="67"/>
      <c r="L358" s="12" t="e">
        <f>+VLOOKUP(K358,Datos!$A:$C,2,FALSE)</f>
        <v>#N/A</v>
      </c>
      <c r="M358" s="67"/>
      <c r="N358" s="12" t="e">
        <f>+VLOOKUP(M358,Datos!$F:$G,2,FALSE)</f>
        <v>#N/A</v>
      </c>
      <c r="O358" s="13">
        <f>IFERROR(IF(A358="SI",VLOOKUP(R358,Datos!$J$1:$K$50,2,FALSE)*C358,VLOOKUP(R358,Datos!$P$1:$T$13,2,FALSE)*C358),0)</f>
        <v>0</v>
      </c>
      <c r="P358" s="67"/>
      <c r="Q358" s="12" t="e">
        <f>+VLOOKUP(P358,Datos!$F:$G,2,FALSE)</f>
        <v>#N/A</v>
      </c>
      <c r="R358" s="9"/>
      <c r="V358" s="10">
        <f t="shared" si="5"/>
        <v>0</v>
      </c>
      <c r="W358" s="10" t="e">
        <f>+VLOOKUP(M358,Datos!$F:$H,3,FALSE)</f>
        <v>#N/A</v>
      </c>
      <c r="X358">
        <v>0</v>
      </c>
      <c r="Y358" s="20"/>
      <c r="Z358" s="10" t="e">
        <f>VLOOKUP(M358,'[1]INDIVIDUAL UN'!$C$6:$F$222,4,FALSE)</f>
        <v>#N/A</v>
      </c>
    </row>
    <row r="359" spans="1:26" s="10" customFormat="1" x14ac:dyDescent="0.35">
      <c r="A359" s="9" t="s">
        <v>25</v>
      </c>
      <c r="B359" s="9"/>
      <c r="H359" s="11"/>
      <c r="I359" s="11"/>
      <c r="J359" s="12" t="e">
        <f>+VLOOKUP(K359,Datos!$A:$C,3,FALSE)</f>
        <v>#N/A</v>
      </c>
      <c r="L359" s="12" t="e">
        <f>+VLOOKUP(K359,Datos!$A:$C,2,FALSE)</f>
        <v>#N/A</v>
      </c>
      <c r="N359" s="12" t="e">
        <f>+VLOOKUP(M359,Datos!$F:$G,2,FALSE)</f>
        <v>#N/A</v>
      </c>
      <c r="O359" s="13">
        <f>IFERROR(IF(A359="SI",VLOOKUP(R359,Datos!$J$1:$K$50,2,FALSE)*C359,VLOOKUP(R359,Datos!$P$1:$T$13,2,FALSE)*C359),0)</f>
        <v>0</v>
      </c>
      <c r="P359" s="9"/>
      <c r="Q359" s="12" t="e">
        <f>+VLOOKUP(P359,Datos!$F:$G,2,FALSE)</f>
        <v>#N/A</v>
      </c>
      <c r="R359" s="9"/>
      <c r="V359" s="10">
        <f t="shared" si="5"/>
        <v>0</v>
      </c>
      <c r="W359" s="10" t="e">
        <f>+VLOOKUP(M359,Datos!$F:$H,3,FALSE)</f>
        <v>#N/A</v>
      </c>
      <c r="X359">
        <v>0</v>
      </c>
      <c r="Y359" s="20"/>
      <c r="Z359" s="10" t="e">
        <f>VLOOKUP(M359,'[1]INDIVIDUAL UN'!$C$6:$F$222,4,FALSE)</f>
        <v>#N/A</v>
      </c>
    </row>
    <row r="360" spans="1:26" x14ac:dyDescent="0.35">
      <c r="A360" s="9" t="s">
        <v>25</v>
      </c>
      <c r="C360" s="10"/>
      <c r="D360" s="10"/>
      <c r="E360" s="10"/>
      <c r="F360" s="10"/>
      <c r="G360" s="10"/>
      <c r="H360" s="11"/>
      <c r="I360" s="11"/>
      <c r="J360" s="12" t="e">
        <f>+VLOOKUP(K360,Datos!$A:$C,3,FALSE)</f>
        <v>#N/A</v>
      </c>
      <c r="K360" s="10"/>
      <c r="L360" s="12" t="e">
        <f>+VLOOKUP(K360,Datos!$A:$C,2,FALSE)</f>
        <v>#N/A</v>
      </c>
      <c r="M360" s="10"/>
      <c r="N360" s="12" t="e">
        <f>+VLOOKUP(M360,Datos!$F:$G,2,FALSE)</f>
        <v>#N/A</v>
      </c>
      <c r="O360" s="13">
        <f>IFERROR(IF(A360="SI",VLOOKUP(R360,Datos!$J$1:$K$50,2,FALSE)*C360,VLOOKUP(R360,Datos!$P$1:$T$13,2,FALSE)*C360),0)</f>
        <v>0</v>
      </c>
      <c r="P360" s="9"/>
      <c r="Q360" s="12" t="e">
        <f>+VLOOKUP(P360,Datos!$F:$G,2,FALSE)</f>
        <v>#N/A</v>
      </c>
      <c r="V360" s="10">
        <f t="shared" si="5"/>
        <v>0</v>
      </c>
      <c r="W360" s="10" t="e">
        <f>+VLOOKUP(M360,Datos!$F:$H,3,FALSE)</f>
        <v>#N/A</v>
      </c>
      <c r="X360">
        <v>0</v>
      </c>
      <c r="Y360" s="14"/>
      <c r="Z360" t="e">
        <f>VLOOKUP(M360,'[1]INDIVIDUAL UN'!$C$6:$F$222,4,FALSE)</f>
        <v>#N/A</v>
      </c>
    </row>
    <row r="361" spans="1:26" x14ac:dyDescent="0.35">
      <c r="A361" s="9" t="s">
        <v>25</v>
      </c>
      <c r="C361" s="10"/>
      <c r="D361" s="10"/>
      <c r="E361" s="10"/>
      <c r="F361" s="10"/>
      <c r="G361" s="10"/>
      <c r="H361" s="11"/>
      <c r="I361" s="11"/>
      <c r="J361" s="12" t="e">
        <f>+VLOOKUP(K361,Datos!$A:$C,3,FALSE)</f>
        <v>#N/A</v>
      </c>
      <c r="K361" s="10"/>
      <c r="L361" s="12" t="e">
        <f>+VLOOKUP(K361,Datos!$A:$C,2,FALSE)</f>
        <v>#N/A</v>
      </c>
      <c r="M361" s="10"/>
      <c r="N361" s="12" t="e">
        <f>+VLOOKUP(M361,Datos!$F:$G,2,FALSE)</f>
        <v>#N/A</v>
      </c>
      <c r="O361" s="13">
        <f>IFERROR(IF(A361="SI",VLOOKUP(R361,Datos!$J$1:$K$50,2,FALSE)*C361,VLOOKUP(R361,Datos!$P$1:$T$13,2,FALSE)*C361),0)</f>
        <v>0</v>
      </c>
      <c r="P361" s="9"/>
      <c r="Q361" s="12" t="e">
        <f>+VLOOKUP(P361,Datos!$F:$G,2,FALSE)</f>
        <v>#N/A</v>
      </c>
      <c r="V361" s="10">
        <f t="shared" si="5"/>
        <v>0</v>
      </c>
      <c r="W361" s="10" t="e">
        <f>+VLOOKUP(M361,Datos!$F:$H,3,FALSE)</f>
        <v>#N/A</v>
      </c>
      <c r="X361">
        <v>0</v>
      </c>
      <c r="Y361" s="14"/>
      <c r="Z361" t="e">
        <f>VLOOKUP(M361,'[1]INDIVIDUAL UN'!$C$6:$F$222,4,FALSE)</f>
        <v>#N/A</v>
      </c>
    </row>
    <row r="362" spans="1:26" x14ac:dyDescent="0.35">
      <c r="A362" s="9" t="s">
        <v>25</v>
      </c>
      <c r="C362" s="10"/>
      <c r="D362" s="10"/>
      <c r="E362" s="10"/>
      <c r="F362" s="10"/>
      <c r="G362" s="10"/>
      <c r="H362" s="11"/>
      <c r="I362" s="11"/>
      <c r="J362" s="12" t="e">
        <f>+VLOOKUP(K362,Datos!$A:$C,3,FALSE)</f>
        <v>#N/A</v>
      </c>
      <c r="K362" s="10"/>
      <c r="L362" s="12" t="e">
        <f>+VLOOKUP(K362,Datos!$A:$C,2,FALSE)</f>
        <v>#N/A</v>
      </c>
      <c r="M362" s="10"/>
      <c r="N362" s="12" t="e">
        <f>+VLOOKUP(M362,Datos!$F:$G,2,FALSE)</f>
        <v>#N/A</v>
      </c>
      <c r="O362" s="13">
        <f>IFERROR(IF(A362="SI",VLOOKUP(R362,Datos!$J$1:$K$50,2,FALSE)*C362,VLOOKUP(R362,Datos!$P$1:$T$13,2,FALSE)*C362),0)</f>
        <v>0</v>
      </c>
      <c r="P362" s="10"/>
      <c r="Q362" s="12" t="e">
        <f>+VLOOKUP(P362,Datos!$F:$G,2,FALSE)</f>
        <v>#N/A</v>
      </c>
      <c r="V362" s="10">
        <f t="shared" si="5"/>
        <v>0</v>
      </c>
      <c r="W362" s="10" t="e">
        <f>+VLOOKUP(M362,Datos!$F:$H,3,FALSE)</f>
        <v>#N/A</v>
      </c>
      <c r="X362">
        <v>0</v>
      </c>
      <c r="Y362" s="14"/>
      <c r="Z362" t="e">
        <f>VLOOKUP(M362,'[1]INDIVIDUAL UN'!$C$6:$F$222,4,FALSE)</f>
        <v>#N/A</v>
      </c>
    </row>
    <row r="363" spans="1:26" x14ac:dyDescent="0.35">
      <c r="A363" s="9" t="s">
        <v>25</v>
      </c>
      <c r="C363" s="10"/>
      <c r="D363" s="10"/>
      <c r="E363" s="10"/>
      <c r="F363" s="10"/>
      <c r="G363" s="10"/>
      <c r="H363" s="11"/>
      <c r="I363" s="11"/>
      <c r="J363" s="12" t="e">
        <f>+VLOOKUP(K363,Datos!$A:$C,3,FALSE)</f>
        <v>#N/A</v>
      </c>
      <c r="K363" s="10"/>
      <c r="L363" s="12" t="e">
        <f>+VLOOKUP(K363,Datos!$A:$C,2,FALSE)</f>
        <v>#N/A</v>
      </c>
      <c r="M363" s="10"/>
      <c r="N363" s="12" t="e">
        <f>+VLOOKUP(M363,Datos!$F:$G,2,FALSE)</f>
        <v>#N/A</v>
      </c>
      <c r="O363" s="13">
        <f>IFERROR(IF(A363="SI",VLOOKUP(R363,Datos!$J$1:$K$50,2,FALSE)*C363,VLOOKUP(R363,Datos!$P$1:$T$13,2,FALSE)*C363),0)</f>
        <v>0</v>
      </c>
      <c r="P363" s="10"/>
      <c r="Q363" s="12" t="e">
        <f>+VLOOKUP(P363,Datos!$F:$G,2,FALSE)</f>
        <v>#N/A</v>
      </c>
      <c r="V363" s="10">
        <f t="shared" si="5"/>
        <v>0</v>
      </c>
      <c r="W363" s="10" t="e">
        <f>+VLOOKUP(M363,Datos!$F:$H,3,FALSE)</f>
        <v>#N/A</v>
      </c>
      <c r="X363">
        <v>0</v>
      </c>
      <c r="Y363" s="14"/>
      <c r="Z363" t="e">
        <f>VLOOKUP(M363,'[1]INDIVIDUAL UN'!$C$6:$F$222,4,FALSE)</f>
        <v>#N/A</v>
      </c>
    </row>
    <row r="364" spans="1:26" x14ac:dyDescent="0.35">
      <c r="A364" s="9" t="s">
        <v>25</v>
      </c>
      <c r="C364" s="10"/>
      <c r="D364" s="10"/>
      <c r="E364" s="10"/>
      <c r="F364" s="10"/>
      <c r="G364" s="10"/>
      <c r="H364" s="11"/>
      <c r="I364" s="11"/>
      <c r="J364" s="12" t="e">
        <f>+VLOOKUP(K364,Datos!$A:$C,3,FALSE)</f>
        <v>#N/A</v>
      </c>
      <c r="K364" s="10"/>
      <c r="L364" s="12" t="e">
        <f>+VLOOKUP(K364,Datos!$A:$C,2,FALSE)</f>
        <v>#N/A</v>
      </c>
      <c r="M364" s="10"/>
      <c r="N364" s="12" t="e">
        <f>+VLOOKUP(M364,Datos!$F:$G,2,FALSE)</f>
        <v>#N/A</v>
      </c>
      <c r="O364" s="13">
        <f>IFERROR(IF(A364="SI",VLOOKUP(R364,Datos!$J$1:$K$50,2,FALSE)*C364,VLOOKUP(R364,Datos!$P$1:$T$13,2,FALSE)*C364),0)</f>
        <v>0</v>
      </c>
      <c r="P364" s="10"/>
      <c r="Q364" s="12" t="e">
        <f>+VLOOKUP(P364,Datos!$F:$G,2,FALSE)</f>
        <v>#N/A</v>
      </c>
      <c r="V364" s="10">
        <f t="shared" si="5"/>
        <v>0</v>
      </c>
      <c r="W364" s="10" t="e">
        <f>+VLOOKUP(M364,Datos!$F:$H,3,FALSE)</f>
        <v>#N/A</v>
      </c>
      <c r="X364">
        <v>0</v>
      </c>
      <c r="Y364" s="14"/>
      <c r="Z364" t="e">
        <f>VLOOKUP(M364,'[1]INDIVIDUAL UN'!$C$6:$F$222,4,FALSE)</f>
        <v>#N/A</v>
      </c>
    </row>
    <row r="365" spans="1:26" x14ac:dyDescent="0.35">
      <c r="A365" s="9" t="s">
        <v>25</v>
      </c>
      <c r="C365" s="10"/>
      <c r="D365" s="10"/>
      <c r="E365" s="10"/>
      <c r="F365" s="10"/>
      <c r="G365" s="10"/>
      <c r="H365" s="11"/>
      <c r="I365" s="11"/>
      <c r="J365" s="12" t="e">
        <f>+VLOOKUP(K365,Datos!$A:$C,3,FALSE)</f>
        <v>#N/A</v>
      </c>
      <c r="K365" s="10"/>
      <c r="L365" s="12" t="e">
        <f>+VLOOKUP(K365,Datos!$A:$C,2,FALSE)</f>
        <v>#N/A</v>
      </c>
      <c r="M365" s="10"/>
      <c r="N365" s="12" t="e">
        <f>+VLOOKUP(M365,Datos!$F:$G,2,FALSE)</f>
        <v>#N/A</v>
      </c>
      <c r="O365" s="13">
        <f>IFERROR(IF(A365="SI",VLOOKUP(R365,Datos!$J$1:$K$50,2,FALSE)*C365,VLOOKUP(R365,Datos!$P$1:$T$13,2,FALSE)*C365),0)</f>
        <v>0</v>
      </c>
      <c r="P365" s="10"/>
      <c r="Q365" s="12" t="e">
        <f>+VLOOKUP(P365,Datos!$F:$G,2,FALSE)</f>
        <v>#N/A</v>
      </c>
      <c r="V365" s="10">
        <f t="shared" si="5"/>
        <v>0</v>
      </c>
      <c r="W365" s="10" t="e">
        <f>+VLOOKUP(M365,Datos!$F:$H,3,FALSE)</f>
        <v>#N/A</v>
      </c>
      <c r="X365">
        <v>0</v>
      </c>
      <c r="Y365" s="14"/>
      <c r="Z365" t="e">
        <f>VLOOKUP(M365,'[1]INDIVIDUAL UN'!$C$6:$F$222,4,FALSE)</f>
        <v>#N/A</v>
      </c>
    </row>
    <row r="366" spans="1:26" x14ac:dyDescent="0.35">
      <c r="A366" s="9" t="s">
        <v>25</v>
      </c>
      <c r="C366" s="10"/>
      <c r="D366" s="10"/>
      <c r="E366" s="10"/>
      <c r="F366" s="10"/>
      <c r="G366" s="10"/>
      <c r="H366" s="11"/>
      <c r="I366" s="11"/>
      <c r="J366" s="12" t="e">
        <f>+VLOOKUP(K366,Datos!$A:$C,3,FALSE)</f>
        <v>#N/A</v>
      </c>
      <c r="K366" s="10"/>
      <c r="L366" s="12" t="e">
        <f>+VLOOKUP(K366,Datos!$A:$C,2,FALSE)</f>
        <v>#N/A</v>
      </c>
      <c r="M366" s="10"/>
      <c r="N366" s="12" t="e">
        <f>+VLOOKUP(M366,Datos!$F:$G,2,FALSE)</f>
        <v>#N/A</v>
      </c>
      <c r="O366" s="13">
        <f>IFERROR(IF(A366="SI",VLOOKUP(R366,Datos!$J$1:$K$50,2,FALSE)*C366,VLOOKUP(R366,Datos!$P$1:$T$13,2,FALSE)*C366),0)</f>
        <v>0</v>
      </c>
      <c r="P366" s="10"/>
      <c r="Q366" s="12" t="e">
        <f>+VLOOKUP(P366,Datos!$F:$G,2,FALSE)</f>
        <v>#N/A</v>
      </c>
      <c r="V366" s="10">
        <f t="shared" si="5"/>
        <v>0</v>
      </c>
      <c r="W366" s="10" t="e">
        <f>+VLOOKUP(M366,Datos!$F:$H,3,FALSE)</f>
        <v>#N/A</v>
      </c>
      <c r="X366">
        <v>0</v>
      </c>
      <c r="Y366" s="14"/>
      <c r="Z366" t="e">
        <f>VLOOKUP(M366,'[1]INDIVIDUAL UN'!$C$6:$F$222,4,FALSE)</f>
        <v>#N/A</v>
      </c>
    </row>
    <row r="367" spans="1:26" x14ac:dyDescent="0.35">
      <c r="A367" s="9" t="s">
        <v>25</v>
      </c>
      <c r="C367" s="10"/>
      <c r="D367" s="10"/>
      <c r="E367" s="10"/>
      <c r="F367" s="10"/>
      <c r="G367" s="10"/>
      <c r="H367" s="11"/>
      <c r="I367" s="11"/>
      <c r="J367" s="12" t="e">
        <f>+VLOOKUP(K367,Datos!$A:$C,3,FALSE)</f>
        <v>#N/A</v>
      </c>
      <c r="K367" s="10"/>
      <c r="L367" s="12" t="e">
        <f>+VLOOKUP(K367,Datos!$A:$C,2,FALSE)</f>
        <v>#N/A</v>
      </c>
      <c r="M367" s="10"/>
      <c r="N367" s="12" t="e">
        <f>+VLOOKUP(M367,Datos!$F:$G,2,FALSE)</f>
        <v>#N/A</v>
      </c>
      <c r="O367" s="13">
        <f>IFERROR(IF(A367="SI",VLOOKUP(R367,Datos!$J$1:$K$50,2,FALSE)*C367,VLOOKUP(R367,Datos!$P$1:$T$13,2,FALSE)*C367),0)</f>
        <v>0</v>
      </c>
      <c r="P367" s="9"/>
      <c r="Q367" s="12" t="e">
        <f>+VLOOKUP(P367,Datos!$F:$G,2,FALSE)</f>
        <v>#N/A</v>
      </c>
      <c r="V367" s="10">
        <f t="shared" si="5"/>
        <v>0</v>
      </c>
      <c r="W367" s="10" t="e">
        <f>+VLOOKUP(M367,Datos!$F:$H,3,FALSE)</f>
        <v>#N/A</v>
      </c>
      <c r="X367">
        <v>0</v>
      </c>
      <c r="Y367" s="14"/>
      <c r="Z367" t="e">
        <f>VLOOKUP(M367,'[1]INDIVIDUAL UN'!$C$6:$F$222,4,FALSE)</f>
        <v>#N/A</v>
      </c>
    </row>
    <row r="368" spans="1:26" x14ac:dyDescent="0.35">
      <c r="A368" s="9" t="s">
        <v>25</v>
      </c>
      <c r="C368" s="10"/>
      <c r="D368" s="10"/>
      <c r="E368" s="10"/>
      <c r="F368" s="10"/>
      <c r="G368" s="10"/>
      <c r="H368" s="11"/>
      <c r="I368" s="11"/>
      <c r="J368" s="12" t="e">
        <f>+VLOOKUP(K368,Datos!$A:$C,3,FALSE)</f>
        <v>#N/A</v>
      </c>
      <c r="K368" s="10"/>
      <c r="L368" s="12" t="e">
        <f>+VLOOKUP(K368,Datos!$A:$C,2,FALSE)</f>
        <v>#N/A</v>
      </c>
      <c r="M368" s="10"/>
      <c r="N368" s="12" t="e">
        <f>+VLOOKUP(M368,Datos!$F:$G,2,FALSE)</f>
        <v>#N/A</v>
      </c>
      <c r="O368" s="13">
        <f>IFERROR(IF(A368="SI",VLOOKUP(R368,Datos!$J$1:$K$50,2,FALSE)*C368,VLOOKUP(R368,Datos!$P$1:$T$13,2,FALSE)*C368),0)</f>
        <v>0</v>
      </c>
      <c r="P368" s="9"/>
      <c r="Q368" s="12" t="e">
        <f>+VLOOKUP(P368,Datos!$F:$G,2,FALSE)</f>
        <v>#N/A</v>
      </c>
      <c r="V368" s="10">
        <f t="shared" si="5"/>
        <v>0</v>
      </c>
      <c r="W368" s="10" t="e">
        <f>+VLOOKUP(M368,Datos!$F:$H,3,FALSE)</f>
        <v>#N/A</v>
      </c>
      <c r="X368">
        <v>0</v>
      </c>
      <c r="Y368" s="14"/>
      <c r="Z368" t="e">
        <f>VLOOKUP(M368,'[1]INDIVIDUAL UN'!$C$6:$F$222,4,FALSE)</f>
        <v>#N/A</v>
      </c>
    </row>
    <row r="369" spans="1:26" x14ac:dyDescent="0.35">
      <c r="A369" s="9" t="s">
        <v>25</v>
      </c>
      <c r="C369" s="10"/>
      <c r="D369" s="10"/>
      <c r="E369" s="10"/>
      <c r="F369" s="10"/>
      <c r="G369" s="10"/>
      <c r="H369" s="11"/>
      <c r="I369" s="11"/>
      <c r="J369" s="12" t="e">
        <f>+VLOOKUP(K369,Datos!$A:$C,3,FALSE)</f>
        <v>#N/A</v>
      </c>
      <c r="K369" s="10"/>
      <c r="L369" s="12" t="e">
        <f>+VLOOKUP(K369,Datos!$A:$C,2,FALSE)</f>
        <v>#N/A</v>
      </c>
      <c r="N369" s="12" t="e">
        <f>+VLOOKUP(M369,Datos!$F:$G,2,FALSE)</f>
        <v>#N/A</v>
      </c>
      <c r="O369" s="13">
        <f>IFERROR(IF(A369="SI",VLOOKUP(R369,Datos!$J$1:$K$50,2,FALSE)*C369,VLOOKUP(R369,Datos!$P$1:$T$13,2,FALSE)*C369),0)</f>
        <v>0</v>
      </c>
      <c r="P369" s="9"/>
      <c r="Q369" s="12" t="e">
        <f>+VLOOKUP(P369,Datos!$F:$G,2,FALSE)</f>
        <v>#N/A</v>
      </c>
      <c r="V369" s="10">
        <f t="shared" si="5"/>
        <v>0</v>
      </c>
      <c r="W369" s="10" t="e">
        <f>+VLOOKUP(M369,Datos!$F:$H,3,FALSE)</f>
        <v>#N/A</v>
      </c>
      <c r="X369">
        <v>0</v>
      </c>
      <c r="Y369" s="14"/>
      <c r="Z369" t="e">
        <f>VLOOKUP(M369,'[1]INDIVIDUAL UN'!$C$6:$F$222,4,FALSE)</f>
        <v>#N/A</v>
      </c>
    </row>
    <row r="370" spans="1:26" x14ac:dyDescent="0.35">
      <c r="A370" s="9" t="s">
        <v>25</v>
      </c>
      <c r="C370" s="10"/>
      <c r="D370" s="10"/>
      <c r="E370" s="10"/>
      <c r="F370" s="10"/>
      <c r="G370" s="10"/>
      <c r="H370" s="11"/>
      <c r="I370" s="11"/>
      <c r="J370" s="12" t="e">
        <f>+VLOOKUP(K370,Datos!$A:$C,3,FALSE)</f>
        <v>#N/A</v>
      </c>
      <c r="K370" s="10"/>
      <c r="L370" s="12" t="e">
        <f>+VLOOKUP(K370,Datos!$A:$C,2,FALSE)</f>
        <v>#N/A</v>
      </c>
      <c r="N370" s="12" t="e">
        <f>+VLOOKUP(M370,Datos!$F:$G,2,FALSE)</f>
        <v>#N/A</v>
      </c>
      <c r="O370" s="13">
        <f>IFERROR(IF(A370="SI",VLOOKUP(R370,Datos!$J$1:$K$50,2,FALSE)*C370,VLOOKUP(R370,Datos!$P$1:$T$13,2,FALSE)*C370),0)</f>
        <v>0</v>
      </c>
      <c r="P370" s="9"/>
      <c r="Q370" s="12" t="e">
        <f>+VLOOKUP(P370,Datos!$F:$G,2,FALSE)</f>
        <v>#N/A</v>
      </c>
      <c r="V370" s="10">
        <f t="shared" si="5"/>
        <v>0</v>
      </c>
      <c r="W370" s="10" t="e">
        <f>+VLOOKUP(M370,Datos!$F:$H,3,FALSE)</f>
        <v>#N/A</v>
      </c>
      <c r="X370">
        <v>0</v>
      </c>
      <c r="Y370" s="14"/>
      <c r="Z370" t="e">
        <f>VLOOKUP(M370,'[1]INDIVIDUAL UN'!$C$6:$F$222,4,FALSE)</f>
        <v>#N/A</v>
      </c>
    </row>
    <row r="371" spans="1:26" x14ac:dyDescent="0.35">
      <c r="A371" s="9" t="s">
        <v>25</v>
      </c>
      <c r="D371" s="10"/>
      <c r="E371" s="10"/>
      <c r="F371" s="10"/>
      <c r="G371" s="64"/>
      <c r="H371" s="11"/>
      <c r="J371" s="12" t="e">
        <f>+VLOOKUP(K371,Datos!$A:$C,3,FALSE)</f>
        <v>#N/A</v>
      </c>
      <c r="L371" s="12" t="e">
        <f>+VLOOKUP(K371,Datos!$A:$C,2,FALSE)</f>
        <v>#N/A</v>
      </c>
      <c r="N371" s="12" t="e">
        <f>+VLOOKUP(M371,Datos!$F:$G,2,FALSE)</f>
        <v>#N/A</v>
      </c>
      <c r="O371" s="13">
        <f>IFERROR(IF(A371="SI",VLOOKUP(R371,Datos!$J$1:$K$50,2,FALSE)*C371,VLOOKUP(R371,Datos!$P$1:$T$13,2,FALSE)*C371),0)</f>
        <v>0</v>
      </c>
      <c r="P371" s="9"/>
      <c r="Q371" s="12" t="e">
        <f>+VLOOKUP(P371,Datos!$F:$G,2,FALSE)</f>
        <v>#N/A</v>
      </c>
      <c r="V371" s="10">
        <f t="shared" si="5"/>
        <v>0</v>
      </c>
      <c r="W371" s="10" t="e">
        <f>+VLOOKUP(M371,Datos!$F:$H,3,FALSE)</f>
        <v>#N/A</v>
      </c>
      <c r="X371">
        <v>0</v>
      </c>
      <c r="Y371" s="14"/>
      <c r="Z371" t="e">
        <f>VLOOKUP(M371,'[1]INDIVIDUAL UN'!$C$6:$F$222,4,FALSE)</f>
        <v>#N/A</v>
      </c>
    </row>
    <row r="372" spans="1:26" x14ac:dyDescent="0.35">
      <c r="A372" s="9" t="s">
        <v>25</v>
      </c>
      <c r="C372" s="10"/>
      <c r="D372" s="10"/>
      <c r="E372" s="10"/>
      <c r="F372" s="10"/>
      <c r="G372" s="10"/>
      <c r="H372" s="11"/>
      <c r="I372" s="11"/>
      <c r="J372" s="12" t="e">
        <f>+VLOOKUP(K372,Datos!$A:$C,3,FALSE)</f>
        <v>#N/A</v>
      </c>
      <c r="K372" s="10"/>
      <c r="L372" s="12" t="e">
        <f>+VLOOKUP(K372,Datos!$A:$C,2,FALSE)</f>
        <v>#N/A</v>
      </c>
      <c r="M372" s="10"/>
      <c r="N372" s="12" t="e">
        <f>+VLOOKUP(M372,Datos!$F:$G,2,FALSE)</f>
        <v>#N/A</v>
      </c>
      <c r="O372" s="13">
        <f>IFERROR(IF(A372="SI",VLOOKUP(R372,Datos!$J$1:$K$50,2,FALSE)*C372,VLOOKUP(R372,Datos!$P$1:$T$13,2,FALSE)*C372),0)</f>
        <v>0</v>
      </c>
      <c r="P372" s="10"/>
      <c r="Q372" s="12" t="e">
        <f>+VLOOKUP(P372,Datos!$F:$G,2,FALSE)</f>
        <v>#N/A</v>
      </c>
      <c r="V372" s="10">
        <f t="shared" si="5"/>
        <v>0</v>
      </c>
      <c r="W372" s="10" t="e">
        <f>+VLOOKUP(M372,Datos!$F:$H,3,FALSE)</f>
        <v>#N/A</v>
      </c>
      <c r="X372">
        <v>0</v>
      </c>
      <c r="Y372" s="14"/>
      <c r="Z372" t="e">
        <f>VLOOKUP(M372,'[1]INDIVIDUAL UN'!$C$6:$F$222,4,FALSE)</f>
        <v>#N/A</v>
      </c>
    </row>
    <row r="373" spans="1:26" x14ac:dyDescent="0.35">
      <c r="A373" s="9" t="s">
        <v>25</v>
      </c>
      <c r="C373" s="10"/>
      <c r="D373" s="10"/>
      <c r="E373" s="10"/>
      <c r="F373" s="10"/>
      <c r="G373" s="10"/>
      <c r="H373" s="11"/>
      <c r="I373" s="11"/>
      <c r="J373" s="12" t="e">
        <f>+VLOOKUP(K373,Datos!$A:$C,3,FALSE)</f>
        <v>#N/A</v>
      </c>
      <c r="K373" s="10"/>
      <c r="L373" s="12" t="e">
        <f>+VLOOKUP(K373,Datos!$A:$C,2,FALSE)</f>
        <v>#N/A</v>
      </c>
      <c r="M373" s="10"/>
      <c r="N373" s="12" t="e">
        <f>+VLOOKUP(M373,Datos!$F:$G,2,FALSE)</f>
        <v>#N/A</v>
      </c>
      <c r="O373" s="13">
        <f>IFERROR(IF(A373="SI",VLOOKUP(R373,Datos!$J$1:$K$50,2,FALSE)*C373,VLOOKUP(R373,Datos!$P$1:$T$13,2,FALSE)*C373),0)</f>
        <v>0</v>
      </c>
      <c r="P373" s="9"/>
      <c r="Q373" s="12" t="e">
        <f>+VLOOKUP(P373,Datos!$F:$G,2,FALSE)</f>
        <v>#N/A</v>
      </c>
      <c r="V373" s="10">
        <f t="shared" si="5"/>
        <v>0</v>
      </c>
      <c r="W373" s="10" t="e">
        <f>+VLOOKUP(M373,Datos!$F:$H,3,FALSE)</f>
        <v>#N/A</v>
      </c>
      <c r="X373">
        <v>0</v>
      </c>
      <c r="Y373" s="14"/>
      <c r="Z373" t="e">
        <f>VLOOKUP(M373,'[1]INDIVIDUAL UN'!$C$6:$F$222,4,FALSE)</f>
        <v>#N/A</v>
      </c>
    </row>
    <row r="374" spans="1:26" s="10" customFormat="1" x14ac:dyDescent="0.35">
      <c r="A374" s="9" t="s">
        <v>25</v>
      </c>
      <c r="B374" s="9"/>
      <c r="C374" s="16"/>
      <c r="E374" s="16"/>
      <c r="F374" s="16"/>
      <c r="G374" s="16"/>
      <c r="H374" s="42"/>
      <c r="I374" s="42"/>
      <c r="J374" s="12" t="e">
        <f>+VLOOKUP(K374,Datos!$A:$C,3,FALSE)</f>
        <v>#N/A</v>
      </c>
      <c r="K374" s="16"/>
      <c r="L374" s="12" t="e">
        <f>+VLOOKUP(K374,Datos!$A:$C,2,FALSE)</f>
        <v>#N/A</v>
      </c>
      <c r="M374" s="16"/>
      <c r="N374" s="12" t="e">
        <f>+VLOOKUP(M374,Datos!$F:$G,2,FALSE)</f>
        <v>#N/A</v>
      </c>
      <c r="O374" s="13">
        <f>IFERROR(IF(A374="SI",VLOOKUP(R374,Datos!$J$1:$K$50,2,FALSE)*C374,VLOOKUP(R374,Datos!$P$1:$T$13,2,FALSE)*C374),0)</f>
        <v>0</v>
      </c>
      <c r="P374" s="16"/>
      <c r="Q374" s="12" t="e">
        <f>+VLOOKUP(P374,Datos!$F:$G,2,FALSE)</f>
        <v>#N/A</v>
      </c>
      <c r="R374" s="9"/>
      <c r="V374" s="10">
        <f t="shared" si="5"/>
        <v>0</v>
      </c>
      <c r="W374" s="10" t="e">
        <f>+VLOOKUP(M374,Datos!$F:$H,3,FALSE)</f>
        <v>#N/A</v>
      </c>
      <c r="X374">
        <v>0</v>
      </c>
      <c r="Y374" s="20"/>
      <c r="Z374" s="10" t="e">
        <f>VLOOKUP(M374,'[1]INDIVIDUAL UN'!$C$6:$F$222,4,FALSE)</f>
        <v>#N/A</v>
      </c>
    </row>
    <row r="375" spans="1:26" x14ac:dyDescent="0.35">
      <c r="A375" s="9" t="s">
        <v>25</v>
      </c>
      <c r="C375" s="10"/>
      <c r="D375" s="10"/>
      <c r="E375" s="10"/>
      <c r="F375" s="10"/>
      <c r="G375" s="10"/>
      <c r="H375" s="11"/>
      <c r="I375" s="11"/>
      <c r="J375" s="12" t="e">
        <f>+VLOOKUP(K375,Datos!$A:$C,3,FALSE)</f>
        <v>#N/A</v>
      </c>
      <c r="K375" s="10"/>
      <c r="L375" s="12" t="e">
        <f>+VLOOKUP(K375,Datos!$A:$C,2,FALSE)</f>
        <v>#N/A</v>
      </c>
      <c r="M375" s="10"/>
      <c r="N375" s="12" t="e">
        <f>+VLOOKUP(M375,Datos!$F:$G,2,FALSE)</f>
        <v>#N/A</v>
      </c>
      <c r="O375" s="13">
        <f>IFERROR(IF(A375="SI",VLOOKUP(R375,Datos!$J$1:$K$50,2,FALSE)*C375,VLOOKUP(R375,Datos!$P$1:$T$13,2,FALSE)*C375),0)</f>
        <v>0</v>
      </c>
      <c r="P375" s="10"/>
      <c r="Q375" s="12" t="e">
        <f>+VLOOKUP(P375,Datos!$F:$G,2,FALSE)</f>
        <v>#N/A</v>
      </c>
      <c r="V375" s="10">
        <f t="shared" si="5"/>
        <v>0</v>
      </c>
      <c r="W375" s="10" t="e">
        <f>+VLOOKUP(M375,Datos!$F:$H,3,FALSE)</f>
        <v>#N/A</v>
      </c>
      <c r="X375">
        <v>0</v>
      </c>
      <c r="Y375" s="14"/>
      <c r="Z375" t="e">
        <f>VLOOKUP(M375,'[1]INDIVIDUAL UN'!$C$6:$F$222,4,FALSE)</f>
        <v>#N/A</v>
      </c>
    </row>
    <row r="376" spans="1:26" x14ac:dyDescent="0.35">
      <c r="A376" s="9" t="s">
        <v>25</v>
      </c>
      <c r="C376" s="10"/>
      <c r="D376" s="10"/>
      <c r="E376" s="10"/>
      <c r="F376" s="10"/>
      <c r="G376" s="10"/>
      <c r="H376" s="11"/>
      <c r="I376" s="11"/>
      <c r="J376" s="12" t="e">
        <f>+VLOOKUP(K376,Datos!$A:$C,3,FALSE)</f>
        <v>#N/A</v>
      </c>
      <c r="K376" s="10"/>
      <c r="L376" s="12" t="e">
        <f>+VLOOKUP(K376,Datos!$A:$C,2,FALSE)</f>
        <v>#N/A</v>
      </c>
      <c r="M376" s="10"/>
      <c r="N376" s="12" t="e">
        <f>+VLOOKUP(M376,Datos!$F:$G,2,FALSE)</f>
        <v>#N/A</v>
      </c>
      <c r="O376" s="13">
        <f>IFERROR(IF(A376="SI",VLOOKUP(R376,Datos!$J$1:$K$50,2,FALSE)*C376,VLOOKUP(R376,Datos!$P$1:$T$13,2,FALSE)*C376),0)</f>
        <v>0</v>
      </c>
      <c r="P376" s="10"/>
      <c r="Q376" s="12" t="e">
        <f>+VLOOKUP(P376,Datos!$F:$G,2,FALSE)</f>
        <v>#N/A</v>
      </c>
      <c r="V376" s="10">
        <f t="shared" si="5"/>
        <v>0</v>
      </c>
      <c r="W376" s="10" t="e">
        <f>+VLOOKUP(M376,Datos!$F:$H,3,FALSE)</f>
        <v>#N/A</v>
      </c>
      <c r="X376">
        <v>0</v>
      </c>
      <c r="Y376" s="14"/>
      <c r="Z376" t="e">
        <f>VLOOKUP(M376,'[1]INDIVIDUAL UN'!$C$6:$F$222,4,FALSE)</f>
        <v>#N/A</v>
      </c>
    </row>
    <row r="377" spans="1:26" x14ac:dyDescent="0.35">
      <c r="A377" s="9" t="s">
        <v>25</v>
      </c>
      <c r="C377" s="10"/>
      <c r="D377" s="10"/>
      <c r="E377" s="10"/>
      <c r="F377" s="10"/>
      <c r="G377" s="10"/>
      <c r="H377" s="11"/>
      <c r="I377" s="11"/>
      <c r="J377" s="12" t="e">
        <f>+VLOOKUP(K377,Datos!$A:$C,3,FALSE)</f>
        <v>#N/A</v>
      </c>
      <c r="K377" s="10"/>
      <c r="L377" s="12" t="e">
        <f>+VLOOKUP(K377,Datos!$A:$C,2,FALSE)</f>
        <v>#N/A</v>
      </c>
      <c r="M377" s="10"/>
      <c r="N377" s="12" t="e">
        <f>+VLOOKUP(M377,Datos!$F:$G,2,FALSE)</f>
        <v>#N/A</v>
      </c>
      <c r="O377" s="13">
        <f>IFERROR(IF(A377="SI",VLOOKUP(R377,Datos!$J$1:$K$50,2,FALSE)*C377,VLOOKUP(R377,Datos!$P$1:$T$13,2,FALSE)*C377),0)</f>
        <v>0</v>
      </c>
      <c r="P377" s="10"/>
      <c r="Q377" s="12" t="e">
        <f>+VLOOKUP(P377,Datos!$F:$G,2,FALSE)</f>
        <v>#N/A</v>
      </c>
      <c r="V377" s="10">
        <f t="shared" si="5"/>
        <v>0</v>
      </c>
      <c r="W377" s="10" t="e">
        <f>+VLOOKUP(M377,Datos!$F:$H,3,FALSE)</f>
        <v>#N/A</v>
      </c>
      <c r="X377">
        <v>0</v>
      </c>
      <c r="Y377" s="14"/>
      <c r="Z377" t="e">
        <f>VLOOKUP(M377,'[1]INDIVIDUAL UN'!$C$6:$F$222,4,FALSE)</f>
        <v>#N/A</v>
      </c>
    </row>
    <row r="378" spans="1:26" x14ac:dyDescent="0.35">
      <c r="A378" s="9" t="s">
        <v>25</v>
      </c>
      <c r="C378" s="10"/>
      <c r="D378" s="10"/>
      <c r="E378" s="10"/>
      <c r="F378" s="10"/>
      <c r="G378" s="10"/>
      <c r="H378" s="11"/>
      <c r="I378" s="11"/>
      <c r="J378" s="12" t="e">
        <f>+VLOOKUP(K378,Datos!$A:$C,3,FALSE)</f>
        <v>#N/A</v>
      </c>
      <c r="K378" s="10"/>
      <c r="L378" s="12" t="e">
        <f>+VLOOKUP(K378,Datos!$A:$C,2,FALSE)</f>
        <v>#N/A</v>
      </c>
      <c r="M378" s="10"/>
      <c r="N378" s="12" t="e">
        <f>+VLOOKUP(M378,Datos!$F:$G,2,FALSE)</f>
        <v>#N/A</v>
      </c>
      <c r="O378" s="13">
        <f>IFERROR(IF(A378="SI",VLOOKUP(R378,Datos!$J$1:$K$50,2,FALSE)*C378,VLOOKUP(R378,Datos!$P$1:$T$13,2,FALSE)*C378),0)</f>
        <v>0</v>
      </c>
      <c r="P378" s="10"/>
      <c r="Q378" s="12" t="e">
        <f>+VLOOKUP(P378,Datos!$F:$G,2,FALSE)</f>
        <v>#N/A</v>
      </c>
      <c r="V378" s="10">
        <f t="shared" si="5"/>
        <v>0</v>
      </c>
      <c r="W378" s="10" t="e">
        <f>+VLOOKUP(M378,Datos!$F:$H,3,FALSE)</f>
        <v>#N/A</v>
      </c>
      <c r="X378">
        <v>0</v>
      </c>
      <c r="Y378" s="14"/>
      <c r="Z378" t="e">
        <f>VLOOKUP(M378,'[1]INDIVIDUAL UN'!$C$6:$F$222,4,FALSE)</f>
        <v>#N/A</v>
      </c>
    </row>
    <row r="379" spans="1:26" x14ac:dyDescent="0.35">
      <c r="A379" s="9" t="s">
        <v>25</v>
      </c>
      <c r="D379" s="10"/>
      <c r="E379" s="10"/>
      <c r="F379" s="10"/>
      <c r="G379" s="64"/>
      <c r="H379" s="11"/>
      <c r="J379" s="12" t="e">
        <f>+VLOOKUP(K379,Datos!$A:$C,3,FALSE)</f>
        <v>#N/A</v>
      </c>
      <c r="L379" s="12" t="e">
        <f>+VLOOKUP(K379,Datos!$A:$C,2,FALSE)</f>
        <v>#N/A</v>
      </c>
      <c r="N379" s="12" t="e">
        <f>+VLOOKUP(M379,Datos!$F:$G,2,FALSE)</f>
        <v>#N/A</v>
      </c>
      <c r="O379" s="13">
        <f>IFERROR(IF(A379="SI",VLOOKUP(R379,Datos!$J$1:$K$50,2,FALSE)*C379,VLOOKUP(R379,Datos!$P$1:$T$13,2,FALSE)*C379),0)</f>
        <v>0</v>
      </c>
      <c r="P379" s="9"/>
      <c r="Q379" s="12" t="e">
        <f>+VLOOKUP(P379,Datos!$F:$G,2,FALSE)</f>
        <v>#N/A</v>
      </c>
      <c r="V379" s="10">
        <f t="shared" si="5"/>
        <v>0</v>
      </c>
      <c r="W379" s="10" t="e">
        <f>+VLOOKUP(M379,Datos!$F:$H,3,FALSE)</f>
        <v>#N/A</v>
      </c>
      <c r="X379">
        <v>0</v>
      </c>
      <c r="Y379" s="14"/>
      <c r="Z379" t="e">
        <f>VLOOKUP(M379,'[1]INDIVIDUAL UN'!$C$6:$F$222,4,FALSE)</f>
        <v>#N/A</v>
      </c>
    </row>
    <row r="380" spans="1:26" x14ac:dyDescent="0.35">
      <c r="A380" s="9" t="s">
        <v>25</v>
      </c>
      <c r="C380" s="10"/>
      <c r="D380" s="10"/>
      <c r="E380" s="10"/>
      <c r="F380" s="10"/>
      <c r="G380" s="10"/>
      <c r="H380" s="11"/>
      <c r="I380" s="11"/>
      <c r="J380" s="12" t="e">
        <f>+VLOOKUP(K380,Datos!$A:$C,3,FALSE)</f>
        <v>#N/A</v>
      </c>
      <c r="K380" s="10"/>
      <c r="L380" s="12" t="e">
        <f>+VLOOKUP(K380,Datos!$A:$C,2,FALSE)</f>
        <v>#N/A</v>
      </c>
      <c r="M380" s="10"/>
      <c r="N380" s="12" t="e">
        <f>+VLOOKUP(M380,Datos!$F:$G,2,FALSE)</f>
        <v>#N/A</v>
      </c>
      <c r="O380" s="13">
        <f>IFERROR(IF(A380="SI",VLOOKUP(R380,Datos!$J$1:$K$50,2,FALSE)*C380,VLOOKUP(R380,Datos!$P$1:$T$13,2,FALSE)*C380),0)</f>
        <v>0</v>
      </c>
      <c r="P380" s="9"/>
      <c r="Q380" s="12" t="e">
        <f>+VLOOKUP(P380,Datos!$F:$G,2,FALSE)</f>
        <v>#N/A</v>
      </c>
      <c r="V380" s="10">
        <f t="shared" si="5"/>
        <v>0</v>
      </c>
      <c r="W380" s="10" t="e">
        <f>+VLOOKUP(M380,Datos!$F:$H,3,FALSE)</f>
        <v>#N/A</v>
      </c>
      <c r="X380">
        <v>0</v>
      </c>
      <c r="Y380" s="14"/>
      <c r="Z380" t="e">
        <f>VLOOKUP(M380,'[1]INDIVIDUAL UN'!$C$6:$F$222,4,FALSE)</f>
        <v>#N/A</v>
      </c>
    </row>
    <row r="381" spans="1:26" x14ac:dyDescent="0.35">
      <c r="A381" s="9" t="s">
        <v>25</v>
      </c>
      <c r="C381" s="10"/>
      <c r="D381" s="10"/>
      <c r="E381" s="10"/>
      <c r="F381" s="10"/>
      <c r="G381" s="10"/>
      <c r="H381" s="11"/>
      <c r="I381" s="11"/>
      <c r="J381" s="12" t="e">
        <f>+VLOOKUP(K381,Datos!$A:$C,3,FALSE)</f>
        <v>#N/A</v>
      </c>
      <c r="K381" s="10"/>
      <c r="L381" s="12" t="e">
        <f>+VLOOKUP(K381,Datos!$A:$C,2,FALSE)</f>
        <v>#N/A</v>
      </c>
      <c r="M381" s="10"/>
      <c r="N381" s="12" t="e">
        <f>+VLOOKUP(M381,Datos!$F:$G,2,FALSE)</f>
        <v>#N/A</v>
      </c>
      <c r="O381" s="13">
        <f>IFERROR(IF(A381="SI",VLOOKUP(R381,Datos!$J$1:$K$50,2,FALSE)*C381,VLOOKUP(R381,Datos!$P$1:$T$13,2,FALSE)*C381),0)</f>
        <v>0</v>
      </c>
      <c r="P381" s="9"/>
      <c r="Q381" s="12" t="e">
        <f>+VLOOKUP(P381,Datos!$F:$G,2,FALSE)</f>
        <v>#N/A</v>
      </c>
      <c r="V381" s="10">
        <f t="shared" si="5"/>
        <v>0</v>
      </c>
      <c r="W381" s="10" t="e">
        <f>+VLOOKUP(M381,Datos!$F:$H,3,FALSE)</f>
        <v>#N/A</v>
      </c>
      <c r="X381">
        <v>0</v>
      </c>
      <c r="Y381" s="14"/>
      <c r="Z381" t="e">
        <f>VLOOKUP(M381,'[1]INDIVIDUAL UN'!$C$6:$F$222,4,FALSE)</f>
        <v>#N/A</v>
      </c>
    </row>
    <row r="382" spans="1:26" x14ac:dyDescent="0.35">
      <c r="A382" s="9" t="s">
        <v>25</v>
      </c>
      <c r="C382" s="10"/>
      <c r="D382" s="10"/>
      <c r="E382" s="10"/>
      <c r="F382" s="10"/>
      <c r="G382" s="10"/>
      <c r="H382" s="11"/>
      <c r="I382" s="11"/>
      <c r="J382" s="12" t="e">
        <f>+VLOOKUP(K382,Datos!$A:$C,3,FALSE)</f>
        <v>#N/A</v>
      </c>
      <c r="K382" s="10"/>
      <c r="L382" s="12" t="e">
        <f>+VLOOKUP(K382,Datos!$A:$C,2,FALSE)</f>
        <v>#N/A</v>
      </c>
      <c r="M382" s="10"/>
      <c r="N382" s="12" t="e">
        <f>+VLOOKUP(M382,Datos!$F:$G,2,FALSE)</f>
        <v>#N/A</v>
      </c>
      <c r="O382" s="13">
        <f>IFERROR(IF(A382="SI",VLOOKUP(R382,Datos!$J$1:$K$50,2,FALSE)*C382,VLOOKUP(R382,Datos!$P$1:$T$13,2,FALSE)*C382),0)</f>
        <v>0</v>
      </c>
      <c r="P382" s="10"/>
      <c r="Q382" s="12" t="e">
        <f>+VLOOKUP(P382,Datos!$F:$G,2,FALSE)</f>
        <v>#N/A</v>
      </c>
      <c r="V382" s="10">
        <f t="shared" si="5"/>
        <v>0</v>
      </c>
      <c r="W382" s="10" t="e">
        <f>+VLOOKUP(M382,Datos!$F:$H,3,FALSE)</f>
        <v>#N/A</v>
      </c>
      <c r="X382">
        <v>0</v>
      </c>
      <c r="Y382" s="14"/>
      <c r="Z382" t="e">
        <f>VLOOKUP(M382,'[1]INDIVIDUAL UN'!$C$6:$F$222,4,FALSE)</f>
        <v>#N/A</v>
      </c>
    </row>
    <row r="383" spans="1:26" x14ac:dyDescent="0.35">
      <c r="A383" s="9" t="s">
        <v>25</v>
      </c>
      <c r="C383" s="10"/>
      <c r="D383" s="10"/>
      <c r="E383" s="10"/>
      <c r="F383" s="10"/>
      <c r="G383" s="10"/>
      <c r="H383" s="11"/>
      <c r="I383" s="11"/>
      <c r="J383" s="12" t="e">
        <f>+VLOOKUP(K383,Datos!$A:$C,3,FALSE)</f>
        <v>#N/A</v>
      </c>
      <c r="K383" s="10"/>
      <c r="L383" s="12" t="e">
        <f>+VLOOKUP(K383,Datos!$A:$C,2,FALSE)</f>
        <v>#N/A</v>
      </c>
      <c r="M383" s="10"/>
      <c r="N383" s="12" t="e">
        <f>+VLOOKUP(M383,Datos!$F:$G,2,FALSE)</f>
        <v>#N/A</v>
      </c>
      <c r="O383" s="13">
        <f>IFERROR(IF(A383="SI",VLOOKUP(R383,Datos!$J$1:$K$50,2,FALSE)*C383,VLOOKUP(R383,Datos!$P$1:$T$13,2,FALSE)*C383),0)</f>
        <v>0</v>
      </c>
      <c r="P383" s="9"/>
      <c r="Q383" s="12" t="e">
        <f>+VLOOKUP(P383,Datos!$F:$G,2,FALSE)</f>
        <v>#N/A</v>
      </c>
      <c r="V383" s="10">
        <f t="shared" si="5"/>
        <v>0</v>
      </c>
      <c r="W383" s="10" t="e">
        <f>+VLOOKUP(M383,Datos!$F:$H,3,FALSE)</f>
        <v>#N/A</v>
      </c>
      <c r="X383">
        <v>0</v>
      </c>
      <c r="Y383" s="14"/>
      <c r="Z383" t="e">
        <f>VLOOKUP(M383,'[1]INDIVIDUAL UN'!$C$6:$F$222,4,FALSE)</f>
        <v>#N/A</v>
      </c>
    </row>
    <row r="384" spans="1:26" x14ac:dyDescent="0.35">
      <c r="A384" s="9" t="s">
        <v>25</v>
      </c>
      <c r="C384" s="10"/>
      <c r="D384" s="10"/>
      <c r="E384" s="10"/>
      <c r="F384" s="10"/>
      <c r="G384" s="10"/>
      <c r="H384" s="11"/>
      <c r="I384" s="11"/>
      <c r="J384" s="12" t="e">
        <f>+VLOOKUP(K384,Datos!$A:$C,3,FALSE)</f>
        <v>#N/A</v>
      </c>
      <c r="K384" s="10"/>
      <c r="L384" s="12" t="e">
        <f>+VLOOKUP(K384,Datos!$A:$C,2,FALSE)</f>
        <v>#N/A</v>
      </c>
      <c r="M384" s="10"/>
      <c r="N384" s="12" t="e">
        <f>+VLOOKUP(M384,Datos!$F:$G,2,FALSE)</f>
        <v>#N/A</v>
      </c>
      <c r="O384" s="13">
        <f>IFERROR(IF(A384="SI",VLOOKUP(R384,Datos!$J$1:$K$50,2,FALSE)*C384,VLOOKUP(R384,Datos!$P$1:$T$13,2,FALSE)*C384),0)</f>
        <v>0</v>
      </c>
      <c r="P384" s="9"/>
      <c r="Q384" s="12" t="e">
        <f>+VLOOKUP(P384,Datos!$F:$G,2,FALSE)</f>
        <v>#N/A</v>
      </c>
      <c r="V384" s="10">
        <f t="shared" si="5"/>
        <v>0</v>
      </c>
      <c r="W384" s="10" t="e">
        <f>+VLOOKUP(M384,Datos!$F:$H,3,FALSE)</f>
        <v>#N/A</v>
      </c>
      <c r="X384">
        <v>0</v>
      </c>
      <c r="Y384" s="14"/>
      <c r="Z384" t="e">
        <f>VLOOKUP(M384,'[1]INDIVIDUAL UN'!$C$6:$F$222,4,FALSE)</f>
        <v>#N/A</v>
      </c>
    </row>
    <row r="385" spans="1:26" x14ac:dyDescent="0.35">
      <c r="A385" s="9" t="s">
        <v>25</v>
      </c>
      <c r="C385" s="67"/>
      <c r="D385" s="10"/>
      <c r="E385" s="10"/>
      <c r="F385" s="10"/>
      <c r="G385" s="10"/>
      <c r="H385" s="11"/>
      <c r="I385" s="68"/>
      <c r="J385" s="12" t="e">
        <f>+VLOOKUP(K385,Datos!$A:$C,3,FALSE)</f>
        <v>#N/A</v>
      </c>
      <c r="K385" s="67"/>
      <c r="L385" s="12" t="e">
        <f>+VLOOKUP(K385,Datos!$A:$C,2,FALSE)</f>
        <v>#N/A</v>
      </c>
      <c r="M385" s="67"/>
      <c r="N385" s="12" t="e">
        <f>+VLOOKUP(M385,Datos!$F:$G,2,FALSE)</f>
        <v>#N/A</v>
      </c>
      <c r="O385" s="13">
        <f>IFERROR(IF(A385="SI",VLOOKUP(R385,Datos!$J$1:$K$50,2,FALSE)*C385,VLOOKUP(R385,Datos!$P$1:$T$13,2,FALSE)*C385),0)</f>
        <v>0</v>
      </c>
      <c r="P385" s="67"/>
      <c r="Q385" s="12" t="e">
        <f>+VLOOKUP(P385,Datos!$F:$G,2,FALSE)</f>
        <v>#N/A</v>
      </c>
      <c r="V385" s="10">
        <f t="shared" si="5"/>
        <v>0</v>
      </c>
      <c r="W385" s="10" t="e">
        <f>+VLOOKUP(M385,Datos!$F:$H,3,FALSE)</f>
        <v>#N/A</v>
      </c>
      <c r="X385">
        <v>0</v>
      </c>
      <c r="Y385" s="14"/>
      <c r="Z385" t="e">
        <f>VLOOKUP(M385,'[1]INDIVIDUAL UN'!$C$6:$F$222,4,FALSE)</f>
        <v>#N/A</v>
      </c>
    </row>
    <row r="386" spans="1:26" x14ac:dyDescent="0.35">
      <c r="A386" s="9" t="s">
        <v>25</v>
      </c>
      <c r="C386" s="10"/>
      <c r="D386" s="10"/>
      <c r="E386" s="10"/>
      <c r="F386" s="10"/>
      <c r="G386" s="10"/>
      <c r="H386" s="11"/>
      <c r="I386" s="11"/>
      <c r="J386" s="12" t="e">
        <f>+VLOOKUP(K386,Datos!$A:$C,3,FALSE)</f>
        <v>#N/A</v>
      </c>
      <c r="K386" s="10"/>
      <c r="L386" s="12" t="e">
        <f>+VLOOKUP(K386,Datos!$A:$C,2,FALSE)</f>
        <v>#N/A</v>
      </c>
      <c r="M386" s="10"/>
      <c r="N386" s="12" t="e">
        <f>+VLOOKUP(M386,Datos!$F:$G,2,FALSE)</f>
        <v>#N/A</v>
      </c>
      <c r="O386" s="13">
        <f>IFERROR(IF(A386="SI",VLOOKUP(R386,Datos!$J$1:$K$50,2,FALSE)*C386,VLOOKUP(R386,Datos!$P$1:$T$13,2,FALSE)*C386),0)</f>
        <v>0</v>
      </c>
      <c r="P386" s="9"/>
      <c r="Q386" s="12" t="e">
        <f>+VLOOKUP(P386,Datos!$F:$G,2,FALSE)</f>
        <v>#N/A</v>
      </c>
      <c r="V386" s="10">
        <f t="shared" ref="V386:V444" si="6">+COUNTIFS($G$2:$G$444,G386)</f>
        <v>0</v>
      </c>
      <c r="W386" s="10" t="e">
        <f>+VLOOKUP(M386,Datos!$F:$H,3,FALSE)</f>
        <v>#N/A</v>
      </c>
      <c r="X386">
        <v>0</v>
      </c>
      <c r="Y386" s="14"/>
      <c r="Z386" t="e">
        <f>VLOOKUP(M386,'[1]INDIVIDUAL UN'!$C$6:$F$222,4,FALSE)</f>
        <v>#N/A</v>
      </c>
    </row>
    <row r="387" spans="1:26" x14ac:dyDescent="0.35">
      <c r="A387" s="9" t="s">
        <v>25</v>
      </c>
      <c r="C387" s="10"/>
      <c r="D387" s="10"/>
      <c r="E387" s="10"/>
      <c r="F387" s="10"/>
      <c r="G387" s="10"/>
      <c r="H387" s="11"/>
      <c r="I387" s="11"/>
      <c r="J387" s="12" t="e">
        <f>+VLOOKUP(K387,Datos!$A:$C,3,FALSE)</f>
        <v>#N/A</v>
      </c>
      <c r="K387" s="10"/>
      <c r="L387" s="12" t="e">
        <f>+VLOOKUP(K387,Datos!$A:$C,2,FALSE)</f>
        <v>#N/A</v>
      </c>
      <c r="M387" s="10"/>
      <c r="N387" s="12" t="e">
        <f>+VLOOKUP(M387,Datos!$F:$G,2,FALSE)</f>
        <v>#N/A</v>
      </c>
      <c r="O387" s="13">
        <f>IFERROR(IF(A387="SI",VLOOKUP(R387,Datos!$J$1:$K$50,2,FALSE)*C387,VLOOKUP(R387,Datos!$P$1:$T$13,2,FALSE)*C387),0)</f>
        <v>0</v>
      </c>
      <c r="P387" s="9"/>
      <c r="Q387" s="12" t="e">
        <f>+VLOOKUP(P387,Datos!$F:$G,2,FALSE)</f>
        <v>#N/A</v>
      </c>
      <c r="V387" s="10">
        <f t="shared" si="6"/>
        <v>0</v>
      </c>
      <c r="W387" s="10" t="e">
        <f>+VLOOKUP(M387,Datos!$F:$H,3,FALSE)</f>
        <v>#N/A</v>
      </c>
      <c r="X387">
        <v>0</v>
      </c>
      <c r="Y387" s="14"/>
      <c r="Z387" t="e">
        <f>VLOOKUP(M387,'[1]INDIVIDUAL UN'!$C$6:$F$222,4,FALSE)</f>
        <v>#N/A</v>
      </c>
    </row>
    <row r="388" spans="1:26" x14ac:dyDescent="0.35">
      <c r="A388" s="9" t="s">
        <v>25</v>
      </c>
      <c r="C388" s="10"/>
      <c r="D388" s="10"/>
      <c r="E388" s="10"/>
      <c r="F388" s="10"/>
      <c r="G388" s="10"/>
      <c r="H388" s="11"/>
      <c r="I388" s="11"/>
      <c r="J388" s="12" t="e">
        <f>+VLOOKUP(K388,Datos!$A:$C,3,FALSE)</f>
        <v>#N/A</v>
      </c>
      <c r="K388" s="10"/>
      <c r="L388" s="12" t="e">
        <f>+VLOOKUP(K388,Datos!$A:$C,2,FALSE)</f>
        <v>#N/A</v>
      </c>
      <c r="M388" s="10"/>
      <c r="N388" s="12" t="e">
        <f>+VLOOKUP(M388,Datos!$F:$G,2,FALSE)</f>
        <v>#N/A</v>
      </c>
      <c r="O388" s="13">
        <f>IFERROR(IF(A388="SI",VLOOKUP(R388,Datos!$J$1:$K$50,2,FALSE)*C388,VLOOKUP(R388,Datos!$P$1:$T$13,2,FALSE)*C388),0)</f>
        <v>0</v>
      </c>
      <c r="P388" s="9"/>
      <c r="Q388" s="12" t="e">
        <f>+VLOOKUP(P388,Datos!$F:$G,2,FALSE)</f>
        <v>#N/A</v>
      </c>
      <c r="V388" s="10">
        <f t="shared" si="6"/>
        <v>0</v>
      </c>
      <c r="W388" s="10" t="e">
        <f>+VLOOKUP(M388,Datos!$F:$H,3,FALSE)</f>
        <v>#N/A</v>
      </c>
      <c r="X388">
        <v>0</v>
      </c>
      <c r="Y388" s="14"/>
      <c r="Z388" t="e">
        <f>VLOOKUP(M388,'[1]INDIVIDUAL UN'!$C$6:$F$222,4,FALSE)</f>
        <v>#N/A</v>
      </c>
    </row>
    <row r="389" spans="1:26" x14ac:dyDescent="0.35">
      <c r="A389" s="9" t="s">
        <v>25</v>
      </c>
      <c r="C389" s="10"/>
      <c r="D389" s="10"/>
      <c r="E389" s="10"/>
      <c r="F389" s="10"/>
      <c r="G389" s="10"/>
      <c r="H389" s="11"/>
      <c r="I389" s="11"/>
      <c r="J389" s="12" t="e">
        <f>+VLOOKUP(K389,Datos!$A:$C,3,FALSE)</f>
        <v>#N/A</v>
      </c>
      <c r="K389" s="10"/>
      <c r="L389" s="12" t="e">
        <f>+VLOOKUP(K389,Datos!$A:$C,2,FALSE)</f>
        <v>#N/A</v>
      </c>
      <c r="M389" s="10"/>
      <c r="N389" s="12" t="e">
        <f>+VLOOKUP(M389,Datos!$F:$G,2,FALSE)</f>
        <v>#N/A</v>
      </c>
      <c r="O389" s="13">
        <f>IFERROR(IF(A389="SI",VLOOKUP(R389,Datos!$J$1:$K$50,2,FALSE)*C389,VLOOKUP(R389,Datos!$P$1:$T$13,2,FALSE)*C389),0)</f>
        <v>0</v>
      </c>
      <c r="P389" s="9"/>
      <c r="Q389" s="12" t="e">
        <f>+VLOOKUP(P389,Datos!$F:$G,2,FALSE)</f>
        <v>#N/A</v>
      </c>
      <c r="V389" s="10">
        <f t="shared" si="6"/>
        <v>0</v>
      </c>
      <c r="W389" s="10" t="e">
        <f>+VLOOKUP(M389,Datos!$F:$H,3,FALSE)</f>
        <v>#N/A</v>
      </c>
      <c r="X389">
        <v>0</v>
      </c>
      <c r="Y389" s="14"/>
      <c r="Z389" t="e">
        <f>VLOOKUP(M389,'[1]INDIVIDUAL UN'!$C$6:$F$222,4,FALSE)</f>
        <v>#N/A</v>
      </c>
    </row>
    <row r="390" spans="1:26" x14ac:dyDescent="0.35">
      <c r="A390" s="9" t="s">
        <v>25</v>
      </c>
      <c r="C390" s="10"/>
      <c r="D390" s="10"/>
      <c r="E390" s="10"/>
      <c r="F390" s="10"/>
      <c r="G390" s="10"/>
      <c r="H390" s="11"/>
      <c r="I390" s="11"/>
      <c r="J390" s="12" t="e">
        <f>+VLOOKUP(K390,Datos!$A:$C,3,FALSE)</f>
        <v>#N/A</v>
      </c>
      <c r="K390" s="10"/>
      <c r="L390" s="12" t="e">
        <f>+VLOOKUP(K390,Datos!$A:$C,2,FALSE)</f>
        <v>#N/A</v>
      </c>
      <c r="M390" s="10"/>
      <c r="N390" s="12" t="e">
        <f>+VLOOKUP(M390,Datos!$F:$G,2,FALSE)</f>
        <v>#N/A</v>
      </c>
      <c r="O390" s="13">
        <f>IFERROR(IF(A390="SI",VLOOKUP(R390,Datos!$J$1:$K$50,2,FALSE)*C390,VLOOKUP(R390,Datos!$P$1:$T$13,2,FALSE)*C390),0)</f>
        <v>0</v>
      </c>
      <c r="P390" s="9"/>
      <c r="Q390" s="12" t="e">
        <f>+VLOOKUP(P390,Datos!$F:$G,2,FALSE)</f>
        <v>#N/A</v>
      </c>
      <c r="V390" s="10">
        <f t="shared" si="6"/>
        <v>0</v>
      </c>
      <c r="W390" s="10" t="e">
        <f>+VLOOKUP(M390,Datos!$F:$H,3,FALSE)</f>
        <v>#N/A</v>
      </c>
      <c r="X390">
        <v>0</v>
      </c>
      <c r="Y390" s="14"/>
      <c r="Z390" t="e">
        <f>VLOOKUP(M390,'[1]INDIVIDUAL UN'!$C$6:$F$222,4,FALSE)</f>
        <v>#N/A</v>
      </c>
    </row>
    <row r="391" spans="1:26" x14ac:dyDescent="0.35">
      <c r="A391" s="9" t="s">
        <v>25</v>
      </c>
      <c r="C391" s="10"/>
      <c r="D391" s="10"/>
      <c r="E391" s="10"/>
      <c r="F391" s="10"/>
      <c r="G391" s="10"/>
      <c r="H391" s="11"/>
      <c r="I391" s="11"/>
      <c r="J391" s="12" t="e">
        <f>+VLOOKUP(K391,Datos!$A:$C,3,FALSE)</f>
        <v>#N/A</v>
      </c>
      <c r="K391" s="10"/>
      <c r="L391" s="12" t="e">
        <f>+VLOOKUP(K391,Datos!$A:$C,2,FALSE)</f>
        <v>#N/A</v>
      </c>
      <c r="M391" s="10"/>
      <c r="N391" s="12" t="e">
        <f>+VLOOKUP(M391,Datos!$F:$G,2,FALSE)</f>
        <v>#N/A</v>
      </c>
      <c r="O391" s="13">
        <f>IFERROR(IF(A391="SI",VLOOKUP(R391,Datos!$J$1:$K$50,2,FALSE)*C391,VLOOKUP(R391,Datos!$P$1:$T$13,2,FALSE)*C391),0)</f>
        <v>0</v>
      </c>
      <c r="P391" s="9"/>
      <c r="Q391" s="12" t="e">
        <f>+VLOOKUP(P391,Datos!$F:$G,2,FALSE)</f>
        <v>#N/A</v>
      </c>
      <c r="V391" s="10">
        <f t="shared" si="6"/>
        <v>0</v>
      </c>
      <c r="W391" s="10" t="e">
        <f>+VLOOKUP(M391,Datos!$F:$H,3,FALSE)</f>
        <v>#N/A</v>
      </c>
      <c r="X391">
        <v>0</v>
      </c>
      <c r="Y391" s="14"/>
      <c r="Z391" t="e">
        <f>VLOOKUP(M391,'[1]INDIVIDUAL UN'!$C$6:$F$222,4,FALSE)</f>
        <v>#N/A</v>
      </c>
    </row>
    <row r="392" spans="1:26" x14ac:dyDescent="0.35">
      <c r="A392" s="9" t="s">
        <v>25</v>
      </c>
      <c r="C392" s="10"/>
      <c r="D392" s="10"/>
      <c r="E392" s="10"/>
      <c r="F392" s="10"/>
      <c r="G392" s="10"/>
      <c r="H392" s="11"/>
      <c r="I392" s="11"/>
      <c r="J392" s="12" t="e">
        <f>+VLOOKUP(K392,Datos!$A:$C,3,FALSE)</f>
        <v>#N/A</v>
      </c>
      <c r="K392" s="10"/>
      <c r="L392" s="12" t="e">
        <f>+VLOOKUP(K392,Datos!$A:$C,2,FALSE)</f>
        <v>#N/A</v>
      </c>
      <c r="M392" s="10"/>
      <c r="N392" s="12" t="e">
        <f>+VLOOKUP(M392,Datos!$F:$G,2,FALSE)</f>
        <v>#N/A</v>
      </c>
      <c r="O392" s="13">
        <f>IFERROR(IF(A392="SI",VLOOKUP(R392,Datos!$J$1:$K$50,2,FALSE)*C392,VLOOKUP(R392,Datos!$P$1:$T$13,2,FALSE)*C392),0)</f>
        <v>0</v>
      </c>
      <c r="P392" s="9"/>
      <c r="Q392" s="12" t="e">
        <f>+VLOOKUP(P392,Datos!$F:$G,2,FALSE)</f>
        <v>#N/A</v>
      </c>
      <c r="V392" s="10">
        <f t="shared" si="6"/>
        <v>0</v>
      </c>
      <c r="W392" s="10" t="e">
        <f>+VLOOKUP(M392,Datos!$F:$H,3,FALSE)</f>
        <v>#N/A</v>
      </c>
      <c r="X392">
        <v>0</v>
      </c>
      <c r="Y392" s="14"/>
      <c r="Z392" t="e">
        <f>VLOOKUP(M392,'[1]INDIVIDUAL UN'!$C$6:$F$222,4,FALSE)</f>
        <v>#N/A</v>
      </c>
    </row>
    <row r="393" spans="1:26" s="10" customFormat="1" x14ac:dyDescent="0.35">
      <c r="A393" s="9" t="s">
        <v>25</v>
      </c>
      <c r="B393" s="9"/>
      <c r="H393" s="11"/>
      <c r="I393" s="11"/>
      <c r="J393" s="12" t="e">
        <f>+VLOOKUP(K393,Datos!$A:$C,3,FALSE)</f>
        <v>#N/A</v>
      </c>
      <c r="L393" s="12" t="e">
        <f>+VLOOKUP(K393,Datos!$A:$C,2,FALSE)</f>
        <v>#N/A</v>
      </c>
      <c r="N393" s="12" t="e">
        <f>+VLOOKUP(M393,Datos!$F:$G,2,FALSE)</f>
        <v>#N/A</v>
      </c>
      <c r="O393" s="13">
        <f>IFERROR(IF(A393="SI",VLOOKUP(R393,Datos!$J$1:$K$50,2,FALSE)*C393,VLOOKUP(R393,Datos!$P$1:$T$13,2,FALSE)*C393),0)</f>
        <v>0</v>
      </c>
      <c r="P393" s="9"/>
      <c r="Q393" s="12" t="e">
        <f>+VLOOKUP(P393,Datos!$F:$G,2,FALSE)</f>
        <v>#N/A</v>
      </c>
      <c r="R393" s="9"/>
      <c r="V393" s="10">
        <f t="shared" si="6"/>
        <v>0</v>
      </c>
      <c r="W393" s="10" t="e">
        <f>+VLOOKUP(M393,Datos!$F:$H,3,FALSE)</f>
        <v>#N/A</v>
      </c>
      <c r="X393">
        <v>0</v>
      </c>
      <c r="Y393" s="20"/>
      <c r="Z393" s="10" t="e">
        <f>VLOOKUP(M393,'[1]INDIVIDUAL UN'!$C$6:$F$222,4,FALSE)</f>
        <v>#N/A</v>
      </c>
    </row>
    <row r="394" spans="1:26" x14ac:dyDescent="0.35">
      <c r="A394" s="9" t="s">
        <v>25</v>
      </c>
      <c r="C394" s="10"/>
      <c r="D394" s="10"/>
      <c r="E394" s="10"/>
      <c r="F394" s="10"/>
      <c r="G394" s="10"/>
      <c r="H394" s="11"/>
      <c r="I394" s="11"/>
      <c r="J394" s="12" t="e">
        <f>+VLOOKUP(K394,Datos!$A:$C,3,FALSE)</f>
        <v>#N/A</v>
      </c>
      <c r="K394" s="10"/>
      <c r="L394" s="12" t="e">
        <f>+VLOOKUP(K394,Datos!$A:$C,2,FALSE)</f>
        <v>#N/A</v>
      </c>
      <c r="M394" s="10"/>
      <c r="N394" s="12" t="e">
        <f>+VLOOKUP(M394,Datos!$F:$G,2,FALSE)</f>
        <v>#N/A</v>
      </c>
      <c r="O394" s="13">
        <f>IFERROR(IF(A394="SI",VLOOKUP(R394,Datos!$J$1:$K$50,2,FALSE)*C394,VLOOKUP(R394,Datos!$P$1:$T$13,2,FALSE)*C394),0)</f>
        <v>0</v>
      </c>
      <c r="P394" s="9"/>
      <c r="Q394" s="12" t="e">
        <f>+VLOOKUP(P394,Datos!$F:$G,2,FALSE)</f>
        <v>#N/A</v>
      </c>
      <c r="V394" s="10">
        <f t="shared" si="6"/>
        <v>0</v>
      </c>
      <c r="W394" s="10" t="e">
        <f>+VLOOKUP(M394,Datos!$F:$H,3,FALSE)</f>
        <v>#N/A</v>
      </c>
      <c r="X394">
        <v>0</v>
      </c>
      <c r="Y394" s="14"/>
      <c r="Z394" t="e">
        <f>VLOOKUP(M394,'[1]INDIVIDUAL UN'!$C$6:$F$222,4,FALSE)</f>
        <v>#N/A</v>
      </c>
    </row>
    <row r="395" spans="1:26" x14ac:dyDescent="0.35">
      <c r="A395" s="9" t="s">
        <v>25</v>
      </c>
      <c r="C395" s="10"/>
      <c r="D395" s="10"/>
      <c r="E395" s="10"/>
      <c r="F395" s="10"/>
      <c r="G395" s="10"/>
      <c r="H395" s="11"/>
      <c r="I395" s="11"/>
      <c r="J395" s="12" t="e">
        <f>+VLOOKUP(K395,Datos!$A:$C,3,FALSE)</f>
        <v>#N/A</v>
      </c>
      <c r="K395" s="10"/>
      <c r="L395" s="12" t="e">
        <f>+VLOOKUP(K395,Datos!$A:$C,2,FALSE)</f>
        <v>#N/A</v>
      </c>
      <c r="M395" s="10"/>
      <c r="N395" s="12" t="e">
        <f>+VLOOKUP(M395,Datos!$F:$G,2,FALSE)</f>
        <v>#N/A</v>
      </c>
      <c r="O395" s="13">
        <f>IFERROR(IF(A395="SI",VLOOKUP(R395,Datos!$J$1:$K$50,2,FALSE)*C395,VLOOKUP(R395,Datos!$P$1:$T$13,2,FALSE)*C395),0)</f>
        <v>0</v>
      </c>
      <c r="P395" s="9"/>
      <c r="Q395" s="12" t="e">
        <f>+VLOOKUP(P395,Datos!$F:$G,2,FALSE)</f>
        <v>#N/A</v>
      </c>
      <c r="V395" s="10">
        <f t="shared" si="6"/>
        <v>0</v>
      </c>
      <c r="W395" s="10" t="e">
        <f>+VLOOKUP(M395,Datos!$F:$H,3,FALSE)</f>
        <v>#N/A</v>
      </c>
      <c r="X395">
        <v>0</v>
      </c>
      <c r="Y395" s="14"/>
      <c r="Z395" t="e">
        <f>VLOOKUP(M395,'[1]INDIVIDUAL UN'!$C$6:$F$222,4,FALSE)</f>
        <v>#N/A</v>
      </c>
    </row>
    <row r="396" spans="1:26" x14ac:dyDescent="0.35">
      <c r="A396" s="9" t="s">
        <v>25</v>
      </c>
      <c r="C396" s="10"/>
      <c r="D396" s="10"/>
      <c r="E396" s="10"/>
      <c r="F396" s="10"/>
      <c r="G396" s="10"/>
      <c r="H396" s="11"/>
      <c r="I396" s="11"/>
      <c r="J396" s="12" t="e">
        <f>+VLOOKUP(K396,Datos!$A:$C,3,FALSE)</f>
        <v>#N/A</v>
      </c>
      <c r="K396" s="10"/>
      <c r="L396" s="12" t="e">
        <f>+VLOOKUP(K396,Datos!$A:$C,2,FALSE)</f>
        <v>#N/A</v>
      </c>
      <c r="M396" s="10"/>
      <c r="N396" s="12" t="e">
        <f>+VLOOKUP(M396,Datos!$F:$G,2,FALSE)</f>
        <v>#N/A</v>
      </c>
      <c r="O396" s="13">
        <f>IFERROR(IF(A396="SI",VLOOKUP(R396,Datos!$J$1:$K$50,2,FALSE)*C396,VLOOKUP(R396,Datos!$P$1:$T$13,2,FALSE)*C396),0)</f>
        <v>0</v>
      </c>
      <c r="P396" s="9"/>
      <c r="Q396" s="12" t="e">
        <f>+VLOOKUP(P396,Datos!$F:$G,2,FALSE)</f>
        <v>#N/A</v>
      </c>
      <c r="V396" s="10">
        <f t="shared" si="6"/>
        <v>0</v>
      </c>
      <c r="W396" s="10" t="e">
        <f>+VLOOKUP(M396,Datos!$F:$H,3,FALSE)</f>
        <v>#N/A</v>
      </c>
      <c r="X396">
        <v>0</v>
      </c>
      <c r="Y396" s="14"/>
      <c r="Z396" t="e">
        <f>VLOOKUP(M396,'[1]INDIVIDUAL UN'!$C$6:$F$222,4,FALSE)</f>
        <v>#N/A</v>
      </c>
    </row>
    <row r="397" spans="1:26" x14ac:dyDescent="0.35">
      <c r="A397" s="9" t="s">
        <v>25</v>
      </c>
      <c r="C397" s="10"/>
      <c r="D397" s="10"/>
      <c r="E397" s="10"/>
      <c r="F397" s="10"/>
      <c r="G397" s="10"/>
      <c r="H397" s="11"/>
      <c r="I397" s="11"/>
      <c r="J397" s="12" t="e">
        <f>+VLOOKUP(K397,Datos!$A:$C,3,FALSE)</f>
        <v>#N/A</v>
      </c>
      <c r="K397" s="10"/>
      <c r="L397" s="12" t="e">
        <f>+VLOOKUP(K397,Datos!$A:$C,2,FALSE)</f>
        <v>#N/A</v>
      </c>
      <c r="M397" s="10"/>
      <c r="N397" s="12" t="e">
        <f>+VLOOKUP(M397,Datos!$F:$G,2,FALSE)</f>
        <v>#N/A</v>
      </c>
      <c r="O397" s="13">
        <f>IFERROR(IF(A397="SI",VLOOKUP(R397,Datos!$J$1:$K$50,2,FALSE)*C397,VLOOKUP(R397,Datos!$P$1:$T$13,2,FALSE)*C397),0)</f>
        <v>0</v>
      </c>
      <c r="P397" s="9"/>
      <c r="Q397" s="12" t="e">
        <f>+VLOOKUP(P397,Datos!$F:$G,2,FALSE)</f>
        <v>#N/A</v>
      </c>
      <c r="V397" s="10">
        <f t="shared" si="6"/>
        <v>0</v>
      </c>
      <c r="W397" s="10" t="e">
        <f>+VLOOKUP(M397,Datos!$F:$H,3,FALSE)</f>
        <v>#N/A</v>
      </c>
      <c r="X397">
        <v>0</v>
      </c>
      <c r="Y397" s="14"/>
      <c r="Z397" t="e">
        <f>VLOOKUP(M397,'[1]INDIVIDUAL UN'!$C$6:$F$222,4,FALSE)</f>
        <v>#N/A</v>
      </c>
    </row>
    <row r="398" spans="1:26" x14ac:dyDescent="0.35">
      <c r="A398" s="9" t="s">
        <v>25</v>
      </c>
      <c r="C398" s="10"/>
      <c r="D398" s="10"/>
      <c r="E398" s="10"/>
      <c r="F398" s="10"/>
      <c r="G398" s="10"/>
      <c r="H398" s="11"/>
      <c r="I398" s="11"/>
      <c r="J398" s="12" t="e">
        <f>+VLOOKUP(K398,Datos!$A:$C,3,FALSE)</f>
        <v>#N/A</v>
      </c>
      <c r="K398" s="10"/>
      <c r="L398" s="12" t="e">
        <f>+VLOOKUP(K398,Datos!$A:$C,2,FALSE)</f>
        <v>#N/A</v>
      </c>
      <c r="M398" s="10"/>
      <c r="N398" s="12" t="e">
        <f>+VLOOKUP(M398,Datos!$F:$G,2,FALSE)</f>
        <v>#N/A</v>
      </c>
      <c r="O398" s="13">
        <f>IFERROR(IF(A398="SI",VLOOKUP(R398,Datos!$J$1:$K$50,2,FALSE)*C398,VLOOKUP(R398,Datos!$P$1:$T$13,2,FALSE)*C398),0)</f>
        <v>0</v>
      </c>
      <c r="P398" s="10"/>
      <c r="Q398" s="12" t="e">
        <f>+VLOOKUP(P398,Datos!$F:$G,2,FALSE)</f>
        <v>#N/A</v>
      </c>
      <c r="V398" s="10">
        <f t="shared" si="6"/>
        <v>0</v>
      </c>
      <c r="W398" s="10" t="e">
        <f>+VLOOKUP(M398,Datos!$F:$H,3,FALSE)</f>
        <v>#N/A</v>
      </c>
      <c r="X398">
        <v>0</v>
      </c>
      <c r="Y398" s="14"/>
      <c r="Z398" t="e">
        <f>VLOOKUP(M398,'[1]INDIVIDUAL UN'!$C$6:$F$222,4,FALSE)</f>
        <v>#N/A</v>
      </c>
    </row>
    <row r="399" spans="1:26" s="10" customFormat="1" x14ac:dyDescent="0.35">
      <c r="A399" s="9" t="s">
        <v>25</v>
      </c>
      <c r="B399" s="9"/>
      <c r="C399" s="16"/>
      <c r="D399" s="16"/>
      <c r="E399" s="16"/>
      <c r="F399" s="16"/>
      <c r="G399" s="16"/>
      <c r="H399" s="11"/>
      <c r="I399" s="42"/>
      <c r="J399" s="12" t="e">
        <f>+VLOOKUP(K399,Datos!$A:$C,3,FALSE)</f>
        <v>#N/A</v>
      </c>
      <c r="K399" s="16"/>
      <c r="L399" s="12" t="e">
        <f>+VLOOKUP(K399,Datos!$A:$C,2,FALSE)</f>
        <v>#N/A</v>
      </c>
      <c r="M399" s="16"/>
      <c r="N399" s="12" t="e">
        <f>+VLOOKUP(M399,Datos!$F:$G,2,FALSE)</f>
        <v>#N/A</v>
      </c>
      <c r="O399" s="13">
        <f>IFERROR(IF(A399="SI",VLOOKUP(R399,Datos!$J$1:$K$50,2,FALSE)*C399,VLOOKUP(R399,Datos!$P$1:$T$13,2,FALSE)*C399),0)</f>
        <v>0</v>
      </c>
      <c r="P399" s="16"/>
      <c r="Q399" s="12" t="e">
        <f>+VLOOKUP(P399,Datos!$F:$G,2,FALSE)</f>
        <v>#N/A</v>
      </c>
      <c r="R399" s="9"/>
      <c r="V399" s="10">
        <f t="shared" si="6"/>
        <v>0</v>
      </c>
      <c r="W399" s="10" t="e">
        <f>+VLOOKUP(M399,Datos!$F:$H,3,FALSE)</f>
        <v>#N/A</v>
      </c>
      <c r="X399">
        <v>0</v>
      </c>
      <c r="Y399" s="20"/>
      <c r="Z399" s="10" t="e">
        <f>VLOOKUP(M399,'[1]INDIVIDUAL UN'!$C$6:$F$222,4,FALSE)</f>
        <v>#N/A</v>
      </c>
    </row>
    <row r="400" spans="1:26" x14ac:dyDescent="0.35">
      <c r="A400" s="9" t="s">
        <v>25</v>
      </c>
      <c r="C400" s="10"/>
      <c r="D400" s="10"/>
      <c r="E400" s="10"/>
      <c r="F400" s="10"/>
      <c r="G400" s="10"/>
      <c r="H400" s="11"/>
      <c r="I400" s="11"/>
      <c r="J400" s="12" t="e">
        <f>+VLOOKUP(K400,Datos!$A:$C,3,FALSE)</f>
        <v>#N/A</v>
      </c>
      <c r="K400" s="10"/>
      <c r="L400" s="12" t="e">
        <f>+VLOOKUP(K400,Datos!$A:$C,2,FALSE)</f>
        <v>#N/A</v>
      </c>
      <c r="M400" s="10"/>
      <c r="N400" s="12" t="e">
        <f>+VLOOKUP(M400,Datos!$F:$G,2,FALSE)</f>
        <v>#N/A</v>
      </c>
      <c r="O400" s="13">
        <f>IFERROR(IF(A400="SI",VLOOKUP(R400,Datos!$J$1:$K$50,2,FALSE)*C400,VLOOKUP(R400,Datos!$P$1:$T$13,2,FALSE)*C400),0)</f>
        <v>0</v>
      </c>
      <c r="P400" s="9"/>
      <c r="Q400" s="12" t="e">
        <f>+VLOOKUP(P400,Datos!$F:$G,2,FALSE)</f>
        <v>#N/A</v>
      </c>
      <c r="V400" s="10">
        <f t="shared" si="6"/>
        <v>0</v>
      </c>
      <c r="W400" s="10" t="e">
        <f>+VLOOKUP(M400,Datos!$F:$H,3,FALSE)</f>
        <v>#N/A</v>
      </c>
      <c r="X400">
        <v>0</v>
      </c>
      <c r="Y400" s="14"/>
      <c r="Z400" t="e">
        <f>VLOOKUP(M400,'[1]INDIVIDUAL UN'!$C$6:$F$222,4,FALSE)</f>
        <v>#N/A</v>
      </c>
    </row>
    <row r="401" spans="1:26" x14ac:dyDescent="0.35">
      <c r="A401" s="9" t="s">
        <v>25</v>
      </c>
      <c r="C401" s="10"/>
      <c r="D401" s="10"/>
      <c r="E401" s="10"/>
      <c r="F401" s="10"/>
      <c r="G401" s="10"/>
      <c r="H401" s="11"/>
      <c r="I401" s="11"/>
      <c r="J401" s="12" t="e">
        <f>+VLOOKUP(K401,Datos!$A:$C,3,FALSE)</f>
        <v>#N/A</v>
      </c>
      <c r="K401" s="10"/>
      <c r="L401" s="12" t="e">
        <f>+VLOOKUP(K401,Datos!$A:$C,2,FALSE)</f>
        <v>#N/A</v>
      </c>
      <c r="M401" s="10"/>
      <c r="N401" s="12" t="e">
        <f>+VLOOKUP(M401,Datos!$F:$G,2,FALSE)</f>
        <v>#N/A</v>
      </c>
      <c r="O401" s="13">
        <f>IFERROR(IF(A401="SI",VLOOKUP(R401,Datos!$J$1:$K$50,2,FALSE)*C401,VLOOKUP(R401,Datos!$P$1:$T$13,2,FALSE)*C401),0)</f>
        <v>0</v>
      </c>
      <c r="P401" s="9"/>
      <c r="Q401" s="12" t="e">
        <f>+VLOOKUP(P401,Datos!$F:$G,2,FALSE)</f>
        <v>#N/A</v>
      </c>
      <c r="V401" s="10">
        <f t="shared" si="6"/>
        <v>0</v>
      </c>
      <c r="W401" s="10" t="e">
        <f>+VLOOKUP(M401,Datos!$F:$H,3,FALSE)</f>
        <v>#N/A</v>
      </c>
      <c r="X401">
        <v>0</v>
      </c>
      <c r="Y401" s="14"/>
      <c r="Z401" t="e">
        <f>VLOOKUP(M401,'[1]INDIVIDUAL UN'!$C$6:$F$222,4,FALSE)</f>
        <v>#N/A</v>
      </c>
    </row>
    <row r="402" spans="1:26" x14ac:dyDescent="0.35">
      <c r="A402" s="9" t="s">
        <v>25</v>
      </c>
      <c r="C402" s="10"/>
      <c r="D402" s="10"/>
      <c r="E402" s="10"/>
      <c r="F402" s="10"/>
      <c r="G402" s="10"/>
      <c r="H402" s="11"/>
      <c r="I402" s="11"/>
      <c r="J402" s="12" t="e">
        <f>+VLOOKUP(K402,Datos!$A:$C,3,FALSE)</f>
        <v>#N/A</v>
      </c>
      <c r="K402" s="10"/>
      <c r="L402" s="12" t="e">
        <f>+VLOOKUP(K402,Datos!$A:$C,2,FALSE)</f>
        <v>#N/A</v>
      </c>
      <c r="M402" s="10"/>
      <c r="N402" s="12" t="e">
        <f>+VLOOKUP(M402,Datos!$F:$G,2,FALSE)</f>
        <v>#N/A</v>
      </c>
      <c r="O402" s="13">
        <f>IFERROR(IF(A402="SI",VLOOKUP(R402,Datos!$J$1:$K$50,2,FALSE)*C402,VLOOKUP(R402,Datos!$P$1:$T$13,2,FALSE)*C402),0)</f>
        <v>0</v>
      </c>
      <c r="P402" s="9"/>
      <c r="Q402" s="12" t="e">
        <f>+VLOOKUP(P402,Datos!$F:$G,2,FALSE)</f>
        <v>#N/A</v>
      </c>
      <c r="V402" s="10">
        <f t="shared" si="6"/>
        <v>0</v>
      </c>
      <c r="W402" s="10" t="e">
        <f>+VLOOKUP(M402,Datos!$F:$H,3,FALSE)</f>
        <v>#N/A</v>
      </c>
      <c r="X402">
        <v>0</v>
      </c>
      <c r="Y402" s="14"/>
      <c r="Z402" t="e">
        <f>VLOOKUP(M402,'[1]INDIVIDUAL UN'!$C$6:$F$222,4,FALSE)</f>
        <v>#N/A</v>
      </c>
    </row>
    <row r="403" spans="1:26" x14ac:dyDescent="0.35">
      <c r="A403" s="9" t="s">
        <v>25</v>
      </c>
      <c r="C403" s="10"/>
      <c r="D403" s="10"/>
      <c r="E403" s="10"/>
      <c r="F403" s="10"/>
      <c r="G403" s="10"/>
      <c r="H403" s="11"/>
      <c r="I403" s="11"/>
      <c r="J403" s="12" t="e">
        <f>+VLOOKUP(K403,Datos!$A:$C,3,FALSE)</f>
        <v>#N/A</v>
      </c>
      <c r="K403" s="10"/>
      <c r="L403" s="12" t="e">
        <f>+VLOOKUP(K403,Datos!$A:$C,2,FALSE)</f>
        <v>#N/A</v>
      </c>
      <c r="M403" s="10"/>
      <c r="N403" s="12" t="e">
        <f>+VLOOKUP(M403,Datos!$F:$G,2,FALSE)</f>
        <v>#N/A</v>
      </c>
      <c r="O403" s="13">
        <f>IFERROR(IF(A403="SI",VLOOKUP(R403,Datos!$J$1:$K$50,2,FALSE)*C403,VLOOKUP(R403,Datos!$P$1:$T$13,2,FALSE)*C403),0)</f>
        <v>0</v>
      </c>
      <c r="P403" s="9"/>
      <c r="Q403" s="12" t="e">
        <f>+VLOOKUP(P403,Datos!$F:$G,2,FALSE)</f>
        <v>#N/A</v>
      </c>
      <c r="V403" s="10">
        <f t="shared" si="6"/>
        <v>0</v>
      </c>
      <c r="W403" s="10" t="e">
        <f>+VLOOKUP(M403,Datos!$F:$H,3,FALSE)</f>
        <v>#N/A</v>
      </c>
      <c r="X403">
        <v>0</v>
      </c>
      <c r="Y403" s="14"/>
      <c r="Z403" t="e">
        <f>VLOOKUP(M403,'[1]INDIVIDUAL UN'!$C$6:$F$222,4,FALSE)</f>
        <v>#N/A</v>
      </c>
    </row>
    <row r="404" spans="1:26" x14ac:dyDescent="0.35">
      <c r="A404" s="9" t="s">
        <v>25</v>
      </c>
      <c r="C404" s="10"/>
      <c r="D404" s="10"/>
      <c r="E404" s="10"/>
      <c r="F404" s="10"/>
      <c r="G404" s="10"/>
      <c r="H404" s="11"/>
      <c r="I404" s="11"/>
      <c r="J404" s="12" t="e">
        <f>+VLOOKUP(K404,Datos!$A:$C,3,FALSE)</f>
        <v>#N/A</v>
      </c>
      <c r="K404" s="10"/>
      <c r="L404" s="12" t="e">
        <f>+VLOOKUP(K404,Datos!$A:$C,2,FALSE)</f>
        <v>#N/A</v>
      </c>
      <c r="M404" s="55"/>
      <c r="N404" s="12" t="e">
        <f>+VLOOKUP(M404,Datos!$F:$G,2,FALSE)</f>
        <v>#N/A</v>
      </c>
      <c r="O404" s="13">
        <f>IFERROR(IF(A404="SI",VLOOKUP(R404,Datos!$J$1:$K$50,2,FALSE)*C404,VLOOKUP(R404,Datos!$P$1:$T$13,2,FALSE)*C404),0)</f>
        <v>0</v>
      </c>
      <c r="P404" s="9"/>
      <c r="Q404" s="12" t="e">
        <f>+VLOOKUP(P404,Datos!$F:$G,2,FALSE)</f>
        <v>#N/A</v>
      </c>
      <c r="V404" s="10">
        <f t="shared" si="6"/>
        <v>0</v>
      </c>
      <c r="W404" s="10" t="e">
        <f>+VLOOKUP(M404,Datos!$F:$H,3,FALSE)</f>
        <v>#N/A</v>
      </c>
      <c r="X404">
        <v>0</v>
      </c>
      <c r="Y404" s="14"/>
      <c r="Z404" t="e">
        <f>VLOOKUP(M404,'[1]INDIVIDUAL UN'!$C$6:$F$222,4,FALSE)</f>
        <v>#N/A</v>
      </c>
    </row>
    <row r="405" spans="1:26" x14ac:dyDescent="0.35">
      <c r="A405" s="9" t="s">
        <v>25</v>
      </c>
      <c r="C405" s="10"/>
      <c r="D405" s="10"/>
      <c r="E405" s="10"/>
      <c r="F405" s="10"/>
      <c r="G405" s="10"/>
      <c r="H405" s="11"/>
      <c r="I405" s="11"/>
      <c r="J405" s="12" t="e">
        <f>+VLOOKUP(K405,Datos!$A:$C,3,FALSE)</f>
        <v>#N/A</v>
      </c>
      <c r="K405" s="10"/>
      <c r="L405" s="12" t="e">
        <f>+VLOOKUP(K405,Datos!$A:$C,2,FALSE)</f>
        <v>#N/A</v>
      </c>
      <c r="M405" s="55"/>
      <c r="N405" s="12" t="e">
        <f>+VLOOKUP(M405,Datos!$F:$G,2,FALSE)</f>
        <v>#N/A</v>
      </c>
      <c r="O405" s="13">
        <f>IFERROR(IF(A405="SI",VLOOKUP(R405,Datos!$J$1:$K$50,2,FALSE)*C405,VLOOKUP(R405,Datos!$P$1:$T$13,2,FALSE)*C405),0)</f>
        <v>0</v>
      </c>
      <c r="P405" s="9"/>
      <c r="Q405" s="12" t="e">
        <f>+VLOOKUP(P405,Datos!$F:$G,2,FALSE)</f>
        <v>#N/A</v>
      </c>
      <c r="V405" s="10">
        <f t="shared" si="6"/>
        <v>0</v>
      </c>
      <c r="W405" s="10" t="e">
        <f>+VLOOKUP(M405,Datos!$F:$H,3,FALSE)</f>
        <v>#N/A</v>
      </c>
      <c r="X405">
        <v>0</v>
      </c>
      <c r="Y405" s="14"/>
      <c r="Z405" t="e">
        <f>VLOOKUP(M405,'[1]INDIVIDUAL UN'!$C$6:$F$222,4,FALSE)</f>
        <v>#N/A</v>
      </c>
    </row>
    <row r="406" spans="1:26" x14ac:dyDescent="0.35">
      <c r="A406" s="9" t="s">
        <v>25</v>
      </c>
      <c r="C406" s="10"/>
      <c r="D406" s="10"/>
      <c r="E406" s="10"/>
      <c r="F406" s="10"/>
      <c r="G406" s="10"/>
      <c r="H406" s="11"/>
      <c r="I406" s="11"/>
      <c r="J406" s="12" t="e">
        <f>+VLOOKUP(K406,Datos!$A:$C,3,FALSE)</f>
        <v>#N/A</v>
      </c>
      <c r="K406" s="10"/>
      <c r="L406" s="12" t="e">
        <f>+VLOOKUP(K406,Datos!$A:$C,2,FALSE)</f>
        <v>#N/A</v>
      </c>
      <c r="M406" s="10"/>
      <c r="N406" s="12" t="e">
        <f>+VLOOKUP(M406,Datos!$F:$G,2,FALSE)</f>
        <v>#N/A</v>
      </c>
      <c r="O406" s="13">
        <f>IFERROR(IF(A406="SI",VLOOKUP(R406,Datos!$J$1:$K$50,2,FALSE)*C406,VLOOKUP(R406,Datos!$P$1:$T$13,2,FALSE)*C406),0)</f>
        <v>0</v>
      </c>
      <c r="P406" s="9"/>
      <c r="Q406" s="12" t="e">
        <f>+VLOOKUP(P406,Datos!$F:$G,2,FALSE)</f>
        <v>#N/A</v>
      </c>
      <c r="V406" s="10">
        <f t="shared" si="6"/>
        <v>0</v>
      </c>
      <c r="W406" s="10" t="e">
        <f>+VLOOKUP(M406,Datos!$F:$H,3,FALSE)</f>
        <v>#N/A</v>
      </c>
      <c r="X406">
        <v>0</v>
      </c>
      <c r="Y406" s="14"/>
      <c r="Z406" t="e">
        <f>VLOOKUP(M406,'[1]INDIVIDUAL UN'!$C$6:$F$222,4,FALSE)</f>
        <v>#N/A</v>
      </c>
    </row>
    <row r="407" spans="1:26" x14ac:dyDescent="0.35">
      <c r="A407" s="9" t="s">
        <v>25</v>
      </c>
      <c r="C407" s="10"/>
      <c r="D407" s="10"/>
      <c r="E407" s="10"/>
      <c r="F407" s="10"/>
      <c r="G407" s="10"/>
      <c r="H407" s="11"/>
      <c r="I407" s="11"/>
      <c r="J407" s="12" t="e">
        <f>+VLOOKUP(K407,Datos!$A:$C,3,FALSE)</f>
        <v>#N/A</v>
      </c>
      <c r="K407" s="10"/>
      <c r="L407" s="12" t="e">
        <f>+VLOOKUP(K407,Datos!$A:$C,2,FALSE)</f>
        <v>#N/A</v>
      </c>
      <c r="M407" s="10"/>
      <c r="N407" s="12" t="e">
        <f>+VLOOKUP(M407,Datos!$F:$G,2,FALSE)</f>
        <v>#N/A</v>
      </c>
      <c r="O407" s="13">
        <f>IFERROR(IF(A407="SI",VLOOKUP(R407,Datos!$J$1:$K$50,2,FALSE)*C407,VLOOKUP(R407,Datos!$P$1:$T$13,2,FALSE)*C407),0)</f>
        <v>0</v>
      </c>
      <c r="P407" s="9"/>
      <c r="Q407" s="12" t="e">
        <f>+VLOOKUP(P407,Datos!$F:$G,2,FALSE)</f>
        <v>#N/A</v>
      </c>
      <c r="V407" s="10">
        <f t="shared" si="6"/>
        <v>0</v>
      </c>
      <c r="W407" s="10" t="e">
        <f>+VLOOKUP(M407,Datos!$F:$H,3,FALSE)</f>
        <v>#N/A</v>
      </c>
      <c r="X407">
        <v>0</v>
      </c>
      <c r="Y407" s="14"/>
      <c r="Z407" t="e">
        <f>VLOOKUP(M407,'[1]INDIVIDUAL UN'!$C$6:$F$222,4,FALSE)</f>
        <v>#N/A</v>
      </c>
    </row>
    <row r="408" spans="1:26" ht="15.5" x14ac:dyDescent="0.35">
      <c r="A408" s="9" t="s">
        <v>25</v>
      </c>
      <c r="C408" s="10"/>
      <c r="D408" s="10"/>
      <c r="E408" s="10"/>
      <c r="F408" s="10"/>
      <c r="G408" s="10"/>
      <c r="H408" s="11"/>
      <c r="I408" s="11"/>
      <c r="J408" s="12" t="e">
        <f>+VLOOKUP(K408,Datos!$A:$C,3,FALSE)</f>
        <v>#N/A</v>
      </c>
      <c r="K408" s="10"/>
      <c r="L408" s="12" t="e">
        <f>+VLOOKUP(K408,Datos!$A:$C,2,FALSE)</f>
        <v>#N/A</v>
      </c>
      <c r="M408" s="69"/>
      <c r="N408" s="12" t="e">
        <f>+VLOOKUP(M408,Datos!$F:$G,2,FALSE)</f>
        <v>#N/A</v>
      </c>
      <c r="O408" s="13">
        <f>IFERROR(IF(A408="SI",VLOOKUP(R408,Datos!$J$1:$K$50,2,FALSE)*C408,VLOOKUP(R408,Datos!$P$1:$T$13,2,FALSE)*C408),0)</f>
        <v>0</v>
      </c>
      <c r="P408" s="10"/>
      <c r="Q408" s="12" t="e">
        <f>+VLOOKUP(P408,Datos!$F:$G,2,FALSE)</f>
        <v>#N/A</v>
      </c>
      <c r="V408" s="10">
        <f t="shared" si="6"/>
        <v>0</v>
      </c>
      <c r="W408" s="10" t="e">
        <f>+VLOOKUP(M408,Datos!$F:$H,3,FALSE)</f>
        <v>#N/A</v>
      </c>
      <c r="X408">
        <v>0</v>
      </c>
      <c r="Y408" s="14"/>
      <c r="Z408" t="e">
        <f>VLOOKUP(M408,'[1]INDIVIDUAL UN'!$C$6:$F$222,4,FALSE)</f>
        <v>#N/A</v>
      </c>
    </row>
    <row r="409" spans="1:26" ht="15.5" x14ac:dyDescent="0.35">
      <c r="A409" s="9" t="s">
        <v>25</v>
      </c>
      <c r="C409" s="10"/>
      <c r="D409" s="10"/>
      <c r="E409" s="10"/>
      <c r="F409" s="10"/>
      <c r="G409" s="10"/>
      <c r="H409" s="11"/>
      <c r="I409" s="11"/>
      <c r="J409" s="12" t="e">
        <f>+VLOOKUP(K409,Datos!$A:$C,3,FALSE)</f>
        <v>#N/A</v>
      </c>
      <c r="K409" s="10"/>
      <c r="L409" s="12" t="e">
        <f>+VLOOKUP(K409,Datos!$A:$C,2,FALSE)</f>
        <v>#N/A</v>
      </c>
      <c r="M409" s="69"/>
      <c r="N409" s="12" t="e">
        <f>+VLOOKUP(M409,Datos!$F:$G,2,FALSE)</f>
        <v>#N/A</v>
      </c>
      <c r="O409" s="13">
        <f>IFERROR(IF(A409="SI",VLOOKUP(R409,Datos!$J$1:$K$50,2,FALSE)*C409,VLOOKUP(R409,Datos!$P$1:$T$13,2,FALSE)*C409),0)</f>
        <v>0</v>
      </c>
      <c r="P409" s="10"/>
      <c r="Q409" s="12" t="e">
        <f>+VLOOKUP(P409,Datos!$F:$G,2,FALSE)</f>
        <v>#N/A</v>
      </c>
      <c r="V409" s="10">
        <f t="shared" si="6"/>
        <v>0</v>
      </c>
      <c r="W409" s="10" t="e">
        <f>+VLOOKUP(M409,Datos!$F:$H,3,FALSE)</f>
        <v>#N/A</v>
      </c>
      <c r="X409">
        <v>0</v>
      </c>
      <c r="Y409" s="14"/>
      <c r="Z409" t="e">
        <f>VLOOKUP(M409,'[1]INDIVIDUAL UN'!$C$6:$F$222,4,FALSE)</f>
        <v>#N/A</v>
      </c>
    </row>
    <row r="410" spans="1:26" x14ac:dyDescent="0.35">
      <c r="A410" s="9" t="s">
        <v>25</v>
      </c>
      <c r="C410" s="10"/>
      <c r="D410" s="10"/>
      <c r="E410" s="10"/>
      <c r="F410" s="10"/>
      <c r="G410" s="10"/>
      <c r="H410" s="11"/>
      <c r="I410" s="11"/>
      <c r="J410" s="12" t="e">
        <f>+VLOOKUP(K410,Datos!$A:$C,3,FALSE)</f>
        <v>#N/A</v>
      </c>
      <c r="K410" s="10"/>
      <c r="L410" s="12" t="e">
        <f>+VLOOKUP(K410,Datos!$A:$C,2,FALSE)</f>
        <v>#N/A</v>
      </c>
      <c r="M410" s="10"/>
      <c r="N410" s="12" t="e">
        <f>+VLOOKUP(M410,Datos!$F:$G,2,FALSE)</f>
        <v>#N/A</v>
      </c>
      <c r="O410" s="13">
        <f>IFERROR(IF(A410="SI",VLOOKUP(R410,Datos!$J$1:$K$50,2,FALSE)*C410,VLOOKUP(R410,Datos!$P$1:$T$13,2,FALSE)*C410),0)</f>
        <v>0</v>
      </c>
      <c r="P410" s="9"/>
      <c r="Q410" s="12" t="e">
        <f>+VLOOKUP(P410,Datos!$F:$G,2,FALSE)</f>
        <v>#N/A</v>
      </c>
      <c r="V410" s="10">
        <f t="shared" si="6"/>
        <v>0</v>
      </c>
      <c r="W410" s="10" t="e">
        <f>+VLOOKUP(M410,Datos!$F:$H,3,FALSE)</f>
        <v>#N/A</v>
      </c>
      <c r="X410">
        <v>0</v>
      </c>
      <c r="Y410" s="14"/>
      <c r="Z410" t="e">
        <f>VLOOKUP(M410,'[1]INDIVIDUAL UN'!$C$6:$F$222,4,FALSE)</f>
        <v>#N/A</v>
      </c>
    </row>
    <row r="411" spans="1:26" x14ac:dyDescent="0.35">
      <c r="A411" s="9" t="s">
        <v>25</v>
      </c>
      <c r="C411" s="10"/>
      <c r="D411" s="10"/>
      <c r="E411" s="10"/>
      <c r="F411" s="10"/>
      <c r="G411" s="10"/>
      <c r="H411" s="11"/>
      <c r="I411" s="11"/>
      <c r="J411" s="12" t="e">
        <f>+VLOOKUP(K411,Datos!$A:$C,3,FALSE)</f>
        <v>#N/A</v>
      </c>
      <c r="K411" s="10"/>
      <c r="L411" s="12" t="e">
        <f>+VLOOKUP(K411,Datos!$A:$C,2,FALSE)</f>
        <v>#N/A</v>
      </c>
      <c r="M411" s="10"/>
      <c r="N411" s="12" t="e">
        <f>+VLOOKUP(M411,Datos!$F:$G,2,FALSE)</f>
        <v>#N/A</v>
      </c>
      <c r="O411" s="13">
        <f>IFERROR(IF(A411="SI",VLOOKUP(R411,Datos!$J$1:$K$50,2,FALSE)*C411,VLOOKUP(R411,Datos!$P$1:$T$13,2,FALSE)*C411),0)</f>
        <v>0</v>
      </c>
      <c r="P411" s="9"/>
      <c r="Q411" s="12" t="e">
        <f>+VLOOKUP(P411,Datos!$F:$G,2,FALSE)</f>
        <v>#N/A</v>
      </c>
      <c r="V411" s="10">
        <f t="shared" si="6"/>
        <v>0</v>
      </c>
      <c r="W411" s="10" t="e">
        <f>+VLOOKUP(M411,Datos!$F:$H,3,FALSE)</f>
        <v>#N/A</v>
      </c>
      <c r="X411">
        <v>0</v>
      </c>
      <c r="Y411" s="14"/>
      <c r="Z411" t="e">
        <f>VLOOKUP(M411,'[1]INDIVIDUAL UN'!$C$6:$F$222,4,FALSE)</f>
        <v>#N/A</v>
      </c>
    </row>
    <row r="412" spans="1:26" x14ac:dyDescent="0.35">
      <c r="A412" s="9" t="s">
        <v>25</v>
      </c>
      <c r="C412" s="10"/>
      <c r="D412" s="10"/>
      <c r="E412" s="10"/>
      <c r="F412" s="10"/>
      <c r="G412" s="10"/>
      <c r="H412" s="11"/>
      <c r="I412" s="11"/>
      <c r="J412" s="12" t="e">
        <f>+VLOOKUP(K412,Datos!$A:$C,3,FALSE)</f>
        <v>#N/A</v>
      </c>
      <c r="K412" s="10"/>
      <c r="L412" s="12" t="e">
        <f>+VLOOKUP(K412,Datos!$A:$C,2,FALSE)</f>
        <v>#N/A</v>
      </c>
      <c r="M412" s="10"/>
      <c r="N412" s="12" t="e">
        <f>+VLOOKUP(M412,Datos!$F:$G,2,FALSE)</f>
        <v>#N/A</v>
      </c>
      <c r="O412" s="13">
        <f>IFERROR(IF(A412="SI",VLOOKUP(R412,Datos!$J$1:$K$50,2,FALSE)*C412,VLOOKUP(R412,Datos!$P$1:$T$13,2,FALSE)*C412),0)</f>
        <v>0</v>
      </c>
      <c r="P412" s="9"/>
      <c r="Q412" s="12" t="e">
        <f>+VLOOKUP(P412,Datos!$F:$G,2,FALSE)</f>
        <v>#N/A</v>
      </c>
      <c r="V412" s="10">
        <f t="shared" si="6"/>
        <v>0</v>
      </c>
      <c r="W412" s="10" t="e">
        <f>+VLOOKUP(M412,Datos!$F:$H,3,FALSE)</f>
        <v>#N/A</v>
      </c>
      <c r="X412">
        <v>0</v>
      </c>
      <c r="Y412" s="14"/>
      <c r="Z412" t="e">
        <f>VLOOKUP(M412,'[1]INDIVIDUAL UN'!$C$6:$F$222,4,FALSE)</f>
        <v>#N/A</v>
      </c>
    </row>
    <row r="413" spans="1:26" s="10" customFormat="1" x14ac:dyDescent="0.35">
      <c r="A413" s="9" t="s">
        <v>25</v>
      </c>
      <c r="B413" s="9"/>
      <c r="H413" s="11"/>
      <c r="I413" s="11"/>
      <c r="J413" s="12" t="e">
        <f>+VLOOKUP(K413,Datos!$A:$C,3,FALSE)</f>
        <v>#N/A</v>
      </c>
      <c r="L413" s="12" t="e">
        <f>+VLOOKUP(K413,Datos!$A:$C,2,FALSE)</f>
        <v>#N/A</v>
      </c>
      <c r="N413" s="12" t="e">
        <f>+VLOOKUP(M413,Datos!$F:$G,2,FALSE)</f>
        <v>#N/A</v>
      </c>
      <c r="O413" s="13">
        <f>IFERROR(IF(A413="SI",VLOOKUP(R413,Datos!$J$1:$K$50,2,FALSE)*C413,VLOOKUP(R413,Datos!$P$1:$T$13,2,FALSE)*C413),0)</f>
        <v>0</v>
      </c>
      <c r="P413" s="9"/>
      <c r="Q413" s="12" t="e">
        <f>+VLOOKUP(P413,Datos!$F:$G,2,FALSE)</f>
        <v>#N/A</v>
      </c>
      <c r="R413" s="9"/>
      <c r="V413" s="10">
        <f t="shared" si="6"/>
        <v>0</v>
      </c>
      <c r="W413" s="10" t="e">
        <f>+VLOOKUP(M413,Datos!$F:$H,3,FALSE)</f>
        <v>#N/A</v>
      </c>
      <c r="X413">
        <v>0</v>
      </c>
      <c r="Y413" s="20"/>
      <c r="Z413" s="10" t="e">
        <f>VLOOKUP(M413,'[1]INDIVIDUAL UN'!$C$6:$F$222,4,FALSE)</f>
        <v>#N/A</v>
      </c>
    </row>
    <row r="414" spans="1:26" x14ac:dyDescent="0.35">
      <c r="A414" s="9" t="s">
        <v>25</v>
      </c>
      <c r="C414" s="10"/>
      <c r="D414" s="10"/>
      <c r="E414" s="10"/>
      <c r="F414" s="10"/>
      <c r="G414" s="10"/>
      <c r="H414" s="11"/>
      <c r="I414" s="11"/>
      <c r="J414" s="12" t="e">
        <f>+VLOOKUP(K414,Datos!$A:$C,3,FALSE)</f>
        <v>#N/A</v>
      </c>
      <c r="K414" s="10"/>
      <c r="L414" s="12" t="e">
        <f>+VLOOKUP(K414,Datos!$A:$C,2,FALSE)</f>
        <v>#N/A</v>
      </c>
      <c r="M414" s="10"/>
      <c r="N414" s="12" t="e">
        <f>+VLOOKUP(M414,Datos!$F:$G,2,FALSE)</f>
        <v>#N/A</v>
      </c>
      <c r="O414" s="13">
        <f>IFERROR(IF(A414="SI",VLOOKUP(R414,Datos!$J$1:$K$50,2,FALSE)*C414,VLOOKUP(R414,Datos!$P$1:$T$13,2,FALSE)*C414),0)</f>
        <v>0</v>
      </c>
      <c r="P414" s="9"/>
      <c r="Q414" s="12" t="e">
        <f>+VLOOKUP(P414,Datos!$F:$G,2,FALSE)</f>
        <v>#N/A</v>
      </c>
      <c r="V414" s="10">
        <f t="shared" si="6"/>
        <v>0</v>
      </c>
      <c r="W414" s="10" t="e">
        <f>+VLOOKUP(M414,Datos!$F:$H,3,FALSE)</f>
        <v>#N/A</v>
      </c>
      <c r="X414">
        <v>0</v>
      </c>
      <c r="Y414" s="14"/>
      <c r="Z414" t="e">
        <f>VLOOKUP(M414,'[1]INDIVIDUAL UN'!$C$6:$F$222,4,FALSE)</f>
        <v>#N/A</v>
      </c>
    </row>
    <row r="415" spans="1:26" x14ac:dyDescent="0.35">
      <c r="A415" s="9" t="s">
        <v>25</v>
      </c>
      <c r="C415" s="10"/>
      <c r="D415" s="10"/>
      <c r="E415" s="10"/>
      <c r="F415" s="10"/>
      <c r="G415" s="10"/>
      <c r="H415" s="11"/>
      <c r="I415" s="11"/>
      <c r="J415" s="12" t="e">
        <f>+VLOOKUP(K415,Datos!$A:$C,3,FALSE)</f>
        <v>#N/A</v>
      </c>
      <c r="K415" s="10"/>
      <c r="L415" s="12" t="e">
        <f>+VLOOKUP(K415,Datos!$A:$C,2,FALSE)</f>
        <v>#N/A</v>
      </c>
      <c r="M415" s="10"/>
      <c r="N415" s="12" t="e">
        <f>+VLOOKUP(M415,Datos!$F:$G,2,FALSE)</f>
        <v>#N/A</v>
      </c>
      <c r="O415" s="13">
        <f>IFERROR(IF(A415="SI",VLOOKUP(R415,Datos!$J$1:$K$50,2,FALSE)*C415,VLOOKUP(R415,Datos!$P$1:$T$13,2,FALSE)*C415),0)</f>
        <v>0</v>
      </c>
      <c r="P415" s="9"/>
      <c r="Q415" s="12" t="e">
        <f>+VLOOKUP(P415,Datos!$F:$G,2,FALSE)</f>
        <v>#N/A</v>
      </c>
      <c r="V415" s="10">
        <f t="shared" si="6"/>
        <v>0</v>
      </c>
      <c r="W415" s="10" t="e">
        <f>+VLOOKUP(M415,Datos!$F:$H,3,FALSE)</f>
        <v>#N/A</v>
      </c>
      <c r="X415">
        <v>0</v>
      </c>
      <c r="Y415" s="14"/>
      <c r="Z415" t="e">
        <f>VLOOKUP(M415,'[1]INDIVIDUAL UN'!$C$6:$F$222,4,FALSE)</f>
        <v>#N/A</v>
      </c>
    </row>
    <row r="416" spans="1:26" x14ac:dyDescent="0.35">
      <c r="A416" s="9" t="s">
        <v>25</v>
      </c>
      <c r="C416" s="16"/>
      <c r="D416" s="16"/>
      <c r="E416" s="16"/>
      <c r="F416" s="16"/>
      <c r="G416" s="16"/>
      <c r="H416" s="11"/>
      <c r="I416" s="42"/>
      <c r="J416" s="12" t="e">
        <f>+VLOOKUP(K416,Datos!$A:$C,3,FALSE)</f>
        <v>#N/A</v>
      </c>
      <c r="K416" s="16"/>
      <c r="L416" s="12" t="e">
        <f>+VLOOKUP(K416,Datos!$A:$C,2,FALSE)</f>
        <v>#N/A</v>
      </c>
      <c r="M416" s="16"/>
      <c r="N416" s="12" t="e">
        <f>+VLOOKUP(M416,Datos!$F:$G,2,FALSE)</f>
        <v>#N/A</v>
      </c>
      <c r="O416" s="13">
        <f>IFERROR(IF(A416="SI",VLOOKUP(R416,Datos!$J$1:$K$50,2,FALSE)*C416,VLOOKUP(R416,Datos!$P$1:$T$13,2,FALSE)*C416),0)</f>
        <v>0</v>
      </c>
      <c r="P416" s="16"/>
      <c r="Q416" s="12" t="e">
        <f>+VLOOKUP(P416,Datos!$F:$G,2,FALSE)</f>
        <v>#N/A</v>
      </c>
      <c r="V416" s="10">
        <f t="shared" si="6"/>
        <v>0</v>
      </c>
      <c r="W416" s="10" t="e">
        <f>+VLOOKUP(M416,Datos!$F:$H,3,FALSE)</f>
        <v>#N/A</v>
      </c>
      <c r="X416">
        <v>0</v>
      </c>
      <c r="Y416" s="14"/>
      <c r="Z416" t="e">
        <f>VLOOKUP(M416,'[1]INDIVIDUAL UN'!$C$6:$F$222,4,FALSE)</f>
        <v>#N/A</v>
      </c>
    </row>
    <row r="417" spans="1:26" x14ac:dyDescent="0.35">
      <c r="A417" s="9" t="s">
        <v>25</v>
      </c>
      <c r="C417" s="16"/>
      <c r="D417" s="16"/>
      <c r="E417" s="16"/>
      <c r="F417" s="16"/>
      <c r="G417" s="16"/>
      <c r="H417" s="11"/>
      <c r="I417" s="42"/>
      <c r="J417" s="12" t="e">
        <f>+VLOOKUP(K417,Datos!$A:$C,3,FALSE)</f>
        <v>#N/A</v>
      </c>
      <c r="K417" s="16"/>
      <c r="L417" s="12" t="e">
        <f>+VLOOKUP(K417,Datos!$A:$C,2,FALSE)</f>
        <v>#N/A</v>
      </c>
      <c r="M417" s="16"/>
      <c r="N417" s="12" t="e">
        <f>+VLOOKUP(M417,Datos!$F:$G,2,FALSE)</f>
        <v>#N/A</v>
      </c>
      <c r="O417" s="13">
        <f>IFERROR(IF(A417="SI",VLOOKUP(R417,Datos!$J$1:$K$50,2,FALSE)*C417,VLOOKUP(R417,Datos!$P$1:$T$13,2,FALSE)*C417),0)</f>
        <v>0</v>
      </c>
      <c r="P417" s="16"/>
      <c r="Q417" s="12" t="e">
        <f>+VLOOKUP(P417,Datos!$F:$G,2,FALSE)</f>
        <v>#N/A</v>
      </c>
      <c r="V417" s="10">
        <f t="shared" si="6"/>
        <v>0</v>
      </c>
      <c r="W417" s="10" t="e">
        <f>+VLOOKUP(M417,Datos!$F:$H,3,FALSE)</f>
        <v>#N/A</v>
      </c>
      <c r="X417">
        <v>0</v>
      </c>
      <c r="Y417" s="14"/>
      <c r="Z417" t="e">
        <f>VLOOKUP(M417,'[1]INDIVIDUAL UN'!$C$6:$F$222,4,FALSE)</f>
        <v>#N/A</v>
      </c>
    </row>
    <row r="418" spans="1:26" x14ac:dyDescent="0.35">
      <c r="A418" s="9" t="s">
        <v>25</v>
      </c>
      <c r="C418" s="10"/>
      <c r="D418" s="10"/>
      <c r="E418" s="10"/>
      <c r="F418" s="10"/>
      <c r="G418" s="10"/>
      <c r="H418" s="11"/>
      <c r="I418" s="11"/>
      <c r="J418" s="12" t="e">
        <f>+VLOOKUP(K418,Datos!$A:$C,3,FALSE)</f>
        <v>#N/A</v>
      </c>
      <c r="K418" s="10"/>
      <c r="L418" s="12" t="e">
        <f>+VLOOKUP(K418,Datos!$A:$C,2,FALSE)</f>
        <v>#N/A</v>
      </c>
      <c r="M418" s="10"/>
      <c r="N418" s="12" t="e">
        <f>+VLOOKUP(M418,Datos!$F:$G,2,FALSE)</f>
        <v>#N/A</v>
      </c>
      <c r="O418" s="13">
        <f>IFERROR(IF(A418="SI",VLOOKUP(R418,Datos!$J$1:$K$50,2,FALSE)*C418,VLOOKUP(R418,Datos!$P$1:$T$13,2,FALSE)*C418),0)</f>
        <v>0</v>
      </c>
      <c r="P418" s="9"/>
      <c r="Q418" s="12" t="e">
        <f>+VLOOKUP(P418,Datos!$F:$G,2,FALSE)</f>
        <v>#N/A</v>
      </c>
      <c r="V418" s="10">
        <f t="shared" si="6"/>
        <v>0</v>
      </c>
      <c r="W418" s="10" t="e">
        <f>+VLOOKUP(M418,Datos!$F:$H,3,FALSE)</f>
        <v>#N/A</v>
      </c>
      <c r="X418">
        <v>0</v>
      </c>
      <c r="Y418" s="14"/>
      <c r="Z418" t="e">
        <f>VLOOKUP(M418,'[1]INDIVIDUAL UN'!$C$6:$F$222,4,FALSE)</f>
        <v>#N/A</v>
      </c>
    </row>
    <row r="419" spans="1:26" x14ac:dyDescent="0.35">
      <c r="A419" s="9" t="s">
        <v>25</v>
      </c>
      <c r="C419" s="10"/>
      <c r="D419" s="10"/>
      <c r="E419" s="10"/>
      <c r="F419" s="10"/>
      <c r="G419" s="10"/>
      <c r="H419" s="11"/>
      <c r="I419" s="11"/>
      <c r="J419" s="12" t="e">
        <f>+VLOOKUP(K419,Datos!$A:$C,3,FALSE)</f>
        <v>#N/A</v>
      </c>
      <c r="K419" s="10"/>
      <c r="L419" s="12" t="e">
        <f>+VLOOKUP(K419,Datos!$A:$C,2,FALSE)</f>
        <v>#N/A</v>
      </c>
      <c r="M419" s="10"/>
      <c r="N419" s="12" t="e">
        <f>+VLOOKUP(M419,Datos!$F:$G,2,FALSE)</f>
        <v>#N/A</v>
      </c>
      <c r="O419" s="13">
        <f>IFERROR(IF(A419="SI",VLOOKUP(R419,Datos!$J$1:$K$50,2,FALSE)*C419,VLOOKUP(R419,Datos!$P$1:$T$13,2,FALSE)*C419),0)</f>
        <v>0</v>
      </c>
      <c r="P419" s="9"/>
      <c r="Q419" s="12" t="e">
        <f>+VLOOKUP(P419,Datos!$F:$G,2,FALSE)</f>
        <v>#N/A</v>
      </c>
      <c r="V419" s="10">
        <f t="shared" si="6"/>
        <v>0</v>
      </c>
      <c r="W419" s="10" t="e">
        <f>+VLOOKUP(M419,Datos!$F:$H,3,FALSE)</f>
        <v>#N/A</v>
      </c>
      <c r="X419">
        <v>0</v>
      </c>
      <c r="Y419" s="14"/>
      <c r="Z419" t="e">
        <f>VLOOKUP(M419,'[1]INDIVIDUAL UN'!$C$6:$F$222,4,FALSE)</f>
        <v>#N/A</v>
      </c>
    </row>
    <row r="420" spans="1:26" x14ac:dyDescent="0.35">
      <c r="A420" s="9" t="s">
        <v>25</v>
      </c>
      <c r="C420" s="10"/>
      <c r="D420" s="10"/>
      <c r="E420" s="10"/>
      <c r="F420" s="10"/>
      <c r="G420" s="10"/>
      <c r="H420" s="11"/>
      <c r="I420" s="11"/>
      <c r="J420" s="12" t="e">
        <f>+VLOOKUP(K420,Datos!$A:$C,3,FALSE)</f>
        <v>#N/A</v>
      </c>
      <c r="K420" s="10"/>
      <c r="L420" s="12" t="e">
        <f>+VLOOKUP(K420,Datos!$A:$C,2,FALSE)</f>
        <v>#N/A</v>
      </c>
      <c r="M420" s="10"/>
      <c r="N420" s="12" t="e">
        <f>+VLOOKUP(M420,Datos!$F:$G,2,FALSE)</f>
        <v>#N/A</v>
      </c>
      <c r="O420" s="13">
        <f>IFERROR(IF(A420="SI",VLOOKUP(R420,Datos!$J$1:$K$50,2,FALSE)*C420,VLOOKUP(R420,Datos!$P$1:$T$13,2,FALSE)*C420),0)</f>
        <v>0</v>
      </c>
      <c r="P420" s="10"/>
      <c r="Q420" s="12" t="e">
        <f>+VLOOKUP(P420,Datos!$F:$G,2,FALSE)</f>
        <v>#N/A</v>
      </c>
      <c r="V420" s="10">
        <f t="shared" si="6"/>
        <v>0</v>
      </c>
      <c r="W420" s="10" t="e">
        <f>+VLOOKUP(M420,Datos!$F:$H,3,FALSE)</f>
        <v>#N/A</v>
      </c>
      <c r="X420">
        <v>0</v>
      </c>
      <c r="Y420" s="14"/>
      <c r="Z420" t="e">
        <f>VLOOKUP(M420,'[1]INDIVIDUAL UN'!$C$6:$F$222,4,FALSE)</f>
        <v>#N/A</v>
      </c>
    </row>
    <row r="421" spans="1:26" x14ac:dyDescent="0.35">
      <c r="A421" s="9" t="s">
        <v>25</v>
      </c>
      <c r="C421" s="10"/>
      <c r="D421" s="10"/>
      <c r="E421" s="10"/>
      <c r="F421" s="10"/>
      <c r="G421" s="10"/>
      <c r="H421" s="11"/>
      <c r="I421" s="11"/>
      <c r="J421" s="12" t="e">
        <f>+VLOOKUP(K421,Datos!$A:$C,3,FALSE)</f>
        <v>#N/A</v>
      </c>
      <c r="K421" s="10"/>
      <c r="L421" s="12" t="e">
        <f>+VLOOKUP(K421,Datos!$A:$C,2,FALSE)</f>
        <v>#N/A</v>
      </c>
      <c r="M421" s="10"/>
      <c r="N421" s="12" t="e">
        <f>+VLOOKUP(M421,Datos!$F:$G,2,FALSE)</f>
        <v>#N/A</v>
      </c>
      <c r="O421" s="13">
        <f>IFERROR(IF(A421="SI",VLOOKUP(R421,Datos!$J$1:$K$50,2,FALSE)*C421,VLOOKUP(R421,Datos!$P$1:$T$13,2,FALSE)*C421),0)</f>
        <v>0</v>
      </c>
      <c r="P421" s="10"/>
      <c r="Q421" s="12" t="e">
        <f>+VLOOKUP(P421,Datos!$F:$G,2,FALSE)</f>
        <v>#N/A</v>
      </c>
      <c r="V421" s="10">
        <f t="shared" si="6"/>
        <v>0</v>
      </c>
      <c r="W421" s="10" t="e">
        <f>+VLOOKUP(M421,Datos!$F:$H,3,FALSE)</f>
        <v>#N/A</v>
      </c>
      <c r="X421">
        <v>0</v>
      </c>
      <c r="Y421" s="14"/>
      <c r="Z421" t="e">
        <f>VLOOKUP(M421,'[1]INDIVIDUAL UN'!$C$6:$F$222,4,FALSE)</f>
        <v>#N/A</v>
      </c>
    </row>
    <row r="422" spans="1:26" x14ac:dyDescent="0.35">
      <c r="A422" s="9" t="s">
        <v>25</v>
      </c>
      <c r="C422" s="10"/>
      <c r="D422" s="10"/>
      <c r="E422" s="10"/>
      <c r="F422" s="10"/>
      <c r="G422" s="10"/>
      <c r="H422" s="11"/>
      <c r="I422" s="11"/>
      <c r="J422" s="12" t="e">
        <f>+VLOOKUP(K422,Datos!$A:$C,3,FALSE)</f>
        <v>#N/A</v>
      </c>
      <c r="K422" s="10"/>
      <c r="L422" s="12" t="e">
        <f>+VLOOKUP(K422,Datos!$A:$C,2,FALSE)</f>
        <v>#N/A</v>
      </c>
      <c r="M422" s="10"/>
      <c r="N422" s="12" t="e">
        <f>+VLOOKUP(M422,Datos!$F:$G,2,FALSE)</f>
        <v>#N/A</v>
      </c>
      <c r="O422" s="13">
        <f>IFERROR(IF(A422="SI",VLOOKUP(R422,Datos!$J$1:$K$50,2,FALSE)*C422,VLOOKUP(R422,Datos!$P$1:$T$13,2,FALSE)*C422),0)</f>
        <v>0</v>
      </c>
      <c r="P422" s="9"/>
      <c r="Q422" s="12" t="e">
        <f>+VLOOKUP(P422,Datos!$F:$G,2,FALSE)</f>
        <v>#N/A</v>
      </c>
      <c r="V422" s="10">
        <f t="shared" si="6"/>
        <v>0</v>
      </c>
      <c r="W422" s="10" t="e">
        <f>+VLOOKUP(M422,Datos!$F:$H,3,FALSE)</f>
        <v>#N/A</v>
      </c>
      <c r="X422">
        <v>0</v>
      </c>
      <c r="Y422" s="14"/>
      <c r="Z422" t="e">
        <f>VLOOKUP(M422,'[1]INDIVIDUAL UN'!$C$6:$F$222,4,FALSE)</f>
        <v>#N/A</v>
      </c>
    </row>
    <row r="423" spans="1:26" x14ac:dyDescent="0.35">
      <c r="A423" s="9" t="s">
        <v>25</v>
      </c>
      <c r="C423" s="10"/>
      <c r="D423" s="10"/>
      <c r="E423" s="10"/>
      <c r="F423" s="10"/>
      <c r="G423" s="10"/>
      <c r="H423" s="11"/>
      <c r="I423" s="11"/>
      <c r="J423" s="12" t="e">
        <f>+VLOOKUP(K423,Datos!$A:$C,3,FALSE)</f>
        <v>#N/A</v>
      </c>
      <c r="K423" s="10"/>
      <c r="L423" s="12" t="e">
        <f>+VLOOKUP(K423,Datos!$A:$C,2,FALSE)</f>
        <v>#N/A</v>
      </c>
      <c r="M423" s="10"/>
      <c r="N423" s="12" t="e">
        <f>+VLOOKUP(M423,Datos!$F:$G,2,FALSE)</f>
        <v>#N/A</v>
      </c>
      <c r="O423" s="13">
        <f>IFERROR(IF(A423="SI",VLOOKUP(R423,Datos!$J$1:$K$50,2,FALSE)*C423,VLOOKUP(R423,Datos!$P$1:$T$13,2,FALSE)*C423),0)</f>
        <v>0</v>
      </c>
      <c r="P423" s="9"/>
      <c r="Q423" s="12" t="e">
        <f>+VLOOKUP(P423,Datos!$F:$G,2,FALSE)</f>
        <v>#N/A</v>
      </c>
      <c r="V423" s="10">
        <f t="shared" si="6"/>
        <v>0</v>
      </c>
      <c r="W423" s="10" t="e">
        <f>+VLOOKUP(M423,Datos!$F:$H,3,FALSE)</f>
        <v>#N/A</v>
      </c>
      <c r="X423">
        <v>0</v>
      </c>
      <c r="Y423" s="14"/>
      <c r="Z423" t="e">
        <f>VLOOKUP(M423,'[1]INDIVIDUAL UN'!$C$6:$F$222,4,FALSE)</f>
        <v>#N/A</v>
      </c>
    </row>
    <row r="424" spans="1:26" x14ac:dyDescent="0.35">
      <c r="A424" s="9" t="s">
        <v>25</v>
      </c>
      <c r="C424" s="10"/>
      <c r="D424" s="10"/>
      <c r="E424" s="10"/>
      <c r="F424" s="10"/>
      <c r="G424" s="10"/>
      <c r="H424" s="11"/>
      <c r="I424" s="11"/>
      <c r="J424" s="12" t="e">
        <f>+VLOOKUP(K424,Datos!$A:$C,3,FALSE)</f>
        <v>#N/A</v>
      </c>
      <c r="K424" s="10"/>
      <c r="L424" s="12" t="e">
        <f>+VLOOKUP(K424,Datos!$A:$C,2,FALSE)</f>
        <v>#N/A</v>
      </c>
      <c r="M424" s="10"/>
      <c r="N424" s="12" t="e">
        <f>+VLOOKUP(M424,Datos!$F:$G,2,FALSE)</f>
        <v>#N/A</v>
      </c>
      <c r="O424" s="13">
        <f>IFERROR(IF(A424="SI",VLOOKUP(R424,Datos!$J$1:$K$50,2,FALSE)*C424,VLOOKUP(R424,Datos!$P$1:$T$13,2,FALSE)*C424),0)</f>
        <v>0</v>
      </c>
      <c r="P424" s="9"/>
      <c r="Q424" s="12" t="e">
        <f>+VLOOKUP(P424,Datos!$F:$G,2,FALSE)</f>
        <v>#N/A</v>
      </c>
      <c r="V424" s="10">
        <f t="shared" si="6"/>
        <v>0</v>
      </c>
      <c r="W424" s="10" t="e">
        <f>+VLOOKUP(M424,Datos!$F:$H,3,FALSE)</f>
        <v>#N/A</v>
      </c>
      <c r="X424">
        <v>0</v>
      </c>
      <c r="Y424" s="14"/>
      <c r="Z424" t="e">
        <f>VLOOKUP(M424,'[1]INDIVIDUAL UN'!$C$6:$F$222,4,FALSE)</f>
        <v>#N/A</v>
      </c>
    </row>
    <row r="425" spans="1:26" x14ac:dyDescent="0.35">
      <c r="A425" s="9" t="s">
        <v>25</v>
      </c>
      <c r="C425" s="10"/>
      <c r="D425" s="10"/>
      <c r="E425" s="10"/>
      <c r="F425" s="10"/>
      <c r="G425" s="10"/>
      <c r="H425" s="11"/>
      <c r="I425" s="11"/>
      <c r="J425" s="12" t="e">
        <f>+VLOOKUP(K425,Datos!$A:$C,3,FALSE)</f>
        <v>#N/A</v>
      </c>
      <c r="K425" s="10"/>
      <c r="L425" s="12" t="e">
        <f>+VLOOKUP(K425,Datos!$A:$C,2,FALSE)</f>
        <v>#N/A</v>
      </c>
      <c r="M425" s="10"/>
      <c r="N425" s="12" t="e">
        <f>+VLOOKUP(M425,Datos!$F:$G,2,FALSE)</f>
        <v>#N/A</v>
      </c>
      <c r="O425" s="13">
        <f>IFERROR(IF(A425="SI",VLOOKUP(R425,Datos!$J$1:$K$50,2,FALSE)*C425,VLOOKUP(R425,Datos!$P$1:$T$13,2,FALSE)*C425),0)</f>
        <v>0</v>
      </c>
      <c r="P425" s="9"/>
      <c r="Q425" s="12" t="e">
        <f>+VLOOKUP(P425,Datos!$F:$G,2,FALSE)</f>
        <v>#N/A</v>
      </c>
      <c r="V425" s="10">
        <f t="shared" si="6"/>
        <v>0</v>
      </c>
      <c r="W425" s="10" t="e">
        <f>+VLOOKUP(M425,Datos!$F:$H,3,FALSE)</f>
        <v>#N/A</v>
      </c>
      <c r="X425">
        <v>0</v>
      </c>
      <c r="Y425" s="14"/>
      <c r="Z425" t="e">
        <f>VLOOKUP(M425,'[1]INDIVIDUAL UN'!$C$6:$F$222,4,FALSE)</f>
        <v>#N/A</v>
      </c>
    </row>
    <row r="426" spans="1:26" x14ac:dyDescent="0.35">
      <c r="A426" s="9" t="s">
        <v>25</v>
      </c>
      <c r="C426" s="16"/>
      <c r="D426" s="16"/>
      <c r="E426" s="16"/>
      <c r="F426" s="16"/>
      <c r="G426" s="16"/>
      <c r="H426" s="11"/>
      <c r="I426" s="42"/>
      <c r="J426" s="12" t="e">
        <f>+VLOOKUP(K426,Datos!$A:$C,3,FALSE)</f>
        <v>#N/A</v>
      </c>
      <c r="K426" s="16"/>
      <c r="L426" s="12" t="e">
        <f>+VLOOKUP(K426,Datos!$A:$C,2,FALSE)</f>
        <v>#N/A</v>
      </c>
      <c r="M426" s="70"/>
      <c r="N426" s="12" t="e">
        <f>+VLOOKUP(M426,Datos!$F:$G,2,FALSE)</f>
        <v>#N/A</v>
      </c>
      <c r="O426" s="13">
        <f>IFERROR(IF(A426="SI",VLOOKUP(R426,Datos!$J$1:$K$50,2,FALSE)*C426,VLOOKUP(R426,Datos!$P$1:$T$13,2,FALSE)*C426),0)</f>
        <v>0</v>
      </c>
      <c r="P426" s="16"/>
      <c r="Q426" s="12" t="e">
        <f>+VLOOKUP(P426,Datos!$F:$G,2,FALSE)</f>
        <v>#N/A</v>
      </c>
      <c r="V426" s="10">
        <f t="shared" si="6"/>
        <v>0</v>
      </c>
      <c r="W426" s="10" t="e">
        <f>+VLOOKUP(M426,Datos!$F:$H,3,FALSE)</f>
        <v>#N/A</v>
      </c>
      <c r="X426">
        <v>0</v>
      </c>
      <c r="Y426" s="14"/>
      <c r="Z426" t="e">
        <f>VLOOKUP(M426,'[1]INDIVIDUAL UN'!$C$6:$F$222,4,FALSE)</f>
        <v>#N/A</v>
      </c>
    </row>
    <row r="427" spans="1:26" x14ac:dyDescent="0.35">
      <c r="A427" s="9" t="s">
        <v>25</v>
      </c>
      <c r="C427" s="10"/>
      <c r="D427" s="10"/>
      <c r="E427" s="10"/>
      <c r="F427" s="10"/>
      <c r="G427" s="10"/>
      <c r="H427" s="11"/>
      <c r="I427" s="11"/>
      <c r="J427" s="12" t="e">
        <f>+VLOOKUP(K427,Datos!$A:$C,3,FALSE)</f>
        <v>#N/A</v>
      </c>
      <c r="K427" s="10"/>
      <c r="L427" s="12" t="e">
        <f>+VLOOKUP(K427,Datos!$A:$C,2,FALSE)</f>
        <v>#N/A</v>
      </c>
      <c r="M427" s="10"/>
      <c r="N427" s="12" t="e">
        <f>+VLOOKUP(M427,Datos!$F:$G,2,FALSE)</f>
        <v>#N/A</v>
      </c>
      <c r="O427" s="13">
        <f>IFERROR(IF(A427="SI",VLOOKUP(R427,Datos!$J$1:$K$50,2,FALSE)*C427,VLOOKUP(R427,Datos!$P$1:$T$13,2,FALSE)*C427),0)</f>
        <v>0</v>
      </c>
      <c r="P427" s="10"/>
      <c r="Q427" s="12" t="e">
        <f>+VLOOKUP(P427,Datos!$F:$G,2,FALSE)</f>
        <v>#N/A</v>
      </c>
      <c r="V427" s="10">
        <f t="shared" si="6"/>
        <v>0</v>
      </c>
      <c r="W427" s="10" t="e">
        <f>+VLOOKUP(M427,Datos!$F:$H,3,FALSE)</f>
        <v>#N/A</v>
      </c>
      <c r="X427">
        <v>0</v>
      </c>
      <c r="Y427" s="14"/>
      <c r="Z427" t="e">
        <f>VLOOKUP(M427,'[1]INDIVIDUAL UN'!$C$6:$F$222,4,FALSE)</f>
        <v>#N/A</v>
      </c>
    </row>
    <row r="428" spans="1:26" x14ac:dyDescent="0.35">
      <c r="A428" s="9" t="s">
        <v>25</v>
      </c>
      <c r="C428" s="10"/>
      <c r="D428" s="10"/>
      <c r="E428" s="10"/>
      <c r="F428" s="10"/>
      <c r="G428" s="10"/>
      <c r="H428" s="11"/>
      <c r="I428" s="11"/>
      <c r="J428" s="12" t="e">
        <f>+VLOOKUP(K428,Datos!$A:$C,3,FALSE)</f>
        <v>#N/A</v>
      </c>
      <c r="K428" s="10"/>
      <c r="L428" s="12" t="e">
        <f>+VLOOKUP(K428,Datos!$A:$C,2,FALSE)</f>
        <v>#N/A</v>
      </c>
      <c r="M428" s="10"/>
      <c r="N428" s="12" t="e">
        <f>+VLOOKUP(M428,Datos!$F:$G,2,FALSE)</f>
        <v>#N/A</v>
      </c>
      <c r="O428" s="13">
        <f>IFERROR(IF(A428="SI",VLOOKUP(R428,Datos!$J$1:$K$50,2,FALSE)*C428,VLOOKUP(R428,Datos!$P$1:$T$13,2,FALSE)*C428),0)</f>
        <v>0</v>
      </c>
      <c r="P428" s="10"/>
      <c r="Q428" s="12" t="e">
        <f>+VLOOKUP(P428,Datos!$F:$G,2,FALSE)</f>
        <v>#N/A</v>
      </c>
      <c r="V428" s="10">
        <f t="shared" si="6"/>
        <v>0</v>
      </c>
      <c r="W428" s="10" t="e">
        <f>+VLOOKUP(M428,Datos!$F:$H,3,FALSE)</f>
        <v>#N/A</v>
      </c>
      <c r="X428">
        <v>0</v>
      </c>
      <c r="Y428" s="14"/>
      <c r="Z428" t="e">
        <f>VLOOKUP(M428,'[1]INDIVIDUAL UN'!$C$6:$F$222,4,FALSE)</f>
        <v>#N/A</v>
      </c>
    </row>
    <row r="429" spans="1:26" x14ac:dyDescent="0.35">
      <c r="A429" s="9" t="s">
        <v>25</v>
      </c>
      <c r="C429" s="10"/>
      <c r="D429" s="10"/>
      <c r="E429" s="10"/>
      <c r="F429" s="10"/>
      <c r="G429" s="10"/>
      <c r="H429" s="11"/>
      <c r="I429" s="11"/>
      <c r="J429" s="12" t="e">
        <f>+VLOOKUP(K429,Datos!$A:$C,3,FALSE)</f>
        <v>#N/A</v>
      </c>
      <c r="K429" s="10"/>
      <c r="L429" s="12" t="e">
        <f>+VLOOKUP(K429,Datos!$A:$C,2,FALSE)</f>
        <v>#N/A</v>
      </c>
      <c r="M429" s="10"/>
      <c r="N429" s="12" t="e">
        <f>+VLOOKUP(M429,Datos!$F:$G,2,FALSE)</f>
        <v>#N/A</v>
      </c>
      <c r="O429" s="13">
        <f>IFERROR(IF(A429="SI",VLOOKUP(R429,Datos!$J$1:$K$50,2,FALSE)*C429,VLOOKUP(R429,Datos!$P$1:$T$13,2,FALSE)*C429),0)</f>
        <v>0</v>
      </c>
      <c r="P429" s="9"/>
      <c r="Q429" s="12" t="e">
        <f>+VLOOKUP(P429,Datos!$F:$G,2,FALSE)</f>
        <v>#N/A</v>
      </c>
      <c r="V429" s="10">
        <f t="shared" si="6"/>
        <v>0</v>
      </c>
      <c r="W429" s="10" t="e">
        <f>+VLOOKUP(M429,Datos!$F:$H,3,FALSE)</f>
        <v>#N/A</v>
      </c>
      <c r="X429">
        <v>0</v>
      </c>
      <c r="Y429" s="14"/>
      <c r="Z429" t="e">
        <f>VLOOKUP(M429,'[1]INDIVIDUAL UN'!$C$6:$F$222,4,FALSE)</f>
        <v>#N/A</v>
      </c>
    </row>
    <row r="430" spans="1:26" x14ac:dyDescent="0.35">
      <c r="A430" s="9" t="s">
        <v>25</v>
      </c>
      <c r="C430" s="10"/>
      <c r="D430" s="10"/>
      <c r="E430" s="10"/>
      <c r="F430" s="10"/>
      <c r="G430" s="10"/>
      <c r="H430" s="11"/>
      <c r="I430" s="11"/>
      <c r="J430" s="12" t="e">
        <f>+VLOOKUP(K430,Datos!$A:$C,3,FALSE)</f>
        <v>#N/A</v>
      </c>
      <c r="K430" s="10"/>
      <c r="L430" s="12" t="e">
        <f>+VLOOKUP(K430,Datos!$A:$C,2,FALSE)</f>
        <v>#N/A</v>
      </c>
      <c r="M430" s="10"/>
      <c r="N430" s="12" t="e">
        <f>+VLOOKUP(M430,Datos!$F:$G,2,FALSE)</f>
        <v>#N/A</v>
      </c>
      <c r="O430" s="13">
        <f>IFERROR(IF(A430="SI",VLOOKUP(R430,Datos!$J$1:$K$50,2,FALSE)*C430,VLOOKUP(R430,Datos!$P$1:$T$13,2,FALSE)*C430),0)</f>
        <v>0</v>
      </c>
      <c r="P430" s="9"/>
      <c r="Q430" s="12" t="e">
        <f>+VLOOKUP(P430,Datos!$F:$G,2,FALSE)</f>
        <v>#N/A</v>
      </c>
      <c r="V430" s="10">
        <f t="shared" si="6"/>
        <v>0</v>
      </c>
      <c r="W430" s="10" t="e">
        <f>+VLOOKUP(M430,Datos!$F:$H,3,FALSE)</f>
        <v>#N/A</v>
      </c>
      <c r="X430">
        <v>0</v>
      </c>
      <c r="Y430" s="14"/>
      <c r="Z430" t="e">
        <f>VLOOKUP(M430,'[1]INDIVIDUAL UN'!$C$6:$F$222,4,FALSE)</f>
        <v>#N/A</v>
      </c>
    </row>
    <row r="431" spans="1:26" x14ac:dyDescent="0.35">
      <c r="A431" s="9" t="s">
        <v>25</v>
      </c>
      <c r="C431" s="10"/>
      <c r="D431" s="10"/>
      <c r="E431" s="10"/>
      <c r="F431" s="10"/>
      <c r="G431" s="10"/>
      <c r="H431" s="11"/>
      <c r="I431" s="11"/>
      <c r="J431" s="12" t="e">
        <f>+VLOOKUP(K431,Datos!$A:$C,3,FALSE)</f>
        <v>#N/A</v>
      </c>
      <c r="K431" s="10"/>
      <c r="L431" s="12" t="e">
        <f>+VLOOKUP(K431,Datos!$A:$C,2,FALSE)</f>
        <v>#N/A</v>
      </c>
      <c r="M431" s="10"/>
      <c r="N431" s="12" t="e">
        <f>+VLOOKUP(M431,Datos!$F:$G,2,FALSE)</f>
        <v>#N/A</v>
      </c>
      <c r="O431" s="13">
        <f>IFERROR(IF(A431="SI",VLOOKUP(R431,Datos!$J$1:$K$50,2,FALSE)*C431,VLOOKUP(R431,Datos!$P$1:$T$13,2,FALSE)*C431),0)</f>
        <v>0</v>
      </c>
      <c r="P431" s="9"/>
      <c r="Q431" s="12" t="e">
        <f>+VLOOKUP(P431,Datos!$F:$G,2,FALSE)</f>
        <v>#N/A</v>
      </c>
      <c r="V431" s="10">
        <f t="shared" si="6"/>
        <v>0</v>
      </c>
      <c r="W431" s="10" t="e">
        <f>+VLOOKUP(M431,Datos!$F:$H,3,FALSE)</f>
        <v>#N/A</v>
      </c>
      <c r="X431">
        <v>0</v>
      </c>
      <c r="Y431" s="14"/>
      <c r="Z431" t="e">
        <f>VLOOKUP(M431,'[1]INDIVIDUAL UN'!$C$6:$F$222,4,FALSE)</f>
        <v>#N/A</v>
      </c>
    </row>
    <row r="432" spans="1:26" x14ac:dyDescent="0.35">
      <c r="A432" s="9" t="s">
        <v>25</v>
      </c>
      <c r="C432" s="10"/>
      <c r="D432" s="10"/>
      <c r="E432" s="10"/>
      <c r="F432" s="10"/>
      <c r="G432" s="10"/>
      <c r="H432" s="11"/>
      <c r="I432" s="11"/>
      <c r="J432" s="12" t="e">
        <f>+VLOOKUP(K432,Datos!$A:$C,3,FALSE)</f>
        <v>#N/A</v>
      </c>
      <c r="K432" s="10"/>
      <c r="L432" s="12" t="e">
        <f>+VLOOKUP(K432,Datos!$A:$C,2,FALSE)</f>
        <v>#N/A</v>
      </c>
      <c r="M432" s="10"/>
      <c r="N432" s="12" t="e">
        <f>+VLOOKUP(M432,Datos!$F:$G,2,FALSE)</f>
        <v>#N/A</v>
      </c>
      <c r="O432" s="13">
        <f>IFERROR(IF(A432="SI",VLOOKUP(R432,Datos!$J$1:$K$50,2,FALSE)*C432,VLOOKUP(R432,Datos!$P$1:$T$13,2,FALSE)*C432),0)</f>
        <v>0</v>
      </c>
      <c r="P432" s="9"/>
      <c r="Q432" s="12" t="e">
        <f>+VLOOKUP(P432,Datos!$F:$G,2,FALSE)</f>
        <v>#N/A</v>
      </c>
      <c r="V432" s="10">
        <f t="shared" si="6"/>
        <v>0</v>
      </c>
      <c r="W432" s="10" t="e">
        <f>+VLOOKUP(M432,Datos!$F:$H,3,FALSE)</f>
        <v>#N/A</v>
      </c>
      <c r="X432">
        <v>0</v>
      </c>
      <c r="Y432" s="14"/>
      <c r="Z432" t="e">
        <f>VLOOKUP(M432,'[1]INDIVIDUAL UN'!$C$6:$F$222,4,FALSE)</f>
        <v>#N/A</v>
      </c>
    </row>
    <row r="433" spans="1:26" x14ac:dyDescent="0.35">
      <c r="A433" s="9" t="s">
        <v>25</v>
      </c>
      <c r="C433" s="10"/>
      <c r="D433" s="10"/>
      <c r="E433" s="52"/>
      <c r="F433" s="52"/>
      <c r="G433" s="10"/>
      <c r="H433" s="11"/>
      <c r="I433" s="11"/>
      <c r="J433" s="12" t="e">
        <f>+VLOOKUP(K433,Datos!$A:$C,3,FALSE)</f>
        <v>#N/A</v>
      </c>
      <c r="K433" s="10"/>
      <c r="L433" s="12" t="e">
        <f>+VLOOKUP(K433,Datos!$A:$C,2,FALSE)</f>
        <v>#N/A</v>
      </c>
      <c r="M433" s="10"/>
      <c r="N433" s="12" t="e">
        <f>+VLOOKUP(M433,Datos!$F:$G,2,FALSE)</f>
        <v>#N/A</v>
      </c>
      <c r="O433" s="13">
        <f>IFERROR(IF(A433="SI",VLOOKUP(R433,Datos!$J$1:$K$50,2,FALSE)*C433,VLOOKUP(R433,Datos!$P$1:$T$13,2,FALSE)*C433),0)</f>
        <v>0</v>
      </c>
      <c r="P433" s="9"/>
      <c r="Q433" s="12" t="e">
        <f>+VLOOKUP(P433,Datos!$F:$G,2,FALSE)</f>
        <v>#N/A</v>
      </c>
      <c r="S433" s="52"/>
      <c r="V433" s="10">
        <f t="shared" si="6"/>
        <v>0</v>
      </c>
      <c r="W433" s="10" t="e">
        <f>+VLOOKUP(M433,Datos!$F:$H,3,FALSE)</f>
        <v>#N/A</v>
      </c>
      <c r="X433">
        <v>0</v>
      </c>
      <c r="Y433" s="14"/>
      <c r="Z433" t="e">
        <f>VLOOKUP(M433,'[1]INDIVIDUAL UN'!$C$6:$F$222,4,FALSE)</f>
        <v>#N/A</v>
      </c>
    </row>
    <row r="434" spans="1:26" x14ac:dyDescent="0.35">
      <c r="A434" s="9" t="s">
        <v>25</v>
      </c>
      <c r="C434" s="10"/>
      <c r="D434" s="10"/>
      <c r="E434" s="10"/>
      <c r="F434" s="10"/>
      <c r="G434" s="10"/>
      <c r="H434" s="11"/>
      <c r="I434" s="11"/>
      <c r="J434" s="12" t="e">
        <f>+VLOOKUP(K434,Datos!$A:$C,3,FALSE)</f>
        <v>#N/A</v>
      </c>
      <c r="K434" s="10"/>
      <c r="L434" s="12" t="e">
        <f>+VLOOKUP(K434,Datos!$A:$C,2,FALSE)</f>
        <v>#N/A</v>
      </c>
      <c r="M434" s="10"/>
      <c r="N434" s="12" t="e">
        <f>+VLOOKUP(M434,Datos!$F:$G,2,FALSE)</f>
        <v>#N/A</v>
      </c>
      <c r="O434" s="13">
        <f>IFERROR(IF(A434="SI",VLOOKUP(R434,Datos!$J$1:$K$50,2,FALSE)*C434,VLOOKUP(R434,Datos!$P$1:$T$13,2,FALSE)*C434),0)</f>
        <v>0</v>
      </c>
      <c r="P434" s="9"/>
      <c r="Q434" s="12" t="e">
        <f>+VLOOKUP(P434,Datos!$F:$G,2,FALSE)</f>
        <v>#N/A</v>
      </c>
      <c r="V434" s="10">
        <f t="shared" si="6"/>
        <v>0</v>
      </c>
      <c r="W434" s="10" t="e">
        <f>+VLOOKUP(M434,Datos!$F:$H,3,FALSE)</f>
        <v>#N/A</v>
      </c>
      <c r="X434">
        <v>0</v>
      </c>
      <c r="Y434" s="14"/>
      <c r="Z434" t="e">
        <f>VLOOKUP(M434,'[1]INDIVIDUAL UN'!$C$6:$F$222,4,FALSE)</f>
        <v>#N/A</v>
      </c>
    </row>
    <row r="435" spans="1:26" x14ac:dyDescent="0.35">
      <c r="A435" s="9" t="s">
        <v>25</v>
      </c>
      <c r="C435" s="10"/>
      <c r="D435" s="10"/>
      <c r="E435" s="10"/>
      <c r="F435" s="10"/>
      <c r="G435" s="10"/>
      <c r="H435" s="11"/>
      <c r="I435" s="11"/>
      <c r="J435" s="12" t="e">
        <f>+VLOOKUP(K435,Datos!$A:$C,3,FALSE)</f>
        <v>#N/A</v>
      </c>
      <c r="K435" s="10"/>
      <c r="L435" s="12" t="e">
        <f>+VLOOKUP(K435,Datos!$A:$C,2,FALSE)</f>
        <v>#N/A</v>
      </c>
      <c r="M435" s="10"/>
      <c r="N435" s="12" t="e">
        <f>+VLOOKUP(M435,Datos!$F:$G,2,FALSE)</f>
        <v>#N/A</v>
      </c>
      <c r="O435" s="13">
        <f>IFERROR(IF(A435="SI",VLOOKUP(R435,Datos!$J$1:$K$50,2,FALSE)*C435,VLOOKUP(R435,Datos!$P$1:$T$13,2,FALSE)*C435),0)</f>
        <v>0</v>
      </c>
      <c r="P435" s="10"/>
      <c r="Q435" s="12" t="e">
        <f>+VLOOKUP(P435,Datos!$F:$G,2,FALSE)</f>
        <v>#N/A</v>
      </c>
      <c r="V435" s="10">
        <f t="shared" si="6"/>
        <v>0</v>
      </c>
      <c r="W435" s="10" t="e">
        <f>+VLOOKUP(M435,Datos!$F:$H,3,FALSE)</f>
        <v>#N/A</v>
      </c>
      <c r="X435">
        <v>0</v>
      </c>
      <c r="Y435" s="14"/>
      <c r="Z435" t="e">
        <f>VLOOKUP(M435,'[1]INDIVIDUAL UN'!$C$6:$F$222,4,FALSE)</f>
        <v>#N/A</v>
      </c>
    </row>
    <row r="436" spans="1:26" s="10" customFormat="1" x14ac:dyDescent="0.35">
      <c r="A436" s="9" t="s">
        <v>25</v>
      </c>
      <c r="B436" s="9"/>
      <c r="H436" s="11"/>
      <c r="I436" s="11"/>
      <c r="J436" s="12" t="e">
        <f>+VLOOKUP(K436,Datos!$A:$C,3,FALSE)</f>
        <v>#N/A</v>
      </c>
      <c r="L436" s="12" t="e">
        <f>+VLOOKUP(K436,Datos!$A:$C,2,FALSE)</f>
        <v>#N/A</v>
      </c>
      <c r="N436" s="12" t="e">
        <f>+VLOOKUP(M436,Datos!$F:$G,2,FALSE)</f>
        <v>#N/A</v>
      </c>
      <c r="O436" s="13">
        <f>IFERROR(IF(A436="SI",VLOOKUP(R436,Datos!$J$1:$K$50,2,FALSE)*C436,VLOOKUP(R436,Datos!$P$1:$T$13,2,FALSE)*C436),0)</f>
        <v>0</v>
      </c>
      <c r="Q436" s="12" t="e">
        <f>+VLOOKUP(P436,Datos!$F:$G,2,FALSE)</f>
        <v>#N/A</v>
      </c>
      <c r="R436" s="9"/>
      <c r="V436" s="10">
        <f t="shared" si="6"/>
        <v>0</v>
      </c>
      <c r="W436" s="10" t="e">
        <f>+VLOOKUP(M436,Datos!$F:$H,3,FALSE)</f>
        <v>#N/A</v>
      </c>
      <c r="X436">
        <v>0</v>
      </c>
      <c r="Y436" s="20"/>
      <c r="Z436" s="10" t="e">
        <f>VLOOKUP(M436,'[1]INDIVIDUAL UN'!$C$6:$F$222,4,FALSE)</f>
        <v>#N/A</v>
      </c>
    </row>
    <row r="437" spans="1:26" x14ac:dyDescent="0.35">
      <c r="A437" s="9" t="s">
        <v>25</v>
      </c>
      <c r="C437" s="10"/>
      <c r="D437" s="10" t="s">
        <v>29</v>
      </c>
      <c r="E437" s="10"/>
      <c r="F437" s="10"/>
      <c r="G437" s="10"/>
      <c r="H437" s="42"/>
      <c r="I437" s="11"/>
      <c r="J437" s="12" t="e">
        <f>+VLOOKUP(K437,Datos!$A:$C,3,FALSE)</f>
        <v>#N/A</v>
      </c>
      <c r="K437" s="10"/>
      <c r="L437" s="12" t="e">
        <f>+VLOOKUP(K437,Datos!$A:$C,2,FALSE)</f>
        <v>#N/A</v>
      </c>
      <c r="M437" s="10"/>
      <c r="N437" s="12" t="e">
        <f>+VLOOKUP(M437,Datos!$F:$G,2,FALSE)</f>
        <v>#N/A</v>
      </c>
      <c r="O437" s="13">
        <f>IFERROR(IF(A437="SI",VLOOKUP(R437,Datos!$J$1:$K$50,2,FALSE)*C437,VLOOKUP(R437,Datos!$P$1:$T$13,2,FALSE)*C437),0)</f>
        <v>0</v>
      </c>
      <c r="P437" s="9"/>
      <c r="Q437" s="12" t="e">
        <f>+VLOOKUP(P437,Datos!$F:$G,2,FALSE)</f>
        <v>#N/A</v>
      </c>
      <c r="V437" s="10">
        <f t="shared" si="6"/>
        <v>0</v>
      </c>
      <c r="W437" s="10" t="e">
        <f>+VLOOKUP(M437,Datos!$F:$H,3,FALSE)</f>
        <v>#N/A</v>
      </c>
      <c r="X437">
        <v>0</v>
      </c>
      <c r="Y437" s="14"/>
      <c r="Z437" t="e">
        <f>VLOOKUP(M437,'[1]INDIVIDUAL UN'!$C$6:$F$222,4,FALSE)</f>
        <v>#N/A</v>
      </c>
    </row>
    <row r="438" spans="1:26" x14ac:dyDescent="0.35">
      <c r="A438" s="9" t="s">
        <v>25</v>
      </c>
      <c r="C438" s="10"/>
      <c r="D438" s="10" t="s">
        <v>29</v>
      </c>
      <c r="E438" s="10"/>
      <c r="F438" s="10"/>
      <c r="G438" s="10"/>
      <c r="H438" s="42"/>
      <c r="I438" s="11"/>
      <c r="J438" s="12" t="e">
        <f>+VLOOKUP(K438,Datos!$A:$C,3,FALSE)</f>
        <v>#N/A</v>
      </c>
      <c r="K438" s="10"/>
      <c r="L438" s="12" t="e">
        <f>+VLOOKUP(K438,Datos!$A:$C,2,FALSE)</f>
        <v>#N/A</v>
      </c>
      <c r="M438" s="10"/>
      <c r="N438" s="12" t="e">
        <f>+VLOOKUP(M438,Datos!$F:$G,2,FALSE)</f>
        <v>#N/A</v>
      </c>
      <c r="O438" s="13">
        <f>IFERROR(IF(A438="SI",VLOOKUP(R438,Datos!$J$1:$K$50,2,FALSE)*C438,VLOOKUP(R438,Datos!$P$1:$T$13,2,FALSE)*C438),0)</f>
        <v>0</v>
      </c>
      <c r="P438" s="9"/>
      <c r="Q438" s="12" t="e">
        <f>+VLOOKUP(P438,Datos!$F:$G,2,FALSE)</f>
        <v>#N/A</v>
      </c>
      <c r="V438" s="10">
        <f t="shared" si="6"/>
        <v>0</v>
      </c>
      <c r="W438" s="10" t="e">
        <f>+VLOOKUP(M438,Datos!$F:$H,3,FALSE)</f>
        <v>#N/A</v>
      </c>
      <c r="X438">
        <v>0</v>
      </c>
      <c r="Y438" s="14"/>
      <c r="Z438" t="e">
        <f>VLOOKUP(M438,'[1]INDIVIDUAL UN'!$C$6:$F$222,4,FALSE)</f>
        <v>#N/A</v>
      </c>
    </row>
    <row r="439" spans="1:26" x14ac:dyDescent="0.35">
      <c r="A439" s="9" t="s">
        <v>25</v>
      </c>
      <c r="C439" s="10"/>
      <c r="D439" s="10" t="s">
        <v>29</v>
      </c>
      <c r="E439" s="10"/>
      <c r="F439" s="10"/>
      <c r="G439" s="10"/>
      <c r="H439" s="42"/>
      <c r="I439" s="11"/>
      <c r="J439" s="12" t="e">
        <f>+VLOOKUP(K439,Datos!$A:$C,3,FALSE)</f>
        <v>#N/A</v>
      </c>
      <c r="K439" s="10"/>
      <c r="L439" s="12" t="e">
        <f>+VLOOKUP(K439,Datos!$A:$C,2,FALSE)</f>
        <v>#N/A</v>
      </c>
      <c r="M439" s="10"/>
      <c r="N439" s="12" t="e">
        <f>+VLOOKUP(M439,Datos!$F:$G,2,FALSE)</f>
        <v>#N/A</v>
      </c>
      <c r="O439" s="13">
        <f>IFERROR(IF(A439="SI",VLOOKUP(R439,Datos!$J$1:$K$50,2,FALSE)*C439,VLOOKUP(R439,Datos!$P$1:$T$13,2,FALSE)*C439),0)</f>
        <v>0</v>
      </c>
      <c r="P439" s="9"/>
      <c r="Q439" s="12" t="e">
        <f>+VLOOKUP(P439,Datos!$F:$G,2,FALSE)</f>
        <v>#N/A</v>
      </c>
      <c r="V439" s="10">
        <f t="shared" si="6"/>
        <v>0</v>
      </c>
      <c r="W439" s="10" t="e">
        <f>+VLOOKUP(M439,Datos!$F:$H,3,FALSE)</f>
        <v>#N/A</v>
      </c>
      <c r="X439">
        <v>0</v>
      </c>
      <c r="Y439" s="14"/>
      <c r="Z439" t="e">
        <f>VLOOKUP(M439,'[1]INDIVIDUAL UN'!$C$6:$F$222,4,FALSE)</f>
        <v>#N/A</v>
      </c>
    </row>
    <row r="440" spans="1:26" x14ac:dyDescent="0.35">
      <c r="A440" s="9" t="s">
        <v>25</v>
      </c>
      <c r="C440" s="71"/>
      <c r="D440" s="10" t="s">
        <v>29</v>
      </c>
      <c r="E440" s="71"/>
      <c r="F440" s="71"/>
      <c r="G440" s="71"/>
      <c r="H440" s="42"/>
      <c r="I440" s="72"/>
      <c r="J440" s="12" t="e">
        <f>+VLOOKUP(K440,Datos!$A:$C,3,FALSE)</f>
        <v>#N/A</v>
      </c>
      <c r="K440" s="71"/>
      <c r="L440" s="12" t="e">
        <f>+VLOOKUP(K440,Datos!$A:$C,2,FALSE)</f>
        <v>#N/A</v>
      </c>
      <c r="M440" s="23"/>
      <c r="N440" s="12" t="e">
        <f>+VLOOKUP(M440,Datos!$F:$G,2,FALSE)</f>
        <v>#N/A</v>
      </c>
      <c r="O440" s="13">
        <f>IFERROR(IF(A440="SI",VLOOKUP(R440,Datos!$J$1:$K$50,2,FALSE)*C440,VLOOKUP(R440,Datos!$P$1:$T$13,2,FALSE)*C440),0)</f>
        <v>0</v>
      </c>
      <c r="P440" s="35"/>
      <c r="Q440" s="12" t="e">
        <f>+VLOOKUP(P440,Datos!$F:$G,2,FALSE)</f>
        <v>#N/A</v>
      </c>
      <c r="V440" s="10">
        <f t="shared" si="6"/>
        <v>0</v>
      </c>
      <c r="W440" s="10" t="e">
        <f>+VLOOKUP(M440,Datos!$F:$H,3,FALSE)</f>
        <v>#N/A</v>
      </c>
      <c r="X440">
        <v>0</v>
      </c>
      <c r="Y440" s="14"/>
      <c r="Z440" t="e">
        <f>VLOOKUP(M440,'[1]INDIVIDUAL UN'!$C$6:$F$222,4,FALSE)</f>
        <v>#N/A</v>
      </c>
    </row>
    <row r="441" spans="1:26" x14ac:dyDescent="0.35">
      <c r="A441" s="9" t="s">
        <v>25</v>
      </c>
      <c r="C441" s="23"/>
      <c r="D441" s="10" t="s">
        <v>29</v>
      </c>
      <c r="E441" s="23"/>
      <c r="F441" s="23"/>
      <c r="G441" s="35"/>
      <c r="H441" s="42"/>
      <c r="I441" s="73"/>
      <c r="J441" s="12" t="e">
        <f>+VLOOKUP(K441,Datos!$A:$C,3,FALSE)</f>
        <v>#N/A</v>
      </c>
      <c r="K441" s="23"/>
      <c r="L441" s="12" t="e">
        <f>+VLOOKUP(K441,Datos!$A:$C,2,FALSE)</f>
        <v>#N/A</v>
      </c>
      <c r="M441" s="23"/>
      <c r="N441" s="12" t="e">
        <f>+VLOOKUP(M441,Datos!$F:$G,2,FALSE)</f>
        <v>#N/A</v>
      </c>
      <c r="O441" s="13">
        <f>IFERROR(IF(A441="SI",VLOOKUP(R441,Datos!$J$1:$K$50,2,FALSE)*C441,VLOOKUP(R441,Datos!$P$1:$T$13,2,FALSE)*C441),0)</f>
        <v>0</v>
      </c>
      <c r="P441" s="35"/>
      <c r="Q441" s="12" t="e">
        <f>+VLOOKUP(P441,Datos!$F:$G,2,FALSE)</f>
        <v>#N/A</v>
      </c>
      <c r="V441" s="10">
        <f t="shared" si="6"/>
        <v>0</v>
      </c>
      <c r="W441" s="10" t="e">
        <f>+VLOOKUP(M441,Datos!$F:$H,3,FALSE)</f>
        <v>#N/A</v>
      </c>
      <c r="X441">
        <v>0</v>
      </c>
      <c r="Y441" s="14"/>
      <c r="Z441" t="e">
        <f>VLOOKUP(M441,'[1]INDIVIDUAL UN'!$C$6:$F$222,4,FALSE)</f>
        <v>#N/A</v>
      </c>
    </row>
    <row r="442" spans="1:26" x14ac:dyDescent="0.35">
      <c r="A442" s="9" t="s">
        <v>25</v>
      </c>
      <c r="C442" s="23"/>
      <c r="D442" s="10" t="s">
        <v>29</v>
      </c>
      <c r="E442" s="23"/>
      <c r="F442" s="23"/>
      <c r="G442" s="23"/>
      <c r="H442" s="42"/>
      <c r="I442" s="73"/>
      <c r="J442" s="12" t="e">
        <f>+VLOOKUP(K442,Datos!$A:$C,3,FALSE)</f>
        <v>#N/A</v>
      </c>
      <c r="K442" s="23"/>
      <c r="L442" s="12" t="e">
        <f>+VLOOKUP(K442,Datos!$A:$C,2,FALSE)</f>
        <v>#N/A</v>
      </c>
      <c r="M442" s="23"/>
      <c r="N442" s="12" t="e">
        <f>+VLOOKUP(M442,Datos!$F:$G,2,FALSE)</f>
        <v>#N/A</v>
      </c>
      <c r="O442" s="13">
        <f>IFERROR(IF(A442="SI",VLOOKUP(R442,Datos!$J$1:$K$50,2,FALSE)*C442,VLOOKUP(R442,Datos!$P$1:$T$13,2,FALSE)*C442),0)</f>
        <v>0</v>
      </c>
      <c r="P442" s="35"/>
      <c r="Q442" s="12" t="e">
        <f>+VLOOKUP(P442,Datos!$F:$G,2,FALSE)</f>
        <v>#N/A</v>
      </c>
      <c r="V442" s="10">
        <f t="shared" si="6"/>
        <v>0</v>
      </c>
      <c r="W442" s="10" t="e">
        <f>+VLOOKUP(M442,Datos!$F:$H,3,FALSE)</f>
        <v>#N/A</v>
      </c>
      <c r="X442">
        <v>0</v>
      </c>
      <c r="Y442" s="14"/>
      <c r="Z442" t="e">
        <f>VLOOKUP(M442,'[1]INDIVIDUAL UN'!$C$6:$F$222,4,FALSE)</f>
        <v>#N/A</v>
      </c>
    </row>
    <row r="443" spans="1:26" x14ac:dyDescent="0.35">
      <c r="A443" s="9" t="s">
        <v>25</v>
      </c>
      <c r="C443" s="10"/>
      <c r="D443" s="10" t="s">
        <v>29</v>
      </c>
      <c r="E443" s="10"/>
      <c r="F443" s="10"/>
      <c r="G443" s="10"/>
      <c r="H443" s="42"/>
      <c r="I443" s="11"/>
      <c r="J443" s="12" t="e">
        <f>+VLOOKUP(K443,Datos!$A:$C,3,FALSE)</f>
        <v>#N/A</v>
      </c>
      <c r="K443" s="10"/>
      <c r="L443" s="12" t="e">
        <f>+VLOOKUP(K443,Datos!$A:$C,2,FALSE)</f>
        <v>#N/A</v>
      </c>
      <c r="M443" s="10"/>
      <c r="N443" s="12" t="e">
        <f>+VLOOKUP(M443,Datos!$F:$G,2,FALSE)</f>
        <v>#N/A</v>
      </c>
      <c r="O443" s="13">
        <f>IFERROR(IF(A443="SI",VLOOKUP(R443,Datos!$J$1:$K$50,2,FALSE)*C443,VLOOKUP(R443,Datos!$P$1:$T$13,2,FALSE)*C443),0)</f>
        <v>0</v>
      </c>
      <c r="P443" s="9"/>
      <c r="Q443" s="12" t="e">
        <f>+VLOOKUP(P443,Datos!$F:$G,2,FALSE)</f>
        <v>#N/A</v>
      </c>
      <c r="V443" s="10">
        <f t="shared" si="6"/>
        <v>0</v>
      </c>
      <c r="W443" s="10" t="e">
        <f>+VLOOKUP(M443,Datos!$F:$H,3,FALSE)</f>
        <v>#N/A</v>
      </c>
      <c r="X443">
        <v>0</v>
      </c>
      <c r="Y443" s="14"/>
      <c r="Z443" t="e">
        <f>VLOOKUP(M443,'[1]INDIVIDUAL UN'!$C$6:$F$222,4,FALSE)</f>
        <v>#N/A</v>
      </c>
    </row>
    <row r="444" spans="1:26" x14ac:dyDescent="0.35">
      <c r="A444" s="9" t="s">
        <v>25</v>
      </c>
      <c r="C444" s="10"/>
      <c r="D444" s="10" t="s">
        <v>29</v>
      </c>
      <c r="E444" s="10"/>
      <c r="F444" s="10"/>
      <c r="G444" s="10"/>
      <c r="H444" s="42"/>
      <c r="I444" s="11"/>
      <c r="J444" s="12" t="e">
        <f>+VLOOKUP(K444,Datos!$A:$C,3,FALSE)</f>
        <v>#N/A</v>
      </c>
      <c r="K444" s="10"/>
      <c r="L444" s="12" t="e">
        <f>+VLOOKUP(K444,Datos!$A:$C,2,FALSE)</f>
        <v>#N/A</v>
      </c>
      <c r="M444" s="10"/>
      <c r="N444" s="12" t="e">
        <f>+VLOOKUP(M444,Datos!$F:$G,2,FALSE)</f>
        <v>#N/A</v>
      </c>
      <c r="O444" s="13">
        <f>IFERROR(IF(A444="SI",VLOOKUP(R444,Datos!$J$1:$K$50,2,FALSE)*C444,VLOOKUP(R444,Datos!$P$1:$T$13,2,FALSE)*C444),0)</f>
        <v>0</v>
      </c>
      <c r="P444" s="9"/>
      <c r="Q444" s="12" t="e">
        <f>+VLOOKUP(P444,Datos!$F:$G,2,FALSE)</f>
        <v>#N/A</v>
      </c>
      <c r="V444" s="10">
        <f t="shared" si="6"/>
        <v>0</v>
      </c>
      <c r="W444" s="10" t="e">
        <f>+VLOOKUP(M444,Datos!$F:$H,3,FALSE)</f>
        <v>#N/A</v>
      </c>
      <c r="X444">
        <v>0</v>
      </c>
      <c r="Y444" s="14"/>
      <c r="Z444" t="e">
        <f>VLOOKUP(M444,'[1]INDIVIDUAL UN'!$C$6:$F$222,4,FALSE)</f>
        <v>#N/A</v>
      </c>
    </row>
    <row r="445" spans="1:26" x14ac:dyDescent="0.35">
      <c r="A445" s="9" t="s">
        <v>25</v>
      </c>
      <c r="C445" s="10"/>
      <c r="D445" s="10" t="s">
        <v>29</v>
      </c>
      <c r="E445" s="10"/>
      <c r="F445" s="10"/>
      <c r="G445" s="10"/>
      <c r="H445" s="42"/>
      <c r="I445" s="11"/>
      <c r="J445" s="12" t="e">
        <f>+VLOOKUP(K445,Datos!$A:$C,3,FALSE)</f>
        <v>#N/A</v>
      </c>
      <c r="K445" s="10"/>
      <c r="L445" s="12" t="e">
        <f>+VLOOKUP(K445,Datos!$A:$C,2,FALSE)</f>
        <v>#N/A</v>
      </c>
      <c r="M445" s="10"/>
      <c r="N445" s="12" t="e">
        <f>+VLOOKUP(M445,Datos!$F:$G,2,FALSE)</f>
        <v>#N/A</v>
      </c>
      <c r="O445" s="13">
        <f>IFERROR(IF(A445="SI",VLOOKUP(R445,Datos!$J$1:$K$50,2,FALSE)*C445,VLOOKUP(R445,Datos!$P$1:$T$13,2,FALSE)*C445),0)</f>
        <v>0</v>
      </c>
      <c r="P445" s="10"/>
      <c r="Q445" s="12" t="e">
        <f>+VLOOKUP(P445,Datos!$F:$G,2,FALSE)</f>
        <v>#N/A</v>
      </c>
      <c r="V445" s="10">
        <f t="shared" ref="V445:V508" si="7">+COUNTIFS($G$2:$G$487,G445)</f>
        <v>0</v>
      </c>
      <c r="W445" s="10" t="e">
        <f>+VLOOKUP(M445,Datos!$F:$H,3,FALSE)</f>
        <v>#N/A</v>
      </c>
      <c r="X445">
        <v>0</v>
      </c>
      <c r="Y445" s="14"/>
      <c r="Z445" t="e">
        <f>VLOOKUP(M445,'[1]INDIVIDUAL UN'!$C$6:$F$222,4,FALSE)</f>
        <v>#N/A</v>
      </c>
    </row>
    <row r="446" spans="1:26" x14ac:dyDescent="0.35">
      <c r="A446" s="9" t="s">
        <v>25</v>
      </c>
      <c r="C446" s="10"/>
      <c r="D446" s="10" t="s">
        <v>29</v>
      </c>
      <c r="E446" s="10"/>
      <c r="F446" s="10"/>
      <c r="G446" s="10"/>
      <c r="H446" s="42"/>
      <c r="I446" s="11"/>
      <c r="J446" s="12" t="e">
        <f>+VLOOKUP(K446,Datos!$A:$C,3,FALSE)</f>
        <v>#N/A</v>
      </c>
      <c r="K446" s="10"/>
      <c r="L446" s="12" t="e">
        <f>+VLOOKUP(K446,Datos!$A:$C,2,FALSE)</f>
        <v>#N/A</v>
      </c>
      <c r="M446" s="10"/>
      <c r="N446" s="12" t="e">
        <f>+VLOOKUP(M446,Datos!$F:$G,2,FALSE)</f>
        <v>#N/A</v>
      </c>
      <c r="O446" s="13">
        <f>IFERROR(IF(A446="SI",VLOOKUP(R446,Datos!$J$1:$K$50,2,FALSE)*C446,VLOOKUP(R446,Datos!$P$1:$T$13,2,FALSE)*C446),0)</f>
        <v>0</v>
      </c>
      <c r="P446" s="9"/>
      <c r="Q446" s="12" t="e">
        <f>+VLOOKUP(P446,Datos!$F:$G,2,FALSE)</f>
        <v>#N/A</v>
      </c>
      <c r="V446" s="10">
        <f t="shared" si="7"/>
        <v>0</v>
      </c>
      <c r="W446" s="10" t="e">
        <f>+VLOOKUP(M446,Datos!$F:$H,3,FALSE)</f>
        <v>#N/A</v>
      </c>
      <c r="X446">
        <v>0</v>
      </c>
      <c r="Y446" s="14"/>
      <c r="Z446" t="e">
        <f>VLOOKUP(M446,'[1]INDIVIDUAL UN'!$C$6:$F$222,4,FALSE)</f>
        <v>#N/A</v>
      </c>
    </row>
    <row r="447" spans="1:26" x14ac:dyDescent="0.35">
      <c r="A447" s="9" t="s">
        <v>25</v>
      </c>
      <c r="C447" s="10"/>
      <c r="D447" s="10" t="s">
        <v>29</v>
      </c>
      <c r="E447" s="10"/>
      <c r="F447" s="10"/>
      <c r="G447" s="10"/>
      <c r="H447" s="42"/>
      <c r="I447" s="11"/>
      <c r="J447" s="12" t="e">
        <f>+VLOOKUP(K447,Datos!$A:$C,3,FALSE)</f>
        <v>#N/A</v>
      </c>
      <c r="K447" s="10"/>
      <c r="L447" s="12" t="e">
        <f>+VLOOKUP(K447,Datos!$A:$C,2,FALSE)</f>
        <v>#N/A</v>
      </c>
      <c r="M447" s="10"/>
      <c r="N447" s="12" t="e">
        <f>+VLOOKUP(M447,Datos!$F:$G,2,FALSE)</f>
        <v>#N/A</v>
      </c>
      <c r="O447" s="13">
        <f>IFERROR(IF(A447="SI",VLOOKUP(R447,Datos!$J$1:$K$50,2,FALSE)*C447,VLOOKUP(R447,Datos!$P$1:$T$13,2,FALSE)*C447),0)</f>
        <v>0</v>
      </c>
      <c r="P447" s="9"/>
      <c r="Q447" s="12" t="e">
        <f>+VLOOKUP(P447,Datos!$F:$G,2,FALSE)</f>
        <v>#N/A</v>
      </c>
      <c r="V447" s="10">
        <f t="shared" si="7"/>
        <v>0</v>
      </c>
      <c r="W447" s="10" t="e">
        <f>+VLOOKUP(M447,Datos!$F:$H,3,FALSE)</f>
        <v>#N/A</v>
      </c>
      <c r="X447">
        <v>0</v>
      </c>
      <c r="Y447" s="14"/>
      <c r="Z447" t="e">
        <f>VLOOKUP(M447,'[1]INDIVIDUAL UN'!$C$6:$F$222,4,FALSE)</f>
        <v>#N/A</v>
      </c>
    </row>
    <row r="448" spans="1:26" x14ac:dyDescent="0.35">
      <c r="A448" s="9" t="s">
        <v>25</v>
      </c>
      <c r="C448" s="10"/>
      <c r="D448" s="10" t="s">
        <v>29</v>
      </c>
      <c r="E448" s="10"/>
      <c r="F448" s="10"/>
      <c r="G448" s="10"/>
      <c r="H448" s="11"/>
      <c r="I448" s="11"/>
      <c r="J448" s="12" t="e">
        <f>+VLOOKUP(K448,Datos!$A:$C,3,FALSE)</f>
        <v>#N/A</v>
      </c>
      <c r="K448" s="10"/>
      <c r="L448" s="12" t="e">
        <f>+VLOOKUP(K448,Datos!$A:$C,2,FALSE)</f>
        <v>#N/A</v>
      </c>
      <c r="N448" s="12" t="e">
        <f>+VLOOKUP(M448,Datos!$F:$G,2,FALSE)</f>
        <v>#N/A</v>
      </c>
      <c r="O448" s="13">
        <f>IFERROR(IF(A448="SI",VLOOKUP(R448,Datos!$J$1:$K$50,2,FALSE)*C448,VLOOKUP(R448,Datos!$P$1:$T$13,2,FALSE)*C448),0)</f>
        <v>0</v>
      </c>
      <c r="P448" s="9"/>
      <c r="Q448" s="12" t="e">
        <f>+VLOOKUP(P448,Datos!$F:$G,2,FALSE)</f>
        <v>#N/A</v>
      </c>
      <c r="V448" s="10">
        <f t="shared" si="7"/>
        <v>0</v>
      </c>
      <c r="W448" s="10" t="e">
        <f>+VLOOKUP(M448,Datos!$F:$H,3,FALSE)</f>
        <v>#N/A</v>
      </c>
      <c r="X448">
        <v>0</v>
      </c>
      <c r="Y448" s="14"/>
      <c r="Z448" t="e">
        <f>VLOOKUP(M448,'[1]INDIVIDUAL UN'!$C$6:$F$222,4,FALSE)</f>
        <v>#N/A</v>
      </c>
    </row>
    <row r="449" spans="1:26" x14ac:dyDescent="0.35">
      <c r="A449" s="9" t="s">
        <v>25</v>
      </c>
      <c r="C449" s="10"/>
      <c r="D449" s="10" t="s">
        <v>29</v>
      </c>
      <c r="E449" s="10"/>
      <c r="F449" s="10"/>
      <c r="G449" s="10"/>
      <c r="H449" s="11"/>
      <c r="I449" s="11"/>
      <c r="J449" s="12" t="e">
        <f>+VLOOKUP(K449,Datos!$A:$C,3,FALSE)</f>
        <v>#N/A</v>
      </c>
      <c r="K449" s="10"/>
      <c r="L449" s="12" t="e">
        <f>+VLOOKUP(K449,Datos!$A:$C,2,FALSE)</f>
        <v>#N/A</v>
      </c>
      <c r="M449" s="10"/>
      <c r="N449" s="12" t="e">
        <f>+VLOOKUP(M449,Datos!$F:$G,2,FALSE)</f>
        <v>#N/A</v>
      </c>
      <c r="O449" s="13">
        <f>IFERROR(IF(A449="SI",VLOOKUP(R449,Datos!$J$1:$K$50,2,FALSE)*C449,VLOOKUP(R449,Datos!$P$1:$T$13,2,FALSE)*C449),0)</f>
        <v>0</v>
      </c>
      <c r="P449" s="9"/>
      <c r="Q449" s="12" t="e">
        <f>+VLOOKUP(P449,Datos!$F:$G,2,FALSE)</f>
        <v>#N/A</v>
      </c>
      <c r="V449" s="10">
        <f t="shared" si="7"/>
        <v>0</v>
      </c>
      <c r="W449" s="10" t="e">
        <f>+VLOOKUP(M449,Datos!$F:$H,3,FALSE)</f>
        <v>#N/A</v>
      </c>
      <c r="X449">
        <v>0</v>
      </c>
      <c r="Y449" s="14"/>
      <c r="Z449" t="e">
        <f>VLOOKUP(M449,'[1]INDIVIDUAL UN'!$C$6:$F$222,4,FALSE)</f>
        <v>#N/A</v>
      </c>
    </row>
    <row r="450" spans="1:26" x14ac:dyDescent="0.35">
      <c r="A450" s="9" t="s">
        <v>25</v>
      </c>
      <c r="C450" s="10"/>
      <c r="D450" s="10" t="s">
        <v>29</v>
      </c>
      <c r="E450" s="10"/>
      <c r="F450" s="10"/>
      <c r="G450" s="10"/>
      <c r="H450" s="11"/>
      <c r="I450" s="11"/>
      <c r="J450" s="12" t="e">
        <f>+VLOOKUP(K450,Datos!$A:$C,3,FALSE)</f>
        <v>#N/A</v>
      </c>
      <c r="K450" s="10"/>
      <c r="L450" s="12" t="e">
        <f>+VLOOKUP(K450,Datos!$A:$C,2,FALSE)</f>
        <v>#N/A</v>
      </c>
      <c r="M450" s="10"/>
      <c r="N450" s="12" t="e">
        <f>+VLOOKUP(M450,Datos!$F:$G,2,FALSE)</f>
        <v>#N/A</v>
      </c>
      <c r="O450" s="13">
        <f>IFERROR(IF(A450="SI",VLOOKUP(R450,Datos!$J$1:$K$50,2,FALSE)*C450,VLOOKUP(R450,Datos!$P$1:$T$13,2,FALSE)*C450),0)</f>
        <v>0</v>
      </c>
      <c r="P450" s="10"/>
      <c r="Q450" s="12" t="e">
        <f>+VLOOKUP(P450,Datos!$F:$G,2,FALSE)</f>
        <v>#N/A</v>
      </c>
      <c r="V450" s="10">
        <f t="shared" si="7"/>
        <v>0</v>
      </c>
      <c r="W450" s="10" t="e">
        <f>+VLOOKUP(M450,Datos!$F:$H,3,FALSE)</f>
        <v>#N/A</v>
      </c>
      <c r="X450">
        <v>0</v>
      </c>
      <c r="Y450" s="14"/>
      <c r="Z450" t="e">
        <f>VLOOKUP(M450,'[1]INDIVIDUAL UN'!$C$6:$F$222,4,FALSE)</f>
        <v>#N/A</v>
      </c>
    </row>
    <row r="451" spans="1:26" x14ac:dyDescent="0.35">
      <c r="A451" s="9" t="s">
        <v>25</v>
      </c>
      <c r="C451" s="16"/>
      <c r="D451" s="10" t="s">
        <v>29</v>
      </c>
      <c r="E451" s="16"/>
      <c r="F451" s="16"/>
      <c r="G451" s="16"/>
      <c r="H451" s="11"/>
      <c r="I451" s="42"/>
      <c r="J451" s="12" t="e">
        <f>+VLOOKUP(K451,Datos!$A:$C,3,FALSE)</f>
        <v>#N/A</v>
      </c>
      <c r="K451" s="16"/>
      <c r="L451" s="12" t="e">
        <f>+VLOOKUP(K451,Datos!$A:$C,2,FALSE)</f>
        <v>#N/A</v>
      </c>
      <c r="M451" s="16"/>
      <c r="N451" s="12" t="e">
        <f>+VLOOKUP(M451,Datos!$F:$G,2,FALSE)</f>
        <v>#N/A</v>
      </c>
      <c r="O451" s="13">
        <f>IFERROR(IF(A451="SI",VLOOKUP(R451,Datos!$J$1:$K$50,2,FALSE)*C451,VLOOKUP(R451,Datos!$P$1:$T$13,2,FALSE)*C451),0)</f>
        <v>0</v>
      </c>
      <c r="P451" s="16"/>
      <c r="Q451" s="12" t="e">
        <f>+VLOOKUP(P451,Datos!$F:$G,2,FALSE)</f>
        <v>#N/A</v>
      </c>
      <c r="V451" s="10">
        <f t="shared" si="7"/>
        <v>0</v>
      </c>
      <c r="W451" s="10" t="e">
        <f>+VLOOKUP(M451,Datos!$F:$H,3,FALSE)</f>
        <v>#N/A</v>
      </c>
      <c r="X451">
        <v>0</v>
      </c>
      <c r="Y451" s="14"/>
      <c r="Z451" t="e">
        <f>VLOOKUP(M451,'[1]INDIVIDUAL UN'!$C$6:$F$222,4,FALSE)</f>
        <v>#N/A</v>
      </c>
    </row>
    <row r="452" spans="1:26" x14ac:dyDescent="0.35">
      <c r="A452" s="9" t="s">
        <v>25</v>
      </c>
      <c r="C452" s="10"/>
      <c r="D452" s="10" t="s">
        <v>29</v>
      </c>
      <c r="E452" s="10"/>
      <c r="F452" s="10"/>
      <c r="G452" s="10"/>
      <c r="H452" s="11"/>
      <c r="I452" s="11"/>
      <c r="J452" s="12" t="e">
        <f>+VLOOKUP(K452,Datos!$A:$C,3,FALSE)</f>
        <v>#N/A</v>
      </c>
      <c r="K452" s="10"/>
      <c r="L452" s="12" t="e">
        <f>+VLOOKUP(K452,Datos!$A:$C,2,FALSE)</f>
        <v>#N/A</v>
      </c>
      <c r="M452" s="10"/>
      <c r="N452" s="12" t="e">
        <f>+VLOOKUP(M452,Datos!$F:$G,2,FALSE)</f>
        <v>#N/A</v>
      </c>
      <c r="O452" s="13">
        <f>IFERROR(IF(A452="SI",VLOOKUP(R452,Datos!$J$1:$K$50,2,FALSE)*C452,VLOOKUP(R452,Datos!$P$1:$T$13,2,FALSE)*C452),0)</f>
        <v>0</v>
      </c>
      <c r="P452" s="9"/>
      <c r="Q452" s="12" t="e">
        <f>+VLOOKUP(P452,Datos!$F:$G,2,FALSE)</f>
        <v>#N/A</v>
      </c>
      <c r="V452" s="10">
        <f t="shared" si="7"/>
        <v>0</v>
      </c>
      <c r="W452" s="10" t="e">
        <f>+VLOOKUP(M452,Datos!$F:$H,3,FALSE)</f>
        <v>#N/A</v>
      </c>
      <c r="X452">
        <v>0</v>
      </c>
      <c r="Y452" s="14"/>
      <c r="Z452" t="e">
        <f>VLOOKUP(M452,'[1]INDIVIDUAL UN'!$C$6:$F$222,4,FALSE)</f>
        <v>#N/A</v>
      </c>
    </row>
    <row r="453" spans="1:26" x14ac:dyDescent="0.35">
      <c r="A453" s="9" t="s">
        <v>25</v>
      </c>
      <c r="C453" s="10"/>
      <c r="D453" s="10" t="s">
        <v>29</v>
      </c>
      <c r="E453" s="10"/>
      <c r="F453" s="10"/>
      <c r="G453" s="10"/>
      <c r="H453" s="11"/>
      <c r="I453" s="11"/>
      <c r="J453" s="12" t="e">
        <f>+VLOOKUP(K453,Datos!$A:$C,3,FALSE)</f>
        <v>#N/A</v>
      </c>
      <c r="K453" s="10"/>
      <c r="L453" s="12" t="e">
        <f>+VLOOKUP(K453,Datos!$A:$C,2,FALSE)</f>
        <v>#N/A</v>
      </c>
      <c r="M453" s="10"/>
      <c r="N453" s="12" t="e">
        <f>+VLOOKUP(M453,Datos!$F:$G,2,FALSE)</f>
        <v>#N/A</v>
      </c>
      <c r="O453" s="13">
        <f>IFERROR(IF(A453="SI",VLOOKUP(R453,Datos!$J$1:$K$50,2,FALSE)*C453,VLOOKUP(R453,Datos!$P$1:$T$13,2,FALSE)*C453),0)</f>
        <v>0</v>
      </c>
      <c r="P453" s="9"/>
      <c r="Q453" s="12" t="e">
        <f>+VLOOKUP(P453,Datos!$F:$G,2,FALSE)</f>
        <v>#N/A</v>
      </c>
      <c r="V453" s="10">
        <f t="shared" si="7"/>
        <v>0</v>
      </c>
      <c r="W453" s="10" t="e">
        <f>+VLOOKUP(M453,Datos!$F:$H,3,FALSE)</f>
        <v>#N/A</v>
      </c>
      <c r="X453">
        <v>0</v>
      </c>
      <c r="Y453" s="14"/>
      <c r="Z453" t="e">
        <f>VLOOKUP(M453,'[1]INDIVIDUAL UN'!$C$6:$F$222,4,FALSE)</f>
        <v>#N/A</v>
      </c>
    </row>
    <row r="454" spans="1:26" x14ac:dyDescent="0.35">
      <c r="A454" s="9" t="s">
        <v>25</v>
      </c>
      <c r="C454" s="10"/>
      <c r="D454" s="10" t="s">
        <v>29</v>
      </c>
      <c r="E454" s="10"/>
      <c r="F454" s="10"/>
      <c r="G454" s="10"/>
      <c r="H454" s="11"/>
      <c r="I454" s="11"/>
      <c r="J454" s="12" t="e">
        <f>+VLOOKUP(K454,Datos!$A:$C,3,FALSE)</f>
        <v>#N/A</v>
      </c>
      <c r="K454" s="10"/>
      <c r="L454" s="12" t="e">
        <f>+VLOOKUP(K454,Datos!$A:$C,2,FALSE)</f>
        <v>#N/A</v>
      </c>
      <c r="M454" s="10"/>
      <c r="N454" s="12" t="e">
        <f>+VLOOKUP(M454,Datos!$F:$G,2,FALSE)</f>
        <v>#N/A</v>
      </c>
      <c r="O454" s="13">
        <f>IFERROR(IF(A454="SI",VLOOKUP(R454,Datos!$J$1:$K$50,2,FALSE)*C454,VLOOKUP(R454,Datos!$P$1:$T$13,2,FALSE)*C454),0)</f>
        <v>0</v>
      </c>
      <c r="P454" s="9"/>
      <c r="Q454" s="12" t="e">
        <f>+VLOOKUP(P454,Datos!$F:$G,2,FALSE)</f>
        <v>#N/A</v>
      </c>
      <c r="V454" s="10">
        <f t="shared" si="7"/>
        <v>0</v>
      </c>
      <c r="W454" s="10" t="e">
        <f>+VLOOKUP(M454,Datos!$F:$H,3,FALSE)</f>
        <v>#N/A</v>
      </c>
      <c r="X454">
        <v>0</v>
      </c>
      <c r="Y454" s="14"/>
      <c r="Z454" t="e">
        <f>VLOOKUP(M454,'[1]INDIVIDUAL UN'!$C$6:$F$222,4,FALSE)</f>
        <v>#N/A</v>
      </c>
    </row>
    <row r="455" spans="1:26" x14ac:dyDescent="0.35">
      <c r="A455" s="9" t="s">
        <v>25</v>
      </c>
      <c r="C455" s="10"/>
      <c r="D455" s="10" t="s">
        <v>29</v>
      </c>
      <c r="E455" s="10"/>
      <c r="F455" s="10"/>
      <c r="G455" s="10"/>
      <c r="H455" s="11"/>
      <c r="I455" s="11"/>
      <c r="J455" s="12" t="e">
        <f>+VLOOKUP(K455,Datos!$A:$C,3,FALSE)</f>
        <v>#N/A</v>
      </c>
      <c r="K455" s="10"/>
      <c r="L455" s="12" t="e">
        <f>+VLOOKUP(K455,Datos!$A:$C,2,FALSE)</f>
        <v>#N/A</v>
      </c>
      <c r="M455" s="10"/>
      <c r="N455" s="12" t="e">
        <f>+VLOOKUP(M455,Datos!$F:$G,2,FALSE)</f>
        <v>#N/A</v>
      </c>
      <c r="O455" s="13">
        <f>IFERROR(IF(A455="SI",VLOOKUP(R455,Datos!$J$1:$K$50,2,FALSE)*C455,VLOOKUP(R455,Datos!$P$1:$T$13,2,FALSE)*C455),0)</f>
        <v>0</v>
      </c>
      <c r="P455" s="9"/>
      <c r="Q455" s="12" t="e">
        <f>+VLOOKUP(P455,Datos!$F:$G,2,FALSE)</f>
        <v>#N/A</v>
      </c>
      <c r="V455" s="10">
        <f t="shared" si="7"/>
        <v>0</v>
      </c>
      <c r="W455" s="10" t="e">
        <f>+VLOOKUP(M455,Datos!$F:$H,3,FALSE)</f>
        <v>#N/A</v>
      </c>
      <c r="X455">
        <v>0</v>
      </c>
      <c r="Y455" s="14"/>
      <c r="Z455" t="e">
        <f>VLOOKUP(M455,'[1]INDIVIDUAL UN'!$C$6:$F$222,4,FALSE)</f>
        <v>#N/A</v>
      </c>
    </row>
    <row r="456" spans="1:26" x14ac:dyDescent="0.35">
      <c r="A456" s="9" t="s">
        <v>25</v>
      </c>
      <c r="C456" s="10"/>
      <c r="D456" s="10" t="s">
        <v>29</v>
      </c>
      <c r="E456" s="10"/>
      <c r="F456" s="10"/>
      <c r="G456" s="10"/>
      <c r="H456" s="11"/>
      <c r="I456" s="11"/>
      <c r="J456" s="12" t="e">
        <f>+VLOOKUP(K456,Datos!$A:$C,3,FALSE)</f>
        <v>#N/A</v>
      </c>
      <c r="K456" s="10"/>
      <c r="L456" s="12" t="e">
        <f>+VLOOKUP(K456,Datos!$A:$C,2,FALSE)</f>
        <v>#N/A</v>
      </c>
      <c r="M456" s="10"/>
      <c r="N456" s="12" t="e">
        <f>+VLOOKUP(M456,Datos!$F:$G,2,FALSE)</f>
        <v>#N/A</v>
      </c>
      <c r="O456" s="13">
        <f>IFERROR(IF(A456="SI",VLOOKUP(R456,Datos!$J$1:$K$50,2,FALSE)*C456,VLOOKUP(R456,Datos!$P$1:$T$13,2,FALSE)*C456),0)</f>
        <v>0</v>
      </c>
      <c r="P456" s="9"/>
      <c r="Q456" s="12" t="e">
        <f>+VLOOKUP(P456,Datos!$F:$G,2,FALSE)</f>
        <v>#N/A</v>
      </c>
      <c r="V456" s="10">
        <f t="shared" si="7"/>
        <v>0</v>
      </c>
      <c r="W456" s="10" t="e">
        <f>+VLOOKUP(M456,Datos!$F:$H,3,FALSE)</f>
        <v>#N/A</v>
      </c>
      <c r="X456">
        <v>0</v>
      </c>
      <c r="Y456" s="14"/>
      <c r="Z456" t="e">
        <f>VLOOKUP(M456,'[1]INDIVIDUAL UN'!$C$6:$F$222,4,FALSE)</f>
        <v>#N/A</v>
      </c>
    </row>
    <row r="457" spans="1:26" x14ac:dyDescent="0.35">
      <c r="A457" s="9" t="s">
        <v>25</v>
      </c>
      <c r="C457" s="10"/>
      <c r="D457" s="10" t="s">
        <v>29</v>
      </c>
      <c r="E457" s="10"/>
      <c r="F457" s="10"/>
      <c r="G457" s="10"/>
      <c r="H457" s="11"/>
      <c r="I457" s="11"/>
      <c r="J457" s="12" t="e">
        <f>+VLOOKUP(K457,Datos!$A:$C,3,FALSE)</f>
        <v>#N/A</v>
      </c>
      <c r="K457" s="10"/>
      <c r="L457" s="12" t="e">
        <f>+VLOOKUP(K457,Datos!$A:$C,2,FALSE)</f>
        <v>#N/A</v>
      </c>
      <c r="M457" s="10"/>
      <c r="N457" s="12" t="e">
        <f>+VLOOKUP(M457,Datos!$F:$G,2,FALSE)</f>
        <v>#N/A</v>
      </c>
      <c r="O457" s="13">
        <f>IFERROR(IF(A457="SI",VLOOKUP(R457,Datos!$J$1:$K$50,2,FALSE)*C457,VLOOKUP(R457,Datos!$P$1:$T$13,2,FALSE)*C457),0)</f>
        <v>0</v>
      </c>
      <c r="P457" s="9"/>
      <c r="Q457" s="12" t="e">
        <f>+VLOOKUP(P457,Datos!$F:$G,2,FALSE)</f>
        <v>#N/A</v>
      </c>
      <c r="V457" s="10">
        <f t="shared" si="7"/>
        <v>0</v>
      </c>
      <c r="W457" s="10" t="e">
        <f>+VLOOKUP(M457,Datos!$F:$H,3,FALSE)</f>
        <v>#N/A</v>
      </c>
      <c r="X457">
        <v>0</v>
      </c>
      <c r="Y457" s="14"/>
      <c r="Z457" t="e">
        <f>VLOOKUP(M457,'[1]INDIVIDUAL UN'!$C$6:$F$222,4,FALSE)</f>
        <v>#N/A</v>
      </c>
    </row>
    <row r="458" spans="1:26" x14ac:dyDescent="0.35">
      <c r="A458" s="9" t="s">
        <v>25</v>
      </c>
      <c r="C458" s="10"/>
      <c r="D458" s="10" t="s">
        <v>29</v>
      </c>
      <c r="E458" s="10"/>
      <c r="F458" s="10"/>
      <c r="G458" s="10"/>
      <c r="H458" s="11"/>
      <c r="I458" s="11"/>
      <c r="J458" s="12" t="e">
        <f>+VLOOKUP(K458,Datos!$A:$C,3,FALSE)</f>
        <v>#N/A</v>
      </c>
      <c r="K458" s="10"/>
      <c r="L458" s="12" t="e">
        <f>+VLOOKUP(K458,Datos!$A:$C,2,FALSE)</f>
        <v>#N/A</v>
      </c>
      <c r="M458" s="10"/>
      <c r="N458" s="12" t="e">
        <f>+VLOOKUP(M458,Datos!$F:$G,2,FALSE)</f>
        <v>#N/A</v>
      </c>
      <c r="O458" s="13">
        <f>IFERROR(IF(A458="SI",VLOOKUP(R458,Datos!$J$1:$K$50,2,FALSE)*C458,VLOOKUP(R458,Datos!$P$1:$T$13,2,FALSE)*C458),0)</f>
        <v>0</v>
      </c>
      <c r="P458" s="9"/>
      <c r="Q458" s="12" t="e">
        <f>+VLOOKUP(P458,Datos!$F:$G,2,FALSE)</f>
        <v>#N/A</v>
      </c>
      <c r="V458" s="10">
        <f t="shared" si="7"/>
        <v>0</v>
      </c>
      <c r="W458" s="10" t="e">
        <f>+VLOOKUP(M458,Datos!$F:$H,3,FALSE)</f>
        <v>#N/A</v>
      </c>
      <c r="X458">
        <v>0</v>
      </c>
      <c r="Y458" s="14"/>
      <c r="Z458" t="e">
        <f>VLOOKUP(M458,'[1]INDIVIDUAL UN'!$C$6:$F$222,4,FALSE)</f>
        <v>#N/A</v>
      </c>
    </row>
    <row r="459" spans="1:26" x14ac:dyDescent="0.35">
      <c r="A459" s="9" t="s">
        <v>25</v>
      </c>
      <c r="D459" s="10" t="s">
        <v>29</v>
      </c>
      <c r="E459" s="64"/>
      <c r="H459" s="11"/>
      <c r="J459" s="12" t="e">
        <f>+VLOOKUP(K459,Datos!$A:$C,3,FALSE)</f>
        <v>#N/A</v>
      </c>
      <c r="L459" s="12" t="e">
        <f>+VLOOKUP(K459,Datos!$A:$C,2,FALSE)</f>
        <v>#N/A</v>
      </c>
      <c r="N459" s="12" t="e">
        <f>+VLOOKUP(M459,Datos!$F:$G,2,FALSE)</f>
        <v>#N/A</v>
      </c>
      <c r="O459" s="13">
        <f>IFERROR(IF(A459="SI",VLOOKUP(R459,Datos!$J$1:$K$50,2,FALSE)*C459,VLOOKUP(R459,Datos!$P$1:$T$13,2,FALSE)*C459),0)</f>
        <v>0</v>
      </c>
      <c r="P459" s="9"/>
      <c r="Q459" s="12" t="e">
        <f>+VLOOKUP(P459,Datos!$F:$G,2,FALSE)</f>
        <v>#N/A</v>
      </c>
      <c r="V459" s="10">
        <f t="shared" si="7"/>
        <v>0</v>
      </c>
      <c r="W459" s="10" t="e">
        <f>+VLOOKUP(M459,Datos!$F:$H,3,FALSE)</f>
        <v>#N/A</v>
      </c>
      <c r="X459">
        <v>0</v>
      </c>
      <c r="Y459" s="14"/>
      <c r="Z459" t="e">
        <f>VLOOKUP(M459,'[1]INDIVIDUAL UN'!$C$6:$F$222,4,FALSE)</f>
        <v>#N/A</v>
      </c>
    </row>
    <row r="460" spans="1:26" x14ac:dyDescent="0.35">
      <c r="A460" s="9" t="s">
        <v>25</v>
      </c>
      <c r="C460" s="10"/>
      <c r="D460" s="10" t="s">
        <v>29</v>
      </c>
      <c r="E460" s="10"/>
      <c r="F460" s="10"/>
      <c r="G460" s="10"/>
      <c r="H460" s="11"/>
      <c r="I460" s="11"/>
      <c r="J460" s="12" t="e">
        <f>+VLOOKUP(K460,Datos!$A:$C,3,FALSE)</f>
        <v>#N/A</v>
      </c>
      <c r="K460" s="10"/>
      <c r="L460" s="12" t="e">
        <f>+VLOOKUP(K460,Datos!$A:$C,2,FALSE)</f>
        <v>#N/A</v>
      </c>
      <c r="M460" s="10"/>
      <c r="N460" s="12" t="e">
        <f>+VLOOKUP(M460,Datos!$F:$G,2,FALSE)</f>
        <v>#N/A</v>
      </c>
      <c r="O460" s="13">
        <f>IFERROR(IF(A460="SI",VLOOKUP(R460,Datos!$J$1:$K$50,2,FALSE)*C460,VLOOKUP(R460,Datos!$P$1:$T$13,2,FALSE)*C460),0)</f>
        <v>0</v>
      </c>
      <c r="P460" s="9"/>
      <c r="Q460" s="12" t="e">
        <f>+VLOOKUP(P460,Datos!$F:$G,2,FALSE)</f>
        <v>#N/A</v>
      </c>
      <c r="V460" s="10">
        <f t="shared" si="7"/>
        <v>0</v>
      </c>
      <c r="W460" s="10" t="e">
        <f>+VLOOKUP(M460,Datos!$F:$H,3,FALSE)</f>
        <v>#N/A</v>
      </c>
      <c r="X460">
        <v>0</v>
      </c>
      <c r="Y460" s="14"/>
      <c r="Z460" t="e">
        <f>VLOOKUP(M460,'[1]INDIVIDUAL UN'!$C$6:$F$222,4,FALSE)</f>
        <v>#N/A</v>
      </c>
    </row>
    <row r="461" spans="1:26" x14ac:dyDescent="0.35">
      <c r="A461" s="9" t="s">
        <v>25</v>
      </c>
      <c r="C461" s="10"/>
      <c r="D461" s="10" t="s">
        <v>29</v>
      </c>
      <c r="E461" s="10"/>
      <c r="F461" s="10"/>
      <c r="G461" s="10"/>
      <c r="H461" s="11"/>
      <c r="I461" s="11"/>
      <c r="J461" s="12" t="e">
        <f>+VLOOKUP(K461,Datos!$A:$C,3,FALSE)</f>
        <v>#N/A</v>
      </c>
      <c r="K461" s="10"/>
      <c r="L461" s="12" t="e">
        <f>+VLOOKUP(K461,Datos!$A:$C,2,FALSE)</f>
        <v>#N/A</v>
      </c>
      <c r="M461" s="10"/>
      <c r="N461" s="12" t="e">
        <f>+VLOOKUP(M461,Datos!$F:$G,2,FALSE)</f>
        <v>#N/A</v>
      </c>
      <c r="O461" s="13">
        <f>IFERROR(IF(A461="SI",VLOOKUP(R461,Datos!$J$1:$K$50,2,FALSE)*C461,VLOOKUP(R461,Datos!$P$1:$T$13,2,FALSE)*C461),0)</f>
        <v>0</v>
      </c>
      <c r="P461" s="9"/>
      <c r="Q461" s="12" t="e">
        <f>+VLOOKUP(P461,Datos!$F:$G,2,FALSE)</f>
        <v>#N/A</v>
      </c>
      <c r="V461" s="10">
        <f t="shared" si="7"/>
        <v>0</v>
      </c>
      <c r="W461" s="10" t="e">
        <f>+VLOOKUP(M461,Datos!$F:$H,3,FALSE)</f>
        <v>#N/A</v>
      </c>
      <c r="X461">
        <v>0</v>
      </c>
      <c r="Y461" s="14"/>
      <c r="Z461" t="e">
        <f>VLOOKUP(M461,'[1]INDIVIDUAL UN'!$C$6:$F$222,4,FALSE)</f>
        <v>#N/A</v>
      </c>
    </row>
    <row r="462" spans="1:26" x14ac:dyDescent="0.35">
      <c r="A462" s="9" t="s">
        <v>25</v>
      </c>
      <c r="C462" s="10"/>
      <c r="D462" s="10" t="s">
        <v>29</v>
      </c>
      <c r="E462" s="10"/>
      <c r="F462" s="10"/>
      <c r="G462" s="10"/>
      <c r="H462" s="11"/>
      <c r="I462" s="11"/>
      <c r="J462" s="12" t="e">
        <f>+VLOOKUP(K462,Datos!$A:$C,3,FALSE)</f>
        <v>#N/A</v>
      </c>
      <c r="K462" s="10"/>
      <c r="L462" s="12" t="e">
        <f>+VLOOKUP(K462,Datos!$A:$C,2,FALSE)</f>
        <v>#N/A</v>
      </c>
      <c r="M462" s="10"/>
      <c r="N462" s="12" t="e">
        <f>+VLOOKUP(M462,Datos!$F:$G,2,FALSE)</f>
        <v>#N/A</v>
      </c>
      <c r="O462" s="13">
        <f>IFERROR(IF(A462="SI",VLOOKUP(R462,Datos!$J$1:$K$50,2,FALSE)*C462,VLOOKUP(R462,Datos!$P$1:$T$13,2,FALSE)*C462),0)</f>
        <v>0</v>
      </c>
      <c r="P462" s="9"/>
      <c r="Q462" s="12" t="e">
        <f>+VLOOKUP(P462,Datos!$F:$G,2,FALSE)</f>
        <v>#N/A</v>
      </c>
      <c r="V462" s="10">
        <f t="shared" si="7"/>
        <v>0</v>
      </c>
      <c r="W462" s="10" t="e">
        <f>+VLOOKUP(M462,Datos!$F:$H,3,FALSE)</f>
        <v>#N/A</v>
      </c>
      <c r="X462">
        <v>0</v>
      </c>
      <c r="Y462" s="14"/>
      <c r="Z462" t="e">
        <f>VLOOKUP(M462,'[1]INDIVIDUAL UN'!$C$6:$F$222,4,FALSE)</f>
        <v>#N/A</v>
      </c>
    </row>
    <row r="463" spans="1:26" x14ac:dyDescent="0.35">
      <c r="A463" s="9" t="s">
        <v>25</v>
      </c>
      <c r="C463" s="10"/>
      <c r="D463" s="10" t="s">
        <v>29</v>
      </c>
      <c r="E463" s="10"/>
      <c r="F463" s="10"/>
      <c r="G463" s="10"/>
      <c r="H463" s="11"/>
      <c r="I463" s="11"/>
      <c r="J463" s="12" t="e">
        <f>+VLOOKUP(K463,Datos!$A:$C,3,FALSE)</f>
        <v>#N/A</v>
      </c>
      <c r="K463" s="10"/>
      <c r="L463" s="12" t="e">
        <f>+VLOOKUP(K463,Datos!$A:$C,2,FALSE)</f>
        <v>#N/A</v>
      </c>
      <c r="M463" s="10"/>
      <c r="N463" s="12" t="e">
        <f>+VLOOKUP(M463,Datos!$F:$G,2,FALSE)</f>
        <v>#N/A</v>
      </c>
      <c r="O463" s="13">
        <f>IFERROR(IF(A463="SI",VLOOKUP(R463,Datos!$J$1:$K$50,2,FALSE)*C463,VLOOKUP(R463,Datos!$P$1:$T$13,2,FALSE)*C463),0)</f>
        <v>0</v>
      </c>
      <c r="P463" s="9"/>
      <c r="Q463" s="12" t="e">
        <f>+VLOOKUP(P463,Datos!$F:$G,2,FALSE)</f>
        <v>#N/A</v>
      </c>
      <c r="V463" s="10">
        <f t="shared" si="7"/>
        <v>0</v>
      </c>
      <c r="W463" s="10" t="e">
        <f>+VLOOKUP(M463,Datos!$F:$H,3,FALSE)</f>
        <v>#N/A</v>
      </c>
      <c r="X463">
        <v>0</v>
      </c>
      <c r="Y463" s="14"/>
      <c r="Z463" t="e">
        <f>VLOOKUP(M463,'[1]INDIVIDUAL UN'!$C$6:$F$222,4,FALSE)</f>
        <v>#N/A</v>
      </c>
    </row>
    <row r="464" spans="1:26" x14ac:dyDescent="0.35">
      <c r="A464" s="9" t="s">
        <v>25</v>
      </c>
      <c r="C464" s="10"/>
      <c r="D464" s="10" t="s">
        <v>29</v>
      </c>
      <c r="E464" s="10"/>
      <c r="F464" s="10"/>
      <c r="G464" s="10"/>
      <c r="H464" s="11"/>
      <c r="I464" s="11"/>
      <c r="J464" s="12" t="e">
        <f>+VLOOKUP(K464,Datos!$A:$C,3,FALSE)</f>
        <v>#N/A</v>
      </c>
      <c r="K464" s="10"/>
      <c r="L464" s="12" t="e">
        <f>+VLOOKUP(K464,Datos!$A:$C,2,FALSE)</f>
        <v>#N/A</v>
      </c>
      <c r="M464" s="10"/>
      <c r="N464" s="12" t="e">
        <f>+VLOOKUP(M464,Datos!$F:$G,2,FALSE)</f>
        <v>#N/A</v>
      </c>
      <c r="O464" s="13">
        <f>IFERROR(IF(A464="SI",VLOOKUP(R464,Datos!$J$1:$K$50,2,FALSE)*C464,VLOOKUP(R464,Datos!$P$1:$T$13,2,FALSE)*C464),0)</f>
        <v>0</v>
      </c>
      <c r="P464" s="9"/>
      <c r="Q464" s="12" t="e">
        <f>+VLOOKUP(P464,Datos!$F:$G,2,FALSE)</f>
        <v>#N/A</v>
      </c>
      <c r="V464" s="10">
        <f t="shared" si="7"/>
        <v>0</v>
      </c>
      <c r="W464" s="10" t="e">
        <f>+VLOOKUP(M464,Datos!$F:$H,3,FALSE)</f>
        <v>#N/A</v>
      </c>
      <c r="X464">
        <v>0</v>
      </c>
      <c r="Y464" s="14"/>
      <c r="Z464" t="e">
        <f>VLOOKUP(M464,'[1]INDIVIDUAL UN'!$C$6:$F$222,4,FALSE)</f>
        <v>#N/A</v>
      </c>
    </row>
    <row r="465" spans="1:26" x14ac:dyDescent="0.35">
      <c r="A465" s="9" t="s">
        <v>25</v>
      </c>
      <c r="C465" s="10"/>
      <c r="D465" s="10" t="s">
        <v>29</v>
      </c>
      <c r="E465" s="10"/>
      <c r="F465" s="10"/>
      <c r="G465" s="10"/>
      <c r="H465" s="11"/>
      <c r="I465" s="11"/>
      <c r="J465" s="12" t="e">
        <f>+VLOOKUP(K465,Datos!$A:$C,3,FALSE)</f>
        <v>#N/A</v>
      </c>
      <c r="K465" s="10"/>
      <c r="L465" s="12" t="e">
        <f>+VLOOKUP(K465,Datos!$A:$C,2,FALSE)</f>
        <v>#N/A</v>
      </c>
      <c r="M465" s="10"/>
      <c r="N465" s="12" t="e">
        <f>+VLOOKUP(M465,Datos!$F:$G,2,FALSE)</f>
        <v>#N/A</v>
      </c>
      <c r="O465" s="13">
        <f>IFERROR(IF(A465="SI",VLOOKUP(R465,Datos!$J$1:$K$50,2,FALSE)*C465,VLOOKUP(R465,Datos!$P$1:$T$13,2,FALSE)*C465),0)</f>
        <v>0</v>
      </c>
      <c r="P465" s="9"/>
      <c r="Q465" s="12" t="e">
        <f>+VLOOKUP(P465,Datos!$F:$G,2,FALSE)</f>
        <v>#N/A</v>
      </c>
      <c r="V465" s="10">
        <f t="shared" si="7"/>
        <v>0</v>
      </c>
      <c r="W465" s="10" t="e">
        <f>+VLOOKUP(M465,Datos!$F:$H,3,FALSE)</f>
        <v>#N/A</v>
      </c>
      <c r="X465">
        <v>0</v>
      </c>
      <c r="Y465" s="14"/>
      <c r="Z465" t="e">
        <f>VLOOKUP(M465,'[1]INDIVIDUAL UN'!$C$6:$F$222,4,FALSE)</f>
        <v>#N/A</v>
      </c>
    </row>
    <row r="466" spans="1:26" x14ac:dyDescent="0.35">
      <c r="A466" s="9" t="s">
        <v>25</v>
      </c>
      <c r="C466" s="10"/>
      <c r="D466" s="10" t="s">
        <v>29</v>
      </c>
      <c r="E466" s="10"/>
      <c r="F466" s="10"/>
      <c r="G466" s="10"/>
      <c r="H466" s="11"/>
      <c r="I466" s="11"/>
      <c r="J466" s="12" t="e">
        <f>+VLOOKUP(K466,Datos!$A:$C,3,FALSE)</f>
        <v>#N/A</v>
      </c>
      <c r="K466" s="10"/>
      <c r="L466" s="12" t="e">
        <f>+VLOOKUP(K466,Datos!$A:$C,2,FALSE)</f>
        <v>#N/A</v>
      </c>
      <c r="M466" s="10"/>
      <c r="N466" s="12" t="e">
        <f>+VLOOKUP(M466,Datos!$F:$G,2,FALSE)</f>
        <v>#N/A</v>
      </c>
      <c r="O466" s="13">
        <f>IFERROR(IF(A466="SI",VLOOKUP(R466,Datos!$J$1:$K$50,2,FALSE)*C466,VLOOKUP(R466,Datos!$P$1:$T$13,2,FALSE)*C466),0)</f>
        <v>0</v>
      </c>
      <c r="P466" s="9"/>
      <c r="Q466" s="12" t="e">
        <f>+VLOOKUP(P466,Datos!$F:$G,2,FALSE)</f>
        <v>#N/A</v>
      </c>
      <c r="V466" s="10">
        <f t="shared" si="7"/>
        <v>0</v>
      </c>
      <c r="W466" s="10" t="e">
        <f>+VLOOKUP(M466,Datos!$F:$H,3,FALSE)</f>
        <v>#N/A</v>
      </c>
      <c r="X466">
        <v>0</v>
      </c>
      <c r="Y466" s="14"/>
      <c r="Z466" t="e">
        <f>VLOOKUP(M466,'[1]INDIVIDUAL UN'!$C$6:$F$222,4,FALSE)</f>
        <v>#N/A</v>
      </c>
    </row>
    <row r="467" spans="1:26" x14ac:dyDescent="0.35">
      <c r="A467" s="9" t="s">
        <v>25</v>
      </c>
      <c r="C467" s="10"/>
      <c r="D467" s="10" t="s">
        <v>29</v>
      </c>
      <c r="E467" s="10"/>
      <c r="F467" s="10"/>
      <c r="G467" s="10"/>
      <c r="H467" s="11"/>
      <c r="I467" s="11"/>
      <c r="J467" s="12" t="e">
        <f>+VLOOKUP(K467,Datos!$A:$C,3,FALSE)</f>
        <v>#N/A</v>
      </c>
      <c r="K467" s="10"/>
      <c r="L467" s="12" t="e">
        <f>+VLOOKUP(K467,Datos!$A:$C,2,FALSE)</f>
        <v>#N/A</v>
      </c>
      <c r="M467" s="10"/>
      <c r="N467" s="12" t="e">
        <f>+VLOOKUP(M467,Datos!$F:$G,2,FALSE)</f>
        <v>#N/A</v>
      </c>
      <c r="O467" s="13">
        <f>IFERROR(IF(A467="SI",VLOOKUP(R467,Datos!$J$1:$K$50,2,FALSE)*C467,VLOOKUP(R467,Datos!$P$1:$T$13,2,FALSE)*C467),0)</f>
        <v>0</v>
      </c>
      <c r="P467" s="9"/>
      <c r="Q467" s="12" t="e">
        <f>+VLOOKUP(P467,Datos!$F:$G,2,FALSE)</f>
        <v>#N/A</v>
      </c>
      <c r="V467" s="10">
        <f t="shared" si="7"/>
        <v>0</v>
      </c>
      <c r="W467" s="10" t="e">
        <f>+VLOOKUP(M467,Datos!$F:$H,3,FALSE)</f>
        <v>#N/A</v>
      </c>
      <c r="X467">
        <v>0</v>
      </c>
      <c r="Y467" s="14"/>
      <c r="Z467" t="e">
        <f>VLOOKUP(M467,'[1]INDIVIDUAL UN'!$C$6:$F$222,4,FALSE)</f>
        <v>#N/A</v>
      </c>
    </row>
    <row r="468" spans="1:26" x14ac:dyDescent="0.35">
      <c r="A468" s="9" t="s">
        <v>25</v>
      </c>
      <c r="C468" s="10"/>
      <c r="D468" s="10" t="s">
        <v>29</v>
      </c>
      <c r="E468" s="10"/>
      <c r="F468" s="10"/>
      <c r="G468" s="10"/>
      <c r="H468" s="11"/>
      <c r="I468" s="11"/>
      <c r="J468" s="12" t="e">
        <f>+VLOOKUP(K468,Datos!$A:$C,3,FALSE)</f>
        <v>#N/A</v>
      </c>
      <c r="K468" s="10"/>
      <c r="L468" s="12" t="e">
        <f>+VLOOKUP(K468,Datos!$A:$C,2,FALSE)</f>
        <v>#N/A</v>
      </c>
      <c r="M468" s="10"/>
      <c r="N468" s="12" t="e">
        <f>+VLOOKUP(M468,Datos!$F:$G,2,FALSE)</f>
        <v>#N/A</v>
      </c>
      <c r="O468" s="13">
        <f>IFERROR(IF(A468="SI",VLOOKUP(R468,Datos!$J$1:$K$50,2,FALSE)*C468,VLOOKUP(R468,Datos!$P$1:$T$13,2,FALSE)*C468),0)</f>
        <v>0</v>
      </c>
      <c r="P468" s="9"/>
      <c r="Q468" s="12" t="e">
        <f>+VLOOKUP(P468,Datos!$F:$G,2,FALSE)</f>
        <v>#N/A</v>
      </c>
      <c r="V468" s="10">
        <f t="shared" si="7"/>
        <v>0</v>
      </c>
      <c r="W468" s="10" t="e">
        <f>+VLOOKUP(M468,Datos!$F:$H,3,FALSE)</f>
        <v>#N/A</v>
      </c>
      <c r="X468">
        <v>0</v>
      </c>
      <c r="Y468" s="14"/>
      <c r="Z468" t="e">
        <f>VLOOKUP(M468,'[1]INDIVIDUAL UN'!$C$6:$F$222,4,FALSE)</f>
        <v>#N/A</v>
      </c>
    </row>
    <row r="469" spans="1:26" x14ac:dyDescent="0.35">
      <c r="A469" s="9" t="s">
        <v>25</v>
      </c>
      <c r="C469" s="10"/>
      <c r="D469" s="10" t="s">
        <v>29</v>
      </c>
      <c r="E469" s="10"/>
      <c r="F469" s="10"/>
      <c r="G469" s="10"/>
      <c r="H469" s="11"/>
      <c r="I469" s="11"/>
      <c r="J469" s="12" t="e">
        <f>+VLOOKUP(K469,Datos!$A:$C,3,FALSE)</f>
        <v>#N/A</v>
      </c>
      <c r="K469" s="10"/>
      <c r="L469" s="12" t="e">
        <f>+VLOOKUP(K469,Datos!$A:$C,2,FALSE)</f>
        <v>#N/A</v>
      </c>
      <c r="M469" s="10"/>
      <c r="N469" s="12" t="e">
        <f>+VLOOKUP(M469,Datos!$F:$G,2,FALSE)</f>
        <v>#N/A</v>
      </c>
      <c r="O469" s="13">
        <f>IFERROR(IF(A469="SI",VLOOKUP(R469,Datos!$J$1:$K$50,2,FALSE)*C469,VLOOKUP(R469,Datos!$P$1:$T$13,2,FALSE)*C469),0)</f>
        <v>0</v>
      </c>
      <c r="P469" s="9"/>
      <c r="Q469" s="12" t="e">
        <f>+VLOOKUP(P469,Datos!$F:$G,2,FALSE)</f>
        <v>#N/A</v>
      </c>
      <c r="V469" s="10">
        <f t="shared" si="7"/>
        <v>0</v>
      </c>
      <c r="W469" s="10" t="e">
        <f>+VLOOKUP(M469,Datos!$F:$H,3,FALSE)</f>
        <v>#N/A</v>
      </c>
      <c r="X469">
        <v>0</v>
      </c>
      <c r="Y469" s="14"/>
      <c r="Z469" t="e">
        <f>VLOOKUP(M469,'[1]INDIVIDUAL UN'!$C$6:$F$222,4,FALSE)</f>
        <v>#N/A</v>
      </c>
    </row>
    <row r="470" spans="1:26" x14ac:dyDescent="0.35">
      <c r="A470" s="9" t="s">
        <v>25</v>
      </c>
      <c r="C470" s="10"/>
      <c r="D470" s="10" t="s">
        <v>29</v>
      </c>
      <c r="E470" s="10"/>
      <c r="F470" s="10"/>
      <c r="G470" s="10"/>
      <c r="H470" s="11"/>
      <c r="I470" s="11"/>
      <c r="J470" s="12" t="e">
        <f>+VLOOKUP(K470,Datos!$A:$C,3,FALSE)</f>
        <v>#N/A</v>
      </c>
      <c r="K470" s="10"/>
      <c r="L470" s="12" t="e">
        <f>+VLOOKUP(K470,Datos!$A:$C,2,FALSE)</f>
        <v>#N/A</v>
      </c>
      <c r="M470" s="10"/>
      <c r="N470" s="12" t="e">
        <f>+VLOOKUP(M470,Datos!$F:$G,2,FALSE)</f>
        <v>#N/A</v>
      </c>
      <c r="O470" s="13">
        <f>IFERROR(IF(A470="SI",VLOOKUP(R470,Datos!$J$1:$K$50,2,FALSE)*C470,VLOOKUP(R470,Datos!$P$1:$T$13,2,FALSE)*C470),0)</f>
        <v>0</v>
      </c>
      <c r="P470" s="9"/>
      <c r="Q470" s="12" t="e">
        <f>+VLOOKUP(P470,Datos!$F:$G,2,FALSE)</f>
        <v>#N/A</v>
      </c>
      <c r="V470" s="10">
        <f t="shared" si="7"/>
        <v>0</v>
      </c>
      <c r="W470" s="10" t="e">
        <f>+VLOOKUP(M470,Datos!$F:$H,3,FALSE)</f>
        <v>#N/A</v>
      </c>
      <c r="X470">
        <v>0</v>
      </c>
      <c r="Y470" s="14"/>
      <c r="Z470" t="e">
        <f>VLOOKUP(M470,'[1]INDIVIDUAL UN'!$C$6:$F$222,4,FALSE)</f>
        <v>#N/A</v>
      </c>
    </row>
    <row r="471" spans="1:26" x14ac:dyDescent="0.35">
      <c r="A471" s="9" t="s">
        <v>25</v>
      </c>
      <c r="C471" s="10"/>
      <c r="D471" s="10" t="s">
        <v>29</v>
      </c>
      <c r="E471" s="10"/>
      <c r="F471" s="10"/>
      <c r="G471" s="10"/>
      <c r="H471" s="11"/>
      <c r="I471" s="11"/>
      <c r="J471" s="12" t="e">
        <f>+VLOOKUP(K471,Datos!$A:$C,3,FALSE)</f>
        <v>#N/A</v>
      </c>
      <c r="K471" s="10"/>
      <c r="L471" s="12" t="e">
        <f>+VLOOKUP(K471,Datos!$A:$C,2,FALSE)</f>
        <v>#N/A</v>
      </c>
      <c r="M471" s="10"/>
      <c r="N471" s="12" t="e">
        <f>+VLOOKUP(M471,Datos!$F:$G,2,FALSE)</f>
        <v>#N/A</v>
      </c>
      <c r="O471" s="13">
        <f>IFERROR(IF(A471="SI",VLOOKUP(R471,Datos!$J$1:$K$50,2,FALSE)*C471,VLOOKUP(R471,Datos!$P$1:$T$13,2,FALSE)*C471),0)</f>
        <v>0</v>
      </c>
      <c r="P471" s="9"/>
      <c r="Q471" s="12" t="e">
        <f>+VLOOKUP(P471,Datos!$F:$G,2,FALSE)</f>
        <v>#N/A</v>
      </c>
      <c r="V471" s="10">
        <f t="shared" si="7"/>
        <v>0</v>
      </c>
      <c r="W471" s="10" t="e">
        <f>+VLOOKUP(M471,Datos!$F:$H,3,FALSE)</f>
        <v>#N/A</v>
      </c>
      <c r="X471">
        <v>0</v>
      </c>
      <c r="Y471" s="14"/>
      <c r="Z471" t="e">
        <f>VLOOKUP(M471,'[1]INDIVIDUAL UN'!$C$6:$F$222,4,FALSE)</f>
        <v>#N/A</v>
      </c>
    </row>
    <row r="472" spans="1:26" x14ac:dyDescent="0.35">
      <c r="A472" s="9" t="s">
        <v>25</v>
      </c>
      <c r="C472" s="10"/>
      <c r="D472" s="10" t="s">
        <v>29</v>
      </c>
      <c r="E472" s="10"/>
      <c r="F472" s="10"/>
      <c r="G472" s="10"/>
      <c r="H472" s="11"/>
      <c r="I472" s="11"/>
      <c r="J472" s="12" t="e">
        <f>+VLOOKUP(K472,Datos!$A:$C,3,FALSE)</f>
        <v>#N/A</v>
      </c>
      <c r="K472" s="10"/>
      <c r="L472" s="12" t="e">
        <f>+VLOOKUP(K472,Datos!$A:$C,2,FALSE)</f>
        <v>#N/A</v>
      </c>
      <c r="M472" s="10"/>
      <c r="N472" s="12" t="e">
        <f>+VLOOKUP(M472,Datos!$F:$G,2,FALSE)</f>
        <v>#N/A</v>
      </c>
      <c r="O472" s="13">
        <f>IFERROR(IF(A472="SI",VLOOKUP(R472,Datos!$J$1:$K$50,2,FALSE)*C472,VLOOKUP(R472,Datos!$P$1:$T$13,2,FALSE)*C472),0)</f>
        <v>0</v>
      </c>
      <c r="P472" s="10"/>
      <c r="Q472" s="12" t="e">
        <f>+VLOOKUP(P472,Datos!$F:$G,2,FALSE)</f>
        <v>#N/A</v>
      </c>
      <c r="V472" s="10">
        <f t="shared" si="7"/>
        <v>0</v>
      </c>
      <c r="W472" s="10" t="e">
        <f>+VLOOKUP(M472,Datos!$F:$H,3,FALSE)</f>
        <v>#N/A</v>
      </c>
      <c r="X472">
        <v>0</v>
      </c>
      <c r="Y472" s="14"/>
      <c r="Z472" t="e">
        <f>VLOOKUP(M472,'[1]INDIVIDUAL UN'!$C$6:$F$222,4,FALSE)</f>
        <v>#N/A</v>
      </c>
    </row>
    <row r="473" spans="1:26" x14ac:dyDescent="0.35">
      <c r="A473" s="9" t="s">
        <v>25</v>
      </c>
      <c r="C473" s="10"/>
      <c r="D473" s="10" t="s">
        <v>29</v>
      </c>
      <c r="E473" s="10"/>
      <c r="F473" s="10"/>
      <c r="G473" s="10"/>
      <c r="H473" s="11"/>
      <c r="I473" s="11"/>
      <c r="J473" s="12" t="e">
        <f>+VLOOKUP(K473,Datos!$A:$C,3,FALSE)</f>
        <v>#N/A</v>
      </c>
      <c r="K473" s="10"/>
      <c r="L473" s="12" t="e">
        <f>+VLOOKUP(K473,Datos!$A:$C,2,FALSE)</f>
        <v>#N/A</v>
      </c>
      <c r="M473" s="10"/>
      <c r="N473" s="12" t="e">
        <f>+VLOOKUP(M473,Datos!$F:$G,2,FALSE)</f>
        <v>#N/A</v>
      </c>
      <c r="O473" s="13">
        <f>IFERROR(IF(A473="SI",VLOOKUP(R473,Datos!$J$1:$K$50,2,FALSE)*C473,VLOOKUP(R473,Datos!$P$1:$T$13,2,FALSE)*C473),0)</f>
        <v>0</v>
      </c>
      <c r="P473" s="9"/>
      <c r="Q473" s="12" t="e">
        <f>+VLOOKUP(P473,Datos!$F:$G,2,FALSE)</f>
        <v>#N/A</v>
      </c>
      <c r="V473" s="10">
        <f t="shared" si="7"/>
        <v>0</v>
      </c>
      <c r="W473" s="10" t="e">
        <f>+VLOOKUP(M473,Datos!$F:$H,3,FALSE)</f>
        <v>#N/A</v>
      </c>
      <c r="X473">
        <v>0</v>
      </c>
      <c r="Y473" s="14"/>
      <c r="Z473" t="e">
        <f>VLOOKUP(M473,'[1]INDIVIDUAL UN'!$C$6:$F$222,4,FALSE)</f>
        <v>#N/A</v>
      </c>
    </row>
    <row r="474" spans="1:26" x14ac:dyDescent="0.35">
      <c r="A474" s="9" t="s">
        <v>25</v>
      </c>
      <c r="C474" s="10"/>
      <c r="D474" s="10" t="s">
        <v>29</v>
      </c>
      <c r="E474" s="10"/>
      <c r="F474" s="10"/>
      <c r="G474" s="10"/>
      <c r="H474" s="11"/>
      <c r="I474" s="11"/>
      <c r="J474" s="12" t="e">
        <f>+VLOOKUP(K474,Datos!$A:$C,3,FALSE)</f>
        <v>#N/A</v>
      </c>
      <c r="K474" s="10"/>
      <c r="L474" s="12" t="e">
        <f>+VLOOKUP(K474,Datos!$A:$C,2,FALSE)</f>
        <v>#N/A</v>
      </c>
      <c r="M474" s="10"/>
      <c r="N474" s="12" t="e">
        <f>+VLOOKUP(M474,Datos!$F:$G,2,FALSE)</f>
        <v>#N/A</v>
      </c>
      <c r="O474" s="13">
        <f>IFERROR(IF(A474="SI",VLOOKUP(R474,Datos!$J$1:$K$50,2,FALSE)*C474,VLOOKUP(R474,Datos!$P$1:$T$13,2,FALSE)*C474),0)</f>
        <v>0</v>
      </c>
      <c r="P474" s="9"/>
      <c r="Q474" s="12" t="e">
        <f>+VLOOKUP(P474,Datos!$F:$G,2,FALSE)</f>
        <v>#N/A</v>
      </c>
      <c r="V474" s="10">
        <f t="shared" si="7"/>
        <v>0</v>
      </c>
      <c r="W474" s="10" t="e">
        <f>+VLOOKUP(M474,Datos!$F:$H,3,FALSE)</f>
        <v>#N/A</v>
      </c>
      <c r="X474">
        <v>0</v>
      </c>
      <c r="Y474" s="14"/>
      <c r="Z474" t="e">
        <f>VLOOKUP(M474,'[1]INDIVIDUAL UN'!$C$6:$F$222,4,FALSE)</f>
        <v>#N/A</v>
      </c>
    </row>
    <row r="475" spans="1:26" x14ac:dyDescent="0.35">
      <c r="A475" s="9" t="s">
        <v>25</v>
      </c>
      <c r="C475" s="71"/>
      <c r="D475" s="10" t="s">
        <v>29</v>
      </c>
      <c r="E475" s="71"/>
      <c r="F475" s="71"/>
      <c r="G475" s="71"/>
      <c r="H475" s="11"/>
      <c r="I475" s="72"/>
      <c r="J475" s="12" t="e">
        <f>+VLOOKUP(K475,Datos!$A:$C,3,FALSE)</f>
        <v>#N/A</v>
      </c>
      <c r="K475" s="71"/>
      <c r="L475" s="12" t="e">
        <f>+VLOOKUP(K475,Datos!$A:$C,2,FALSE)</f>
        <v>#N/A</v>
      </c>
      <c r="M475" s="23"/>
      <c r="N475" s="12" t="e">
        <f>+VLOOKUP(M475,Datos!$F:$G,2,FALSE)</f>
        <v>#N/A</v>
      </c>
      <c r="O475" s="13">
        <f>IFERROR(IF(A475="SI",VLOOKUP(R475,Datos!$J$1:$K$50,2,FALSE)*C475,VLOOKUP(R475,Datos!$P$1:$T$13,2,FALSE)*C475),0)</f>
        <v>0</v>
      </c>
      <c r="P475" s="35"/>
      <c r="Q475" s="12" t="e">
        <f>+VLOOKUP(P475,Datos!$F:$G,2,FALSE)</f>
        <v>#N/A</v>
      </c>
      <c r="V475" s="10">
        <f t="shared" si="7"/>
        <v>0</v>
      </c>
      <c r="W475" s="10" t="e">
        <f>+VLOOKUP(M475,Datos!$F:$H,3,FALSE)</f>
        <v>#N/A</v>
      </c>
      <c r="X475">
        <v>0</v>
      </c>
      <c r="Y475" s="14"/>
      <c r="Z475" t="e">
        <f>VLOOKUP(M475,'[1]INDIVIDUAL UN'!$C$6:$F$222,4,FALSE)</f>
        <v>#N/A</v>
      </c>
    </row>
    <row r="476" spans="1:26" x14ac:dyDescent="0.35">
      <c r="A476" s="9" t="s">
        <v>25</v>
      </c>
      <c r="C476" s="23"/>
      <c r="D476" s="10" t="s">
        <v>29</v>
      </c>
      <c r="E476" s="23"/>
      <c r="F476" s="23"/>
      <c r="G476" s="35"/>
      <c r="H476" s="11"/>
      <c r="I476" s="73"/>
      <c r="J476" s="12" t="e">
        <f>+VLOOKUP(K476,Datos!$A:$C,3,FALSE)</f>
        <v>#N/A</v>
      </c>
      <c r="K476" s="23"/>
      <c r="L476" s="12" t="e">
        <f>+VLOOKUP(K476,Datos!$A:$C,2,FALSE)</f>
        <v>#N/A</v>
      </c>
      <c r="M476" s="23"/>
      <c r="N476" s="12" t="e">
        <f>+VLOOKUP(M476,Datos!$F:$G,2,FALSE)</f>
        <v>#N/A</v>
      </c>
      <c r="O476" s="13">
        <f>IFERROR(IF(A476="SI",VLOOKUP(R476,Datos!$J$1:$K$50,2,FALSE)*C476,VLOOKUP(R476,Datos!$P$1:$T$13,2,FALSE)*C476),0)</f>
        <v>0</v>
      </c>
      <c r="P476" s="35"/>
      <c r="Q476" s="12" t="e">
        <f>+VLOOKUP(P476,Datos!$F:$G,2,FALSE)</f>
        <v>#N/A</v>
      </c>
      <c r="V476" s="10">
        <f t="shared" si="7"/>
        <v>0</v>
      </c>
      <c r="W476" s="10" t="e">
        <f>+VLOOKUP(M476,Datos!$F:$H,3,FALSE)</f>
        <v>#N/A</v>
      </c>
      <c r="X476">
        <v>0</v>
      </c>
      <c r="Y476" s="14"/>
      <c r="Z476" t="e">
        <f>VLOOKUP(M476,'[1]INDIVIDUAL UN'!$C$6:$F$222,4,FALSE)</f>
        <v>#N/A</v>
      </c>
    </row>
    <row r="477" spans="1:26" x14ac:dyDescent="0.35">
      <c r="A477" s="9" t="s">
        <v>25</v>
      </c>
      <c r="C477" s="23"/>
      <c r="D477" s="10" t="s">
        <v>29</v>
      </c>
      <c r="E477" s="23"/>
      <c r="F477" s="23"/>
      <c r="G477" s="23"/>
      <c r="H477" s="11"/>
      <c r="I477" s="73"/>
      <c r="J477" s="12" t="e">
        <f>+VLOOKUP(K477,Datos!$A:$C,3,FALSE)</f>
        <v>#N/A</v>
      </c>
      <c r="K477" s="23"/>
      <c r="L477" s="12" t="e">
        <f>+VLOOKUP(K477,Datos!$A:$C,2,FALSE)</f>
        <v>#N/A</v>
      </c>
      <c r="M477" s="23"/>
      <c r="N477" s="12" t="e">
        <f>+VLOOKUP(M477,Datos!$F:$G,2,FALSE)</f>
        <v>#N/A</v>
      </c>
      <c r="O477" s="13">
        <f>IFERROR(IF(A477="SI",VLOOKUP(R477,Datos!$J$1:$K$50,2,FALSE)*C477,VLOOKUP(R477,Datos!$P$1:$T$13,2,FALSE)*C477),0)</f>
        <v>0</v>
      </c>
      <c r="P477" s="35"/>
      <c r="Q477" s="12" t="e">
        <f>+VLOOKUP(P477,Datos!$F:$G,2,FALSE)</f>
        <v>#N/A</v>
      </c>
      <c r="V477" s="10">
        <f t="shared" si="7"/>
        <v>0</v>
      </c>
      <c r="W477" s="10" t="e">
        <f>+VLOOKUP(M477,Datos!$F:$H,3,FALSE)</f>
        <v>#N/A</v>
      </c>
      <c r="X477">
        <v>0</v>
      </c>
      <c r="Y477" s="14"/>
      <c r="Z477" t="e">
        <f>VLOOKUP(M477,'[1]INDIVIDUAL UN'!$C$6:$F$222,4,FALSE)</f>
        <v>#N/A</v>
      </c>
    </row>
    <row r="478" spans="1:26" x14ac:dyDescent="0.35">
      <c r="A478" s="9" t="s">
        <v>25</v>
      </c>
      <c r="C478" s="23"/>
      <c r="D478" s="10" t="s">
        <v>29</v>
      </c>
      <c r="E478" s="23"/>
      <c r="F478" s="23"/>
      <c r="G478" s="23"/>
      <c r="H478" s="11"/>
      <c r="I478" s="73"/>
      <c r="J478" s="12" t="e">
        <f>+VLOOKUP(K478,Datos!$A:$C,3,FALSE)</f>
        <v>#N/A</v>
      </c>
      <c r="K478" s="23"/>
      <c r="L478" s="12" t="e">
        <f>+VLOOKUP(K478,Datos!$A:$C,2,FALSE)</f>
        <v>#N/A</v>
      </c>
      <c r="M478" s="23"/>
      <c r="N478" s="12" t="e">
        <f>+VLOOKUP(M478,Datos!$F:$G,2,FALSE)</f>
        <v>#N/A</v>
      </c>
      <c r="O478" s="13">
        <f>IFERROR(IF(A478="SI",VLOOKUP(R478,Datos!$J$1:$K$50,2,FALSE)*C478,VLOOKUP(R478,Datos!$P$1:$T$13,2,FALSE)*C478),0)</f>
        <v>0</v>
      </c>
      <c r="P478" s="35"/>
      <c r="Q478" s="12" t="e">
        <f>+VLOOKUP(P478,Datos!$F:$G,2,FALSE)</f>
        <v>#N/A</v>
      </c>
      <c r="V478" s="10">
        <f t="shared" si="7"/>
        <v>0</v>
      </c>
      <c r="W478" s="10" t="e">
        <f>+VLOOKUP(M478,Datos!$F:$H,3,FALSE)</f>
        <v>#N/A</v>
      </c>
      <c r="X478">
        <v>0</v>
      </c>
      <c r="Y478" s="14"/>
      <c r="Z478" t="e">
        <f>VLOOKUP(M478,'[1]INDIVIDUAL UN'!$C$6:$F$222,4,FALSE)</f>
        <v>#N/A</v>
      </c>
    </row>
    <row r="479" spans="1:26" x14ac:dyDescent="0.35">
      <c r="A479" s="9" t="s">
        <v>25</v>
      </c>
      <c r="C479" s="23"/>
      <c r="D479" s="10" t="s">
        <v>29</v>
      </c>
      <c r="E479" s="23"/>
      <c r="F479" s="23"/>
      <c r="G479" s="23"/>
      <c r="H479" s="11"/>
      <c r="I479" s="73"/>
      <c r="J479" s="12" t="e">
        <f>+VLOOKUP(K479,Datos!$A:$C,3,FALSE)</f>
        <v>#N/A</v>
      </c>
      <c r="K479" s="23"/>
      <c r="L479" s="12" t="e">
        <f>+VLOOKUP(K479,Datos!$A:$C,2,FALSE)</f>
        <v>#N/A</v>
      </c>
      <c r="M479" s="23"/>
      <c r="N479" s="12" t="e">
        <f>+VLOOKUP(M479,Datos!$F:$G,2,FALSE)</f>
        <v>#N/A</v>
      </c>
      <c r="O479" s="13">
        <f>IFERROR(IF(A479="SI",VLOOKUP(R479,Datos!$J$1:$K$50,2,FALSE)*C479,VLOOKUP(R479,Datos!$P$1:$T$13,2,FALSE)*C479),0)</f>
        <v>0</v>
      </c>
      <c r="P479" s="35"/>
      <c r="Q479" s="12" t="e">
        <f>+VLOOKUP(P479,Datos!$F:$G,2,FALSE)</f>
        <v>#N/A</v>
      </c>
      <c r="V479" s="10">
        <f t="shared" si="7"/>
        <v>0</v>
      </c>
      <c r="W479" s="10" t="e">
        <f>+VLOOKUP(M479,Datos!$F:$H,3,FALSE)</f>
        <v>#N/A</v>
      </c>
      <c r="X479">
        <v>0</v>
      </c>
      <c r="Y479" s="14"/>
      <c r="Z479" t="e">
        <f>VLOOKUP(M479,'[1]INDIVIDUAL UN'!$C$6:$F$222,4,FALSE)</f>
        <v>#N/A</v>
      </c>
    </row>
    <row r="480" spans="1:26" x14ac:dyDescent="0.35">
      <c r="A480" s="9" t="s">
        <v>25</v>
      </c>
      <c r="C480" s="23"/>
      <c r="D480" s="10" t="s">
        <v>29</v>
      </c>
      <c r="E480" s="23"/>
      <c r="F480" s="23"/>
      <c r="G480" s="23"/>
      <c r="H480" s="11"/>
      <c r="I480" s="73"/>
      <c r="J480" s="12" t="e">
        <f>+VLOOKUP(K480,Datos!$A:$C,3,FALSE)</f>
        <v>#N/A</v>
      </c>
      <c r="K480" s="23"/>
      <c r="L480" s="12" t="e">
        <f>+VLOOKUP(K480,Datos!$A:$C,2,FALSE)</f>
        <v>#N/A</v>
      </c>
      <c r="M480" s="23"/>
      <c r="N480" s="12" t="e">
        <f>+VLOOKUP(M480,Datos!$F:$G,2,FALSE)</f>
        <v>#N/A</v>
      </c>
      <c r="O480" s="13">
        <f>IFERROR(IF(A480="SI",VLOOKUP(R480,Datos!$J$1:$K$50,2,FALSE)*C480,VLOOKUP(R480,Datos!$P$1:$T$13,2,FALSE)*C480),0)</f>
        <v>0</v>
      </c>
      <c r="P480" s="35"/>
      <c r="Q480" s="12" t="e">
        <f>+VLOOKUP(P480,Datos!$F:$G,2,FALSE)</f>
        <v>#N/A</v>
      </c>
      <c r="V480" s="10">
        <f t="shared" si="7"/>
        <v>0</v>
      </c>
      <c r="W480" s="10" t="e">
        <f>+VLOOKUP(M480,Datos!$F:$H,3,FALSE)</f>
        <v>#N/A</v>
      </c>
      <c r="X480">
        <v>0</v>
      </c>
      <c r="Y480" s="14"/>
      <c r="Z480" t="e">
        <f>VLOOKUP(M480,'[1]INDIVIDUAL UN'!$C$6:$F$222,4,FALSE)</f>
        <v>#N/A</v>
      </c>
    </row>
    <row r="481" spans="1:26" x14ac:dyDescent="0.35">
      <c r="A481" s="9" t="s">
        <v>25</v>
      </c>
      <c r="C481" s="23"/>
      <c r="D481" s="10" t="s">
        <v>29</v>
      </c>
      <c r="E481" s="23"/>
      <c r="F481" s="23"/>
      <c r="G481" s="23"/>
      <c r="H481" s="11"/>
      <c r="I481" s="73"/>
      <c r="J481" s="12" t="e">
        <f>+VLOOKUP(K481,Datos!$A:$C,3,FALSE)</f>
        <v>#N/A</v>
      </c>
      <c r="K481" s="23"/>
      <c r="L481" s="12" t="e">
        <f>+VLOOKUP(K481,Datos!$A:$C,2,FALSE)</f>
        <v>#N/A</v>
      </c>
      <c r="M481" s="23"/>
      <c r="N481" s="12" t="e">
        <f>+VLOOKUP(M481,Datos!$F:$G,2,FALSE)</f>
        <v>#N/A</v>
      </c>
      <c r="O481" s="13">
        <f>IFERROR(IF(A481="SI",VLOOKUP(R481,Datos!$J$1:$K$50,2,FALSE)*C481,VLOOKUP(R481,Datos!$P$1:$T$13,2,FALSE)*C481),0)</f>
        <v>0</v>
      </c>
      <c r="P481" s="35"/>
      <c r="Q481" s="12" t="e">
        <f>+VLOOKUP(P481,Datos!$F:$G,2,FALSE)</f>
        <v>#N/A</v>
      </c>
      <c r="V481" s="10">
        <f t="shared" si="7"/>
        <v>0</v>
      </c>
      <c r="W481" s="10" t="e">
        <f>+VLOOKUP(M481,Datos!$F:$H,3,FALSE)</f>
        <v>#N/A</v>
      </c>
      <c r="X481">
        <v>0</v>
      </c>
      <c r="Y481" s="14"/>
      <c r="Z481" t="e">
        <f>VLOOKUP(M481,'[1]INDIVIDUAL UN'!$C$6:$F$222,4,FALSE)</f>
        <v>#N/A</v>
      </c>
    </row>
    <row r="482" spans="1:26" x14ac:dyDescent="0.35">
      <c r="A482" s="9" t="s">
        <v>25</v>
      </c>
      <c r="C482" s="23"/>
      <c r="D482" s="10" t="s">
        <v>29</v>
      </c>
      <c r="E482" s="23"/>
      <c r="F482" s="23"/>
      <c r="G482" s="23"/>
      <c r="H482" s="11"/>
      <c r="I482" s="73"/>
      <c r="J482" s="12" t="e">
        <f>+VLOOKUP(K482,Datos!$A:$C,3,FALSE)</f>
        <v>#N/A</v>
      </c>
      <c r="K482" s="23"/>
      <c r="L482" s="12" t="e">
        <f>+VLOOKUP(K482,Datos!$A:$C,2,FALSE)</f>
        <v>#N/A</v>
      </c>
      <c r="M482" s="23"/>
      <c r="N482" s="12" t="e">
        <f>+VLOOKUP(M482,Datos!$F:$G,2,FALSE)</f>
        <v>#N/A</v>
      </c>
      <c r="O482" s="13">
        <f>IFERROR(IF(A482="SI",VLOOKUP(R482,Datos!$J$1:$K$50,2,FALSE)*C482,VLOOKUP(R482,Datos!$P$1:$T$13,2,FALSE)*C482),0)</f>
        <v>0</v>
      </c>
      <c r="P482" s="35"/>
      <c r="Q482" s="12" t="e">
        <f>+VLOOKUP(P482,Datos!$F:$G,2,FALSE)</f>
        <v>#N/A</v>
      </c>
      <c r="V482" s="10">
        <f t="shared" si="7"/>
        <v>0</v>
      </c>
      <c r="W482" s="10" t="e">
        <f>+VLOOKUP(M482,Datos!$F:$H,3,FALSE)</f>
        <v>#N/A</v>
      </c>
      <c r="X482">
        <v>0</v>
      </c>
      <c r="Y482" s="14"/>
      <c r="Z482" t="e">
        <f>VLOOKUP(M482,'[1]INDIVIDUAL UN'!$C$6:$F$222,4,FALSE)</f>
        <v>#N/A</v>
      </c>
    </row>
    <row r="483" spans="1:26" x14ac:dyDescent="0.35">
      <c r="A483" s="9" t="s">
        <v>25</v>
      </c>
      <c r="C483" s="23"/>
      <c r="D483" s="10" t="s">
        <v>29</v>
      </c>
      <c r="E483" s="23"/>
      <c r="F483" s="23"/>
      <c r="G483" s="23"/>
      <c r="H483" s="11"/>
      <c r="I483" s="73"/>
      <c r="J483" s="12" t="e">
        <f>+VLOOKUP(K483,Datos!$A:$C,3,FALSE)</f>
        <v>#N/A</v>
      </c>
      <c r="K483" s="23"/>
      <c r="L483" s="12" t="e">
        <f>+VLOOKUP(K483,Datos!$A:$C,2,FALSE)</f>
        <v>#N/A</v>
      </c>
      <c r="M483" s="23"/>
      <c r="N483" s="12" t="e">
        <f>+VLOOKUP(M483,Datos!$F:$G,2,FALSE)</f>
        <v>#N/A</v>
      </c>
      <c r="O483" s="13">
        <f>IFERROR(IF(A483="SI",VLOOKUP(R483,Datos!$J$1:$K$50,2,FALSE)*C483,VLOOKUP(R483,Datos!$P$1:$T$13,2,FALSE)*C483),0)</f>
        <v>0</v>
      </c>
      <c r="P483" s="35"/>
      <c r="Q483" s="12" t="e">
        <f>+VLOOKUP(P483,Datos!$F:$G,2,FALSE)</f>
        <v>#N/A</v>
      </c>
      <c r="V483" s="10">
        <f t="shared" si="7"/>
        <v>0</v>
      </c>
      <c r="W483" s="10" t="e">
        <f>+VLOOKUP(M483,Datos!$F:$H,3,FALSE)</f>
        <v>#N/A</v>
      </c>
      <c r="X483">
        <v>0</v>
      </c>
      <c r="Y483" s="14"/>
      <c r="Z483" t="e">
        <f>VLOOKUP(M483,'[1]INDIVIDUAL UN'!$C$6:$F$222,4,FALSE)</f>
        <v>#N/A</v>
      </c>
    </row>
    <row r="484" spans="1:26" x14ac:dyDescent="0.35">
      <c r="A484" s="9" t="s">
        <v>25</v>
      </c>
      <c r="C484" s="23"/>
      <c r="D484" s="10" t="s">
        <v>29</v>
      </c>
      <c r="E484" s="23"/>
      <c r="F484" s="23"/>
      <c r="G484" s="23"/>
      <c r="H484" s="11"/>
      <c r="I484" s="73"/>
      <c r="J484" s="12" t="e">
        <f>+VLOOKUP(K484,Datos!$A:$C,3,FALSE)</f>
        <v>#N/A</v>
      </c>
      <c r="K484" s="23"/>
      <c r="L484" s="12" t="e">
        <f>+VLOOKUP(K484,Datos!$A:$C,2,FALSE)</f>
        <v>#N/A</v>
      </c>
      <c r="M484" s="23"/>
      <c r="N484" s="12" t="e">
        <f>+VLOOKUP(M484,Datos!$F:$G,2,FALSE)</f>
        <v>#N/A</v>
      </c>
      <c r="O484" s="13">
        <f>IFERROR(IF(A484="SI",VLOOKUP(R484,Datos!$J$1:$K$50,2,FALSE)*C484,VLOOKUP(R484,Datos!$P$1:$T$13,2,FALSE)*C484),0)</f>
        <v>0</v>
      </c>
      <c r="P484" s="35"/>
      <c r="Q484" s="12" t="e">
        <f>+VLOOKUP(P484,Datos!$F:$G,2,FALSE)</f>
        <v>#N/A</v>
      </c>
      <c r="V484" s="10">
        <f t="shared" si="7"/>
        <v>0</v>
      </c>
      <c r="W484" s="10" t="e">
        <f>+VLOOKUP(M484,Datos!$F:$H,3,FALSE)</f>
        <v>#N/A</v>
      </c>
      <c r="X484">
        <v>0</v>
      </c>
      <c r="Y484" s="14"/>
      <c r="Z484" t="e">
        <f>VLOOKUP(M484,'[1]INDIVIDUAL UN'!$C$6:$F$222,4,FALSE)</f>
        <v>#N/A</v>
      </c>
    </row>
    <row r="485" spans="1:26" x14ac:dyDescent="0.35">
      <c r="A485" s="9" t="s">
        <v>25</v>
      </c>
      <c r="C485" s="23"/>
      <c r="D485" s="10" t="s">
        <v>29</v>
      </c>
      <c r="E485" s="23"/>
      <c r="F485" s="23"/>
      <c r="G485" s="23"/>
      <c r="H485" s="11"/>
      <c r="I485" s="73"/>
      <c r="J485" s="12" t="e">
        <f>+VLOOKUP(K485,Datos!$A:$C,3,FALSE)</f>
        <v>#N/A</v>
      </c>
      <c r="K485" s="23"/>
      <c r="L485" s="12" t="e">
        <f>+VLOOKUP(K485,Datos!$A:$C,2,FALSE)</f>
        <v>#N/A</v>
      </c>
      <c r="M485" s="23"/>
      <c r="N485" s="12" t="e">
        <f>+VLOOKUP(M485,Datos!$F:$G,2,FALSE)</f>
        <v>#N/A</v>
      </c>
      <c r="O485" s="13">
        <f>IFERROR(IF(A485="SI",VLOOKUP(R485,Datos!$J$1:$K$50,2,FALSE)*C485,VLOOKUP(R485,Datos!$P$1:$T$13,2,FALSE)*C485),0)</f>
        <v>0</v>
      </c>
      <c r="P485" s="35"/>
      <c r="Q485" s="12" t="e">
        <f>+VLOOKUP(P485,Datos!$F:$G,2,FALSE)</f>
        <v>#N/A</v>
      </c>
      <c r="V485" s="10">
        <f t="shared" si="7"/>
        <v>0</v>
      </c>
      <c r="W485" s="10" t="e">
        <f>+VLOOKUP(M485,Datos!$F:$H,3,FALSE)</f>
        <v>#N/A</v>
      </c>
      <c r="X485">
        <v>0</v>
      </c>
      <c r="Y485" s="14"/>
      <c r="Z485" t="e">
        <f>VLOOKUP(M485,'[1]INDIVIDUAL UN'!$C$6:$F$222,4,FALSE)</f>
        <v>#N/A</v>
      </c>
    </row>
    <row r="486" spans="1:26" x14ac:dyDescent="0.35">
      <c r="A486" s="9" t="s">
        <v>25</v>
      </c>
      <c r="C486" s="23"/>
      <c r="D486" s="10" t="s">
        <v>29</v>
      </c>
      <c r="E486" s="23"/>
      <c r="F486" s="23"/>
      <c r="G486" s="23"/>
      <c r="H486" s="11"/>
      <c r="I486" s="73"/>
      <c r="J486" s="12" t="e">
        <f>+VLOOKUP(K486,Datos!$A:$C,3,FALSE)</f>
        <v>#N/A</v>
      </c>
      <c r="K486" s="23"/>
      <c r="L486" s="12" t="e">
        <f>+VLOOKUP(K486,Datos!$A:$C,2,FALSE)</f>
        <v>#N/A</v>
      </c>
      <c r="M486" s="23"/>
      <c r="N486" s="12" t="e">
        <f>+VLOOKUP(M486,Datos!$F:$G,2,FALSE)</f>
        <v>#N/A</v>
      </c>
      <c r="O486" s="13">
        <f>IFERROR(IF(A486="SI",VLOOKUP(R486,Datos!$J$1:$K$50,2,FALSE)*C486,VLOOKUP(R486,Datos!$P$1:$T$13,2,FALSE)*C486),0)</f>
        <v>0</v>
      </c>
      <c r="P486" s="35"/>
      <c r="Q486" s="12" t="e">
        <f>+VLOOKUP(P486,Datos!$F:$G,2,FALSE)</f>
        <v>#N/A</v>
      </c>
      <c r="V486" s="10">
        <f t="shared" si="7"/>
        <v>0</v>
      </c>
      <c r="W486" s="10" t="e">
        <f>+VLOOKUP(M486,Datos!$F:$H,3,FALSE)</f>
        <v>#N/A</v>
      </c>
      <c r="X486">
        <v>0</v>
      </c>
      <c r="Y486" s="14"/>
      <c r="Z486" t="e">
        <f>VLOOKUP(M486,'[1]INDIVIDUAL UN'!$C$6:$F$222,4,FALSE)</f>
        <v>#N/A</v>
      </c>
    </row>
    <row r="487" spans="1:26" x14ac:dyDescent="0.35">
      <c r="A487" s="9" t="s">
        <v>25</v>
      </c>
      <c r="C487" s="10"/>
      <c r="D487" s="10" t="s">
        <v>29</v>
      </c>
      <c r="E487" s="10"/>
      <c r="F487" s="10"/>
      <c r="G487" s="10"/>
      <c r="H487" s="11"/>
      <c r="I487" s="11"/>
      <c r="J487" s="12" t="e">
        <f>+VLOOKUP(K487,Datos!$A:$C,3,FALSE)</f>
        <v>#N/A</v>
      </c>
      <c r="K487" s="10"/>
      <c r="L487" s="12" t="e">
        <f>+VLOOKUP(K487,Datos!$A:$C,2,FALSE)</f>
        <v>#N/A</v>
      </c>
      <c r="N487" s="12" t="e">
        <f>+VLOOKUP(M487,Datos!$F:$G,2,FALSE)</f>
        <v>#N/A</v>
      </c>
      <c r="O487" s="13">
        <f>IFERROR(IF(A487="SI",VLOOKUP(R487,Datos!$J$1:$K$50,2,FALSE)*C487,VLOOKUP(R487,Datos!$P$1:$T$13,2,FALSE)*C487),0)</f>
        <v>0</v>
      </c>
      <c r="P487" s="9"/>
      <c r="Q487" s="12" t="e">
        <f>+VLOOKUP(P487,Datos!$F:$G,2,FALSE)</f>
        <v>#N/A</v>
      </c>
      <c r="V487" s="10">
        <f t="shared" si="7"/>
        <v>0</v>
      </c>
      <c r="W487" s="10" t="e">
        <f>+VLOOKUP(M487,Datos!$F:$H,3,FALSE)</f>
        <v>#N/A</v>
      </c>
      <c r="X487">
        <v>0</v>
      </c>
      <c r="Y487" s="14"/>
      <c r="Z487" t="e">
        <f>VLOOKUP(M487,'[1]INDIVIDUAL UN'!$C$6:$F$222,4,FALSE)</f>
        <v>#N/A</v>
      </c>
    </row>
    <row r="488" spans="1:26" x14ac:dyDescent="0.35">
      <c r="A488" s="9" t="s">
        <v>25</v>
      </c>
      <c r="C488" s="10"/>
      <c r="D488" s="10" t="s">
        <v>29</v>
      </c>
      <c r="E488" s="10"/>
      <c r="F488" s="10"/>
      <c r="G488" s="10"/>
      <c r="H488" s="11"/>
      <c r="I488" s="11"/>
      <c r="J488" s="12" t="e">
        <f>+VLOOKUP(K488,Datos!$A:$C,3,FALSE)</f>
        <v>#N/A</v>
      </c>
      <c r="K488" s="10"/>
      <c r="L488" s="12" t="e">
        <f>+VLOOKUP(K488,Datos!$A:$C,2,FALSE)</f>
        <v>#N/A</v>
      </c>
      <c r="N488" s="12" t="e">
        <f>+VLOOKUP(M488,Datos!$F:$G,2,FALSE)</f>
        <v>#N/A</v>
      </c>
      <c r="O488" s="13">
        <f>IFERROR(IF(A488="SI",VLOOKUP(R488,Datos!$J$1:$K$50,2,FALSE)*C488,VLOOKUP(R488,Datos!$P$1:$T$13,2,FALSE)*C488),0)</f>
        <v>0</v>
      </c>
      <c r="P488" s="9"/>
      <c r="Q488" s="12" t="e">
        <f>+VLOOKUP(P488,Datos!$F:$G,2,FALSE)</f>
        <v>#N/A</v>
      </c>
      <c r="V488" s="10">
        <f t="shared" si="7"/>
        <v>0</v>
      </c>
      <c r="W488" s="10" t="e">
        <f>+VLOOKUP(M488,Datos!$F:$H,3,FALSE)</f>
        <v>#N/A</v>
      </c>
      <c r="X488">
        <v>0</v>
      </c>
      <c r="Y488" s="14"/>
      <c r="Z488" t="e">
        <f>VLOOKUP(M488,'[1]INDIVIDUAL UN'!$C$6:$F$222,4,FALSE)</f>
        <v>#N/A</v>
      </c>
    </row>
    <row r="489" spans="1:26" x14ac:dyDescent="0.35">
      <c r="A489" s="9" t="s">
        <v>25</v>
      </c>
      <c r="C489" s="10"/>
      <c r="D489" s="10" t="s">
        <v>29</v>
      </c>
      <c r="E489" s="10"/>
      <c r="F489" s="10"/>
      <c r="G489" s="10"/>
      <c r="H489" s="11"/>
      <c r="I489" s="11"/>
      <c r="J489" s="12" t="e">
        <f>+VLOOKUP(K489,Datos!$A:$C,3,FALSE)</f>
        <v>#N/A</v>
      </c>
      <c r="K489" s="10"/>
      <c r="L489" s="12" t="e">
        <f>+VLOOKUP(K489,Datos!$A:$C,2,FALSE)</f>
        <v>#N/A</v>
      </c>
      <c r="M489" s="10"/>
      <c r="N489" s="12" t="e">
        <f>+VLOOKUP(M489,Datos!$F:$G,2,FALSE)</f>
        <v>#N/A</v>
      </c>
      <c r="O489" s="13">
        <f>IFERROR(IF(A489="SI",VLOOKUP(R489,Datos!$J$1:$K$50,2,FALSE)*C489,VLOOKUP(R489,Datos!$P$1:$T$13,2,FALSE)*C489),0)</f>
        <v>0</v>
      </c>
      <c r="P489" s="9"/>
      <c r="Q489" s="12" t="e">
        <f>+VLOOKUP(P489,Datos!$F:$G,2,FALSE)</f>
        <v>#N/A</v>
      </c>
      <c r="V489" s="10">
        <f t="shared" si="7"/>
        <v>0</v>
      </c>
      <c r="W489" s="10" t="e">
        <f>+VLOOKUP(M489,Datos!$F:$H,3,FALSE)</f>
        <v>#N/A</v>
      </c>
      <c r="X489">
        <v>0</v>
      </c>
      <c r="Y489" s="14"/>
      <c r="Z489" t="e">
        <f>VLOOKUP(M489,'[1]INDIVIDUAL UN'!$C$6:$F$222,4,FALSE)</f>
        <v>#N/A</v>
      </c>
    </row>
    <row r="490" spans="1:26" x14ac:dyDescent="0.35">
      <c r="A490" s="9" t="s">
        <v>25</v>
      </c>
      <c r="C490" s="16"/>
      <c r="D490" s="10" t="s">
        <v>29</v>
      </c>
      <c r="E490" s="16"/>
      <c r="F490" s="16"/>
      <c r="G490" s="16"/>
      <c r="H490" s="11"/>
      <c r="I490" s="42"/>
      <c r="J490" s="12" t="e">
        <f>+VLOOKUP(K490,Datos!$A:$C,3,FALSE)</f>
        <v>#N/A</v>
      </c>
      <c r="K490" s="16"/>
      <c r="L490" s="12" t="e">
        <f>+VLOOKUP(K490,Datos!$A:$C,2,FALSE)</f>
        <v>#N/A</v>
      </c>
      <c r="M490" s="16"/>
      <c r="N490" s="12" t="e">
        <f>+VLOOKUP(M490,Datos!$F:$G,2,FALSE)</f>
        <v>#N/A</v>
      </c>
      <c r="O490" s="13">
        <f>IFERROR(IF(A490="SI",VLOOKUP(R490,Datos!$J$1:$K$50,2,FALSE)*C490,VLOOKUP(R490,Datos!$P$1:$T$13,2,FALSE)*C490),0)</f>
        <v>0</v>
      </c>
      <c r="P490" s="16"/>
      <c r="Q490" s="12" t="e">
        <f>+VLOOKUP(P490,Datos!$F:$G,2,FALSE)</f>
        <v>#N/A</v>
      </c>
      <c r="V490" s="10">
        <f t="shared" si="7"/>
        <v>0</v>
      </c>
      <c r="W490" s="10" t="e">
        <f>+VLOOKUP(M490,Datos!$F:$H,3,FALSE)</f>
        <v>#N/A</v>
      </c>
      <c r="X490">
        <v>0</v>
      </c>
      <c r="Y490" s="14"/>
      <c r="Z490" t="e">
        <f>VLOOKUP(M490,'[1]INDIVIDUAL UN'!$C$6:$F$222,4,FALSE)</f>
        <v>#N/A</v>
      </c>
    </row>
    <row r="491" spans="1:26" x14ac:dyDescent="0.35">
      <c r="A491" s="9" t="s">
        <v>25</v>
      </c>
      <c r="C491" s="10"/>
      <c r="D491" s="10" t="s">
        <v>29</v>
      </c>
      <c r="E491" s="10"/>
      <c r="F491" s="10"/>
      <c r="G491" s="10"/>
      <c r="H491" s="11"/>
      <c r="I491" s="11"/>
      <c r="J491" s="12" t="e">
        <f>+VLOOKUP(K491,Datos!$A:$C,3,FALSE)</f>
        <v>#N/A</v>
      </c>
      <c r="K491" s="10"/>
      <c r="L491" s="12" t="e">
        <f>+VLOOKUP(K491,Datos!$A:$C,2,FALSE)</f>
        <v>#N/A</v>
      </c>
      <c r="M491" s="10"/>
      <c r="N491" s="12" t="e">
        <f>+VLOOKUP(M491,Datos!$F:$G,2,FALSE)</f>
        <v>#N/A</v>
      </c>
      <c r="O491" s="13">
        <f>IFERROR(IF(A491="SI",VLOOKUP(R491,Datos!$J$1:$K$50,2,FALSE)*C491,VLOOKUP(R491,Datos!$P$1:$T$13,2,FALSE)*C491),0)</f>
        <v>0</v>
      </c>
      <c r="P491" s="10"/>
      <c r="Q491" s="12" t="e">
        <f>+VLOOKUP(P491,Datos!$F:$G,2,FALSE)</f>
        <v>#N/A</v>
      </c>
      <c r="V491" s="10">
        <f t="shared" si="7"/>
        <v>0</v>
      </c>
      <c r="W491" s="10" t="e">
        <f>+VLOOKUP(M491,Datos!$F:$H,3,FALSE)</f>
        <v>#N/A</v>
      </c>
      <c r="X491">
        <v>0</v>
      </c>
      <c r="Y491" s="14"/>
      <c r="Z491" t="e">
        <f>VLOOKUP(M491,'[1]INDIVIDUAL UN'!$C$6:$F$222,4,FALSE)</f>
        <v>#N/A</v>
      </c>
    </row>
    <row r="492" spans="1:26" x14ac:dyDescent="0.35">
      <c r="A492" s="9" t="s">
        <v>25</v>
      </c>
      <c r="C492" s="10"/>
      <c r="D492" s="10" t="s">
        <v>29</v>
      </c>
      <c r="E492" s="10"/>
      <c r="F492" s="10"/>
      <c r="G492" s="10"/>
      <c r="H492" s="11"/>
      <c r="I492" s="11"/>
      <c r="J492" s="12" t="e">
        <f>+VLOOKUP(K492,Datos!$A:$C,3,FALSE)</f>
        <v>#N/A</v>
      </c>
      <c r="K492" s="10"/>
      <c r="L492" s="12" t="e">
        <f>+VLOOKUP(K492,Datos!$A:$C,2,FALSE)</f>
        <v>#N/A</v>
      </c>
      <c r="M492" s="10"/>
      <c r="N492" s="12" t="e">
        <f>+VLOOKUP(M492,Datos!$F:$G,2,FALSE)</f>
        <v>#N/A</v>
      </c>
      <c r="O492" s="13">
        <f>IFERROR(IF(A492="SI",VLOOKUP(R492,Datos!$J$1:$K$50,2,FALSE)*C492,VLOOKUP(R492,Datos!$P$1:$T$13,2,FALSE)*C492),0)</f>
        <v>0</v>
      </c>
      <c r="P492" s="10"/>
      <c r="Q492" s="12" t="e">
        <f>+VLOOKUP(P492,Datos!$F:$G,2,FALSE)</f>
        <v>#N/A</v>
      </c>
      <c r="V492" s="10">
        <f t="shared" si="7"/>
        <v>0</v>
      </c>
      <c r="W492" s="10" t="e">
        <f>+VLOOKUP(M492,Datos!$F:$H,3,FALSE)</f>
        <v>#N/A</v>
      </c>
      <c r="X492">
        <v>0</v>
      </c>
      <c r="Y492" s="14"/>
      <c r="Z492" t="e">
        <f>VLOOKUP(M492,'[1]INDIVIDUAL UN'!$C$6:$F$222,4,FALSE)</f>
        <v>#N/A</v>
      </c>
    </row>
    <row r="493" spans="1:26" x14ac:dyDescent="0.35">
      <c r="A493" s="9" t="s">
        <v>25</v>
      </c>
      <c r="C493" s="10"/>
      <c r="D493" s="10" t="s">
        <v>29</v>
      </c>
      <c r="E493" s="10"/>
      <c r="F493" s="10"/>
      <c r="G493" s="10"/>
      <c r="H493" s="11"/>
      <c r="I493" s="11"/>
      <c r="J493" s="12" t="e">
        <f>+VLOOKUP(K493,Datos!$A:$C,3,FALSE)</f>
        <v>#N/A</v>
      </c>
      <c r="K493" s="10"/>
      <c r="L493" s="12" t="e">
        <f>+VLOOKUP(K493,Datos!$A:$C,2,FALSE)</f>
        <v>#N/A</v>
      </c>
      <c r="M493" s="10"/>
      <c r="N493" s="12" t="e">
        <f>+VLOOKUP(M493,Datos!$F:$G,2,FALSE)</f>
        <v>#N/A</v>
      </c>
      <c r="O493" s="13">
        <f>IFERROR(IF(A493="SI",VLOOKUP(R493,Datos!$J$1:$K$50,2,FALSE)*C493,VLOOKUP(R493,Datos!$P$1:$T$13,2,FALSE)*C493),0)</f>
        <v>0</v>
      </c>
      <c r="P493" s="10"/>
      <c r="Q493" s="12" t="e">
        <f>+VLOOKUP(P493,Datos!$F:$G,2,FALSE)</f>
        <v>#N/A</v>
      </c>
      <c r="V493" s="10">
        <f t="shared" si="7"/>
        <v>0</v>
      </c>
      <c r="W493" s="10" t="e">
        <f>+VLOOKUP(M493,Datos!$F:$H,3,FALSE)</f>
        <v>#N/A</v>
      </c>
      <c r="X493">
        <v>0</v>
      </c>
      <c r="Y493" s="14"/>
      <c r="Z493" t="e">
        <f>VLOOKUP(M493,'[1]INDIVIDUAL UN'!$C$6:$F$222,4,FALSE)</f>
        <v>#N/A</v>
      </c>
    </row>
    <row r="494" spans="1:26" x14ac:dyDescent="0.35">
      <c r="A494" s="9" t="s">
        <v>25</v>
      </c>
      <c r="D494" s="10" t="s">
        <v>29</v>
      </c>
      <c r="J494" s="12" t="e">
        <f>+VLOOKUP(K494,Datos!$A:$C,3,FALSE)</f>
        <v>#N/A</v>
      </c>
      <c r="L494" s="12" t="e">
        <f>+VLOOKUP(K494,Datos!$A:$C,2,FALSE)</f>
        <v>#N/A</v>
      </c>
      <c r="N494" s="12" t="e">
        <f>+VLOOKUP(M494,Datos!$F:$G,2,FALSE)</f>
        <v>#N/A</v>
      </c>
      <c r="O494" s="13">
        <f>IFERROR(IF(A494="SI",VLOOKUP(R494,Datos!$J$1:$K$50,2,FALSE)*C494,VLOOKUP(R494,Datos!$P$1:$T$13,2,FALSE)*C494),0)</f>
        <v>0</v>
      </c>
      <c r="P494" s="9"/>
      <c r="Q494" s="12" t="e">
        <f>+VLOOKUP(P494,Datos!$F:$G,2,FALSE)</f>
        <v>#N/A</v>
      </c>
      <c r="V494" s="10">
        <f t="shared" si="7"/>
        <v>0</v>
      </c>
      <c r="W494" s="10" t="e">
        <f>+VLOOKUP(M494,Datos!$F:$H,3,FALSE)</f>
        <v>#N/A</v>
      </c>
      <c r="X494">
        <v>0</v>
      </c>
      <c r="Y494" s="14"/>
      <c r="Z494" t="e">
        <f>VLOOKUP(M494,'[1]INDIVIDUAL UN'!$C$6:$F$222,4,FALSE)</f>
        <v>#N/A</v>
      </c>
    </row>
    <row r="495" spans="1:26" x14ac:dyDescent="0.35">
      <c r="A495" s="9" t="s">
        <v>25</v>
      </c>
      <c r="D495" s="10" t="s">
        <v>29</v>
      </c>
      <c r="J495" s="12" t="e">
        <f>+VLOOKUP(K495,Datos!$A:$C,3,FALSE)</f>
        <v>#N/A</v>
      </c>
      <c r="L495" s="12" t="e">
        <f>+VLOOKUP(K495,Datos!$A:$C,2,FALSE)</f>
        <v>#N/A</v>
      </c>
      <c r="N495" s="12" t="e">
        <f>+VLOOKUP(M495,Datos!$F:$G,2,FALSE)</f>
        <v>#N/A</v>
      </c>
      <c r="O495" s="13">
        <f>IFERROR(IF(A495="SI",VLOOKUP(R495,Datos!$J$1:$K$50,2,FALSE)*C495,VLOOKUP(R495,Datos!$P$1:$T$13,2,FALSE)*C495),0)</f>
        <v>0</v>
      </c>
      <c r="P495" s="9"/>
      <c r="Q495" s="12" t="e">
        <f>+VLOOKUP(P495,Datos!$F:$G,2,FALSE)</f>
        <v>#N/A</v>
      </c>
      <c r="V495" s="10">
        <f t="shared" si="7"/>
        <v>0</v>
      </c>
      <c r="W495" s="10" t="e">
        <f>+VLOOKUP(M495,Datos!$F:$H,3,FALSE)</f>
        <v>#N/A</v>
      </c>
      <c r="X495">
        <v>0</v>
      </c>
      <c r="Y495" s="14"/>
      <c r="Z495" t="e">
        <f>VLOOKUP(M495,'[1]INDIVIDUAL UN'!$C$6:$F$222,4,FALSE)</f>
        <v>#N/A</v>
      </c>
    </row>
    <row r="496" spans="1:26" x14ac:dyDescent="0.35">
      <c r="A496" s="9" t="s">
        <v>25</v>
      </c>
      <c r="D496" s="10" t="s">
        <v>29</v>
      </c>
      <c r="J496" s="12" t="e">
        <f>+VLOOKUP(K496,Datos!$A:$C,3,FALSE)</f>
        <v>#N/A</v>
      </c>
      <c r="L496" s="12" t="e">
        <f>+VLOOKUP(K496,Datos!$A:$C,2,FALSE)</f>
        <v>#N/A</v>
      </c>
      <c r="N496" s="12" t="e">
        <f>+VLOOKUP(M496,Datos!$F:$G,2,FALSE)</f>
        <v>#N/A</v>
      </c>
      <c r="O496" s="13">
        <f>IFERROR(IF(A496="SI",VLOOKUP(R496,Datos!$J$1:$K$50,2,FALSE)*C496,VLOOKUP(R496,Datos!$P$1:$T$13,2,FALSE)*C496),0)</f>
        <v>0</v>
      </c>
      <c r="P496" s="9"/>
      <c r="Q496" s="12" t="e">
        <f>+VLOOKUP(P496,Datos!$F:$G,2,FALSE)</f>
        <v>#N/A</v>
      </c>
      <c r="V496" s="10">
        <f t="shared" si="7"/>
        <v>0</v>
      </c>
      <c r="W496" s="10" t="e">
        <f>+VLOOKUP(M496,Datos!$F:$H,3,FALSE)</f>
        <v>#N/A</v>
      </c>
      <c r="X496">
        <v>0</v>
      </c>
      <c r="Y496" s="14"/>
      <c r="Z496" t="e">
        <f>VLOOKUP(M496,'[1]INDIVIDUAL UN'!$C$6:$F$222,4,FALSE)</f>
        <v>#N/A</v>
      </c>
    </row>
    <row r="497" spans="1:26" x14ac:dyDescent="0.35">
      <c r="A497" s="9" t="s">
        <v>25</v>
      </c>
      <c r="D497" s="10" t="s">
        <v>29</v>
      </c>
      <c r="J497" s="12" t="e">
        <f>+VLOOKUP(K497,Datos!$A:$C,3,FALSE)</f>
        <v>#N/A</v>
      </c>
      <c r="L497" s="12" t="e">
        <f>+VLOOKUP(K497,Datos!$A:$C,2,FALSE)</f>
        <v>#N/A</v>
      </c>
      <c r="N497" s="12" t="e">
        <f>+VLOOKUP(M497,Datos!$F:$G,2,FALSE)</f>
        <v>#N/A</v>
      </c>
      <c r="O497" s="13">
        <f>IFERROR(IF(A497="SI",VLOOKUP(R497,Datos!$J$1:$K$50,2,FALSE)*C497,VLOOKUP(R497,Datos!$P$1:$T$13,2,FALSE)*C497),0)</f>
        <v>0</v>
      </c>
      <c r="P497" s="9"/>
      <c r="Q497" s="12" t="e">
        <f>+VLOOKUP(P497,Datos!$F:$G,2,FALSE)</f>
        <v>#N/A</v>
      </c>
      <c r="V497" s="10">
        <f t="shared" si="7"/>
        <v>0</v>
      </c>
      <c r="W497" s="10" t="e">
        <f>+VLOOKUP(M497,Datos!$F:$H,3,FALSE)</f>
        <v>#N/A</v>
      </c>
      <c r="X497">
        <v>0</v>
      </c>
      <c r="Y497" s="14"/>
      <c r="Z497" t="e">
        <f>VLOOKUP(M497,'[1]INDIVIDUAL UN'!$C$6:$F$222,4,FALSE)</f>
        <v>#N/A</v>
      </c>
    </row>
    <row r="498" spans="1:26" x14ac:dyDescent="0.35">
      <c r="A498" s="9" t="s">
        <v>25</v>
      </c>
      <c r="D498" s="10" t="s">
        <v>29</v>
      </c>
      <c r="J498" s="12" t="e">
        <f>+VLOOKUP(K498,Datos!$A:$C,3,FALSE)</f>
        <v>#N/A</v>
      </c>
      <c r="L498" s="12" t="e">
        <f>+VLOOKUP(K498,Datos!$A:$C,2,FALSE)</f>
        <v>#N/A</v>
      </c>
      <c r="N498" s="12" t="e">
        <f>+VLOOKUP(M498,Datos!$F:$G,2,FALSE)</f>
        <v>#N/A</v>
      </c>
      <c r="O498" s="13">
        <f>IFERROR(IF(A498="SI",VLOOKUP(R498,Datos!$J$1:$K$50,2,FALSE)*C498,VLOOKUP(R498,Datos!$P$1:$T$13,2,FALSE)*C498),0)</f>
        <v>0</v>
      </c>
      <c r="P498" s="9"/>
      <c r="Q498" s="12" t="e">
        <f>+VLOOKUP(P498,Datos!$F:$G,2,FALSE)</f>
        <v>#N/A</v>
      </c>
      <c r="V498" s="10">
        <f t="shared" si="7"/>
        <v>0</v>
      </c>
      <c r="W498" s="10" t="e">
        <f>+VLOOKUP(M498,Datos!$F:$H,3,FALSE)</f>
        <v>#N/A</v>
      </c>
      <c r="X498">
        <v>0</v>
      </c>
      <c r="Z498" t="e">
        <f>VLOOKUP(M498,'[1]INDIVIDUAL UN'!$C$6:$F$222,4,FALSE)</f>
        <v>#N/A</v>
      </c>
    </row>
    <row r="499" spans="1:26" x14ac:dyDescent="0.35">
      <c r="A499" s="9" t="s">
        <v>25</v>
      </c>
      <c r="D499" s="10" t="s">
        <v>29</v>
      </c>
      <c r="J499" s="12" t="e">
        <f>+VLOOKUP(K499,Datos!$A:$C,3,FALSE)</f>
        <v>#N/A</v>
      </c>
      <c r="L499" s="12" t="e">
        <f>+VLOOKUP(K499,Datos!$A:$C,2,FALSE)</f>
        <v>#N/A</v>
      </c>
      <c r="N499" s="12" t="e">
        <f>+VLOOKUP(M499,Datos!$F:$G,2,FALSE)</f>
        <v>#N/A</v>
      </c>
      <c r="O499" s="13">
        <f>IFERROR(IF(A499="SI",VLOOKUP(R499,Datos!$J$1:$K$50,2,FALSE)*C499,VLOOKUP(R499,Datos!$P$1:$T$13,2,FALSE)*C499),0)</f>
        <v>0</v>
      </c>
      <c r="P499" s="9"/>
      <c r="Q499" s="12" t="e">
        <f>+VLOOKUP(P499,Datos!$F:$G,2,FALSE)</f>
        <v>#N/A</v>
      </c>
      <c r="V499" s="10">
        <f t="shared" si="7"/>
        <v>0</v>
      </c>
      <c r="W499" s="10" t="e">
        <f>+VLOOKUP(M499,Datos!$F:$H,3,FALSE)</f>
        <v>#N/A</v>
      </c>
      <c r="X499">
        <v>0</v>
      </c>
      <c r="Z499" t="e">
        <f>VLOOKUP(M499,'[1]INDIVIDUAL UN'!$C$6:$F$222,4,FALSE)</f>
        <v>#N/A</v>
      </c>
    </row>
    <row r="500" spans="1:26" x14ac:dyDescent="0.35">
      <c r="A500" s="9" t="s">
        <v>25</v>
      </c>
      <c r="D500" s="10" t="s">
        <v>29</v>
      </c>
      <c r="J500" s="12" t="e">
        <f>+VLOOKUP(K500,Datos!$A:$C,3,FALSE)</f>
        <v>#N/A</v>
      </c>
      <c r="L500" s="12" t="e">
        <f>+VLOOKUP(K500,Datos!$A:$C,2,FALSE)</f>
        <v>#N/A</v>
      </c>
      <c r="N500" s="12" t="e">
        <f>+VLOOKUP(M500,Datos!$F:$G,2,FALSE)</f>
        <v>#N/A</v>
      </c>
      <c r="O500" s="13">
        <f>IFERROR(IF(A500="SI",VLOOKUP(R500,Datos!$J$1:$K$50,2,FALSE)*C500,VLOOKUP(R500,Datos!$P$1:$T$13,2,FALSE)*C500),0)</f>
        <v>0</v>
      </c>
      <c r="P500" s="9"/>
      <c r="Q500" s="12" t="e">
        <f>+VLOOKUP(P500,Datos!$F:$G,2,FALSE)</f>
        <v>#N/A</v>
      </c>
      <c r="V500" s="10">
        <f t="shared" si="7"/>
        <v>0</v>
      </c>
      <c r="W500" s="10" t="e">
        <f>+VLOOKUP(M500,Datos!$F:$H,3,FALSE)</f>
        <v>#N/A</v>
      </c>
      <c r="X500">
        <v>0</v>
      </c>
      <c r="Y500" s="14"/>
      <c r="Z500" t="e">
        <f>VLOOKUP(M500,'[1]INDIVIDUAL UN'!$C$6:$F$222,4,FALSE)</f>
        <v>#N/A</v>
      </c>
    </row>
    <row r="501" spans="1:26" x14ac:dyDescent="0.35">
      <c r="A501" s="9" t="s">
        <v>25</v>
      </c>
      <c r="D501" s="10" t="s">
        <v>29</v>
      </c>
      <c r="J501" s="12" t="e">
        <f>+VLOOKUP(K501,Datos!$A:$C,3,FALSE)</f>
        <v>#N/A</v>
      </c>
      <c r="L501" s="12" t="e">
        <f>+VLOOKUP(K501,Datos!$A:$C,2,FALSE)</f>
        <v>#N/A</v>
      </c>
      <c r="N501" s="12" t="e">
        <f>+VLOOKUP(M501,Datos!$F:$G,2,FALSE)</f>
        <v>#N/A</v>
      </c>
      <c r="O501" s="13">
        <f>IFERROR(IF(A501="SI",VLOOKUP(R501,Datos!$J$1:$K$50,2,FALSE)*C501,VLOOKUP(R501,Datos!$P$1:$T$13,2,FALSE)*C501),0)</f>
        <v>0</v>
      </c>
      <c r="P501" s="9"/>
      <c r="Q501" s="12" t="e">
        <f>+VLOOKUP(P501,Datos!$F:$G,2,FALSE)</f>
        <v>#N/A</v>
      </c>
      <c r="V501" s="10">
        <f t="shared" si="7"/>
        <v>0</v>
      </c>
      <c r="W501" s="10" t="e">
        <f>+VLOOKUP(M501,Datos!$F:$H,3,FALSE)</f>
        <v>#N/A</v>
      </c>
      <c r="X501">
        <v>0</v>
      </c>
      <c r="Y501" s="14"/>
      <c r="Z501" t="e">
        <f>VLOOKUP(M501,'[1]INDIVIDUAL UN'!$C$6:$F$222,4,FALSE)</f>
        <v>#N/A</v>
      </c>
    </row>
    <row r="502" spans="1:26" x14ac:dyDescent="0.35">
      <c r="A502" s="9" t="s">
        <v>25</v>
      </c>
      <c r="D502" s="10" t="s">
        <v>29</v>
      </c>
      <c r="J502" s="12" t="e">
        <f>+VLOOKUP(K502,Datos!$A:$C,3,FALSE)</f>
        <v>#N/A</v>
      </c>
      <c r="L502" s="12" t="e">
        <f>+VLOOKUP(K502,Datos!$A:$C,2,FALSE)</f>
        <v>#N/A</v>
      </c>
      <c r="N502" s="12" t="e">
        <f>+VLOOKUP(M502,Datos!$F:$G,2,FALSE)</f>
        <v>#N/A</v>
      </c>
      <c r="O502" s="13">
        <f>IFERROR(IF(A502="SI",VLOOKUP(R502,Datos!$J$1:$K$50,2,FALSE)*C502,VLOOKUP(R502,Datos!$P$1:$T$13,2,FALSE)*C502),0)</f>
        <v>0</v>
      </c>
      <c r="P502" s="9"/>
      <c r="Q502" s="12" t="e">
        <f>+VLOOKUP(P502,Datos!$F:$G,2,FALSE)</f>
        <v>#N/A</v>
      </c>
      <c r="V502" s="10">
        <f t="shared" si="7"/>
        <v>0</v>
      </c>
      <c r="W502" s="10" t="e">
        <f>+VLOOKUP(M502,Datos!$F:$H,3,FALSE)</f>
        <v>#N/A</v>
      </c>
      <c r="X502">
        <v>0</v>
      </c>
      <c r="Y502" s="14"/>
      <c r="Z502" t="e">
        <f>VLOOKUP(M502,'[1]INDIVIDUAL UN'!$C$6:$F$222,4,FALSE)</f>
        <v>#N/A</v>
      </c>
    </row>
    <row r="503" spans="1:26" x14ac:dyDescent="0.35">
      <c r="A503" s="9" t="s">
        <v>25</v>
      </c>
      <c r="D503" s="10" t="s">
        <v>29</v>
      </c>
      <c r="J503" s="12" t="e">
        <f>+VLOOKUP(K503,Datos!$A:$C,3,FALSE)</f>
        <v>#N/A</v>
      </c>
      <c r="L503" s="12" t="e">
        <f>+VLOOKUP(K503,Datos!$A:$C,2,FALSE)</f>
        <v>#N/A</v>
      </c>
      <c r="N503" s="12" t="e">
        <f>+VLOOKUP(M503,Datos!$F:$G,2,FALSE)</f>
        <v>#N/A</v>
      </c>
      <c r="O503" s="13">
        <f>IFERROR(IF(A503="SI",VLOOKUP(R503,Datos!$J$1:$K$50,2,FALSE)*C503,VLOOKUP(R503,Datos!$P$1:$T$13,2,FALSE)*C503),0)</f>
        <v>0</v>
      </c>
      <c r="P503" s="9"/>
      <c r="Q503" s="12" t="e">
        <f>+VLOOKUP(P503,Datos!$F:$G,2,FALSE)</f>
        <v>#N/A</v>
      </c>
      <c r="V503" s="10">
        <f t="shared" si="7"/>
        <v>0</v>
      </c>
      <c r="W503" s="10" t="e">
        <f>+VLOOKUP(M503,Datos!$F:$H,3,FALSE)</f>
        <v>#N/A</v>
      </c>
      <c r="X503">
        <v>0</v>
      </c>
      <c r="Y503" s="14"/>
      <c r="Z503" t="e">
        <f>VLOOKUP(M503,'[1]INDIVIDUAL UN'!$C$6:$F$222,4,FALSE)</f>
        <v>#N/A</v>
      </c>
    </row>
    <row r="504" spans="1:26" x14ac:dyDescent="0.35">
      <c r="A504" s="9" t="s">
        <v>25</v>
      </c>
      <c r="C504" s="74"/>
      <c r="D504" s="10" t="s">
        <v>29</v>
      </c>
      <c r="G504" s="74"/>
      <c r="I504" s="66"/>
      <c r="J504" s="12" t="e">
        <f>+VLOOKUP(K504,Datos!$A:$C,3,FALSE)</f>
        <v>#N/A</v>
      </c>
      <c r="K504" s="74"/>
      <c r="L504" s="12" t="e">
        <f>+VLOOKUP(K504,Datos!$A:$C,2,FALSE)</f>
        <v>#N/A</v>
      </c>
      <c r="M504" s="74"/>
      <c r="N504" s="12" t="e">
        <f>+VLOOKUP(M504,Datos!$F:$G,2,FALSE)</f>
        <v>#N/A</v>
      </c>
      <c r="O504" s="13">
        <f>IFERROR(IF(A504="SI",VLOOKUP(R504,Datos!$J$1:$K$50,2,FALSE)*C504,VLOOKUP(R504,Datos!$P$1:$T$13,2,FALSE)*C504),0)</f>
        <v>0</v>
      </c>
      <c r="P504" s="74"/>
      <c r="Q504" s="12" t="e">
        <f>+VLOOKUP(P504,Datos!$F:$G,2,FALSE)</f>
        <v>#N/A</v>
      </c>
      <c r="V504" s="10">
        <f t="shared" si="7"/>
        <v>0</v>
      </c>
      <c r="W504" s="10" t="e">
        <f>+VLOOKUP(M504,Datos!$F:$H,3,FALSE)</f>
        <v>#N/A</v>
      </c>
      <c r="X504">
        <v>0</v>
      </c>
      <c r="Y504" s="14"/>
      <c r="Z504" t="e">
        <f>VLOOKUP(M504,'[1]INDIVIDUAL UN'!$C$6:$F$222,4,FALSE)</f>
        <v>#N/A</v>
      </c>
    </row>
    <row r="505" spans="1:26" x14ac:dyDescent="0.35">
      <c r="A505" s="9" t="s">
        <v>25</v>
      </c>
      <c r="D505" s="10" t="s">
        <v>29</v>
      </c>
      <c r="J505" s="12" t="e">
        <f>+VLOOKUP(K505,Datos!$A:$C,3,FALSE)</f>
        <v>#N/A</v>
      </c>
      <c r="L505" s="12" t="e">
        <f>+VLOOKUP(K505,Datos!$A:$C,2,FALSE)</f>
        <v>#N/A</v>
      </c>
      <c r="N505" s="12" t="e">
        <f>+VLOOKUP(M505,Datos!$F:$G,2,FALSE)</f>
        <v>#N/A</v>
      </c>
      <c r="O505" s="13">
        <f>IFERROR(IF(A505="SI",VLOOKUP(R505,Datos!$J$1:$K$50,2,FALSE)*C505,VLOOKUP(R505,Datos!$P$1:$T$13,2,FALSE)*C505),0)</f>
        <v>0</v>
      </c>
      <c r="P505" s="9"/>
      <c r="Q505" s="12" t="e">
        <f>+VLOOKUP(P505,Datos!$F:$G,2,FALSE)</f>
        <v>#N/A</v>
      </c>
      <c r="V505" s="10">
        <f t="shared" si="7"/>
        <v>0</v>
      </c>
      <c r="W505" s="10" t="e">
        <f>+VLOOKUP(M505,Datos!$F:$H,3,FALSE)</f>
        <v>#N/A</v>
      </c>
      <c r="X505">
        <v>0</v>
      </c>
      <c r="Y505" s="14"/>
      <c r="Z505" t="e">
        <f>VLOOKUP(M505,'[1]INDIVIDUAL UN'!$C$6:$F$222,4,FALSE)</f>
        <v>#N/A</v>
      </c>
    </row>
    <row r="506" spans="1:26" x14ac:dyDescent="0.35">
      <c r="A506" s="9" t="s">
        <v>25</v>
      </c>
      <c r="D506" s="10" t="s">
        <v>29</v>
      </c>
      <c r="J506" s="12" t="e">
        <f>+VLOOKUP(K506,Datos!$A:$C,3,FALSE)</f>
        <v>#N/A</v>
      </c>
      <c r="L506" s="12" t="e">
        <f>+VLOOKUP(K506,Datos!$A:$C,2,FALSE)</f>
        <v>#N/A</v>
      </c>
      <c r="N506" s="12" t="e">
        <f>+VLOOKUP(M506,Datos!$F:$G,2,FALSE)</f>
        <v>#N/A</v>
      </c>
      <c r="O506" s="13">
        <f>IFERROR(IF(A506="SI",VLOOKUP(R506,Datos!$J$1:$K$50,2,FALSE)*C506,VLOOKUP(R506,Datos!$P$1:$T$13,2,FALSE)*C506),0)</f>
        <v>0</v>
      </c>
      <c r="P506" s="9"/>
      <c r="Q506" s="12" t="e">
        <f>+VLOOKUP(P506,Datos!$F:$G,2,FALSE)</f>
        <v>#N/A</v>
      </c>
      <c r="V506" s="10">
        <f t="shared" si="7"/>
        <v>0</v>
      </c>
      <c r="W506" s="10" t="e">
        <f>+VLOOKUP(M506,Datos!$F:$H,3,FALSE)</f>
        <v>#N/A</v>
      </c>
      <c r="X506">
        <v>0</v>
      </c>
      <c r="Y506" s="14"/>
      <c r="Z506" t="e">
        <f>VLOOKUP(M506,'[1]INDIVIDUAL UN'!$C$6:$F$222,4,FALSE)</f>
        <v>#N/A</v>
      </c>
    </row>
    <row r="507" spans="1:26" x14ac:dyDescent="0.35">
      <c r="A507" s="9" t="s">
        <v>25</v>
      </c>
      <c r="D507" s="10" t="s">
        <v>29</v>
      </c>
      <c r="J507" s="12" t="e">
        <f>+VLOOKUP(K507,Datos!$A:$C,3,FALSE)</f>
        <v>#N/A</v>
      </c>
      <c r="L507" s="12" t="e">
        <f>+VLOOKUP(K507,Datos!$A:$C,2,FALSE)</f>
        <v>#N/A</v>
      </c>
      <c r="N507" s="12" t="e">
        <f>+VLOOKUP(M507,Datos!$F:$G,2,FALSE)</f>
        <v>#N/A</v>
      </c>
      <c r="O507" s="13">
        <f>IFERROR(IF(A507="SI",VLOOKUP(R507,Datos!$J$1:$K$50,2,FALSE)*C507,VLOOKUP(R507,Datos!$P$1:$T$13,2,FALSE)*C507),0)</f>
        <v>0</v>
      </c>
      <c r="P507" s="9"/>
      <c r="Q507" s="12" t="e">
        <f>+VLOOKUP(P507,Datos!$F:$G,2,FALSE)</f>
        <v>#N/A</v>
      </c>
      <c r="V507" s="10">
        <f t="shared" si="7"/>
        <v>0</v>
      </c>
      <c r="W507" s="10" t="e">
        <f>+VLOOKUP(M507,Datos!$F:$H,3,FALSE)</f>
        <v>#N/A</v>
      </c>
      <c r="X507">
        <v>0</v>
      </c>
      <c r="Y507" s="14"/>
      <c r="Z507" t="e">
        <f>VLOOKUP(M507,'[1]INDIVIDUAL UN'!$C$6:$F$222,4,FALSE)</f>
        <v>#N/A</v>
      </c>
    </row>
    <row r="508" spans="1:26" x14ac:dyDescent="0.35">
      <c r="A508" s="9" t="s">
        <v>25</v>
      </c>
      <c r="D508" s="10" t="s">
        <v>29</v>
      </c>
      <c r="J508" s="12" t="e">
        <f>+VLOOKUP(K508,Datos!$A:$C,3,FALSE)</f>
        <v>#N/A</v>
      </c>
      <c r="L508" s="12" t="e">
        <f>+VLOOKUP(K508,Datos!$A:$C,2,FALSE)</f>
        <v>#N/A</v>
      </c>
      <c r="N508" s="12" t="e">
        <f>+VLOOKUP(M508,Datos!$F:$G,2,FALSE)</f>
        <v>#N/A</v>
      </c>
      <c r="O508" s="13">
        <f>IFERROR(IF(A508="SI",VLOOKUP(R508,Datos!$J$1:$K$50,2,FALSE)*C508,VLOOKUP(R508,Datos!$P$1:$T$13,2,FALSE)*C508),0)</f>
        <v>0</v>
      </c>
      <c r="P508" s="9"/>
      <c r="Q508" s="12" t="e">
        <f>+VLOOKUP(P508,Datos!$F:$G,2,FALSE)</f>
        <v>#N/A</v>
      </c>
      <c r="V508" s="10">
        <f t="shared" si="7"/>
        <v>0</v>
      </c>
      <c r="W508" s="10" t="e">
        <f>+VLOOKUP(M508,Datos!$F:$H,3,FALSE)</f>
        <v>#N/A</v>
      </c>
      <c r="X508">
        <v>0</v>
      </c>
      <c r="Y508" s="14"/>
      <c r="Z508" t="e">
        <f>VLOOKUP(M508,'[1]INDIVIDUAL UN'!$C$6:$F$222,4,FALSE)</f>
        <v>#N/A</v>
      </c>
    </row>
    <row r="509" spans="1:26" x14ac:dyDescent="0.35">
      <c r="A509" s="9" t="s">
        <v>25</v>
      </c>
      <c r="D509" s="10" t="s">
        <v>29</v>
      </c>
      <c r="J509" s="12" t="e">
        <f>+VLOOKUP(K509,Datos!$A:$C,3,FALSE)</f>
        <v>#N/A</v>
      </c>
      <c r="L509" s="12" t="e">
        <f>+VLOOKUP(K509,Datos!$A:$C,2,FALSE)</f>
        <v>#N/A</v>
      </c>
      <c r="N509" s="12" t="e">
        <f>+VLOOKUP(M509,Datos!$F:$G,2,FALSE)</f>
        <v>#N/A</v>
      </c>
      <c r="O509" s="13">
        <f>IFERROR(IF(A509="SI",VLOOKUP(R509,Datos!$J$1:$K$50,2,FALSE)*C509,VLOOKUP(R509,Datos!$P$1:$T$13,2,FALSE)*C509),0)</f>
        <v>0</v>
      </c>
      <c r="P509" s="9"/>
      <c r="Q509" s="12" t="e">
        <f>+VLOOKUP(P509,Datos!$F:$G,2,FALSE)</f>
        <v>#N/A</v>
      </c>
      <c r="V509" s="10">
        <f t="shared" ref="V509:V572" si="8">+COUNTIFS($G$2:$G$487,G509)</f>
        <v>0</v>
      </c>
      <c r="W509" s="10" t="e">
        <f>+VLOOKUP(M509,Datos!$F:$H,3,FALSE)</f>
        <v>#N/A</v>
      </c>
      <c r="X509">
        <v>0</v>
      </c>
      <c r="Y509" s="14"/>
      <c r="Z509" t="e">
        <f>VLOOKUP(M509,'[1]INDIVIDUAL UN'!$C$6:$F$222,4,FALSE)</f>
        <v>#N/A</v>
      </c>
    </row>
    <row r="510" spans="1:26" x14ac:dyDescent="0.35">
      <c r="A510" s="9" t="s">
        <v>25</v>
      </c>
      <c r="D510" s="10" t="s">
        <v>29</v>
      </c>
      <c r="J510" s="12" t="e">
        <f>+VLOOKUP(K510,Datos!$A:$C,3,FALSE)</f>
        <v>#N/A</v>
      </c>
      <c r="L510" s="12" t="e">
        <f>+VLOOKUP(K510,Datos!$A:$C,2,FALSE)</f>
        <v>#N/A</v>
      </c>
      <c r="N510" s="12" t="e">
        <f>+VLOOKUP(M510,Datos!$F:$G,2,FALSE)</f>
        <v>#N/A</v>
      </c>
      <c r="O510" s="13">
        <f>IFERROR(IF(A510="SI",VLOOKUP(R510,Datos!$J$1:$K$50,2,FALSE)*C510,VLOOKUP(R510,Datos!$P$1:$T$13,2,FALSE)*C510),0)</f>
        <v>0</v>
      </c>
      <c r="P510" s="9"/>
      <c r="Q510" s="12" t="e">
        <f>+VLOOKUP(P510,Datos!$F:$G,2,FALSE)</f>
        <v>#N/A</v>
      </c>
      <c r="V510" s="10">
        <f t="shared" si="8"/>
        <v>0</v>
      </c>
      <c r="W510" s="10" t="e">
        <f>+VLOOKUP(M510,Datos!$F:$H,3,FALSE)</f>
        <v>#N/A</v>
      </c>
      <c r="X510">
        <v>0</v>
      </c>
      <c r="Y510" s="14"/>
      <c r="Z510" t="e">
        <f>VLOOKUP(M510,'[1]INDIVIDUAL UN'!$C$6:$F$222,4,FALSE)</f>
        <v>#N/A</v>
      </c>
    </row>
    <row r="511" spans="1:26" x14ac:dyDescent="0.35">
      <c r="A511" s="9" t="s">
        <v>25</v>
      </c>
      <c r="D511" s="10" t="s">
        <v>29</v>
      </c>
      <c r="J511" s="12" t="e">
        <f>+VLOOKUP(K511,Datos!$A:$C,3,FALSE)</f>
        <v>#N/A</v>
      </c>
      <c r="L511" s="12" t="e">
        <f>+VLOOKUP(K511,Datos!$A:$C,2,FALSE)</f>
        <v>#N/A</v>
      </c>
      <c r="N511" s="12" t="e">
        <f>+VLOOKUP(M511,Datos!$F:$G,2,FALSE)</f>
        <v>#N/A</v>
      </c>
      <c r="O511" s="13">
        <f>IFERROR(IF(A511="SI",VLOOKUP(R511,Datos!$J$1:$K$50,2,FALSE)*C511,VLOOKUP(R511,Datos!$P$1:$T$13,2,FALSE)*C511),0)</f>
        <v>0</v>
      </c>
      <c r="P511" s="9"/>
      <c r="Q511" s="12" t="e">
        <f>+VLOOKUP(P511,Datos!$F:$G,2,FALSE)</f>
        <v>#N/A</v>
      </c>
      <c r="V511" s="10">
        <f t="shared" si="8"/>
        <v>0</v>
      </c>
      <c r="W511" s="10" t="e">
        <f>+VLOOKUP(M511,Datos!$F:$H,3,FALSE)</f>
        <v>#N/A</v>
      </c>
      <c r="X511">
        <v>0</v>
      </c>
      <c r="Y511" s="14"/>
      <c r="Z511" t="e">
        <f>VLOOKUP(M511,'[1]INDIVIDUAL UN'!$C$6:$F$222,4,FALSE)</f>
        <v>#N/A</v>
      </c>
    </row>
    <row r="512" spans="1:26" x14ac:dyDescent="0.35">
      <c r="A512" s="9" t="s">
        <v>25</v>
      </c>
      <c r="D512" s="10" t="s">
        <v>29</v>
      </c>
      <c r="J512" s="12" t="e">
        <f>+VLOOKUP(K512,Datos!$A:$C,3,FALSE)</f>
        <v>#N/A</v>
      </c>
      <c r="L512" s="12" t="e">
        <f>+VLOOKUP(K512,Datos!$A:$C,2,FALSE)</f>
        <v>#N/A</v>
      </c>
      <c r="N512" s="12" t="e">
        <f>+VLOOKUP(M512,Datos!$F:$G,2,FALSE)</f>
        <v>#N/A</v>
      </c>
      <c r="O512" s="13">
        <f>IFERROR(IF(A512="SI",VLOOKUP(R512,Datos!$J$1:$K$50,2,FALSE)*C512,VLOOKUP(R512,Datos!$P$1:$T$13,2,FALSE)*C512),0)</f>
        <v>0</v>
      </c>
      <c r="P512" s="9"/>
      <c r="Q512" s="12" t="e">
        <f>+VLOOKUP(P512,Datos!$F:$G,2,FALSE)</f>
        <v>#N/A</v>
      </c>
      <c r="V512" s="10">
        <f t="shared" si="8"/>
        <v>0</v>
      </c>
      <c r="W512" s="10" t="e">
        <f>+VLOOKUP(M512,Datos!$F:$H,3,FALSE)</f>
        <v>#N/A</v>
      </c>
      <c r="X512">
        <v>0</v>
      </c>
      <c r="Y512" s="14"/>
      <c r="Z512" t="e">
        <f>VLOOKUP(M512,'[1]INDIVIDUAL UN'!$C$6:$F$222,4,FALSE)</f>
        <v>#N/A</v>
      </c>
    </row>
    <row r="513" spans="1:26" x14ac:dyDescent="0.35">
      <c r="A513" s="9" t="s">
        <v>25</v>
      </c>
      <c r="D513" s="10" t="s">
        <v>29</v>
      </c>
      <c r="J513" s="12" t="e">
        <f>+VLOOKUP(K513,Datos!$A:$C,3,FALSE)</f>
        <v>#N/A</v>
      </c>
      <c r="L513" s="12" t="e">
        <f>+VLOOKUP(K513,Datos!$A:$C,2,FALSE)</f>
        <v>#N/A</v>
      </c>
      <c r="N513" s="12" t="e">
        <f>+VLOOKUP(M513,Datos!$F:$G,2,FALSE)</f>
        <v>#N/A</v>
      </c>
      <c r="O513" s="13">
        <f>IFERROR(IF(A513="SI",VLOOKUP(R513,Datos!$J$1:$K$50,2,FALSE)*C513,VLOOKUP(R513,Datos!$P$1:$T$13,2,FALSE)*C513),0)</f>
        <v>0</v>
      </c>
      <c r="P513" s="9"/>
      <c r="Q513" s="12" t="e">
        <f>+VLOOKUP(P513,Datos!$F:$G,2,FALSE)</f>
        <v>#N/A</v>
      </c>
      <c r="V513" s="10">
        <f t="shared" si="8"/>
        <v>0</v>
      </c>
      <c r="W513" s="10" t="e">
        <f>+VLOOKUP(M513,Datos!$F:$H,3,FALSE)</f>
        <v>#N/A</v>
      </c>
      <c r="X513">
        <v>0</v>
      </c>
      <c r="Y513" s="14"/>
      <c r="Z513" t="e">
        <f>VLOOKUP(M513,'[1]INDIVIDUAL UN'!$C$6:$F$222,4,FALSE)</f>
        <v>#N/A</v>
      </c>
    </row>
    <row r="514" spans="1:26" x14ac:dyDescent="0.35">
      <c r="A514" s="9" t="s">
        <v>25</v>
      </c>
      <c r="D514" s="10" t="s">
        <v>29</v>
      </c>
      <c r="J514" s="12" t="e">
        <f>+VLOOKUP(K514,Datos!$A:$C,3,FALSE)</f>
        <v>#N/A</v>
      </c>
      <c r="L514" s="12" t="e">
        <f>+VLOOKUP(K514,Datos!$A:$C,2,FALSE)</f>
        <v>#N/A</v>
      </c>
      <c r="N514" s="12" t="e">
        <f>+VLOOKUP(M514,Datos!$F:$G,2,FALSE)</f>
        <v>#N/A</v>
      </c>
      <c r="O514" s="13">
        <f>IFERROR(IF(A514="SI",VLOOKUP(R514,Datos!$J$1:$K$50,2,FALSE)*C514,VLOOKUP(R514,Datos!$P$1:$T$13,2,FALSE)*C514),0)</f>
        <v>0</v>
      </c>
      <c r="P514" s="9"/>
      <c r="Q514" s="12" t="e">
        <f>+VLOOKUP(P514,Datos!$F:$G,2,FALSE)</f>
        <v>#N/A</v>
      </c>
      <c r="V514" s="10">
        <f t="shared" si="8"/>
        <v>0</v>
      </c>
      <c r="W514" s="10" t="e">
        <f>+VLOOKUP(M514,Datos!$F:$H,3,FALSE)</f>
        <v>#N/A</v>
      </c>
      <c r="X514">
        <v>0</v>
      </c>
      <c r="Y514" s="14"/>
      <c r="Z514" t="e">
        <f>VLOOKUP(M514,'[1]INDIVIDUAL UN'!$C$6:$F$222,4,FALSE)</f>
        <v>#N/A</v>
      </c>
    </row>
    <row r="515" spans="1:26" x14ac:dyDescent="0.35">
      <c r="A515" s="9" t="s">
        <v>25</v>
      </c>
      <c r="D515" s="10" t="s">
        <v>29</v>
      </c>
      <c r="J515" s="12" t="e">
        <f>+VLOOKUP(K515,Datos!$A:$C,3,FALSE)</f>
        <v>#N/A</v>
      </c>
      <c r="L515" s="12" t="e">
        <f>+VLOOKUP(K515,Datos!$A:$C,2,FALSE)</f>
        <v>#N/A</v>
      </c>
      <c r="N515" s="12" t="e">
        <f>+VLOOKUP(M515,Datos!$F:$G,2,FALSE)</f>
        <v>#N/A</v>
      </c>
      <c r="O515" s="13">
        <f>IFERROR(IF(A515="SI",VLOOKUP(R515,Datos!$J$1:$K$50,2,FALSE)*C515,VLOOKUP(R515,Datos!$P$1:$T$13,2,FALSE)*C515),0)</f>
        <v>0</v>
      </c>
      <c r="P515" s="9"/>
      <c r="Q515" s="12" t="e">
        <f>+VLOOKUP(P515,Datos!$F:$G,2,FALSE)</f>
        <v>#N/A</v>
      </c>
      <c r="V515" s="10">
        <f t="shared" si="8"/>
        <v>0</v>
      </c>
      <c r="W515" s="10" t="e">
        <f>+VLOOKUP(M515,Datos!$F:$H,3,FALSE)</f>
        <v>#N/A</v>
      </c>
      <c r="X515">
        <v>0</v>
      </c>
      <c r="Y515" s="14"/>
      <c r="Z515" t="e">
        <f>VLOOKUP(M515,'[1]INDIVIDUAL UN'!$C$6:$F$222,4,FALSE)</f>
        <v>#N/A</v>
      </c>
    </row>
    <row r="516" spans="1:26" x14ac:dyDescent="0.35">
      <c r="A516" s="9" t="s">
        <v>25</v>
      </c>
      <c r="D516" s="10" t="s">
        <v>29</v>
      </c>
      <c r="J516" s="12" t="e">
        <f>+VLOOKUP(K516,Datos!$A:$C,3,FALSE)</f>
        <v>#N/A</v>
      </c>
      <c r="L516" s="12" t="e">
        <f>+VLOOKUP(K516,Datos!$A:$C,2,FALSE)</f>
        <v>#N/A</v>
      </c>
      <c r="N516" s="12" t="e">
        <f>+VLOOKUP(M516,Datos!$F:$G,2,FALSE)</f>
        <v>#N/A</v>
      </c>
      <c r="O516" s="13">
        <f>IFERROR(IF(A516="SI",VLOOKUP(R516,Datos!$J$1:$K$50,2,FALSE)*C516,VLOOKUP(R516,Datos!$P$1:$T$13,2,FALSE)*C516),0)</f>
        <v>0</v>
      </c>
      <c r="P516" s="9"/>
      <c r="Q516" s="12" t="e">
        <f>+VLOOKUP(P516,Datos!$F:$G,2,FALSE)</f>
        <v>#N/A</v>
      </c>
      <c r="V516" s="10">
        <f t="shared" si="8"/>
        <v>0</v>
      </c>
      <c r="W516" s="10" t="e">
        <f>+VLOOKUP(M516,Datos!$F:$H,3,FALSE)</f>
        <v>#N/A</v>
      </c>
      <c r="X516">
        <v>0</v>
      </c>
      <c r="Y516" s="14"/>
      <c r="Z516" t="e">
        <f>VLOOKUP(M516,'[1]INDIVIDUAL UN'!$C$6:$F$222,4,FALSE)</f>
        <v>#N/A</v>
      </c>
    </row>
    <row r="517" spans="1:26" x14ac:dyDescent="0.35">
      <c r="A517" s="9" t="s">
        <v>25</v>
      </c>
      <c r="D517" s="10" t="s">
        <v>29</v>
      </c>
      <c r="J517" s="12" t="e">
        <f>+VLOOKUP(K517,Datos!$A:$C,3,FALSE)</f>
        <v>#N/A</v>
      </c>
      <c r="L517" s="12" t="e">
        <f>+VLOOKUP(K517,Datos!$A:$C,2,FALSE)</f>
        <v>#N/A</v>
      </c>
      <c r="N517" s="12" t="e">
        <f>+VLOOKUP(M517,Datos!$F:$G,2,FALSE)</f>
        <v>#N/A</v>
      </c>
      <c r="O517" s="13">
        <f>IFERROR(IF(A517="SI",VLOOKUP(R517,Datos!$J$1:$K$50,2,FALSE)*C517,VLOOKUP(R517,Datos!$P$1:$T$13,2,FALSE)*C517),0)</f>
        <v>0</v>
      </c>
      <c r="P517" s="9"/>
      <c r="Q517" s="12" t="e">
        <f>+VLOOKUP(P517,Datos!$F:$G,2,FALSE)</f>
        <v>#N/A</v>
      </c>
      <c r="V517" s="10">
        <f t="shared" si="8"/>
        <v>0</v>
      </c>
      <c r="W517" s="10" t="e">
        <f>+VLOOKUP(M517,Datos!$F:$H,3,FALSE)</f>
        <v>#N/A</v>
      </c>
      <c r="X517">
        <v>0</v>
      </c>
      <c r="Y517" s="14"/>
      <c r="Z517" t="e">
        <f>VLOOKUP(M517,'[1]INDIVIDUAL UN'!$C$6:$F$222,4,FALSE)</f>
        <v>#N/A</v>
      </c>
    </row>
    <row r="518" spans="1:26" x14ac:dyDescent="0.35">
      <c r="A518" s="9" t="s">
        <v>25</v>
      </c>
      <c r="D518" s="10" t="s">
        <v>29</v>
      </c>
      <c r="J518" s="12" t="e">
        <f>+VLOOKUP(K518,Datos!$A:$C,3,FALSE)</f>
        <v>#N/A</v>
      </c>
      <c r="L518" s="12" t="e">
        <f>+VLOOKUP(K518,Datos!$A:$C,2,FALSE)</f>
        <v>#N/A</v>
      </c>
      <c r="N518" s="12" t="e">
        <f>+VLOOKUP(M518,Datos!$F:$G,2,FALSE)</f>
        <v>#N/A</v>
      </c>
      <c r="O518" s="13">
        <f>IFERROR(IF(A518="SI",VLOOKUP(R518,Datos!$J$1:$K$50,2,FALSE)*C518,VLOOKUP(R518,Datos!$P$1:$T$13,2,FALSE)*C518),0)</f>
        <v>0</v>
      </c>
      <c r="P518" s="9"/>
      <c r="Q518" s="12" t="e">
        <f>+VLOOKUP(P518,Datos!$F:$G,2,FALSE)</f>
        <v>#N/A</v>
      </c>
      <c r="V518" s="10">
        <f t="shared" si="8"/>
        <v>0</v>
      </c>
      <c r="W518" s="10" t="e">
        <f>+VLOOKUP(M518,Datos!$F:$H,3,FALSE)</f>
        <v>#N/A</v>
      </c>
      <c r="X518">
        <v>0</v>
      </c>
      <c r="Y518" s="14"/>
      <c r="Z518" t="e">
        <f>VLOOKUP(M518,'[1]INDIVIDUAL UN'!$C$6:$F$222,4,FALSE)</f>
        <v>#N/A</v>
      </c>
    </row>
    <row r="519" spans="1:26" x14ac:dyDescent="0.35">
      <c r="A519" s="9" t="s">
        <v>25</v>
      </c>
      <c r="D519" s="10" t="s">
        <v>29</v>
      </c>
      <c r="J519" s="12" t="e">
        <f>+VLOOKUP(K519,Datos!$A:$C,3,FALSE)</f>
        <v>#N/A</v>
      </c>
      <c r="L519" s="12" t="e">
        <f>+VLOOKUP(K519,Datos!$A:$C,2,FALSE)</f>
        <v>#N/A</v>
      </c>
      <c r="N519" s="12" t="e">
        <f>+VLOOKUP(M519,Datos!$F:$G,2,FALSE)</f>
        <v>#N/A</v>
      </c>
      <c r="O519" s="13">
        <f>IFERROR(IF(A519="SI",VLOOKUP(R519,Datos!$J$1:$K$50,2,FALSE)*C519,VLOOKUP(R519,Datos!$P$1:$T$13,2,FALSE)*C519),0)</f>
        <v>0</v>
      </c>
      <c r="P519" s="9"/>
      <c r="Q519" s="12" t="e">
        <f>+VLOOKUP(P519,Datos!$F:$G,2,FALSE)</f>
        <v>#N/A</v>
      </c>
      <c r="V519" s="10">
        <f t="shared" si="8"/>
        <v>0</v>
      </c>
      <c r="W519" s="10" t="e">
        <f>+VLOOKUP(M519,Datos!$F:$H,3,FALSE)</f>
        <v>#N/A</v>
      </c>
      <c r="X519">
        <v>0</v>
      </c>
      <c r="Y519" s="14"/>
      <c r="Z519" t="e">
        <f>VLOOKUP(M519,'[1]INDIVIDUAL UN'!$C$6:$F$222,4,FALSE)</f>
        <v>#N/A</v>
      </c>
    </row>
    <row r="520" spans="1:26" x14ac:dyDescent="0.35">
      <c r="A520" s="9" t="s">
        <v>25</v>
      </c>
      <c r="C520" s="21"/>
      <c r="D520" s="10" t="s">
        <v>29</v>
      </c>
      <c r="E520" s="75"/>
      <c r="F520" s="75"/>
      <c r="G520" s="75"/>
      <c r="I520" s="76"/>
      <c r="J520" s="12" t="e">
        <f>+VLOOKUP(K520,Datos!$A:$C,3,FALSE)</f>
        <v>#N/A</v>
      </c>
      <c r="K520" s="21"/>
      <c r="L520" s="12" t="e">
        <f>+VLOOKUP(K520,Datos!$A:$C,2,FALSE)</f>
        <v>#N/A</v>
      </c>
      <c r="M520" s="21"/>
      <c r="N520" s="12" t="e">
        <f>+VLOOKUP(M520,Datos!$F:$G,2,FALSE)</f>
        <v>#N/A</v>
      </c>
      <c r="O520" s="13">
        <f>IFERROR(IF(A520="SI",VLOOKUP(R520,Datos!$J$1:$K$50,2,FALSE)*C520,VLOOKUP(R520,Datos!$P$1:$T$13,2,FALSE)*C520),0)</f>
        <v>0</v>
      </c>
      <c r="P520" s="21"/>
      <c r="Q520" s="12" t="e">
        <f>+VLOOKUP(P520,Datos!$F:$G,2,FALSE)</f>
        <v>#N/A</v>
      </c>
      <c r="V520" s="10">
        <f t="shared" si="8"/>
        <v>0</v>
      </c>
      <c r="W520" s="10" t="e">
        <f>+VLOOKUP(M520,Datos!$F:$H,3,FALSE)</f>
        <v>#N/A</v>
      </c>
      <c r="X520">
        <v>0</v>
      </c>
      <c r="Y520" s="14"/>
      <c r="Z520" t="e">
        <f>VLOOKUP(M520,'[1]INDIVIDUAL UN'!$C$6:$F$222,4,FALSE)</f>
        <v>#N/A</v>
      </c>
    </row>
    <row r="521" spans="1:26" x14ac:dyDescent="0.35">
      <c r="A521" s="9" t="s">
        <v>25</v>
      </c>
      <c r="C521" s="21"/>
      <c r="D521" s="10" t="s">
        <v>29</v>
      </c>
      <c r="E521" s="75"/>
      <c r="F521" s="75"/>
      <c r="G521" s="75"/>
      <c r="I521" s="76"/>
      <c r="J521" s="12" t="e">
        <f>+VLOOKUP(K521,Datos!$A:$C,3,FALSE)</f>
        <v>#N/A</v>
      </c>
      <c r="K521" s="21"/>
      <c r="L521" s="12" t="e">
        <f>+VLOOKUP(K521,Datos!$A:$C,2,FALSE)</f>
        <v>#N/A</v>
      </c>
      <c r="M521" s="21"/>
      <c r="N521" s="12" t="e">
        <f>+VLOOKUP(M521,Datos!$F:$G,2,FALSE)</f>
        <v>#N/A</v>
      </c>
      <c r="O521" s="13">
        <f>IFERROR(IF(A521="SI",VLOOKUP(R521,Datos!$J$1:$K$50,2,FALSE)*C521,VLOOKUP(R521,Datos!$P$1:$T$13,2,FALSE)*C521),0)</f>
        <v>0</v>
      </c>
      <c r="P521" s="21"/>
      <c r="Q521" s="12" t="e">
        <f>+VLOOKUP(P521,Datos!$F:$G,2,FALSE)</f>
        <v>#N/A</v>
      </c>
      <c r="V521" s="10">
        <f t="shared" si="8"/>
        <v>0</v>
      </c>
      <c r="W521" s="10" t="e">
        <f>+VLOOKUP(M521,Datos!$F:$H,3,FALSE)</f>
        <v>#N/A</v>
      </c>
      <c r="X521">
        <v>0</v>
      </c>
      <c r="Y521" s="14"/>
      <c r="Z521" t="e">
        <f>VLOOKUP(M521,'[1]INDIVIDUAL UN'!$C$6:$F$222,4,FALSE)</f>
        <v>#N/A</v>
      </c>
    </row>
    <row r="522" spans="1:26" x14ac:dyDescent="0.35">
      <c r="A522" s="9" t="s">
        <v>25</v>
      </c>
      <c r="D522" s="10" t="s">
        <v>29</v>
      </c>
      <c r="J522" s="12" t="e">
        <f>+VLOOKUP(K522,Datos!$A:$C,3,FALSE)</f>
        <v>#N/A</v>
      </c>
      <c r="L522" s="12" t="e">
        <f>+VLOOKUP(K522,Datos!$A:$C,2,FALSE)</f>
        <v>#N/A</v>
      </c>
      <c r="N522" s="12" t="e">
        <f>+VLOOKUP(M522,Datos!$F:$G,2,FALSE)</f>
        <v>#N/A</v>
      </c>
      <c r="O522" s="13">
        <f>IFERROR(IF(A522="SI",VLOOKUP(R522,Datos!$J$1:$K$50,2,FALSE)*C522,VLOOKUP(R522,Datos!$P$1:$T$13,2,FALSE)*C522),0)</f>
        <v>0</v>
      </c>
      <c r="P522" s="9"/>
      <c r="Q522" s="12" t="e">
        <f>+VLOOKUP(P522,Datos!$F:$G,2,FALSE)</f>
        <v>#N/A</v>
      </c>
      <c r="V522" s="10">
        <f t="shared" si="8"/>
        <v>0</v>
      </c>
      <c r="W522" s="10" t="e">
        <f>+VLOOKUP(M522,Datos!$F:$H,3,FALSE)</f>
        <v>#N/A</v>
      </c>
      <c r="X522">
        <v>0</v>
      </c>
      <c r="Y522" s="14"/>
      <c r="Z522" t="e">
        <f>VLOOKUP(M522,'[1]INDIVIDUAL UN'!$C$6:$F$222,4,FALSE)</f>
        <v>#N/A</v>
      </c>
    </row>
    <row r="523" spans="1:26" x14ac:dyDescent="0.35">
      <c r="A523" s="9" t="s">
        <v>25</v>
      </c>
      <c r="D523" s="10" t="s">
        <v>29</v>
      </c>
      <c r="J523" s="12" t="e">
        <f>+VLOOKUP(K523,Datos!$A:$C,3,FALSE)</f>
        <v>#N/A</v>
      </c>
      <c r="L523" s="12" t="e">
        <f>+VLOOKUP(K523,Datos!$A:$C,2,FALSE)</f>
        <v>#N/A</v>
      </c>
      <c r="N523" s="12" t="e">
        <f>+VLOOKUP(M523,Datos!$F:$G,2,FALSE)</f>
        <v>#N/A</v>
      </c>
      <c r="O523" s="13">
        <f>IFERROR(IF(A523="SI",VLOOKUP(R523,Datos!$J$1:$K$50,2,FALSE)*C523,VLOOKUP(R523,Datos!$P$1:$T$13,2,FALSE)*C523),0)</f>
        <v>0</v>
      </c>
      <c r="P523" s="9"/>
      <c r="Q523" s="12" t="e">
        <f>+VLOOKUP(P523,Datos!$F:$G,2,FALSE)</f>
        <v>#N/A</v>
      </c>
      <c r="V523" s="10">
        <f t="shared" si="8"/>
        <v>0</v>
      </c>
      <c r="W523" s="10" t="e">
        <f>+VLOOKUP(M523,Datos!$F:$H,3,FALSE)</f>
        <v>#N/A</v>
      </c>
      <c r="X523">
        <v>0</v>
      </c>
      <c r="Y523" s="14"/>
      <c r="Z523" t="e">
        <f>VLOOKUP(M523,'[1]INDIVIDUAL UN'!$C$6:$F$222,4,FALSE)</f>
        <v>#N/A</v>
      </c>
    </row>
    <row r="524" spans="1:26" x14ac:dyDescent="0.35">
      <c r="A524" s="9" t="s">
        <v>25</v>
      </c>
      <c r="C524" s="74"/>
      <c r="D524" s="10" t="s">
        <v>29</v>
      </c>
      <c r="G524" s="74"/>
      <c r="H524" s="66"/>
      <c r="I524" s="66"/>
      <c r="J524" s="12" t="e">
        <f>+VLOOKUP(K524,Datos!$A:$C,3,FALSE)</f>
        <v>#N/A</v>
      </c>
      <c r="K524" s="74"/>
      <c r="L524" s="12" t="e">
        <f>+VLOOKUP(K524,Datos!$A:$C,2,FALSE)</f>
        <v>#N/A</v>
      </c>
      <c r="M524" s="74"/>
      <c r="N524" s="12" t="e">
        <f>+VLOOKUP(M524,Datos!$F:$G,2,FALSE)</f>
        <v>#N/A</v>
      </c>
      <c r="O524" s="13">
        <f>IFERROR(IF(A524="SI",VLOOKUP(R524,Datos!$J$1:$K$50,2,FALSE)*C524,VLOOKUP(R524,Datos!$P$1:$T$13,2,FALSE)*C524),0)</f>
        <v>0</v>
      </c>
      <c r="P524" s="74"/>
      <c r="Q524" s="12" t="e">
        <f>+VLOOKUP(P524,Datos!$F:$G,2,FALSE)</f>
        <v>#N/A</v>
      </c>
      <c r="V524" s="10">
        <f t="shared" si="8"/>
        <v>0</v>
      </c>
      <c r="W524" s="10" t="e">
        <f>+VLOOKUP(M524,Datos!$F:$H,3,FALSE)</f>
        <v>#N/A</v>
      </c>
      <c r="X524">
        <v>0</v>
      </c>
      <c r="Y524" s="14"/>
      <c r="Z524" t="e">
        <f>VLOOKUP(M524,'[1]INDIVIDUAL UN'!$C$6:$F$222,4,FALSE)</f>
        <v>#N/A</v>
      </c>
    </row>
    <row r="525" spans="1:26" x14ac:dyDescent="0.35">
      <c r="A525" s="9" t="s">
        <v>25</v>
      </c>
      <c r="D525" s="10" t="s">
        <v>29</v>
      </c>
      <c r="J525" s="12" t="e">
        <f>+VLOOKUP(K525,Datos!$A:$C,3,FALSE)</f>
        <v>#N/A</v>
      </c>
      <c r="L525" s="12" t="e">
        <f>+VLOOKUP(K525,Datos!$A:$C,2,FALSE)</f>
        <v>#N/A</v>
      </c>
      <c r="N525" s="12" t="e">
        <f>+VLOOKUP(M525,Datos!$F:$G,2,FALSE)</f>
        <v>#N/A</v>
      </c>
      <c r="O525" s="13">
        <f>IFERROR(IF(A525="SI",VLOOKUP(R525,Datos!$J$1:$K$50,2,FALSE)*C525,VLOOKUP(R525,Datos!$P$1:$T$13,2,FALSE)*C525),0)</f>
        <v>0</v>
      </c>
      <c r="P525" s="9"/>
      <c r="Q525" s="12" t="e">
        <f>+VLOOKUP(P525,Datos!$F:$G,2,FALSE)</f>
        <v>#N/A</v>
      </c>
      <c r="V525" s="10">
        <f t="shared" si="8"/>
        <v>0</v>
      </c>
      <c r="W525" s="10" t="e">
        <f>+VLOOKUP(M525,Datos!$F:$H,3,FALSE)</f>
        <v>#N/A</v>
      </c>
      <c r="X525">
        <v>0</v>
      </c>
      <c r="Y525" s="14"/>
      <c r="Z525" t="e">
        <f>VLOOKUP(M525,'[1]INDIVIDUAL UN'!$C$6:$F$222,4,FALSE)</f>
        <v>#N/A</v>
      </c>
    </row>
    <row r="526" spans="1:26" x14ac:dyDescent="0.35">
      <c r="A526" s="9" t="s">
        <v>25</v>
      </c>
      <c r="C526" s="21"/>
      <c r="D526" s="10" t="s">
        <v>29</v>
      </c>
      <c r="E526" s="75"/>
      <c r="F526" s="75"/>
      <c r="G526" s="75"/>
      <c r="I526" s="76"/>
      <c r="J526" s="12" t="e">
        <f>+VLOOKUP(K526,Datos!$A:$C,3,FALSE)</f>
        <v>#N/A</v>
      </c>
      <c r="K526" s="21"/>
      <c r="L526" s="12" t="e">
        <f>+VLOOKUP(K526,Datos!$A:$C,2,FALSE)</f>
        <v>#N/A</v>
      </c>
      <c r="M526" s="21"/>
      <c r="N526" s="12" t="e">
        <f>+VLOOKUP(M526,Datos!$F:$G,2,FALSE)</f>
        <v>#N/A</v>
      </c>
      <c r="O526" s="13">
        <f>IFERROR(IF(A526="SI",VLOOKUP(R526,Datos!$J$1:$K$50,2,FALSE)*C526,VLOOKUP(R526,Datos!$P$1:$T$13,2,FALSE)*C526),0)</f>
        <v>0</v>
      </c>
      <c r="P526" s="21"/>
      <c r="Q526" s="12" t="e">
        <f>+VLOOKUP(P526,Datos!$F:$G,2,FALSE)</f>
        <v>#N/A</v>
      </c>
      <c r="V526" s="10">
        <f t="shared" si="8"/>
        <v>0</v>
      </c>
      <c r="W526" s="10" t="e">
        <f>+VLOOKUP(M526,Datos!$F:$H,3,FALSE)</f>
        <v>#N/A</v>
      </c>
      <c r="X526">
        <v>0</v>
      </c>
      <c r="Y526" s="14"/>
      <c r="Z526" t="e">
        <f>VLOOKUP(M526,'[1]INDIVIDUAL UN'!$C$6:$F$222,4,FALSE)</f>
        <v>#N/A</v>
      </c>
    </row>
    <row r="527" spans="1:26" x14ac:dyDescent="0.35">
      <c r="A527" s="9" t="s">
        <v>25</v>
      </c>
      <c r="D527" s="10" t="s">
        <v>29</v>
      </c>
      <c r="J527" s="12" t="e">
        <f>+VLOOKUP(K527,Datos!$A:$C,3,FALSE)</f>
        <v>#N/A</v>
      </c>
      <c r="L527" s="12" t="e">
        <f>+VLOOKUP(K527,Datos!$A:$C,2,FALSE)</f>
        <v>#N/A</v>
      </c>
      <c r="N527" s="12" t="e">
        <f>+VLOOKUP(M527,Datos!$F:$G,2,FALSE)</f>
        <v>#N/A</v>
      </c>
      <c r="O527" s="13">
        <f>IFERROR(IF(A527="SI",VLOOKUP(R527,Datos!$J$1:$K$50,2,FALSE)*C527,VLOOKUP(R527,Datos!$P$1:$T$13,2,FALSE)*C527),0)</f>
        <v>0</v>
      </c>
      <c r="P527" s="9"/>
      <c r="Q527" s="12" t="e">
        <f>+VLOOKUP(P527,Datos!$F:$G,2,FALSE)</f>
        <v>#N/A</v>
      </c>
      <c r="V527" s="10">
        <f t="shared" si="8"/>
        <v>0</v>
      </c>
      <c r="W527" s="10" t="e">
        <f>+VLOOKUP(M527,Datos!$F:$H,3,FALSE)</f>
        <v>#N/A</v>
      </c>
      <c r="X527">
        <v>0</v>
      </c>
      <c r="Y527" s="14"/>
      <c r="Z527" t="e">
        <f>VLOOKUP(M527,'[1]INDIVIDUAL UN'!$C$6:$F$222,4,FALSE)</f>
        <v>#N/A</v>
      </c>
    </row>
    <row r="528" spans="1:26" x14ac:dyDescent="0.35">
      <c r="A528" s="9" t="s">
        <v>25</v>
      </c>
      <c r="D528" s="10" t="s">
        <v>29</v>
      </c>
      <c r="J528" s="12" t="e">
        <f>+VLOOKUP(K528,Datos!$A:$C,3,FALSE)</f>
        <v>#N/A</v>
      </c>
      <c r="L528" s="12" t="e">
        <f>+VLOOKUP(K528,Datos!$A:$C,2,FALSE)</f>
        <v>#N/A</v>
      </c>
      <c r="N528" s="12" t="e">
        <f>+VLOOKUP(M528,Datos!$F:$G,2,FALSE)</f>
        <v>#N/A</v>
      </c>
      <c r="O528" s="13">
        <f>IFERROR(IF(A528="SI",VLOOKUP(R528,Datos!$J$1:$K$50,2,FALSE)*C528,VLOOKUP(R528,Datos!$P$1:$T$13,2,FALSE)*C528),0)</f>
        <v>0</v>
      </c>
      <c r="P528" s="9"/>
      <c r="Q528" s="12" t="e">
        <f>+VLOOKUP(P528,Datos!$F:$G,2,FALSE)</f>
        <v>#N/A</v>
      </c>
      <c r="V528" s="10">
        <f t="shared" si="8"/>
        <v>0</v>
      </c>
      <c r="W528" s="10" t="e">
        <f>+VLOOKUP(M528,Datos!$F:$H,3,FALSE)</f>
        <v>#N/A</v>
      </c>
      <c r="X528">
        <v>0</v>
      </c>
      <c r="Y528" s="14"/>
      <c r="Z528" t="e">
        <f>VLOOKUP(M528,'[1]INDIVIDUAL UN'!$C$6:$F$222,4,FALSE)</f>
        <v>#N/A</v>
      </c>
    </row>
    <row r="529" spans="1:26" x14ac:dyDescent="0.35">
      <c r="A529" s="9" t="s">
        <v>25</v>
      </c>
      <c r="D529" s="10" t="s">
        <v>29</v>
      </c>
      <c r="J529" s="12" t="e">
        <f>+VLOOKUP(K529,Datos!$A:$C,3,FALSE)</f>
        <v>#N/A</v>
      </c>
      <c r="L529" s="12" t="e">
        <f>+VLOOKUP(K529,Datos!$A:$C,2,FALSE)</f>
        <v>#N/A</v>
      </c>
      <c r="N529" s="12" t="e">
        <f>+VLOOKUP(M529,Datos!$F:$G,2,FALSE)</f>
        <v>#N/A</v>
      </c>
      <c r="O529" s="13">
        <f>IFERROR(IF(A529="SI",VLOOKUP(R529,Datos!$J$1:$K$50,2,FALSE)*C529,VLOOKUP(R529,Datos!$P$1:$T$13,2,FALSE)*C529),0)</f>
        <v>0</v>
      </c>
      <c r="P529" s="9"/>
      <c r="Q529" s="12" t="e">
        <f>+VLOOKUP(P529,Datos!$F:$G,2,FALSE)</f>
        <v>#N/A</v>
      </c>
      <c r="V529" s="10">
        <f t="shared" si="8"/>
        <v>0</v>
      </c>
      <c r="W529" s="10" t="e">
        <f>+VLOOKUP(M529,Datos!$F:$H,3,FALSE)</f>
        <v>#N/A</v>
      </c>
      <c r="X529">
        <v>0</v>
      </c>
      <c r="Y529" s="14"/>
      <c r="Z529" t="e">
        <f>VLOOKUP(M529,'[1]INDIVIDUAL UN'!$C$6:$F$222,4,FALSE)</f>
        <v>#N/A</v>
      </c>
    </row>
    <row r="530" spans="1:26" x14ac:dyDescent="0.35">
      <c r="A530" s="9" t="s">
        <v>25</v>
      </c>
      <c r="D530" s="10" t="s">
        <v>29</v>
      </c>
      <c r="J530" s="12" t="e">
        <f>+VLOOKUP(K530,Datos!$A:$C,3,FALSE)</f>
        <v>#N/A</v>
      </c>
      <c r="L530" s="12" t="e">
        <f>+VLOOKUP(K530,Datos!$A:$C,2,FALSE)</f>
        <v>#N/A</v>
      </c>
      <c r="N530" s="12" t="e">
        <f>+VLOOKUP(M530,Datos!$F:$G,2,FALSE)</f>
        <v>#N/A</v>
      </c>
      <c r="O530" s="13">
        <f>IFERROR(IF(A530="SI",VLOOKUP(R530,Datos!$J$1:$K$50,2,FALSE)*C530,VLOOKUP(R530,Datos!$P$1:$T$13,2,FALSE)*C530),0)</f>
        <v>0</v>
      </c>
      <c r="P530" s="9"/>
      <c r="Q530" s="12" t="e">
        <f>+VLOOKUP(P530,Datos!$F:$G,2,FALSE)</f>
        <v>#N/A</v>
      </c>
      <c r="V530" s="10">
        <f t="shared" si="8"/>
        <v>0</v>
      </c>
      <c r="W530" s="10" t="e">
        <f>+VLOOKUP(M530,Datos!$F:$H,3,FALSE)</f>
        <v>#N/A</v>
      </c>
      <c r="X530">
        <v>0</v>
      </c>
      <c r="Y530" s="14"/>
      <c r="Z530" t="e">
        <f>VLOOKUP(M530,'[1]INDIVIDUAL UN'!$C$6:$F$222,4,FALSE)</f>
        <v>#N/A</v>
      </c>
    </row>
    <row r="531" spans="1:26" x14ac:dyDescent="0.35">
      <c r="A531" s="9" t="s">
        <v>25</v>
      </c>
      <c r="D531" s="10" t="s">
        <v>29</v>
      </c>
      <c r="J531" s="12" t="e">
        <f>+VLOOKUP(K531,Datos!$A:$C,3,FALSE)</f>
        <v>#N/A</v>
      </c>
      <c r="L531" s="12" t="e">
        <f>+VLOOKUP(K531,Datos!$A:$C,2,FALSE)</f>
        <v>#N/A</v>
      </c>
      <c r="N531" s="12" t="e">
        <f>+VLOOKUP(M531,Datos!$F:$G,2,FALSE)</f>
        <v>#N/A</v>
      </c>
      <c r="O531" s="13">
        <f>IFERROR(IF(A531="SI",VLOOKUP(R531,Datos!$J$1:$K$50,2,FALSE)*C531,VLOOKUP(R531,Datos!$P$1:$T$13,2,FALSE)*C531),0)</f>
        <v>0</v>
      </c>
      <c r="P531" s="9"/>
      <c r="Q531" s="12" t="e">
        <f>+VLOOKUP(P531,Datos!$F:$G,2,FALSE)</f>
        <v>#N/A</v>
      </c>
      <c r="V531" s="10">
        <f t="shared" si="8"/>
        <v>0</v>
      </c>
      <c r="W531" s="10" t="e">
        <f>+VLOOKUP(M531,Datos!$F:$H,3,FALSE)</f>
        <v>#N/A</v>
      </c>
      <c r="X531">
        <v>0</v>
      </c>
      <c r="Y531" s="14"/>
      <c r="Z531" t="e">
        <f>VLOOKUP(M531,'[1]INDIVIDUAL UN'!$C$6:$F$222,4,FALSE)</f>
        <v>#N/A</v>
      </c>
    </row>
    <row r="532" spans="1:26" x14ac:dyDescent="0.35">
      <c r="A532" s="9" t="s">
        <v>25</v>
      </c>
      <c r="D532" s="10" t="s">
        <v>29</v>
      </c>
      <c r="J532" s="12" t="e">
        <f>+VLOOKUP(K532,Datos!$A:$C,3,FALSE)</f>
        <v>#N/A</v>
      </c>
      <c r="L532" s="12" t="e">
        <f>+VLOOKUP(K532,Datos!$A:$C,2,FALSE)</f>
        <v>#N/A</v>
      </c>
      <c r="N532" s="12" t="e">
        <f>+VLOOKUP(M532,Datos!$F:$G,2,FALSE)</f>
        <v>#N/A</v>
      </c>
      <c r="O532" s="13">
        <f>IFERROR(IF(A532="SI",VLOOKUP(R532,Datos!$J$1:$K$50,2,FALSE)*C532,VLOOKUP(R532,Datos!$P$1:$T$13,2,FALSE)*C532),0)</f>
        <v>0</v>
      </c>
      <c r="P532" s="9"/>
      <c r="Q532" s="12" t="e">
        <f>+VLOOKUP(P532,Datos!$F:$G,2,FALSE)</f>
        <v>#N/A</v>
      </c>
      <c r="V532" s="10">
        <f t="shared" si="8"/>
        <v>0</v>
      </c>
      <c r="W532" s="10" t="e">
        <f>+VLOOKUP(M532,Datos!$F:$H,3,FALSE)</f>
        <v>#N/A</v>
      </c>
      <c r="X532">
        <v>0</v>
      </c>
      <c r="Y532" s="14"/>
      <c r="Z532" t="e">
        <f>VLOOKUP(M532,'[1]INDIVIDUAL UN'!$C$6:$F$222,4,FALSE)</f>
        <v>#N/A</v>
      </c>
    </row>
    <row r="533" spans="1:26" x14ac:dyDescent="0.35">
      <c r="A533" s="9" t="s">
        <v>25</v>
      </c>
      <c r="D533" s="10" t="s">
        <v>29</v>
      </c>
      <c r="J533" s="12" t="e">
        <f>+VLOOKUP(K533,Datos!$A:$C,3,FALSE)</f>
        <v>#N/A</v>
      </c>
      <c r="L533" s="12" t="e">
        <f>+VLOOKUP(K533,Datos!$A:$C,2,FALSE)</f>
        <v>#N/A</v>
      </c>
      <c r="N533" s="12" t="e">
        <f>+VLOOKUP(M533,Datos!$F:$G,2,FALSE)</f>
        <v>#N/A</v>
      </c>
      <c r="O533" s="13">
        <f>IFERROR(IF(A533="SI",VLOOKUP(R533,Datos!$J$1:$K$50,2,FALSE)*C533,VLOOKUP(R533,Datos!$P$1:$T$13,2,FALSE)*C533),0)</f>
        <v>0</v>
      </c>
      <c r="P533" s="9"/>
      <c r="Q533" s="12" t="e">
        <f>+VLOOKUP(P533,Datos!$F:$G,2,FALSE)</f>
        <v>#N/A</v>
      </c>
      <c r="V533" s="10">
        <f t="shared" si="8"/>
        <v>0</v>
      </c>
      <c r="W533" s="10" t="e">
        <f>+VLOOKUP(M533,Datos!$F:$H,3,FALSE)</f>
        <v>#N/A</v>
      </c>
      <c r="X533">
        <v>0</v>
      </c>
      <c r="Y533" s="14"/>
      <c r="Z533" t="e">
        <f>VLOOKUP(M533,'[1]INDIVIDUAL UN'!$C$6:$F$222,4,FALSE)</f>
        <v>#N/A</v>
      </c>
    </row>
    <row r="534" spans="1:26" x14ac:dyDescent="0.35">
      <c r="A534" s="9" t="s">
        <v>25</v>
      </c>
      <c r="D534" s="10" t="s">
        <v>29</v>
      </c>
      <c r="J534" s="12" t="e">
        <f>+VLOOKUP(K534,Datos!$A:$C,3,FALSE)</f>
        <v>#N/A</v>
      </c>
      <c r="L534" s="12" t="e">
        <f>+VLOOKUP(K534,Datos!$A:$C,2,FALSE)</f>
        <v>#N/A</v>
      </c>
      <c r="N534" s="12" t="e">
        <f>+VLOOKUP(M534,Datos!$F:$G,2,FALSE)</f>
        <v>#N/A</v>
      </c>
      <c r="O534" s="13">
        <f>IFERROR(IF(A534="SI",VLOOKUP(R534,Datos!$J$1:$K$50,2,FALSE)*C534,VLOOKUP(R534,Datos!$P$1:$T$13,2,FALSE)*C534),0)</f>
        <v>0</v>
      </c>
      <c r="P534" s="9"/>
      <c r="Q534" s="12" t="e">
        <f>+VLOOKUP(P534,Datos!$F:$G,2,FALSE)</f>
        <v>#N/A</v>
      </c>
      <c r="V534" s="10">
        <f t="shared" si="8"/>
        <v>0</v>
      </c>
      <c r="W534" s="10" t="e">
        <f>+VLOOKUP(M534,Datos!$F:$H,3,FALSE)</f>
        <v>#N/A</v>
      </c>
      <c r="X534">
        <v>0</v>
      </c>
      <c r="Y534" s="14"/>
      <c r="Z534" t="e">
        <f>VLOOKUP(M534,'[1]INDIVIDUAL UN'!$C$6:$F$222,4,FALSE)</f>
        <v>#N/A</v>
      </c>
    </row>
    <row r="535" spans="1:26" x14ac:dyDescent="0.35">
      <c r="A535" s="9" t="s">
        <v>25</v>
      </c>
      <c r="D535" s="10" t="s">
        <v>29</v>
      </c>
      <c r="E535" s="64"/>
      <c r="J535" s="12" t="e">
        <f>+VLOOKUP(K535,Datos!$A:$C,3,FALSE)</f>
        <v>#N/A</v>
      </c>
      <c r="L535" s="12" t="e">
        <f>+VLOOKUP(K535,Datos!$A:$C,2,FALSE)</f>
        <v>#N/A</v>
      </c>
      <c r="N535" s="12" t="e">
        <f>+VLOOKUP(M535,Datos!$F:$G,2,FALSE)</f>
        <v>#N/A</v>
      </c>
      <c r="O535" s="13">
        <f>IFERROR(IF(A535="SI",VLOOKUP(R535,Datos!$J$1:$K$50,2,FALSE)*C535,VLOOKUP(R535,Datos!$P$1:$T$13,2,FALSE)*C535),0)</f>
        <v>0</v>
      </c>
      <c r="P535" s="9"/>
      <c r="Q535" s="12" t="e">
        <f>+VLOOKUP(P535,Datos!$F:$G,2,FALSE)</f>
        <v>#N/A</v>
      </c>
      <c r="V535" s="10">
        <f t="shared" si="8"/>
        <v>0</v>
      </c>
      <c r="W535" s="10" t="e">
        <f>+VLOOKUP(M535,Datos!$F:$H,3,FALSE)</f>
        <v>#N/A</v>
      </c>
      <c r="X535">
        <v>0</v>
      </c>
      <c r="Y535" s="14"/>
      <c r="Z535" t="e">
        <f>VLOOKUP(M535,'[1]INDIVIDUAL UN'!$C$6:$F$222,4,FALSE)</f>
        <v>#N/A</v>
      </c>
    </row>
    <row r="536" spans="1:26" x14ac:dyDescent="0.35">
      <c r="A536" s="9" t="s">
        <v>25</v>
      </c>
      <c r="D536" s="10" t="s">
        <v>29</v>
      </c>
      <c r="J536" s="12" t="e">
        <f>+VLOOKUP(K536,Datos!$A:$C,3,FALSE)</f>
        <v>#N/A</v>
      </c>
      <c r="L536" s="12" t="e">
        <f>+VLOOKUP(K536,Datos!$A:$C,2,FALSE)</f>
        <v>#N/A</v>
      </c>
      <c r="N536" s="12" t="e">
        <f>+VLOOKUP(M536,Datos!$F:$G,2,FALSE)</f>
        <v>#N/A</v>
      </c>
      <c r="O536" s="13">
        <f>IFERROR(IF(A536="SI",VLOOKUP(R536,Datos!$J$1:$K$50,2,FALSE)*C536,VLOOKUP(R536,Datos!$P$1:$T$13,2,FALSE)*C536),0)</f>
        <v>0</v>
      </c>
      <c r="P536" s="9"/>
      <c r="Q536" s="12" t="e">
        <f>+VLOOKUP(P536,Datos!$F:$G,2,FALSE)</f>
        <v>#N/A</v>
      </c>
      <c r="V536" s="10">
        <f t="shared" si="8"/>
        <v>0</v>
      </c>
      <c r="W536" s="10" t="e">
        <f>+VLOOKUP(M536,Datos!$F:$H,3,FALSE)</f>
        <v>#N/A</v>
      </c>
      <c r="X536">
        <v>0</v>
      </c>
      <c r="Y536" s="14"/>
      <c r="Z536" t="e">
        <f>VLOOKUP(M536,'[1]INDIVIDUAL UN'!$C$6:$F$222,4,FALSE)</f>
        <v>#N/A</v>
      </c>
    </row>
    <row r="537" spans="1:26" x14ac:dyDescent="0.35">
      <c r="A537" s="9" t="s">
        <v>25</v>
      </c>
      <c r="D537" s="10" t="s">
        <v>29</v>
      </c>
      <c r="J537" s="12" t="e">
        <f>+VLOOKUP(K537,Datos!$A:$C,3,FALSE)</f>
        <v>#N/A</v>
      </c>
      <c r="L537" s="12" t="e">
        <f>+VLOOKUP(K537,Datos!$A:$C,2,FALSE)</f>
        <v>#N/A</v>
      </c>
      <c r="N537" s="12" t="e">
        <f>+VLOOKUP(M537,Datos!$F:$G,2,FALSE)</f>
        <v>#N/A</v>
      </c>
      <c r="O537" s="13">
        <f>IFERROR(IF(A537="SI",VLOOKUP(R537,Datos!$J$1:$K$50,2,FALSE)*C537,VLOOKUP(R537,Datos!$P$1:$T$13,2,FALSE)*C537),0)</f>
        <v>0</v>
      </c>
      <c r="P537" s="9"/>
      <c r="Q537" s="12" t="e">
        <f>+VLOOKUP(P537,Datos!$F:$G,2,FALSE)</f>
        <v>#N/A</v>
      </c>
      <c r="V537" s="10">
        <f t="shared" si="8"/>
        <v>0</v>
      </c>
      <c r="W537" s="10" t="e">
        <f>+VLOOKUP(M537,Datos!$F:$H,3,FALSE)</f>
        <v>#N/A</v>
      </c>
      <c r="X537">
        <v>0</v>
      </c>
      <c r="Y537" s="14"/>
      <c r="Z537" t="e">
        <f>VLOOKUP(M537,'[1]INDIVIDUAL UN'!$C$6:$F$222,4,FALSE)</f>
        <v>#N/A</v>
      </c>
    </row>
    <row r="538" spans="1:26" x14ac:dyDescent="0.35">
      <c r="A538" s="9" t="s">
        <v>25</v>
      </c>
      <c r="D538" s="10" t="s">
        <v>29</v>
      </c>
      <c r="J538" s="12" t="e">
        <f>+VLOOKUP(K538,Datos!$A:$C,3,FALSE)</f>
        <v>#N/A</v>
      </c>
      <c r="L538" s="12" t="e">
        <f>+VLOOKUP(K538,Datos!$A:$C,2,FALSE)</f>
        <v>#N/A</v>
      </c>
      <c r="N538" s="12" t="e">
        <f>+VLOOKUP(M538,Datos!$F:$G,2,FALSE)</f>
        <v>#N/A</v>
      </c>
      <c r="O538" s="13">
        <f>IFERROR(IF(A538="SI",VLOOKUP(R538,Datos!$J$1:$K$50,2,FALSE)*C538,VLOOKUP(R538,Datos!$P$1:$T$13,2,FALSE)*C538),0)</f>
        <v>0</v>
      </c>
      <c r="P538" s="9"/>
      <c r="Q538" s="12" t="e">
        <f>+VLOOKUP(P538,Datos!$F:$G,2,FALSE)</f>
        <v>#N/A</v>
      </c>
      <c r="V538" s="10">
        <f t="shared" si="8"/>
        <v>0</v>
      </c>
      <c r="W538" s="10" t="e">
        <f>+VLOOKUP(M538,Datos!$F:$H,3,FALSE)</f>
        <v>#N/A</v>
      </c>
      <c r="X538">
        <v>0</v>
      </c>
      <c r="Y538" s="14"/>
      <c r="Z538" t="e">
        <f>VLOOKUP(M538,'[1]INDIVIDUAL UN'!$C$6:$F$222,4,FALSE)</f>
        <v>#N/A</v>
      </c>
    </row>
    <row r="539" spans="1:26" x14ac:dyDescent="0.35">
      <c r="A539" s="9" t="s">
        <v>25</v>
      </c>
      <c r="D539" s="10" t="s">
        <v>29</v>
      </c>
      <c r="J539" s="12" t="e">
        <f>+VLOOKUP(K539,Datos!$A:$C,3,FALSE)</f>
        <v>#N/A</v>
      </c>
      <c r="L539" s="12" t="e">
        <f>+VLOOKUP(K539,Datos!$A:$C,2,FALSE)</f>
        <v>#N/A</v>
      </c>
      <c r="N539" s="12" t="e">
        <f>+VLOOKUP(M539,Datos!$F:$G,2,FALSE)</f>
        <v>#N/A</v>
      </c>
      <c r="O539" s="13">
        <f>IFERROR(IF(A539="SI",VLOOKUP(R539,Datos!$J$1:$K$50,2,FALSE)*C539,VLOOKUP(R539,Datos!$P$1:$T$13,2,FALSE)*C539),0)</f>
        <v>0</v>
      </c>
      <c r="P539" s="9"/>
      <c r="Q539" s="12" t="e">
        <f>+VLOOKUP(P539,Datos!$F:$G,2,FALSE)</f>
        <v>#N/A</v>
      </c>
      <c r="V539" s="10">
        <f t="shared" si="8"/>
        <v>0</v>
      </c>
      <c r="W539" s="10" t="e">
        <f>+VLOOKUP(M539,Datos!$F:$H,3,FALSE)</f>
        <v>#N/A</v>
      </c>
      <c r="X539">
        <v>0</v>
      </c>
      <c r="Y539" s="14"/>
      <c r="Z539" t="e">
        <f>VLOOKUP(M539,'[1]INDIVIDUAL UN'!$C$6:$F$222,4,FALSE)</f>
        <v>#N/A</v>
      </c>
    </row>
    <row r="540" spans="1:26" x14ac:dyDescent="0.35">
      <c r="A540" s="9" t="s">
        <v>25</v>
      </c>
      <c r="D540" s="10" t="s">
        <v>29</v>
      </c>
      <c r="J540" s="12" t="e">
        <f>+VLOOKUP(K540,Datos!$A:$C,3,FALSE)</f>
        <v>#N/A</v>
      </c>
      <c r="L540" s="12" t="e">
        <f>+VLOOKUP(K540,Datos!$A:$C,2,FALSE)</f>
        <v>#N/A</v>
      </c>
      <c r="N540" s="12" t="e">
        <f>+VLOOKUP(M540,Datos!$F:$G,2,FALSE)</f>
        <v>#N/A</v>
      </c>
      <c r="O540" s="13">
        <f>IFERROR(IF(A540="SI",VLOOKUP(R540,Datos!$J$1:$K$50,2,FALSE)*C540,VLOOKUP(R540,Datos!$P$1:$T$13,2,FALSE)*C540),0)</f>
        <v>0</v>
      </c>
      <c r="P540" s="9"/>
      <c r="Q540" s="12" t="e">
        <f>+VLOOKUP(P540,Datos!$F:$G,2,FALSE)</f>
        <v>#N/A</v>
      </c>
      <c r="V540" s="10">
        <f t="shared" si="8"/>
        <v>0</v>
      </c>
      <c r="W540" s="10" t="e">
        <f>+VLOOKUP(M540,Datos!$F:$H,3,FALSE)</f>
        <v>#N/A</v>
      </c>
      <c r="X540">
        <v>0</v>
      </c>
      <c r="Y540" s="14"/>
      <c r="Z540" t="e">
        <f>VLOOKUP(M540,'[1]INDIVIDUAL UN'!$C$6:$F$222,4,FALSE)</f>
        <v>#N/A</v>
      </c>
    </row>
    <row r="541" spans="1:26" x14ac:dyDescent="0.35">
      <c r="A541" s="9" t="s">
        <v>25</v>
      </c>
      <c r="D541" s="10" t="s">
        <v>29</v>
      </c>
      <c r="J541" s="12" t="e">
        <f>+VLOOKUP(K541,Datos!$A:$C,3,FALSE)</f>
        <v>#N/A</v>
      </c>
      <c r="L541" s="12" t="e">
        <f>+VLOOKUP(K541,Datos!$A:$C,2,FALSE)</f>
        <v>#N/A</v>
      </c>
      <c r="N541" s="12" t="e">
        <f>+VLOOKUP(M541,Datos!$F:$G,2,FALSE)</f>
        <v>#N/A</v>
      </c>
      <c r="O541" s="13">
        <f>IFERROR(IF(A541="SI",VLOOKUP(R541,Datos!$J$1:$K$50,2,FALSE)*C541,VLOOKUP(R541,Datos!$P$1:$T$13,2,FALSE)*C541),0)</f>
        <v>0</v>
      </c>
      <c r="P541" s="9"/>
      <c r="Q541" s="12" t="e">
        <f>+VLOOKUP(P541,Datos!$F:$G,2,FALSE)</f>
        <v>#N/A</v>
      </c>
      <c r="V541" s="10">
        <f t="shared" si="8"/>
        <v>0</v>
      </c>
      <c r="W541" s="10" t="e">
        <f>+VLOOKUP(M541,Datos!$F:$H,3,FALSE)</f>
        <v>#N/A</v>
      </c>
      <c r="X541">
        <v>0</v>
      </c>
      <c r="Y541" s="14"/>
      <c r="Z541" t="e">
        <f>VLOOKUP(M541,'[1]INDIVIDUAL UN'!$C$6:$F$222,4,FALSE)</f>
        <v>#N/A</v>
      </c>
    </row>
    <row r="542" spans="1:26" x14ac:dyDescent="0.35">
      <c r="A542" s="9" t="s">
        <v>25</v>
      </c>
      <c r="D542" s="10" t="s">
        <v>29</v>
      </c>
      <c r="J542" s="12" t="e">
        <f>+VLOOKUP(K542,Datos!$A:$C,3,FALSE)</f>
        <v>#N/A</v>
      </c>
      <c r="L542" s="12" t="e">
        <f>+VLOOKUP(K542,Datos!$A:$C,2,FALSE)</f>
        <v>#N/A</v>
      </c>
      <c r="N542" s="12" t="e">
        <f>+VLOOKUP(M542,Datos!$F:$G,2,FALSE)</f>
        <v>#N/A</v>
      </c>
      <c r="O542" s="13">
        <f>IFERROR(IF(A542="SI",VLOOKUP(R542,Datos!$J$1:$K$50,2,FALSE)*C542,VLOOKUP(R542,Datos!$P$1:$T$13,2,FALSE)*C542),0)</f>
        <v>0</v>
      </c>
      <c r="P542" s="9"/>
      <c r="Q542" s="12" t="e">
        <f>+VLOOKUP(P542,Datos!$F:$G,2,FALSE)</f>
        <v>#N/A</v>
      </c>
      <c r="V542" s="10">
        <f t="shared" si="8"/>
        <v>0</v>
      </c>
      <c r="W542" s="10" t="e">
        <f>+VLOOKUP(M542,Datos!$F:$H,3,FALSE)</f>
        <v>#N/A</v>
      </c>
      <c r="X542">
        <v>0</v>
      </c>
      <c r="Y542" s="14"/>
      <c r="Z542" t="e">
        <f>VLOOKUP(M542,'[1]INDIVIDUAL UN'!$C$6:$F$222,4,FALSE)</f>
        <v>#N/A</v>
      </c>
    </row>
    <row r="543" spans="1:26" x14ac:dyDescent="0.35">
      <c r="A543" s="9" t="s">
        <v>25</v>
      </c>
      <c r="D543" s="10" t="s">
        <v>29</v>
      </c>
      <c r="J543" s="12" t="e">
        <f>+VLOOKUP(K543,Datos!$A:$C,3,FALSE)</f>
        <v>#N/A</v>
      </c>
      <c r="L543" s="12" t="e">
        <f>+VLOOKUP(K543,Datos!$A:$C,2,FALSE)</f>
        <v>#N/A</v>
      </c>
      <c r="N543" s="12" t="e">
        <f>+VLOOKUP(M543,Datos!$F:$G,2,FALSE)</f>
        <v>#N/A</v>
      </c>
      <c r="O543" s="13">
        <f>IFERROR(IF(A543="SI",VLOOKUP(R543,Datos!$J$1:$K$50,2,FALSE)*C543,VLOOKUP(R543,Datos!$P$1:$T$13,2,FALSE)*C543),0)</f>
        <v>0</v>
      </c>
      <c r="P543" s="9"/>
      <c r="Q543" s="12" t="e">
        <f>+VLOOKUP(P543,Datos!$F:$G,2,FALSE)</f>
        <v>#N/A</v>
      </c>
      <c r="V543" s="10">
        <f t="shared" si="8"/>
        <v>0</v>
      </c>
      <c r="W543" s="10" t="e">
        <f>+VLOOKUP(M543,Datos!$F:$H,3,FALSE)</f>
        <v>#N/A</v>
      </c>
      <c r="X543">
        <v>0</v>
      </c>
      <c r="Y543" s="14"/>
      <c r="Z543" t="e">
        <f>VLOOKUP(M543,'[1]INDIVIDUAL UN'!$C$6:$F$222,4,FALSE)</f>
        <v>#N/A</v>
      </c>
    </row>
    <row r="544" spans="1:26" x14ac:dyDescent="0.35">
      <c r="A544" s="9" t="s">
        <v>25</v>
      </c>
      <c r="D544" s="10" t="s">
        <v>29</v>
      </c>
      <c r="J544" s="12" t="e">
        <f>+VLOOKUP(K544,Datos!$A:$C,3,FALSE)</f>
        <v>#N/A</v>
      </c>
      <c r="L544" s="12" t="e">
        <f>+VLOOKUP(K544,Datos!$A:$C,2,FALSE)</f>
        <v>#N/A</v>
      </c>
      <c r="N544" s="12" t="e">
        <f>+VLOOKUP(M544,Datos!$F:$G,2,FALSE)</f>
        <v>#N/A</v>
      </c>
      <c r="O544" s="13">
        <f>IFERROR(IF(A544="SI",VLOOKUP(R544,Datos!$J$1:$K$50,2,FALSE)*C544,VLOOKUP(R544,Datos!$P$1:$T$13,2,FALSE)*C544),0)</f>
        <v>0</v>
      </c>
      <c r="P544" s="9"/>
      <c r="Q544" s="12" t="e">
        <f>+VLOOKUP(P544,Datos!$F:$G,2,FALSE)</f>
        <v>#N/A</v>
      </c>
      <c r="V544" s="10">
        <f t="shared" si="8"/>
        <v>0</v>
      </c>
      <c r="W544" s="10" t="e">
        <f>+VLOOKUP(M544,Datos!$F:$H,3,FALSE)</f>
        <v>#N/A</v>
      </c>
      <c r="X544">
        <v>0</v>
      </c>
      <c r="Y544" s="14"/>
      <c r="Z544" t="e">
        <f>VLOOKUP(M544,'[1]INDIVIDUAL UN'!$C$6:$F$222,4,FALSE)</f>
        <v>#N/A</v>
      </c>
    </row>
    <row r="545" spans="1:26" x14ac:dyDescent="0.35">
      <c r="A545" s="9" t="s">
        <v>25</v>
      </c>
      <c r="D545" s="10" t="s">
        <v>29</v>
      </c>
      <c r="E545" s="64"/>
      <c r="J545" s="12" t="e">
        <f>+VLOOKUP(K545,Datos!$A:$C,3,FALSE)</f>
        <v>#N/A</v>
      </c>
      <c r="L545" s="12" t="e">
        <f>+VLOOKUP(K545,Datos!$A:$C,2,FALSE)</f>
        <v>#N/A</v>
      </c>
      <c r="N545" s="12" t="e">
        <f>+VLOOKUP(M545,Datos!$F:$G,2,FALSE)</f>
        <v>#N/A</v>
      </c>
      <c r="O545" s="13">
        <f>IFERROR(IF(A545="SI",VLOOKUP(R545,Datos!$J$1:$K$50,2,FALSE)*C545,VLOOKUP(R545,Datos!$P$1:$T$13,2,FALSE)*C545),0)</f>
        <v>0</v>
      </c>
      <c r="P545" s="9"/>
      <c r="Q545" s="12" t="e">
        <f>+VLOOKUP(P545,Datos!$F:$G,2,FALSE)</f>
        <v>#N/A</v>
      </c>
      <c r="V545" s="10">
        <f t="shared" si="8"/>
        <v>0</v>
      </c>
      <c r="W545" s="10" t="e">
        <f>+VLOOKUP(M545,Datos!$F:$H,3,FALSE)</f>
        <v>#N/A</v>
      </c>
      <c r="X545">
        <v>0</v>
      </c>
      <c r="Y545" s="14"/>
      <c r="Z545" t="e">
        <f>VLOOKUP(M545,'[1]INDIVIDUAL UN'!$C$6:$F$222,4,FALSE)</f>
        <v>#N/A</v>
      </c>
    </row>
    <row r="546" spans="1:26" x14ac:dyDescent="0.35">
      <c r="A546" s="9" t="s">
        <v>25</v>
      </c>
      <c r="D546" s="10" t="s">
        <v>29</v>
      </c>
      <c r="J546" s="12" t="e">
        <f>+VLOOKUP(K546,Datos!$A:$C,3,FALSE)</f>
        <v>#N/A</v>
      </c>
      <c r="L546" s="12" t="e">
        <f>+VLOOKUP(K546,Datos!$A:$C,2,FALSE)</f>
        <v>#N/A</v>
      </c>
      <c r="N546" s="12" t="e">
        <f>+VLOOKUP(M546,Datos!$F:$G,2,FALSE)</f>
        <v>#N/A</v>
      </c>
      <c r="O546" s="13">
        <f>IFERROR(IF(A546="SI",VLOOKUP(R546,Datos!$J$1:$K$50,2,FALSE)*C546,VLOOKUP(R546,Datos!$P$1:$T$13,2,FALSE)*C546),0)</f>
        <v>0</v>
      </c>
      <c r="P546" s="9"/>
      <c r="Q546" s="12" t="e">
        <f>+VLOOKUP(P546,Datos!$F:$G,2,FALSE)</f>
        <v>#N/A</v>
      </c>
      <c r="V546" s="10">
        <f t="shared" si="8"/>
        <v>0</v>
      </c>
      <c r="W546" s="10" t="e">
        <f>+VLOOKUP(M546,Datos!$F:$H,3,FALSE)</f>
        <v>#N/A</v>
      </c>
      <c r="X546">
        <v>0</v>
      </c>
      <c r="Y546" s="14"/>
      <c r="Z546" t="e">
        <f>VLOOKUP(M546,'[1]INDIVIDUAL UN'!$C$6:$F$222,4,FALSE)</f>
        <v>#N/A</v>
      </c>
    </row>
    <row r="547" spans="1:26" x14ac:dyDescent="0.35">
      <c r="A547" s="9" t="s">
        <v>25</v>
      </c>
      <c r="D547" s="10" t="s">
        <v>29</v>
      </c>
      <c r="J547" s="12" t="e">
        <f>+VLOOKUP(K547,Datos!$A:$C,3,FALSE)</f>
        <v>#N/A</v>
      </c>
      <c r="L547" s="12" t="e">
        <f>+VLOOKUP(K547,Datos!$A:$C,2,FALSE)</f>
        <v>#N/A</v>
      </c>
      <c r="N547" s="12" t="e">
        <f>+VLOOKUP(M547,Datos!$F:$G,2,FALSE)</f>
        <v>#N/A</v>
      </c>
      <c r="O547" s="13">
        <f>IFERROR(IF(A547="SI",VLOOKUP(R547,Datos!$J$1:$K$50,2,FALSE)*C547,VLOOKUP(R547,Datos!$P$1:$T$13,2,FALSE)*C547),0)</f>
        <v>0</v>
      </c>
      <c r="P547" s="9"/>
      <c r="Q547" s="12" t="e">
        <f>+VLOOKUP(P547,Datos!$F:$G,2,FALSE)</f>
        <v>#N/A</v>
      </c>
      <c r="V547" s="10">
        <f t="shared" si="8"/>
        <v>0</v>
      </c>
      <c r="W547" s="10" t="e">
        <f>+VLOOKUP(M547,Datos!$F:$H,3,FALSE)</f>
        <v>#N/A</v>
      </c>
      <c r="X547">
        <v>0</v>
      </c>
      <c r="Y547" s="14"/>
      <c r="Z547" t="e">
        <f>VLOOKUP(M547,'[1]INDIVIDUAL UN'!$C$6:$F$222,4,FALSE)</f>
        <v>#N/A</v>
      </c>
    </row>
    <row r="548" spans="1:26" x14ac:dyDescent="0.35">
      <c r="A548" s="9" t="s">
        <v>25</v>
      </c>
      <c r="D548" s="10" t="s">
        <v>29</v>
      </c>
      <c r="G548" s="77"/>
      <c r="J548" s="12" t="e">
        <f>+VLOOKUP(K548,Datos!$A:$C,3,FALSE)</f>
        <v>#N/A</v>
      </c>
      <c r="L548" s="12" t="e">
        <f>+VLOOKUP(K548,Datos!$A:$C,2,FALSE)</f>
        <v>#N/A</v>
      </c>
      <c r="N548" s="12" t="e">
        <f>+VLOOKUP(M548,Datos!$F:$G,2,FALSE)</f>
        <v>#N/A</v>
      </c>
      <c r="O548" s="13">
        <f>IFERROR(IF(A548="SI",VLOOKUP(R548,Datos!$J$1:$K$50,2,FALSE)*C548,VLOOKUP(R548,Datos!$P$1:$T$13,2,FALSE)*C548),0)</f>
        <v>0</v>
      </c>
      <c r="P548" s="9"/>
      <c r="Q548" s="12" t="e">
        <f>+VLOOKUP(P548,Datos!$F:$G,2,FALSE)</f>
        <v>#N/A</v>
      </c>
      <c r="V548" s="10">
        <f t="shared" si="8"/>
        <v>0</v>
      </c>
      <c r="W548" s="10" t="e">
        <f>+VLOOKUP(M548,Datos!$F:$H,3,FALSE)</f>
        <v>#N/A</v>
      </c>
      <c r="X548">
        <v>0</v>
      </c>
      <c r="Y548" s="14"/>
      <c r="Z548" t="e">
        <f>VLOOKUP(M548,'[1]INDIVIDUAL UN'!$C$6:$F$222,4,FALSE)</f>
        <v>#N/A</v>
      </c>
    </row>
    <row r="549" spans="1:26" x14ac:dyDescent="0.35">
      <c r="A549" s="9" t="s">
        <v>25</v>
      </c>
      <c r="D549" s="10" t="s">
        <v>29</v>
      </c>
      <c r="J549" s="12" t="e">
        <f>+VLOOKUP(K549,Datos!$A:$C,3,FALSE)</f>
        <v>#N/A</v>
      </c>
      <c r="L549" s="12" t="e">
        <f>+VLOOKUP(K549,Datos!$A:$C,2,FALSE)</f>
        <v>#N/A</v>
      </c>
      <c r="N549" s="12" t="e">
        <f>+VLOOKUP(M549,Datos!$F:$G,2,FALSE)</f>
        <v>#N/A</v>
      </c>
      <c r="O549" s="13">
        <f>IFERROR(IF(A549="SI",VLOOKUP(R549,Datos!$J$1:$K$50,2,FALSE)*C549,VLOOKUP(R549,Datos!$P$1:$T$13,2,FALSE)*C549),0)</f>
        <v>0</v>
      </c>
      <c r="P549" s="9"/>
      <c r="Q549" s="12" t="e">
        <f>+VLOOKUP(P549,Datos!$F:$G,2,FALSE)</f>
        <v>#N/A</v>
      </c>
      <c r="V549" s="10">
        <f t="shared" si="8"/>
        <v>0</v>
      </c>
      <c r="W549" s="10" t="e">
        <f>+VLOOKUP(M549,Datos!$F:$H,3,FALSE)</f>
        <v>#N/A</v>
      </c>
      <c r="X549">
        <v>0</v>
      </c>
      <c r="Y549" s="14"/>
      <c r="Z549" t="e">
        <f>VLOOKUP(M549,'[1]INDIVIDUAL UN'!$C$6:$F$222,4,FALSE)</f>
        <v>#N/A</v>
      </c>
    </row>
    <row r="550" spans="1:26" x14ac:dyDescent="0.35">
      <c r="A550" s="9" t="s">
        <v>25</v>
      </c>
      <c r="D550" s="10" t="s">
        <v>29</v>
      </c>
      <c r="J550" s="12" t="e">
        <f>+VLOOKUP(K550,Datos!$A:$C,3,FALSE)</f>
        <v>#N/A</v>
      </c>
      <c r="L550" s="12" t="e">
        <f>+VLOOKUP(K550,Datos!$A:$C,2,FALSE)</f>
        <v>#N/A</v>
      </c>
      <c r="N550" s="12" t="e">
        <f>+VLOOKUP(M550,Datos!$F:$G,2,FALSE)</f>
        <v>#N/A</v>
      </c>
      <c r="O550" s="13">
        <f>IFERROR(IF(A550="SI",VLOOKUP(R550,Datos!$J$1:$K$50,2,FALSE)*C550,VLOOKUP(R550,Datos!$P$1:$T$13,2,FALSE)*C550),0)</f>
        <v>0</v>
      </c>
      <c r="P550" s="9"/>
      <c r="Q550" s="12" t="e">
        <f>+VLOOKUP(P550,Datos!$F:$G,2,FALSE)</f>
        <v>#N/A</v>
      </c>
      <c r="V550" s="10">
        <f t="shared" si="8"/>
        <v>0</v>
      </c>
      <c r="W550" s="10" t="e">
        <f>+VLOOKUP(M550,Datos!$F:$H,3,FALSE)</f>
        <v>#N/A</v>
      </c>
      <c r="X550">
        <v>0</v>
      </c>
      <c r="Y550" s="14"/>
      <c r="Z550" t="e">
        <f>VLOOKUP(M550,'[1]INDIVIDUAL UN'!$C$6:$F$222,4,FALSE)</f>
        <v>#N/A</v>
      </c>
    </row>
    <row r="551" spans="1:26" x14ac:dyDescent="0.35">
      <c r="A551" s="9" t="s">
        <v>25</v>
      </c>
      <c r="D551" s="10" t="s">
        <v>29</v>
      </c>
      <c r="J551" s="12" t="e">
        <f>+VLOOKUP(K551,Datos!$A:$C,3,FALSE)</f>
        <v>#N/A</v>
      </c>
      <c r="L551" s="12" t="e">
        <f>+VLOOKUP(K551,Datos!$A:$C,2,FALSE)</f>
        <v>#N/A</v>
      </c>
      <c r="N551" s="12" t="e">
        <f>+VLOOKUP(M551,Datos!$F:$G,2,FALSE)</f>
        <v>#N/A</v>
      </c>
      <c r="O551" s="13">
        <f>IFERROR(IF(A551="SI",VLOOKUP(R551,Datos!$J$1:$K$50,2,FALSE)*C551,VLOOKUP(R551,Datos!$P$1:$T$13,2,FALSE)*C551),0)</f>
        <v>0</v>
      </c>
      <c r="P551" s="9"/>
      <c r="Q551" s="12" t="e">
        <f>+VLOOKUP(P551,Datos!$F:$G,2,FALSE)</f>
        <v>#N/A</v>
      </c>
      <c r="V551" s="10">
        <f t="shared" si="8"/>
        <v>0</v>
      </c>
      <c r="W551" s="10" t="e">
        <f>+VLOOKUP(M551,Datos!$F:$H,3,FALSE)</f>
        <v>#N/A</v>
      </c>
      <c r="X551">
        <v>0</v>
      </c>
      <c r="Y551" s="14"/>
      <c r="Z551" t="e">
        <f>VLOOKUP(M551,'[1]INDIVIDUAL UN'!$C$6:$F$222,4,FALSE)</f>
        <v>#N/A</v>
      </c>
    </row>
    <row r="552" spans="1:26" x14ac:dyDescent="0.35">
      <c r="A552" s="9" t="s">
        <v>25</v>
      </c>
      <c r="D552" s="10" t="s">
        <v>29</v>
      </c>
      <c r="J552" s="12" t="e">
        <f>+VLOOKUP(K552,Datos!$A:$C,3,FALSE)</f>
        <v>#N/A</v>
      </c>
      <c r="L552" s="12" t="e">
        <f>+VLOOKUP(K552,Datos!$A:$C,2,FALSE)</f>
        <v>#N/A</v>
      </c>
      <c r="N552" s="12" t="e">
        <f>+VLOOKUP(M552,Datos!$F:$G,2,FALSE)</f>
        <v>#N/A</v>
      </c>
      <c r="O552" s="13">
        <f>IFERROR(IF(A552="SI",VLOOKUP(R552,Datos!$J$1:$K$50,2,FALSE)*C552,VLOOKUP(R552,Datos!$P$1:$T$13,2,FALSE)*C552),0)</f>
        <v>0</v>
      </c>
      <c r="P552" s="9"/>
      <c r="Q552" s="12" t="e">
        <f>+VLOOKUP(P552,Datos!$F:$G,2,FALSE)</f>
        <v>#N/A</v>
      </c>
      <c r="V552" s="10">
        <f t="shared" si="8"/>
        <v>0</v>
      </c>
      <c r="W552" s="10" t="e">
        <f>+VLOOKUP(M552,Datos!$F:$H,3,FALSE)</f>
        <v>#N/A</v>
      </c>
      <c r="X552">
        <v>0</v>
      </c>
      <c r="Y552" s="14"/>
      <c r="Z552" t="e">
        <f>VLOOKUP(M552,'[1]INDIVIDUAL UN'!$C$6:$F$222,4,FALSE)</f>
        <v>#N/A</v>
      </c>
    </row>
    <row r="553" spans="1:26" x14ac:dyDescent="0.35">
      <c r="A553" s="9" t="s">
        <v>25</v>
      </c>
      <c r="D553" s="10" t="s">
        <v>29</v>
      </c>
      <c r="J553" s="12" t="e">
        <f>+VLOOKUP(K553,Datos!$A:$C,3,FALSE)</f>
        <v>#N/A</v>
      </c>
      <c r="L553" s="12" t="e">
        <f>+VLOOKUP(K553,Datos!$A:$C,2,FALSE)</f>
        <v>#N/A</v>
      </c>
      <c r="N553" s="12" t="e">
        <f>+VLOOKUP(M553,Datos!$F:$G,2,FALSE)</f>
        <v>#N/A</v>
      </c>
      <c r="O553" s="13">
        <f>IFERROR(IF(A553="SI",VLOOKUP(R553,Datos!$J$1:$K$50,2,FALSE)*C553,VLOOKUP(R553,Datos!$P$1:$T$13,2,FALSE)*C553),0)</f>
        <v>0</v>
      </c>
      <c r="P553" s="9"/>
      <c r="Q553" s="12" t="e">
        <f>+VLOOKUP(P553,Datos!$F:$G,2,FALSE)</f>
        <v>#N/A</v>
      </c>
      <c r="V553" s="10">
        <f t="shared" si="8"/>
        <v>0</v>
      </c>
      <c r="W553" s="10" t="e">
        <f>+VLOOKUP(M553,Datos!$F:$H,3,FALSE)</f>
        <v>#N/A</v>
      </c>
      <c r="X553">
        <v>0</v>
      </c>
      <c r="Y553" s="14"/>
      <c r="Z553" t="e">
        <f>VLOOKUP(M553,'[1]INDIVIDUAL UN'!$C$6:$F$222,4,FALSE)</f>
        <v>#N/A</v>
      </c>
    </row>
    <row r="554" spans="1:26" x14ac:dyDescent="0.35">
      <c r="A554" s="9" t="s">
        <v>25</v>
      </c>
      <c r="D554" s="10" t="s">
        <v>29</v>
      </c>
      <c r="J554" s="12" t="e">
        <f>+VLOOKUP(K554,Datos!$A:$C,3,FALSE)</f>
        <v>#N/A</v>
      </c>
      <c r="L554" s="12" t="e">
        <f>+VLOOKUP(K554,Datos!$A:$C,2,FALSE)</f>
        <v>#N/A</v>
      </c>
      <c r="N554" s="12" t="e">
        <f>+VLOOKUP(M554,Datos!$F:$G,2,FALSE)</f>
        <v>#N/A</v>
      </c>
      <c r="O554" s="13">
        <f>IFERROR(IF(A554="SI",VLOOKUP(R554,Datos!$J$1:$K$50,2,FALSE)*C554,VLOOKUP(R554,Datos!$P$1:$T$13,2,FALSE)*C554),0)</f>
        <v>0</v>
      </c>
      <c r="P554" s="9"/>
      <c r="Q554" s="12" t="e">
        <f>+VLOOKUP(P554,Datos!$F:$G,2,FALSE)</f>
        <v>#N/A</v>
      </c>
      <c r="V554" s="10">
        <f t="shared" si="8"/>
        <v>0</v>
      </c>
      <c r="W554" s="10" t="e">
        <f>+VLOOKUP(M554,Datos!$F:$H,3,FALSE)</f>
        <v>#N/A</v>
      </c>
      <c r="X554">
        <v>0</v>
      </c>
      <c r="Y554" s="14"/>
      <c r="Z554" t="e">
        <f>VLOOKUP(M554,'[1]INDIVIDUAL UN'!$C$6:$F$222,4,FALSE)</f>
        <v>#N/A</v>
      </c>
    </row>
    <row r="555" spans="1:26" x14ac:dyDescent="0.35">
      <c r="A555" s="9" t="s">
        <v>25</v>
      </c>
      <c r="D555" s="10" t="s">
        <v>29</v>
      </c>
      <c r="J555" s="12" t="e">
        <f>+VLOOKUP(K555,Datos!$A:$C,3,FALSE)</f>
        <v>#N/A</v>
      </c>
      <c r="L555" s="12" t="e">
        <f>+VLOOKUP(K555,Datos!$A:$C,2,FALSE)</f>
        <v>#N/A</v>
      </c>
      <c r="N555" s="12" t="e">
        <f>+VLOOKUP(M555,Datos!$F:$G,2,FALSE)</f>
        <v>#N/A</v>
      </c>
      <c r="O555" s="13">
        <f>IFERROR(IF(A555="SI",VLOOKUP(R555,Datos!$J$1:$K$50,2,FALSE)*C555,VLOOKUP(R555,Datos!$P$1:$T$13,2,FALSE)*C555),0)</f>
        <v>0</v>
      </c>
      <c r="P555" s="9"/>
      <c r="Q555" s="12" t="e">
        <f>+VLOOKUP(P555,Datos!$F:$G,2,FALSE)</f>
        <v>#N/A</v>
      </c>
      <c r="V555" s="10">
        <f t="shared" si="8"/>
        <v>0</v>
      </c>
      <c r="W555" s="10" t="e">
        <f>+VLOOKUP(M555,Datos!$F:$H,3,FALSE)</f>
        <v>#N/A</v>
      </c>
      <c r="X555">
        <v>0</v>
      </c>
      <c r="Y555" s="14"/>
      <c r="Z555" t="e">
        <f>VLOOKUP(M555,'[1]INDIVIDUAL UN'!$C$6:$F$222,4,FALSE)</f>
        <v>#N/A</v>
      </c>
    </row>
    <row r="556" spans="1:26" x14ac:dyDescent="0.35">
      <c r="A556" s="9" t="s">
        <v>25</v>
      </c>
      <c r="D556" s="10" t="s">
        <v>29</v>
      </c>
      <c r="J556" s="12" t="e">
        <f>+VLOOKUP(K556,Datos!$A:$C,3,FALSE)</f>
        <v>#N/A</v>
      </c>
      <c r="L556" s="12" t="e">
        <f>+VLOOKUP(K556,Datos!$A:$C,2,FALSE)</f>
        <v>#N/A</v>
      </c>
      <c r="N556" s="12" t="e">
        <f>+VLOOKUP(M556,Datos!$F:$G,2,FALSE)</f>
        <v>#N/A</v>
      </c>
      <c r="O556" s="13">
        <f>IFERROR(IF(A556="SI",VLOOKUP(R556,Datos!$J$1:$K$50,2,FALSE)*C556,VLOOKUP(R556,Datos!$P$1:$T$13,2,FALSE)*C556),0)</f>
        <v>0</v>
      </c>
      <c r="P556" s="9"/>
      <c r="Q556" s="12" t="e">
        <f>+VLOOKUP(P556,Datos!$F:$G,2,FALSE)</f>
        <v>#N/A</v>
      </c>
      <c r="V556" s="10">
        <f t="shared" si="8"/>
        <v>0</v>
      </c>
      <c r="W556" s="10" t="e">
        <f>+VLOOKUP(M556,Datos!$F:$H,3,FALSE)</f>
        <v>#N/A</v>
      </c>
      <c r="X556">
        <v>0</v>
      </c>
      <c r="Y556" s="14"/>
      <c r="Z556" t="e">
        <f>VLOOKUP(M556,'[1]INDIVIDUAL UN'!$C$6:$F$222,4,FALSE)</f>
        <v>#N/A</v>
      </c>
    </row>
    <row r="557" spans="1:26" x14ac:dyDescent="0.35">
      <c r="A557" s="9" t="s">
        <v>25</v>
      </c>
      <c r="D557" s="10" t="s">
        <v>29</v>
      </c>
      <c r="J557" s="12" t="e">
        <f>+VLOOKUP(K557,Datos!$A:$C,3,FALSE)</f>
        <v>#N/A</v>
      </c>
      <c r="L557" s="12" t="e">
        <f>+VLOOKUP(K557,Datos!$A:$C,2,FALSE)</f>
        <v>#N/A</v>
      </c>
      <c r="N557" s="12" t="e">
        <f>+VLOOKUP(M557,Datos!$F:$G,2,FALSE)</f>
        <v>#N/A</v>
      </c>
      <c r="O557" s="13">
        <f>IFERROR(IF(A557="SI",VLOOKUP(R557,Datos!$J$1:$K$50,2,FALSE)*C557,VLOOKUP(R557,Datos!$P$1:$T$13,2,FALSE)*C557),0)</f>
        <v>0</v>
      </c>
      <c r="P557" s="9"/>
      <c r="Q557" s="12" t="e">
        <f>+VLOOKUP(P557,Datos!$F:$G,2,FALSE)</f>
        <v>#N/A</v>
      </c>
      <c r="V557" s="10">
        <f t="shared" si="8"/>
        <v>0</v>
      </c>
      <c r="W557" s="10" t="e">
        <f>+VLOOKUP(M557,Datos!$F:$H,3,FALSE)</f>
        <v>#N/A</v>
      </c>
      <c r="X557">
        <v>0</v>
      </c>
      <c r="Y557" s="14"/>
      <c r="Z557" t="e">
        <f>VLOOKUP(M557,'[1]INDIVIDUAL UN'!$C$6:$F$222,4,FALSE)</f>
        <v>#N/A</v>
      </c>
    </row>
    <row r="558" spans="1:26" x14ac:dyDescent="0.35">
      <c r="A558" s="9" t="s">
        <v>25</v>
      </c>
      <c r="D558" s="10" t="s">
        <v>29</v>
      </c>
      <c r="J558" s="12" t="e">
        <f>+VLOOKUP(K558,Datos!$A:$C,3,FALSE)</f>
        <v>#N/A</v>
      </c>
      <c r="L558" s="12" t="e">
        <f>+VLOOKUP(K558,Datos!$A:$C,2,FALSE)</f>
        <v>#N/A</v>
      </c>
      <c r="N558" s="12" t="e">
        <f>+VLOOKUP(M558,Datos!$F:$G,2,FALSE)</f>
        <v>#N/A</v>
      </c>
      <c r="O558" s="13">
        <f>IFERROR(IF(A558="SI",VLOOKUP(R558,Datos!$J$1:$K$50,2,FALSE)*C558,VLOOKUP(R558,Datos!$P$1:$T$13,2,FALSE)*C558),0)</f>
        <v>0</v>
      </c>
      <c r="P558" s="9"/>
      <c r="Q558" s="12" t="e">
        <f>+VLOOKUP(P558,Datos!$F:$G,2,FALSE)</f>
        <v>#N/A</v>
      </c>
      <c r="V558" s="10">
        <f t="shared" si="8"/>
        <v>0</v>
      </c>
      <c r="W558" s="10" t="e">
        <f>+VLOOKUP(M558,Datos!$F:$H,3,FALSE)</f>
        <v>#N/A</v>
      </c>
      <c r="X558">
        <v>0</v>
      </c>
      <c r="Y558" s="14"/>
      <c r="Z558" t="e">
        <f>VLOOKUP(M558,'[1]INDIVIDUAL UN'!$C$6:$F$222,4,FALSE)</f>
        <v>#N/A</v>
      </c>
    </row>
    <row r="559" spans="1:26" x14ac:dyDescent="0.35">
      <c r="A559" s="9" t="s">
        <v>25</v>
      </c>
      <c r="C559" s="21"/>
      <c r="D559" s="10" t="s">
        <v>29</v>
      </c>
      <c r="E559" s="75"/>
      <c r="F559" s="75"/>
      <c r="G559" s="75"/>
      <c r="I559" s="76"/>
      <c r="J559" s="12" t="e">
        <f>+VLOOKUP(K559,Datos!$A:$C,3,FALSE)</f>
        <v>#N/A</v>
      </c>
      <c r="K559" s="21"/>
      <c r="L559" s="12" t="e">
        <f>+VLOOKUP(K559,Datos!$A:$C,2,FALSE)</f>
        <v>#N/A</v>
      </c>
      <c r="M559" s="21"/>
      <c r="N559" s="12" t="e">
        <f>+VLOOKUP(M559,Datos!$F:$G,2,FALSE)</f>
        <v>#N/A</v>
      </c>
      <c r="O559" s="13">
        <f>IFERROR(IF(A559="SI",VLOOKUP(R559,Datos!$J$1:$K$50,2,FALSE)*C559,VLOOKUP(R559,Datos!$P$1:$T$13,2,FALSE)*C559),0)</f>
        <v>0</v>
      </c>
      <c r="P559" s="21"/>
      <c r="Q559" s="12" t="e">
        <f>+VLOOKUP(P559,Datos!$F:$G,2,FALSE)</f>
        <v>#N/A</v>
      </c>
      <c r="V559" s="10">
        <f t="shared" si="8"/>
        <v>0</v>
      </c>
      <c r="W559" s="10" t="e">
        <f>+VLOOKUP(M559,Datos!$F:$H,3,FALSE)</f>
        <v>#N/A</v>
      </c>
      <c r="X559">
        <v>0</v>
      </c>
      <c r="Y559" s="14"/>
      <c r="Z559" t="e">
        <f>VLOOKUP(M559,'[1]INDIVIDUAL UN'!$C$6:$F$222,4,FALSE)</f>
        <v>#N/A</v>
      </c>
    </row>
    <row r="560" spans="1:26" x14ac:dyDescent="0.35">
      <c r="A560" s="9" t="s">
        <v>25</v>
      </c>
      <c r="D560" s="10" t="s">
        <v>29</v>
      </c>
      <c r="J560" s="12" t="e">
        <f>+VLOOKUP(K560,Datos!$A:$C,3,FALSE)</f>
        <v>#N/A</v>
      </c>
      <c r="L560" s="12" t="e">
        <f>+VLOOKUP(K560,Datos!$A:$C,2,FALSE)</f>
        <v>#N/A</v>
      </c>
      <c r="N560" s="12" t="e">
        <f>+VLOOKUP(M560,Datos!$F:$G,2,FALSE)</f>
        <v>#N/A</v>
      </c>
      <c r="O560" s="13">
        <f>IFERROR(IF(A560="SI",VLOOKUP(R560,Datos!$J$1:$K$50,2,FALSE)*C560,VLOOKUP(R560,Datos!$P$1:$T$13,2,FALSE)*C560),0)</f>
        <v>0</v>
      </c>
      <c r="P560" s="9"/>
      <c r="Q560" s="12" t="e">
        <f>+VLOOKUP(P560,Datos!$F:$G,2,FALSE)</f>
        <v>#N/A</v>
      </c>
      <c r="V560" s="10">
        <f t="shared" si="8"/>
        <v>0</v>
      </c>
      <c r="W560" s="10" t="e">
        <f>+VLOOKUP(M560,Datos!$F:$H,3,FALSE)</f>
        <v>#N/A</v>
      </c>
      <c r="X560">
        <v>0</v>
      </c>
      <c r="Y560" s="14"/>
      <c r="Z560" t="e">
        <f>VLOOKUP(M560,'[1]INDIVIDUAL UN'!$C$6:$F$222,4,FALSE)</f>
        <v>#N/A</v>
      </c>
    </row>
    <row r="561" spans="1:26" x14ac:dyDescent="0.35">
      <c r="A561" s="9" t="s">
        <v>25</v>
      </c>
      <c r="D561" s="10" t="s">
        <v>29</v>
      </c>
      <c r="J561" s="12" t="e">
        <f>+VLOOKUP(K561,Datos!$A:$C,3,FALSE)</f>
        <v>#N/A</v>
      </c>
      <c r="L561" s="12" t="e">
        <f>+VLOOKUP(K561,Datos!$A:$C,2,FALSE)</f>
        <v>#N/A</v>
      </c>
      <c r="N561" s="12" t="e">
        <f>+VLOOKUP(M561,Datos!$F:$G,2,FALSE)</f>
        <v>#N/A</v>
      </c>
      <c r="O561" s="13">
        <f>IFERROR(IF(A561="SI",VLOOKUP(R561,Datos!$J$1:$K$50,2,FALSE)*C561,VLOOKUP(R561,Datos!$P$1:$T$13,2,FALSE)*C561),0)</f>
        <v>0</v>
      </c>
      <c r="P561" s="9"/>
      <c r="Q561" s="12" t="e">
        <f>+VLOOKUP(P561,Datos!$F:$G,2,FALSE)</f>
        <v>#N/A</v>
      </c>
      <c r="V561" s="10">
        <f t="shared" si="8"/>
        <v>0</v>
      </c>
      <c r="W561" s="10" t="e">
        <f>+VLOOKUP(M561,Datos!$F:$H,3,FALSE)</f>
        <v>#N/A</v>
      </c>
      <c r="X561">
        <v>0</v>
      </c>
      <c r="Y561" s="14"/>
      <c r="Z561" t="e">
        <f>VLOOKUP(M561,'[1]INDIVIDUAL UN'!$C$6:$F$222,4,FALSE)</f>
        <v>#N/A</v>
      </c>
    </row>
    <row r="562" spans="1:26" x14ac:dyDescent="0.35">
      <c r="A562" s="9" t="s">
        <v>25</v>
      </c>
      <c r="D562" s="10" t="s">
        <v>29</v>
      </c>
      <c r="J562" s="12" t="e">
        <f>+VLOOKUP(K562,Datos!$A:$C,3,FALSE)</f>
        <v>#N/A</v>
      </c>
      <c r="L562" s="12" t="e">
        <f>+VLOOKUP(K562,Datos!$A:$C,2,FALSE)</f>
        <v>#N/A</v>
      </c>
      <c r="N562" s="12" t="e">
        <f>+VLOOKUP(M562,Datos!$F:$G,2,FALSE)</f>
        <v>#N/A</v>
      </c>
      <c r="O562" s="13">
        <f>IFERROR(IF(A562="SI",VLOOKUP(R562,Datos!$J$1:$K$50,2,FALSE)*C562,VLOOKUP(R562,Datos!$P$1:$T$13,2,FALSE)*C562),0)</f>
        <v>0</v>
      </c>
      <c r="P562" s="9"/>
      <c r="Q562" s="12" t="e">
        <f>+VLOOKUP(P562,Datos!$F:$G,2,FALSE)</f>
        <v>#N/A</v>
      </c>
      <c r="V562" s="10">
        <f t="shared" si="8"/>
        <v>0</v>
      </c>
      <c r="W562" s="10" t="e">
        <f>+VLOOKUP(M562,Datos!$F:$H,3,FALSE)</f>
        <v>#N/A</v>
      </c>
      <c r="X562">
        <v>0</v>
      </c>
      <c r="Y562" s="14"/>
      <c r="Z562" t="e">
        <f>VLOOKUP(M562,'[1]INDIVIDUAL UN'!$C$6:$F$222,4,FALSE)</f>
        <v>#N/A</v>
      </c>
    </row>
    <row r="563" spans="1:26" x14ac:dyDescent="0.35">
      <c r="A563" s="9" t="s">
        <v>25</v>
      </c>
      <c r="D563" s="10" t="s">
        <v>29</v>
      </c>
      <c r="J563" s="12" t="e">
        <f>+VLOOKUP(K563,Datos!$A:$C,3,FALSE)</f>
        <v>#N/A</v>
      </c>
      <c r="L563" s="12" t="e">
        <f>+VLOOKUP(K563,Datos!$A:$C,2,FALSE)</f>
        <v>#N/A</v>
      </c>
      <c r="N563" s="12" t="e">
        <f>+VLOOKUP(M563,Datos!$F:$G,2,FALSE)</f>
        <v>#N/A</v>
      </c>
      <c r="O563" s="13">
        <f>IFERROR(IF(A563="SI",VLOOKUP(R563,Datos!$J$1:$K$50,2,FALSE)*C563,VLOOKUP(R563,Datos!$P$1:$T$13,2,FALSE)*C563),0)</f>
        <v>0</v>
      </c>
      <c r="P563" s="9"/>
      <c r="Q563" s="12" t="e">
        <f>+VLOOKUP(P563,Datos!$F:$G,2,FALSE)</f>
        <v>#N/A</v>
      </c>
      <c r="V563" s="10">
        <f t="shared" si="8"/>
        <v>0</v>
      </c>
      <c r="W563" s="10" t="e">
        <f>+VLOOKUP(M563,Datos!$F:$H,3,FALSE)</f>
        <v>#N/A</v>
      </c>
      <c r="X563">
        <v>0</v>
      </c>
      <c r="Y563" s="14"/>
      <c r="Z563" t="e">
        <f>VLOOKUP(M563,'[1]INDIVIDUAL UN'!$C$6:$F$222,4,FALSE)</f>
        <v>#N/A</v>
      </c>
    </row>
    <row r="564" spans="1:26" x14ac:dyDescent="0.35">
      <c r="A564" s="9" t="s">
        <v>25</v>
      </c>
      <c r="D564" s="10" t="s">
        <v>29</v>
      </c>
      <c r="J564" s="12" t="e">
        <f>+VLOOKUP(K564,Datos!$A:$C,3,FALSE)</f>
        <v>#N/A</v>
      </c>
      <c r="L564" s="12" t="e">
        <f>+VLOOKUP(K564,Datos!$A:$C,2,FALSE)</f>
        <v>#N/A</v>
      </c>
      <c r="N564" s="12" t="e">
        <f>+VLOOKUP(M564,Datos!$F:$G,2,FALSE)</f>
        <v>#N/A</v>
      </c>
      <c r="O564" s="13">
        <f>IFERROR(IF(A564="SI",VLOOKUP(R564,Datos!$J$1:$K$50,2,FALSE)*C564,VLOOKUP(R564,Datos!$P$1:$T$13,2,FALSE)*C564),0)</f>
        <v>0</v>
      </c>
      <c r="P564" s="9"/>
      <c r="Q564" s="12" t="e">
        <f>+VLOOKUP(P564,Datos!$F:$G,2,FALSE)</f>
        <v>#N/A</v>
      </c>
      <c r="V564" s="10">
        <f t="shared" si="8"/>
        <v>0</v>
      </c>
      <c r="W564" s="10" t="e">
        <f>+VLOOKUP(M564,Datos!$F:$H,3,FALSE)</f>
        <v>#N/A</v>
      </c>
      <c r="X564">
        <v>0</v>
      </c>
      <c r="Y564" s="14"/>
      <c r="Z564" t="e">
        <f>VLOOKUP(M564,'[1]INDIVIDUAL UN'!$C$6:$F$222,4,FALSE)</f>
        <v>#N/A</v>
      </c>
    </row>
    <row r="565" spans="1:26" x14ac:dyDescent="0.35">
      <c r="A565" s="9" t="s">
        <v>25</v>
      </c>
      <c r="D565" s="10" t="s">
        <v>29</v>
      </c>
      <c r="J565" s="12" t="e">
        <f>+VLOOKUP(K565,Datos!$A:$C,3,FALSE)</f>
        <v>#N/A</v>
      </c>
      <c r="L565" s="12" t="e">
        <f>+VLOOKUP(K565,Datos!$A:$C,2,FALSE)</f>
        <v>#N/A</v>
      </c>
      <c r="N565" s="12" t="e">
        <f>+VLOOKUP(M565,Datos!$F:$G,2,FALSE)</f>
        <v>#N/A</v>
      </c>
      <c r="O565" s="13">
        <f>IFERROR(IF(A565="SI",VLOOKUP(R565,Datos!$J$1:$K$50,2,FALSE)*C565,VLOOKUP(R565,Datos!$P$1:$T$13,2,FALSE)*C565),0)</f>
        <v>0</v>
      </c>
      <c r="P565" s="9"/>
      <c r="Q565" s="12" t="e">
        <f>+VLOOKUP(P565,Datos!$F:$G,2,FALSE)</f>
        <v>#N/A</v>
      </c>
      <c r="V565" s="10">
        <f t="shared" si="8"/>
        <v>0</v>
      </c>
      <c r="W565" s="10" t="e">
        <f>+VLOOKUP(M565,Datos!$F:$H,3,FALSE)</f>
        <v>#N/A</v>
      </c>
      <c r="X565">
        <v>0</v>
      </c>
      <c r="Y565" s="14"/>
      <c r="Z565" t="e">
        <f>VLOOKUP(M565,'[1]INDIVIDUAL UN'!$C$6:$F$222,4,FALSE)</f>
        <v>#N/A</v>
      </c>
    </row>
    <row r="566" spans="1:26" x14ac:dyDescent="0.35">
      <c r="A566" s="9" t="s">
        <v>25</v>
      </c>
      <c r="D566" s="10" t="s">
        <v>29</v>
      </c>
      <c r="J566" s="12" t="e">
        <f>+VLOOKUP(K566,Datos!$A:$C,3,FALSE)</f>
        <v>#N/A</v>
      </c>
      <c r="L566" s="12" t="e">
        <f>+VLOOKUP(K566,Datos!$A:$C,2,FALSE)</f>
        <v>#N/A</v>
      </c>
      <c r="N566" s="12" t="e">
        <f>+VLOOKUP(M566,Datos!$F:$G,2,FALSE)</f>
        <v>#N/A</v>
      </c>
      <c r="O566" s="13">
        <f>IFERROR(IF(A566="SI",VLOOKUP(R566,Datos!$J$1:$K$50,2,FALSE)*C566,VLOOKUP(R566,Datos!$P$1:$T$13,2,FALSE)*C566),0)</f>
        <v>0</v>
      </c>
      <c r="P566" s="9"/>
      <c r="Q566" s="12" t="e">
        <f>+VLOOKUP(P566,Datos!$F:$G,2,FALSE)</f>
        <v>#N/A</v>
      </c>
      <c r="V566" s="10">
        <f t="shared" si="8"/>
        <v>0</v>
      </c>
      <c r="W566" s="10" t="e">
        <f>+VLOOKUP(M566,Datos!$F:$H,3,FALSE)</f>
        <v>#N/A</v>
      </c>
      <c r="X566">
        <v>0</v>
      </c>
      <c r="Y566" s="14"/>
      <c r="Z566" t="e">
        <f>VLOOKUP(M566,'[1]INDIVIDUAL UN'!$C$6:$F$222,4,FALSE)</f>
        <v>#N/A</v>
      </c>
    </row>
    <row r="567" spans="1:26" x14ac:dyDescent="0.35">
      <c r="A567" s="9" t="s">
        <v>25</v>
      </c>
      <c r="D567" s="10" t="s">
        <v>29</v>
      </c>
      <c r="J567" s="12" t="e">
        <f>+VLOOKUP(K567,Datos!$A:$C,3,FALSE)</f>
        <v>#N/A</v>
      </c>
      <c r="L567" s="12" t="e">
        <f>+VLOOKUP(K567,Datos!$A:$C,2,FALSE)</f>
        <v>#N/A</v>
      </c>
      <c r="N567" s="12" t="e">
        <f>+VLOOKUP(M567,Datos!$F:$G,2,FALSE)</f>
        <v>#N/A</v>
      </c>
      <c r="O567" s="13">
        <f>IFERROR(IF(A567="SI",VLOOKUP(R567,Datos!$J$1:$K$50,2,FALSE)*C567,VLOOKUP(R567,Datos!$P$1:$T$13,2,FALSE)*C567),0)</f>
        <v>0</v>
      </c>
      <c r="P567" s="9"/>
      <c r="Q567" s="12" t="e">
        <f>+VLOOKUP(P567,Datos!$F:$G,2,FALSE)</f>
        <v>#N/A</v>
      </c>
      <c r="V567" s="10">
        <f t="shared" si="8"/>
        <v>0</v>
      </c>
      <c r="W567" s="10" t="e">
        <f>+VLOOKUP(M567,Datos!$F:$H,3,FALSE)</f>
        <v>#N/A</v>
      </c>
      <c r="X567">
        <v>0</v>
      </c>
      <c r="Y567" s="14"/>
      <c r="Z567" t="e">
        <f>VLOOKUP(M567,'[1]INDIVIDUAL UN'!$C$6:$F$222,4,FALSE)</f>
        <v>#N/A</v>
      </c>
    </row>
    <row r="568" spans="1:26" x14ac:dyDescent="0.35">
      <c r="A568" s="9" t="s">
        <v>25</v>
      </c>
      <c r="D568" s="10" t="s">
        <v>29</v>
      </c>
      <c r="J568" s="12" t="e">
        <f>+VLOOKUP(K568,Datos!$A:$C,3,FALSE)</f>
        <v>#N/A</v>
      </c>
      <c r="L568" s="12" t="e">
        <f>+VLOOKUP(K568,Datos!$A:$C,2,FALSE)</f>
        <v>#N/A</v>
      </c>
      <c r="N568" s="12" t="e">
        <f>+VLOOKUP(M568,Datos!$F:$G,2,FALSE)</f>
        <v>#N/A</v>
      </c>
      <c r="O568" s="13">
        <f>IFERROR(IF(A568="SI",VLOOKUP(R568,Datos!$J$1:$K$50,2,FALSE)*C568,VLOOKUP(R568,Datos!$P$1:$T$13,2,FALSE)*C568),0)</f>
        <v>0</v>
      </c>
      <c r="P568" s="9"/>
      <c r="Q568" s="12" t="e">
        <f>+VLOOKUP(P568,Datos!$F:$G,2,FALSE)</f>
        <v>#N/A</v>
      </c>
      <c r="V568" s="10">
        <f t="shared" si="8"/>
        <v>0</v>
      </c>
      <c r="W568" s="10" t="e">
        <f>+VLOOKUP(M568,Datos!$F:$H,3,FALSE)</f>
        <v>#N/A</v>
      </c>
      <c r="X568">
        <v>0</v>
      </c>
      <c r="Y568" s="14"/>
      <c r="Z568" t="e">
        <f>VLOOKUP(M568,'[1]INDIVIDUAL UN'!$C$6:$F$222,4,FALSE)</f>
        <v>#N/A</v>
      </c>
    </row>
    <row r="569" spans="1:26" x14ac:dyDescent="0.35">
      <c r="A569" s="9" t="s">
        <v>25</v>
      </c>
      <c r="D569" s="10" t="s">
        <v>29</v>
      </c>
      <c r="J569" s="12" t="e">
        <f>+VLOOKUP(K569,Datos!$A:$C,3,FALSE)</f>
        <v>#N/A</v>
      </c>
      <c r="L569" s="12" t="e">
        <f>+VLOOKUP(K569,Datos!$A:$C,2,FALSE)</f>
        <v>#N/A</v>
      </c>
      <c r="N569" s="12" t="e">
        <f>+VLOOKUP(M569,Datos!$F:$G,2,FALSE)</f>
        <v>#N/A</v>
      </c>
      <c r="O569" s="13">
        <f>IFERROR(IF(A569="SI",VLOOKUP(R569,Datos!$J$1:$K$50,2,FALSE)*C569,VLOOKUP(R569,Datos!$P$1:$T$13,2,FALSE)*C569),0)</f>
        <v>0</v>
      </c>
      <c r="P569" s="9"/>
      <c r="Q569" s="12" t="e">
        <f>+VLOOKUP(P569,Datos!$F:$G,2,FALSE)</f>
        <v>#N/A</v>
      </c>
      <c r="V569" s="10">
        <f t="shared" si="8"/>
        <v>0</v>
      </c>
      <c r="W569" s="10" t="e">
        <f>+VLOOKUP(M569,Datos!$F:$H,3,FALSE)</f>
        <v>#N/A</v>
      </c>
      <c r="X569">
        <v>0</v>
      </c>
      <c r="Y569" s="14"/>
      <c r="Z569" t="e">
        <f>VLOOKUP(M569,'[1]INDIVIDUAL UN'!$C$6:$F$222,4,FALSE)</f>
        <v>#N/A</v>
      </c>
    </row>
    <row r="570" spans="1:26" x14ac:dyDescent="0.35">
      <c r="A570" s="9" t="s">
        <v>25</v>
      </c>
      <c r="D570" s="10" t="s">
        <v>29</v>
      </c>
      <c r="J570" s="12" t="e">
        <f>+VLOOKUP(K570,Datos!$A:$C,3,FALSE)</f>
        <v>#N/A</v>
      </c>
      <c r="L570" s="12" t="e">
        <f>+VLOOKUP(K570,Datos!$A:$C,2,FALSE)</f>
        <v>#N/A</v>
      </c>
      <c r="N570" s="12" t="e">
        <f>+VLOOKUP(M570,Datos!$F:$G,2,FALSE)</f>
        <v>#N/A</v>
      </c>
      <c r="O570" s="13">
        <f>IFERROR(IF(A570="SI",VLOOKUP(R570,Datos!$J$1:$K$50,2,FALSE)*C570,VLOOKUP(R570,Datos!$P$1:$T$13,2,FALSE)*C570),0)</f>
        <v>0</v>
      </c>
      <c r="P570" s="9"/>
      <c r="Q570" s="12" t="e">
        <f>+VLOOKUP(P570,Datos!$F:$G,2,FALSE)</f>
        <v>#N/A</v>
      </c>
      <c r="V570" s="10">
        <f t="shared" si="8"/>
        <v>0</v>
      </c>
      <c r="W570" s="10" t="e">
        <f>+VLOOKUP(M570,Datos!$F:$H,3,FALSE)</f>
        <v>#N/A</v>
      </c>
      <c r="X570">
        <v>0</v>
      </c>
      <c r="Y570" s="14"/>
      <c r="Z570" t="e">
        <f>VLOOKUP(M570,'[1]INDIVIDUAL UN'!$C$6:$F$222,4,FALSE)</f>
        <v>#N/A</v>
      </c>
    </row>
    <row r="571" spans="1:26" x14ac:dyDescent="0.35">
      <c r="A571" s="9" t="s">
        <v>25</v>
      </c>
      <c r="D571" s="10" t="s">
        <v>29</v>
      </c>
      <c r="J571" s="12" t="e">
        <f>+VLOOKUP(K571,Datos!$A:$C,3,FALSE)</f>
        <v>#N/A</v>
      </c>
      <c r="L571" s="12" t="e">
        <f>+VLOOKUP(K571,Datos!$A:$C,2,FALSE)</f>
        <v>#N/A</v>
      </c>
      <c r="N571" s="12" t="e">
        <f>+VLOOKUP(M571,Datos!$F:$G,2,FALSE)</f>
        <v>#N/A</v>
      </c>
      <c r="O571" s="13">
        <f>IFERROR(IF(A571="SI",VLOOKUP(R571,Datos!$J$1:$K$50,2,FALSE)*C571,VLOOKUP(R571,Datos!$P$1:$T$13,2,FALSE)*C571),0)</f>
        <v>0</v>
      </c>
      <c r="P571" s="9"/>
      <c r="Q571" s="12" t="e">
        <f>+VLOOKUP(P571,Datos!$F:$G,2,FALSE)</f>
        <v>#N/A</v>
      </c>
      <c r="V571" s="10">
        <f t="shared" si="8"/>
        <v>0</v>
      </c>
      <c r="W571" s="10" t="e">
        <f>+VLOOKUP(M571,Datos!$F:$H,3,FALSE)</f>
        <v>#N/A</v>
      </c>
      <c r="X571">
        <v>0</v>
      </c>
      <c r="Y571" s="14"/>
      <c r="Z571" t="e">
        <f>VLOOKUP(M571,'[1]INDIVIDUAL UN'!$C$6:$F$222,4,FALSE)</f>
        <v>#N/A</v>
      </c>
    </row>
    <row r="572" spans="1:26" x14ac:dyDescent="0.35">
      <c r="A572" s="9" t="s">
        <v>25</v>
      </c>
      <c r="D572" s="10" t="s">
        <v>29</v>
      </c>
      <c r="J572" s="12" t="e">
        <f>+VLOOKUP(K572,Datos!$A:$C,3,FALSE)</f>
        <v>#N/A</v>
      </c>
      <c r="L572" s="12" t="e">
        <f>+VLOOKUP(K572,Datos!$A:$C,2,FALSE)</f>
        <v>#N/A</v>
      </c>
      <c r="N572" s="12" t="e">
        <f>+VLOOKUP(M572,Datos!$F:$G,2,FALSE)</f>
        <v>#N/A</v>
      </c>
      <c r="O572" s="13">
        <f>IFERROR(IF(A572="SI",VLOOKUP(R572,Datos!$J$1:$K$50,2,FALSE)*C572,VLOOKUP(R572,Datos!$P$1:$T$13,2,FALSE)*C572),0)</f>
        <v>0</v>
      </c>
      <c r="P572" s="9"/>
      <c r="Q572" s="12" t="e">
        <f>+VLOOKUP(P572,Datos!$F:$G,2,FALSE)</f>
        <v>#N/A</v>
      </c>
      <c r="V572" s="10">
        <f t="shared" si="8"/>
        <v>0</v>
      </c>
      <c r="W572" s="10" t="e">
        <f>+VLOOKUP(M572,Datos!$F:$H,3,FALSE)</f>
        <v>#N/A</v>
      </c>
      <c r="X572">
        <v>0</v>
      </c>
      <c r="Y572" s="14"/>
      <c r="Z572" t="e">
        <f>VLOOKUP(M572,'[1]INDIVIDUAL UN'!$C$6:$F$222,4,FALSE)</f>
        <v>#N/A</v>
      </c>
    </row>
    <row r="573" spans="1:26" x14ac:dyDescent="0.35">
      <c r="A573" s="9" t="s">
        <v>25</v>
      </c>
      <c r="D573" s="10" t="s">
        <v>29</v>
      </c>
      <c r="J573" s="12" t="e">
        <f>+VLOOKUP(K573,Datos!$A:$C,3,FALSE)</f>
        <v>#N/A</v>
      </c>
      <c r="L573" s="12" t="e">
        <f>+VLOOKUP(K573,Datos!$A:$C,2,FALSE)</f>
        <v>#N/A</v>
      </c>
      <c r="N573" s="12" t="e">
        <f>+VLOOKUP(M573,Datos!$F:$G,2,FALSE)</f>
        <v>#N/A</v>
      </c>
      <c r="O573" s="13">
        <f>IFERROR(IF(A573="SI",VLOOKUP(R573,Datos!$J$1:$K$50,2,FALSE)*C573,VLOOKUP(R573,Datos!$P$1:$T$13,2,FALSE)*C573),0)</f>
        <v>0</v>
      </c>
      <c r="P573" s="9"/>
      <c r="Q573" s="12" t="e">
        <f>+VLOOKUP(P573,Datos!$F:$G,2,FALSE)</f>
        <v>#N/A</v>
      </c>
      <c r="V573" s="10">
        <f t="shared" ref="V573:V584" si="9">+COUNTIFS($G$2:$G$487,G573)</f>
        <v>0</v>
      </c>
      <c r="W573" s="10" t="e">
        <f>+VLOOKUP(M573,Datos!$F:$H,3,FALSE)</f>
        <v>#N/A</v>
      </c>
      <c r="X573">
        <v>0</v>
      </c>
      <c r="Y573" s="14"/>
      <c r="Z573" t="e">
        <f>VLOOKUP(M573,'[1]INDIVIDUAL UN'!$C$6:$F$222,4,FALSE)</f>
        <v>#N/A</v>
      </c>
    </row>
    <row r="574" spans="1:26" x14ac:dyDescent="0.35">
      <c r="A574" s="9" t="s">
        <v>25</v>
      </c>
      <c r="D574" s="10" t="s">
        <v>29</v>
      </c>
      <c r="J574" s="12" t="e">
        <f>+VLOOKUP(K574,Datos!$A:$C,3,FALSE)</f>
        <v>#N/A</v>
      </c>
      <c r="L574" s="12" t="e">
        <f>+VLOOKUP(K574,Datos!$A:$C,2,FALSE)</f>
        <v>#N/A</v>
      </c>
      <c r="N574" s="12" t="e">
        <f>+VLOOKUP(M574,Datos!$F:$G,2,FALSE)</f>
        <v>#N/A</v>
      </c>
      <c r="O574" s="13">
        <f>IFERROR(IF(A574="SI",VLOOKUP(R574,Datos!$J$1:$K$50,2,FALSE)*C574,VLOOKUP(R574,Datos!$P$1:$T$13,2,FALSE)*C574),0)</f>
        <v>0</v>
      </c>
      <c r="P574" s="9"/>
      <c r="Q574" s="12" t="e">
        <f>+VLOOKUP(P574,Datos!$F:$G,2,FALSE)</f>
        <v>#N/A</v>
      </c>
      <c r="V574" s="10">
        <f t="shared" si="9"/>
        <v>0</v>
      </c>
      <c r="W574" s="10" t="e">
        <f>+VLOOKUP(M574,Datos!$F:$H,3,FALSE)</f>
        <v>#N/A</v>
      </c>
      <c r="X574">
        <v>0</v>
      </c>
      <c r="Y574" s="14"/>
      <c r="Z574" t="e">
        <f>VLOOKUP(M574,'[1]INDIVIDUAL UN'!$C$6:$F$222,4,FALSE)</f>
        <v>#N/A</v>
      </c>
    </row>
    <row r="575" spans="1:26" x14ac:dyDescent="0.35">
      <c r="A575" s="9" t="s">
        <v>25</v>
      </c>
      <c r="D575" s="10" t="s">
        <v>29</v>
      </c>
      <c r="J575" s="12" t="e">
        <f>+VLOOKUP(K575,Datos!$A:$C,3,FALSE)</f>
        <v>#N/A</v>
      </c>
      <c r="L575" s="12" t="e">
        <f>+VLOOKUP(K575,Datos!$A:$C,2,FALSE)</f>
        <v>#N/A</v>
      </c>
      <c r="N575" s="12" t="e">
        <f>+VLOOKUP(M575,Datos!$F:$G,2,FALSE)</f>
        <v>#N/A</v>
      </c>
      <c r="O575" s="13">
        <f>IFERROR(IF(A575="SI",VLOOKUP(R575,Datos!$J$1:$K$50,2,FALSE)*C575,VLOOKUP(R575,Datos!$P$1:$T$13,2,FALSE)*C575),0)</f>
        <v>0</v>
      </c>
      <c r="P575" s="9"/>
      <c r="Q575" s="12" t="e">
        <f>+VLOOKUP(P575,Datos!$F:$G,2,FALSE)</f>
        <v>#N/A</v>
      </c>
      <c r="V575" s="10">
        <f t="shared" si="9"/>
        <v>0</v>
      </c>
      <c r="W575" s="10" t="e">
        <f>+VLOOKUP(M575,Datos!$F:$H,3,FALSE)</f>
        <v>#N/A</v>
      </c>
      <c r="X575">
        <v>0</v>
      </c>
      <c r="Y575" s="14"/>
      <c r="Z575" t="e">
        <f>VLOOKUP(M575,'[1]INDIVIDUAL UN'!$C$6:$F$222,4,FALSE)</f>
        <v>#N/A</v>
      </c>
    </row>
    <row r="576" spans="1:26" x14ac:dyDescent="0.35">
      <c r="A576" s="9" t="s">
        <v>25</v>
      </c>
      <c r="D576" s="10" t="s">
        <v>29</v>
      </c>
      <c r="J576" s="12" t="e">
        <f>+VLOOKUP(K576,Datos!$A:$C,3,FALSE)</f>
        <v>#N/A</v>
      </c>
      <c r="L576" s="12" t="e">
        <f>+VLOOKUP(K576,Datos!$A:$C,2,FALSE)</f>
        <v>#N/A</v>
      </c>
      <c r="N576" s="12" t="e">
        <f>+VLOOKUP(M576,Datos!$F:$G,2,FALSE)</f>
        <v>#N/A</v>
      </c>
      <c r="O576" s="13">
        <f>IFERROR(IF(A576="SI",VLOOKUP(R576,Datos!$J$1:$K$50,2,FALSE)*C576,VLOOKUP(R576,Datos!$P$1:$T$13,2,FALSE)*C576),0)</f>
        <v>0</v>
      </c>
      <c r="P576" s="9"/>
      <c r="Q576" s="12" t="e">
        <f>+VLOOKUP(P576,Datos!$F:$G,2,FALSE)</f>
        <v>#N/A</v>
      </c>
      <c r="V576" s="10">
        <f t="shared" si="9"/>
        <v>0</v>
      </c>
      <c r="W576" s="10" t="e">
        <f>+VLOOKUP(M576,Datos!$F:$H,3,FALSE)</f>
        <v>#N/A</v>
      </c>
      <c r="X576">
        <v>0</v>
      </c>
      <c r="Y576" s="14"/>
      <c r="Z576" t="e">
        <f>VLOOKUP(M576,'[1]INDIVIDUAL UN'!$C$6:$F$222,4,FALSE)</f>
        <v>#N/A</v>
      </c>
    </row>
    <row r="577" spans="1:26" x14ac:dyDescent="0.35">
      <c r="A577" s="9" t="s">
        <v>25</v>
      </c>
      <c r="D577" s="10" t="s">
        <v>29</v>
      </c>
      <c r="J577" s="12" t="e">
        <f>+VLOOKUP(K577,Datos!$A:$C,3,FALSE)</f>
        <v>#N/A</v>
      </c>
      <c r="L577" s="12" t="e">
        <f>+VLOOKUP(K577,Datos!$A:$C,2,FALSE)</f>
        <v>#N/A</v>
      </c>
      <c r="N577" s="12" t="e">
        <f>+VLOOKUP(M577,Datos!$F:$G,2,FALSE)</f>
        <v>#N/A</v>
      </c>
      <c r="O577" s="13">
        <f>IFERROR(IF(A577="SI",VLOOKUP(R577,Datos!$J$1:$K$50,2,FALSE)*C577,VLOOKUP(R577,Datos!$P$1:$T$13,2,FALSE)*C577),0)</f>
        <v>0</v>
      </c>
      <c r="P577" s="9"/>
      <c r="Q577" s="12" t="e">
        <f>+VLOOKUP(P577,Datos!$F:$G,2,FALSE)</f>
        <v>#N/A</v>
      </c>
      <c r="V577" s="10">
        <f t="shared" si="9"/>
        <v>0</v>
      </c>
      <c r="W577" s="10" t="e">
        <f>+VLOOKUP(M577,Datos!$F:$H,3,FALSE)</f>
        <v>#N/A</v>
      </c>
      <c r="X577">
        <v>0</v>
      </c>
      <c r="Y577" s="14"/>
      <c r="Z577" t="e">
        <f>VLOOKUP(M577,'[1]INDIVIDUAL UN'!$C$6:$F$222,4,FALSE)</f>
        <v>#N/A</v>
      </c>
    </row>
    <row r="578" spans="1:26" x14ac:dyDescent="0.35">
      <c r="A578" s="9" t="s">
        <v>25</v>
      </c>
      <c r="D578" s="10" t="s">
        <v>29</v>
      </c>
      <c r="J578" s="12" t="e">
        <f>+VLOOKUP(K578,Datos!$A:$C,3,FALSE)</f>
        <v>#N/A</v>
      </c>
      <c r="L578" s="12" t="e">
        <f>+VLOOKUP(K578,Datos!$A:$C,2,FALSE)</f>
        <v>#N/A</v>
      </c>
      <c r="N578" s="12" t="e">
        <f>+VLOOKUP(M578,Datos!$F:$G,2,FALSE)</f>
        <v>#N/A</v>
      </c>
      <c r="O578" s="13">
        <f>IFERROR(IF(A578="SI",VLOOKUP(R578,Datos!$J$1:$K$50,2,FALSE)*C578,VLOOKUP(R578,Datos!$P$1:$T$13,2,FALSE)*C578),0)</f>
        <v>0</v>
      </c>
      <c r="P578" s="9"/>
      <c r="Q578" s="12" t="e">
        <f>+VLOOKUP(P578,Datos!$F:$G,2,FALSE)</f>
        <v>#N/A</v>
      </c>
      <c r="V578" s="10">
        <f t="shared" si="9"/>
        <v>0</v>
      </c>
      <c r="W578" s="10" t="e">
        <f>+VLOOKUP(M578,Datos!$F:$H,3,FALSE)</f>
        <v>#N/A</v>
      </c>
      <c r="X578">
        <v>0</v>
      </c>
      <c r="Y578" s="14"/>
      <c r="Z578" t="e">
        <f>VLOOKUP(M578,'[1]INDIVIDUAL UN'!$C$6:$F$222,4,FALSE)</f>
        <v>#N/A</v>
      </c>
    </row>
    <row r="579" spans="1:26" x14ac:dyDescent="0.35">
      <c r="A579" s="9" t="s">
        <v>25</v>
      </c>
      <c r="D579" s="10" t="s">
        <v>29</v>
      </c>
      <c r="J579" s="12" t="e">
        <f>+VLOOKUP(K579,Datos!$A:$C,3,FALSE)</f>
        <v>#N/A</v>
      </c>
      <c r="L579" s="12" t="e">
        <f>+VLOOKUP(K579,Datos!$A:$C,2,FALSE)</f>
        <v>#N/A</v>
      </c>
      <c r="N579" s="12" t="e">
        <f>+VLOOKUP(M579,Datos!$F:$G,2,FALSE)</f>
        <v>#N/A</v>
      </c>
      <c r="O579" s="13">
        <f>IFERROR(IF(A579="SI",VLOOKUP(R579,Datos!$J$1:$K$50,2,FALSE)*C579,VLOOKUP(R579,Datos!$P$1:$T$13,2,FALSE)*C579),0)</f>
        <v>0</v>
      </c>
      <c r="P579" s="9"/>
      <c r="Q579" s="12" t="e">
        <f>+VLOOKUP(P579,Datos!$F:$G,2,FALSE)</f>
        <v>#N/A</v>
      </c>
      <c r="V579" s="10">
        <f t="shared" si="9"/>
        <v>0</v>
      </c>
      <c r="W579" s="10" t="e">
        <f>+VLOOKUP(M579,Datos!$F:$H,3,FALSE)</f>
        <v>#N/A</v>
      </c>
      <c r="X579">
        <v>0</v>
      </c>
      <c r="Y579" s="14"/>
      <c r="Z579" t="e">
        <f>VLOOKUP(M579,'[1]INDIVIDUAL UN'!$C$6:$F$222,4,FALSE)</f>
        <v>#N/A</v>
      </c>
    </row>
    <row r="580" spans="1:26" x14ac:dyDescent="0.35">
      <c r="A580" s="9" t="s">
        <v>25</v>
      </c>
      <c r="D580" s="10" t="s">
        <v>29</v>
      </c>
      <c r="J580" s="12" t="e">
        <f>+VLOOKUP(K580,Datos!$A:$C,3,FALSE)</f>
        <v>#N/A</v>
      </c>
      <c r="L580" s="12" t="e">
        <f>+VLOOKUP(K580,Datos!$A:$C,2,FALSE)</f>
        <v>#N/A</v>
      </c>
      <c r="N580" s="12" t="e">
        <f>+VLOOKUP(M580,Datos!$F:$G,2,FALSE)</f>
        <v>#N/A</v>
      </c>
      <c r="O580" s="13">
        <f>IFERROR(IF(A580="SI",VLOOKUP(R580,Datos!$J$1:$K$50,2,FALSE)*C580,VLOOKUP(R580,Datos!$P$1:$T$13,2,FALSE)*C580),0)</f>
        <v>0</v>
      </c>
      <c r="P580" s="9"/>
      <c r="Q580" s="12" t="e">
        <f>+VLOOKUP(P580,Datos!$F:$G,2,FALSE)</f>
        <v>#N/A</v>
      </c>
      <c r="V580" s="10">
        <f t="shared" si="9"/>
        <v>0</v>
      </c>
      <c r="W580" s="10" t="e">
        <f>+VLOOKUP(M580,Datos!$F:$H,3,FALSE)</f>
        <v>#N/A</v>
      </c>
      <c r="X580">
        <v>0</v>
      </c>
      <c r="Y580" s="14"/>
      <c r="Z580" t="e">
        <f>VLOOKUP(M580,'[1]INDIVIDUAL UN'!$C$6:$F$222,4,FALSE)</f>
        <v>#N/A</v>
      </c>
    </row>
    <row r="581" spans="1:26" x14ac:dyDescent="0.35">
      <c r="A581" s="9" t="s">
        <v>25</v>
      </c>
      <c r="D581" s="10" t="s">
        <v>29</v>
      </c>
      <c r="J581" s="12" t="e">
        <f>+VLOOKUP(K581,Datos!$A:$C,3,FALSE)</f>
        <v>#N/A</v>
      </c>
      <c r="L581" s="12" t="e">
        <f>+VLOOKUP(K581,Datos!$A:$C,2,FALSE)</f>
        <v>#N/A</v>
      </c>
      <c r="N581" s="12" t="e">
        <f>+VLOOKUP(M581,Datos!$F:$G,2,FALSE)</f>
        <v>#N/A</v>
      </c>
      <c r="O581" s="13">
        <f>IFERROR(IF(A581="SI",VLOOKUP(R581,Datos!$J$1:$K$50,2,FALSE)*C581,VLOOKUP(R581,Datos!$P$1:$T$13,2,FALSE)*C581),0)</f>
        <v>0</v>
      </c>
      <c r="P581" s="9"/>
      <c r="Q581" s="12" t="e">
        <f>+VLOOKUP(P581,Datos!$F:$G,2,FALSE)</f>
        <v>#N/A</v>
      </c>
      <c r="V581" s="10">
        <f t="shared" si="9"/>
        <v>0</v>
      </c>
      <c r="W581" s="10" t="e">
        <f>+VLOOKUP(M581,Datos!$F:$H,3,FALSE)</f>
        <v>#N/A</v>
      </c>
      <c r="X581">
        <v>0</v>
      </c>
      <c r="Y581" s="14"/>
      <c r="Z581" t="e">
        <f>VLOOKUP(M581,'[1]INDIVIDUAL UN'!$C$6:$F$222,4,FALSE)</f>
        <v>#N/A</v>
      </c>
    </row>
    <row r="582" spans="1:26" x14ac:dyDescent="0.35">
      <c r="A582" s="9" t="s">
        <v>25</v>
      </c>
      <c r="D582" s="10" t="s">
        <v>29</v>
      </c>
      <c r="J582" s="12" t="e">
        <f>+VLOOKUP(K582,Datos!$A:$C,3,FALSE)</f>
        <v>#N/A</v>
      </c>
      <c r="L582" s="12" t="e">
        <f>+VLOOKUP(K582,Datos!$A:$C,2,FALSE)</f>
        <v>#N/A</v>
      </c>
      <c r="N582" s="12" t="e">
        <f>+VLOOKUP(M582,Datos!$F:$G,2,FALSE)</f>
        <v>#N/A</v>
      </c>
      <c r="O582" s="13">
        <f>IFERROR(IF(A582="SI",VLOOKUP(R582,Datos!$J$1:$K$50,2,FALSE)*C582,VLOOKUP(R582,Datos!$P$1:$T$13,2,FALSE)*C582),0)</f>
        <v>0</v>
      </c>
      <c r="P582" s="9"/>
      <c r="Q582" s="12" t="e">
        <f>+VLOOKUP(P582,Datos!$F:$G,2,FALSE)</f>
        <v>#N/A</v>
      </c>
      <c r="V582" s="10">
        <f t="shared" si="9"/>
        <v>0</v>
      </c>
      <c r="W582" s="10" t="e">
        <f>+VLOOKUP(M582,Datos!$F:$H,3,FALSE)</f>
        <v>#N/A</v>
      </c>
      <c r="X582">
        <v>0</v>
      </c>
      <c r="Y582" s="14"/>
      <c r="Z582" t="e">
        <f>VLOOKUP(M582,'[1]INDIVIDUAL UN'!$C$6:$F$222,4,FALSE)</f>
        <v>#N/A</v>
      </c>
    </row>
    <row r="583" spans="1:26" x14ac:dyDescent="0.35">
      <c r="A583" s="9" t="s">
        <v>25</v>
      </c>
      <c r="D583" s="10" t="s">
        <v>29</v>
      </c>
      <c r="J583" s="12" t="e">
        <f>+VLOOKUP(K583,Datos!$A:$C,3,FALSE)</f>
        <v>#N/A</v>
      </c>
      <c r="L583" s="12" t="e">
        <f>+VLOOKUP(K583,Datos!$A:$C,2,FALSE)</f>
        <v>#N/A</v>
      </c>
      <c r="N583" s="12" t="e">
        <f>+VLOOKUP(M583,Datos!$F:$G,2,FALSE)</f>
        <v>#N/A</v>
      </c>
      <c r="O583" s="13">
        <f>IFERROR(IF(A583="SI",VLOOKUP(R583,Datos!$J$1:$K$50,2,FALSE)*C583,VLOOKUP(R583,Datos!$P$1:$T$13,2,FALSE)*C583),0)</f>
        <v>0</v>
      </c>
      <c r="P583" s="9"/>
      <c r="Q583" s="12" t="e">
        <f>+VLOOKUP(P583,Datos!$F:$G,2,FALSE)</f>
        <v>#N/A</v>
      </c>
      <c r="V583" s="10">
        <f t="shared" si="9"/>
        <v>0</v>
      </c>
      <c r="W583" s="10" t="e">
        <f>+VLOOKUP(M583,Datos!$F:$H,3,FALSE)</f>
        <v>#N/A</v>
      </c>
      <c r="X583">
        <v>0</v>
      </c>
      <c r="Y583" s="14"/>
      <c r="Z583" t="e">
        <f>VLOOKUP(M583,'[1]INDIVIDUAL UN'!$C$6:$F$222,4,FALSE)</f>
        <v>#N/A</v>
      </c>
    </row>
    <row r="584" spans="1:26" x14ac:dyDescent="0.35">
      <c r="A584" s="9" t="s">
        <v>25</v>
      </c>
      <c r="D584" s="10" t="s">
        <v>29</v>
      </c>
      <c r="J584" s="12" t="e">
        <f>+VLOOKUP(K584,Datos!$A:$C,3,FALSE)</f>
        <v>#N/A</v>
      </c>
      <c r="L584" s="12" t="e">
        <f>+VLOOKUP(K584,Datos!$A:$C,2,FALSE)</f>
        <v>#N/A</v>
      </c>
      <c r="N584" s="12" t="e">
        <f>+VLOOKUP(M584,Datos!$F:$G,2,FALSE)</f>
        <v>#N/A</v>
      </c>
      <c r="O584" s="13">
        <f>IFERROR(IF(A584="SI",VLOOKUP(R584,Datos!$J$1:$K$50,2,FALSE)*C584,VLOOKUP(R584,Datos!$P$1:$T$13,2,FALSE)*C584),0)</f>
        <v>0</v>
      </c>
      <c r="P584" s="9"/>
      <c r="Q584" s="12" t="e">
        <f>+VLOOKUP(P584,Datos!$F:$G,2,FALSE)</f>
        <v>#N/A</v>
      </c>
      <c r="V584" s="10">
        <f t="shared" si="9"/>
        <v>0</v>
      </c>
      <c r="W584" s="10" t="e">
        <f>+VLOOKUP(M584,Datos!$F:$H,3,FALSE)</f>
        <v>#N/A</v>
      </c>
      <c r="X584">
        <v>0</v>
      </c>
      <c r="Y584" s="14"/>
      <c r="Z584" t="e">
        <f>VLOOKUP(M584,'[1]INDIVIDUAL UN'!$C$6:$F$222,4,FALSE)</f>
        <v>#N/A</v>
      </c>
    </row>
    <row r="585" spans="1:26" x14ac:dyDescent="0.35">
      <c r="A585" s="9" t="s">
        <v>25</v>
      </c>
      <c r="D585" s="10" t="s">
        <v>29</v>
      </c>
      <c r="J585" s="12" t="e">
        <f>+VLOOKUP(K585,Datos!$A:$C,3,FALSE)</f>
        <v>#N/A</v>
      </c>
      <c r="L585" s="12" t="e">
        <f>+VLOOKUP(K585,Datos!$A:$C,2,FALSE)</f>
        <v>#N/A</v>
      </c>
      <c r="N585" s="12" t="e">
        <f>+VLOOKUP(M585,Datos!$F:$G,2,FALSE)</f>
        <v>#N/A</v>
      </c>
      <c r="O585" s="13">
        <f>IFERROR(IF(A585="SI",VLOOKUP(R585,Datos!$J$1:$K$50,2,FALSE)*C585,VLOOKUP(R585,Datos!$P$1:$T$13,2,FALSE)*C585),0)</f>
        <v>0</v>
      </c>
      <c r="P585" s="9"/>
      <c r="Q585" s="12" t="e">
        <f>+VLOOKUP(P585,Datos!$F:$G,2,FALSE)</f>
        <v>#N/A</v>
      </c>
      <c r="Y585" s="14"/>
      <c r="Z585" t="e">
        <f>VLOOKUP(M585,'[1]INDIVIDUAL UN'!$C$6:$F$222,4,FALSE)</f>
        <v>#N/A</v>
      </c>
    </row>
    <row r="586" spans="1:26" x14ac:dyDescent="0.35">
      <c r="A586" s="9" t="s">
        <v>25</v>
      </c>
      <c r="D586" s="10" t="s">
        <v>29</v>
      </c>
      <c r="J586" s="12" t="e">
        <f>+VLOOKUP(K586,Datos!$A:$C,3,FALSE)</f>
        <v>#N/A</v>
      </c>
      <c r="L586" s="12" t="e">
        <f>+VLOOKUP(K586,Datos!$A:$C,2,FALSE)</f>
        <v>#N/A</v>
      </c>
      <c r="N586" s="12" t="e">
        <f>+VLOOKUP(M586,Datos!$F:$G,2,FALSE)</f>
        <v>#N/A</v>
      </c>
      <c r="O586" s="13">
        <f>IFERROR(IF(A586="SI",VLOOKUP(R586,Datos!$J$1:$K$50,2,FALSE)*C586,VLOOKUP(R586,Datos!$P$1:$T$13,2,FALSE)*C586),0)</f>
        <v>0</v>
      </c>
      <c r="P586" s="9"/>
      <c r="Q586" s="12" t="e">
        <f>+VLOOKUP(P586,Datos!$F:$G,2,FALSE)</f>
        <v>#N/A</v>
      </c>
      <c r="Y586" s="14"/>
      <c r="Z586" t="e">
        <f>VLOOKUP(M586,'[1]INDIVIDUAL UN'!$C$6:$F$222,4,FALSE)</f>
        <v>#N/A</v>
      </c>
    </row>
    <row r="587" spans="1:26" x14ac:dyDescent="0.35">
      <c r="A587" s="9" t="s">
        <v>25</v>
      </c>
      <c r="D587" s="10" t="s">
        <v>29</v>
      </c>
      <c r="J587" s="12" t="e">
        <f>+VLOOKUP(K587,Datos!$A:$C,3,FALSE)</f>
        <v>#N/A</v>
      </c>
      <c r="L587" s="12" t="e">
        <f>+VLOOKUP(K587,Datos!$A:$C,2,FALSE)</f>
        <v>#N/A</v>
      </c>
      <c r="N587" s="12" t="e">
        <f>+VLOOKUP(M587,Datos!$F:$G,2,FALSE)</f>
        <v>#N/A</v>
      </c>
      <c r="O587" s="13">
        <f>IFERROR(IF(A587="SI",VLOOKUP(R587,Datos!$J$1:$K$50,2,FALSE)*C587,VLOOKUP(R587,Datos!$P$1:$T$13,2,FALSE)*C587),0)</f>
        <v>0</v>
      </c>
      <c r="P587" s="9"/>
      <c r="Q587" s="12" t="e">
        <f>+VLOOKUP(P587,Datos!$F:$G,2,FALSE)</f>
        <v>#N/A</v>
      </c>
      <c r="Y587" s="14"/>
      <c r="Z587" t="e">
        <f>VLOOKUP(M587,'[1]INDIVIDUAL UN'!$C$6:$F$222,4,FALSE)</f>
        <v>#N/A</v>
      </c>
    </row>
    <row r="588" spans="1:26" x14ac:dyDescent="0.35">
      <c r="A588" s="9" t="s">
        <v>25</v>
      </c>
      <c r="D588" s="10" t="s">
        <v>29</v>
      </c>
      <c r="J588" s="12" t="e">
        <f>+VLOOKUP(K588,Datos!$A:$C,3,FALSE)</f>
        <v>#N/A</v>
      </c>
      <c r="L588" s="12" t="e">
        <f>+VLOOKUP(K588,Datos!$A:$C,2,FALSE)</f>
        <v>#N/A</v>
      </c>
      <c r="N588" s="12" t="e">
        <f>+VLOOKUP(M588,Datos!$F:$G,2,FALSE)</f>
        <v>#N/A</v>
      </c>
      <c r="O588" s="13">
        <f>IFERROR(IF(A588="SI",VLOOKUP(R588,Datos!$J$1:$K$50,2,FALSE)*C588,VLOOKUP(R588,Datos!$P$1:$T$13,2,FALSE)*C588),0)</f>
        <v>0</v>
      </c>
      <c r="P588" s="9"/>
      <c r="Q588" s="12" t="e">
        <f>+VLOOKUP(P588,Datos!$F:$G,2,FALSE)</f>
        <v>#N/A</v>
      </c>
      <c r="Y588" s="14"/>
      <c r="Z588" t="e">
        <f>VLOOKUP(M588,'[1]INDIVIDUAL UN'!$C$6:$F$222,4,FALSE)</f>
        <v>#N/A</v>
      </c>
    </row>
    <row r="589" spans="1:26" x14ac:dyDescent="0.35">
      <c r="A589" s="9" t="s">
        <v>25</v>
      </c>
      <c r="D589" s="10" t="s">
        <v>29</v>
      </c>
      <c r="J589" s="12" t="e">
        <f>+VLOOKUP(K589,Datos!$A:$C,3,FALSE)</f>
        <v>#N/A</v>
      </c>
      <c r="L589" s="12" t="e">
        <f>+VLOOKUP(K589,Datos!$A:$C,2,FALSE)</f>
        <v>#N/A</v>
      </c>
      <c r="N589" s="12" t="e">
        <f>+VLOOKUP(M589,Datos!$F:$G,2,FALSE)</f>
        <v>#N/A</v>
      </c>
      <c r="O589" s="13">
        <f>IFERROR(IF(A589="SI",VLOOKUP(R589,Datos!$J$1:$K$50,2,FALSE)*C589,VLOOKUP(R589,Datos!$P$1:$T$13,2,FALSE)*C589),0)</f>
        <v>0</v>
      </c>
      <c r="P589" s="9"/>
      <c r="Q589" s="12" t="e">
        <f>+VLOOKUP(P589,Datos!$F:$G,2,FALSE)</f>
        <v>#N/A</v>
      </c>
      <c r="Y589" s="14"/>
      <c r="Z589" t="e">
        <f>VLOOKUP(M589,'[1]INDIVIDUAL UN'!$C$6:$F$222,4,FALSE)</f>
        <v>#N/A</v>
      </c>
    </row>
    <row r="590" spans="1:26" x14ac:dyDescent="0.35">
      <c r="A590" s="9" t="s">
        <v>25</v>
      </c>
      <c r="D590" s="10" t="s">
        <v>29</v>
      </c>
      <c r="J590" s="12" t="e">
        <f>+VLOOKUP(K590,Datos!$A:$C,3,FALSE)</f>
        <v>#N/A</v>
      </c>
      <c r="L590" s="12" t="e">
        <f>+VLOOKUP(K590,Datos!$A:$C,2,FALSE)</f>
        <v>#N/A</v>
      </c>
      <c r="N590" s="12" t="e">
        <f>+VLOOKUP(M590,Datos!$F:$G,2,FALSE)</f>
        <v>#N/A</v>
      </c>
      <c r="O590" s="13">
        <f>IFERROR(IF(A590="SI",VLOOKUP(R590,Datos!$J$1:$K$50,2,FALSE)*C590,VLOOKUP(R590,Datos!$P$1:$T$13,2,FALSE)*C590),0)</f>
        <v>0</v>
      </c>
      <c r="P590" s="9"/>
      <c r="Q590" s="12" t="e">
        <f>+VLOOKUP(P590,Datos!$F:$G,2,FALSE)</f>
        <v>#N/A</v>
      </c>
      <c r="Y590" s="14"/>
      <c r="Z590" t="e">
        <f>VLOOKUP(M590,'[1]INDIVIDUAL UN'!$C$6:$F$222,4,FALSE)</f>
        <v>#N/A</v>
      </c>
    </row>
    <row r="591" spans="1:26" x14ac:dyDescent="0.35">
      <c r="A591" s="9" t="s">
        <v>25</v>
      </c>
      <c r="D591" s="10" t="s">
        <v>29</v>
      </c>
      <c r="J591" s="12" t="e">
        <f>+VLOOKUP(K591,Datos!$A:$C,3,FALSE)</f>
        <v>#N/A</v>
      </c>
      <c r="L591" s="12" t="e">
        <f>+VLOOKUP(K591,Datos!$A:$C,2,FALSE)</f>
        <v>#N/A</v>
      </c>
      <c r="N591" s="12" t="e">
        <f>+VLOOKUP(M591,Datos!$F:$G,2,FALSE)</f>
        <v>#N/A</v>
      </c>
      <c r="O591" s="13">
        <f>IFERROR(IF(A591="SI",VLOOKUP(R591,Datos!$J$1:$K$50,2,FALSE)*C591,VLOOKUP(R591,Datos!$P$1:$T$13,2,FALSE)*C591),0)</f>
        <v>0</v>
      </c>
      <c r="P591" s="9"/>
      <c r="Q591" s="12" t="e">
        <f>+VLOOKUP(P591,Datos!$F:$G,2,FALSE)</f>
        <v>#N/A</v>
      </c>
      <c r="Y591" s="14"/>
      <c r="Z591" t="e">
        <f>VLOOKUP(M591,'[1]INDIVIDUAL UN'!$C$6:$F$222,4,FALSE)</f>
        <v>#N/A</v>
      </c>
    </row>
    <row r="592" spans="1:26" x14ac:dyDescent="0.35">
      <c r="A592" s="9" t="s">
        <v>25</v>
      </c>
      <c r="D592" s="10" t="s">
        <v>29</v>
      </c>
      <c r="J592" s="12" t="e">
        <f>+VLOOKUP(K592,Datos!$A:$C,3,FALSE)</f>
        <v>#N/A</v>
      </c>
      <c r="L592" s="12" t="e">
        <f>+VLOOKUP(K592,Datos!$A:$C,2,FALSE)</f>
        <v>#N/A</v>
      </c>
      <c r="N592" s="12" t="e">
        <f>+VLOOKUP(M592,Datos!$F:$G,2,FALSE)</f>
        <v>#N/A</v>
      </c>
      <c r="O592" s="13">
        <f>IFERROR(IF(A592="SI",VLOOKUP(R592,Datos!$J$1:$K$50,2,FALSE)*C592,VLOOKUP(R592,Datos!$P$1:$T$13,2,FALSE)*C592),0)</f>
        <v>0</v>
      </c>
      <c r="P592" s="9"/>
      <c r="Q592" s="12" t="e">
        <f>+VLOOKUP(P592,Datos!$F:$G,2,FALSE)</f>
        <v>#N/A</v>
      </c>
      <c r="Y592" s="14"/>
      <c r="Z592" t="e">
        <f>VLOOKUP(M592,'[1]INDIVIDUAL UN'!$C$6:$F$222,4,FALSE)</f>
        <v>#N/A</v>
      </c>
    </row>
    <row r="593" spans="1:26" x14ac:dyDescent="0.35">
      <c r="A593" s="9" t="s">
        <v>25</v>
      </c>
      <c r="D593" s="10" t="s">
        <v>29</v>
      </c>
      <c r="J593" s="12" t="e">
        <f>+VLOOKUP(K593,Datos!$A:$C,3,FALSE)</f>
        <v>#N/A</v>
      </c>
      <c r="L593" s="12" t="e">
        <f>+VLOOKUP(K593,Datos!$A:$C,2,FALSE)</f>
        <v>#N/A</v>
      </c>
      <c r="N593" s="12" t="e">
        <f>+VLOOKUP(M593,Datos!$F:$G,2,FALSE)</f>
        <v>#N/A</v>
      </c>
      <c r="O593" s="13">
        <f>IFERROR(IF(A593="SI",VLOOKUP(R593,Datos!$J$1:$K$50,2,FALSE)*C593,VLOOKUP(R593,Datos!$P$1:$T$13,2,FALSE)*C593),0)</f>
        <v>0</v>
      </c>
      <c r="P593" s="9"/>
      <c r="Q593" s="12" t="e">
        <f>+VLOOKUP(P593,Datos!$F:$G,2,FALSE)</f>
        <v>#N/A</v>
      </c>
      <c r="Y593" s="14"/>
      <c r="Z593" t="e">
        <f>VLOOKUP(M593,'[1]INDIVIDUAL UN'!$C$6:$F$222,4,FALSE)</f>
        <v>#N/A</v>
      </c>
    </row>
    <row r="594" spans="1:26" x14ac:dyDescent="0.35">
      <c r="A594" s="9" t="s">
        <v>25</v>
      </c>
      <c r="D594" s="10" t="s">
        <v>29</v>
      </c>
      <c r="J594" s="12" t="e">
        <f>+VLOOKUP(K594,Datos!$A:$C,3,FALSE)</f>
        <v>#N/A</v>
      </c>
      <c r="L594" s="12" t="e">
        <f>+VLOOKUP(K594,Datos!$A:$C,2,FALSE)</f>
        <v>#N/A</v>
      </c>
      <c r="N594" s="12" t="e">
        <f>+VLOOKUP(M594,Datos!$F:$G,2,FALSE)</f>
        <v>#N/A</v>
      </c>
      <c r="O594" s="13">
        <f>IFERROR(IF(A594="SI",VLOOKUP(R594,Datos!$J$1:$K$50,2,FALSE)*C594,VLOOKUP(R594,Datos!$P$1:$T$13,2,FALSE)*C594),0)</f>
        <v>0</v>
      </c>
      <c r="P594" s="9"/>
      <c r="Q594" s="12" t="e">
        <f>+VLOOKUP(P594,Datos!$F:$G,2,FALSE)</f>
        <v>#N/A</v>
      </c>
      <c r="Y594" s="14"/>
      <c r="Z594" t="e">
        <f>VLOOKUP(M594,'[1]INDIVIDUAL UN'!$C$6:$F$222,4,FALSE)</f>
        <v>#N/A</v>
      </c>
    </row>
    <row r="595" spans="1:26" x14ac:dyDescent="0.35">
      <c r="A595" s="9" t="s">
        <v>25</v>
      </c>
      <c r="D595" s="10" t="s">
        <v>29</v>
      </c>
      <c r="J595" s="12" t="e">
        <f>+VLOOKUP(K595,Datos!$A:$C,3,FALSE)</f>
        <v>#N/A</v>
      </c>
      <c r="L595" s="12" t="e">
        <f>+VLOOKUP(K595,Datos!$A:$C,2,FALSE)</f>
        <v>#N/A</v>
      </c>
      <c r="N595" s="12" t="e">
        <f>+VLOOKUP(M595,Datos!$F:$G,2,FALSE)</f>
        <v>#N/A</v>
      </c>
      <c r="O595" s="13">
        <f>IFERROR(IF(A595="SI",VLOOKUP(R595,Datos!$J$1:$K$50,2,FALSE)*C595,VLOOKUP(R595,Datos!$P$1:$T$13,2,FALSE)*C595),0)</f>
        <v>0</v>
      </c>
      <c r="P595" s="9"/>
      <c r="Q595" s="12" t="e">
        <f>+VLOOKUP(P595,Datos!$F:$G,2,FALSE)</f>
        <v>#N/A</v>
      </c>
      <c r="Y595" s="14"/>
      <c r="Z595" t="e">
        <f>VLOOKUP(M595,'[1]INDIVIDUAL UN'!$C$6:$F$222,4,FALSE)</f>
        <v>#N/A</v>
      </c>
    </row>
    <row r="596" spans="1:26" x14ac:dyDescent="0.35">
      <c r="A596" s="9" t="s">
        <v>25</v>
      </c>
      <c r="D596" s="10" t="s">
        <v>29</v>
      </c>
      <c r="J596" s="12" t="e">
        <f>+VLOOKUP(K596,Datos!$A:$C,3,FALSE)</f>
        <v>#N/A</v>
      </c>
      <c r="L596" s="12" t="e">
        <f>+VLOOKUP(K596,Datos!$A:$C,2,FALSE)</f>
        <v>#N/A</v>
      </c>
      <c r="N596" s="12" t="e">
        <f>+VLOOKUP(M596,Datos!$F:$G,2,FALSE)</f>
        <v>#N/A</v>
      </c>
      <c r="O596" s="13">
        <f>IFERROR(IF(A596="SI",VLOOKUP(R596,Datos!$J$1:$K$50,2,FALSE)*C596,VLOOKUP(R596,Datos!$P$1:$T$13,2,FALSE)*C596),0)</f>
        <v>0</v>
      </c>
      <c r="P596" s="9"/>
      <c r="Q596" s="12" t="e">
        <f>+VLOOKUP(P596,Datos!$F:$G,2,FALSE)</f>
        <v>#N/A</v>
      </c>
      <c r="Y596" s="14"/>
      <c r="Z596" t="e">
        <f>VLOOKUP(M596,'[1]INDIVIDUAL UN'!$C$6:$F$222,4,FALSE)</f>
        <v>#N/A</v>
      </c>
    </row>
    <row r="597" spans="1:26" x14ac:dyDescent="0.35">
      <c r="A597" s="9" t="s">
        <v>25</v>
      </c>
      <c r="D597" s="10" t="s">
        <v>29</v>
      </c>
      <c r="J597" s="12" t="e">
        <f>+VLOOKUP(K597,Datos!$A:$C,3,FALSE)</f>
        <v>#N/A</v>
      </c>
      <c r="L597" s="12" t="e">
        <f>+VLOOKUP(K597,Datos!$A:$C,2,FALSE)</f>
        <v>#N/A</v>
      </c>
      <c r="N597" s="12" t="e">
        <f>+VLOOKUP(M597,Datos!$F:$G,2,FALSE)</f>
        <v>#N/A</v>
      </c>
      <c r="O597" s="13">
        <f>IFERROR(IF(A597="SI",VLOOKUP(R597,Datos!$J$1:$K$50,2,FALSE)*C597,VLOOKUP(R597,Datos!$P$1:$T$13,2,FALSE)*C597),0)</f>
        <v>0</v>
      </c>
      <c r="P597" s="9"/>
      <c r="Q597" s="12" t="e">
        <f>+VLOOKUP(P597,Datos!$F:$G,2,FALSE)</f>
        <v>#N/A</v>
      </c>
      <c r="Y597" s="14"/>
      <c r="Z597" t="e">
        <f>VLOOKUP(M597,'[1]INDIVIDUAL UN'!$C$6:$F$222,4,FALSE)</f>
        <v>#N/A</v>
      </c>
    </row>
    <row r="598" spans="1:26" x14ac:dyDescent="0.35">
      <c r="A598" s="9" t="s">
        <v>25</v>
      </c>
      <c r="D598" s="10" t="s">
        <v>29</v>
      </c>
      <c r="J598" s="12" t="e">
        <f>+VLOOKUP(K598,Datos!$A:$C,3,FALSE)</f>
        <v>#N/A</v>
      </c>
      <c r="L598" s="12" t="e">
        <f>+VLOOKUP(K598,Datos!$A:$C,2,FALSE)</f>
        <v>#N/A</v>
      </c>
      <c r="N598" s="12" t="e">
        <f>+VLOOKUP(M598,Datos!$F:$G,2,FALSE)</f>
        <v>#N/A</v>
      </c>
      <c r="O598" s="13">
        <f>IFERROR(IF(A598="SI",VLOOKUP(R598,Datos!$J$1:$K$50,2,FALSE)*C598,VLOOKUP(R598,Datos!$P$1:$T$13,2,FALSE)*C598),0)</f>
        <v>0</v>
      </c>
      <c r="P598" s="9"/>
      <c r="Q598" s="12" t="e">
        <f>+VLOOKUP(P598,Datos!$F:$G,2,FALSE)</f>
        <v>#N/A</v>
      </c>
      <c r="Y598" s="14"/>
      <c r="Z598" t="e">
        <f>VLOOKUP(M598,'[1]INDIVIDUAL UN'!$C$6:$F$222,4,FALSE)</f>
        <v>#N/A</v>
      </c>
    </row>
    <row r="599" spans="1:26" x14ac:dyDescent="0.35">
      <c r="A599" s="9" t="s">
        <v>25</v>
      </c>
      <c r="D599" s="10" t="s">
        <v>29</v>
      </c>
      <c r="J599" s="12" t="e">
        <f>+VLOOKUP(K599,Datos!$A:$C,3,FALSE)</f>
        <v>#N/A</v>
      </c>
      <c r="L599" s="12" t="e">
        <f>+VLOOKUP(K599,Datos!$A:$C,2,FALSE)</f>
        <v>#N/A</v>
      </c>
      <c r="N599" s="12" t="e">
        <f>+VLOOKUP(M599,Datos!$F:$G,2,FALSE)</f>
        <v>#N/A</v>
      </c>
      <c r="O599" s="13">
        <f>IFERROR(IF(A599="SI",VLOOKUP(R599,Datos!$J$1:$K$50,2,FALSE)*C599,VLOOKUP(R599,Datos!$P$1:$T$13,2,FALSE)*C599),0)</f>
        <v>0</v>
      </c>
      <c r="P599" s="9"/>
      <c r="Q599" s="12" t="e">
        <f>+VLOOKUP(P599,Datos!$F:$G,2,FALSE)</f>
        <v>#N/A</v>
      </c>
      <c r="Y599" s="14"/>
      <c r="Z599" t="e">
        <f>VLOOKUP(M599,'[1]INDIVIDUAL UN'!$C$6:$F$222,4,FALSE)</f>
        <v>#N/A</v>
      </c>
    </row>
    <row r="600" spans="1:26" x14ac:dyDescent="0.35">
      <c r="A600" s="9" t="s">
        <v>25</v>
      </c>
      <c r="D600" s="10" t="s">
        <v>29</v>
      </c>
      <c r="J600" s="12" t="e">
        <f>+VLOOKUP(K600,Datos!$A:$C,3,FALSE)</f>
        <v>#N/A</v>
      </c>
      <c r="L600" s="12" t="e">
        <f>+VLOOKUP(K600,Datos!$A:$C,2,FALSE)</f>
        <v>#N/A</v>
      </c>
      <c r="N600" s="12" t="e">
        <f>+VLOOKUP(M600,Datos!$F:$G,2,FALSE)</f>
        <v>#N/A</v>
      </c>
      <c r="O600" s="13">
        <f>IFERROR(IF(A600="SI",VLOOKUP(R600,Datos!$J$1:$K$50,2,FALSE)*C600,VLOOKUP(R600,Datos!$P$1:$T$13,2,FALSE)*C600),0)</f>
        <v>0</v>
      </c>
      <c r="P600" s="9"/>
      <c r="Q600" s="12" t="e">
        <f>+VLOOKUP(P600,Datos!$F:$G,2,FALSE)</f>
        <v>#N/A</v>
      </c>
      <c r="Y600" s="14"/>
      <c r="Z600" t="e">
        <f>VLOOKUP(M600,'[1]INDIVIDUAL UN'!$C$6:$F$222,4,FALSE)</f>
        <v>#N/A</v>
      </c>
    </row>
    <row r="601" spans="1:26" x14ac:dyDescent="0.35">
      <c r="A601" s="9" t="s">
        <v>25</v>
      </c>
      <c r="D601" s="10" t="s">
        <v>29</v>
      </c>
      <c r="J601" s="12" t="e">
        <f>+VLOOKUP(K601,Datos!$A:$C,3,FALSE)</f>
        <v>#N/A</v>
      </c>
      <c r="L601" s="12" t="e">
        <f>+VLOOKUP(K601,Datos!$A:$C,2,FALSE)</f>
        <v>#N/A</v>
      </c>
      <c r="N601" s="12" t="e">
        <f>+VLOOKUP(M601,Datos!$F:$G,2,FALSE)</f>
        <v>#N/A</v>
      </c>
      <c r="O601" s="13">
        <f>IFERROR(IF(A601="SI",VLOOKUP(R601,Datos!$J$1:$K$50,2,FALSE)*C601,VLOOKUP(R601,Datos!$P$1:$T$13,2,FALSE)*C601),0)</f>
        <v>0</v>
      </c>
      <c r="P601" s="9"/>
      <c r="Q601" s="12" t="e">
        <f>+VLOOKUP(P601,Datos!$F:$G,2,FALSE)</f>
        <v>#N/A</v>
      </c>
      <c r="Y601" s="14"/>
      <c r="Z601" t="e">
        <f>VLOOKUP(M601,'[1]INDIVIDUAL UN'!$C$6:$F$222,4,FALSE)</f>
        <v>#N/A</v>
      </c>
    </row>
    <row r="602" spans="1:26" x14ac:dyDescent="0.35">
      <c r="A602" s="9" t="s">
        <v>25</v>
      </c>
      <c r="D602" s="10" t="s">
        <v>29</v>
      </c>
      <c r="J602" s="12" t="e">
        <f>+VLOOKUP(K602,Datos!$A:$C,3,FALSE)</f>
        <v>#N/A</v>
      </c>
      <c r="L602" s="12" t="e">
        <f>+VLOOKUP(K602,Datos!$A:$C,2,FALSE)</f>
        <v>#N/A</v>
      </c>
      <c r="N602" s="12" t="e">
        <f>+VLOOKUP(M602,Datos!$F:$G,2,FALSE)</f>
        <v>#N/A</v>
      </c>
      <c r="O602" s="13">
        <f>IFERROR(IF(A602="SI",VLOOKUP(R602,Datos!$J$1:$K$50,2,FALSE)*C602,VLOOKUP(R602,Datos!$P$1:$T$13,2,FALSE)*C602),0)</f>
        <v>0</v>
      </c>
      <c r="P602" s="9"/>
      <c r="Q602" s="12" t="e">
        <f>+VLOOKUP(P602,Datos!$F:$G,2,FALSE)</f>
        <v>#N/A</v>
      </c>
      <c r="Y602" s="14"/>
      <c r="Z602" t="e">
        <f>VLOOKUP(M602,'[1]INDIVIDUAL UN'!$C$6:$F$222,4,FALSE)</f>
        <v>#N/A</v>
      </c>
    </row>
    <row r="603" spans="1:26" x14ac:dyDescent="0.35">
      <c r="A603" s="9" t="s">
        <v>25</v>
      </c>
      <c r="D603" s="10" t="s">
        <v>29</v>
      </c>
      <c r="J603" s="12" t="e">
        <f>+VLOOKUP(K603,Datos!$A:$C,3,FALSE)</f>
        <v>#N/A</v>
      </c>
      <c r="L603" s="12" t="e">
        <f>+VLOOKUP(K603,Datos!$A:$C,2,FALSE)</f>
        <v>#N/A</v>
      </c>
      <c r="N603" s="12" t="e">
        <f>+VLOOKUP(M603,Datos!$F:$G,2,FALSE)</f>
        <v>#N/A</v>
      </c>
      <c r="O603" s="13">
        <f>IFERROR(IF(A603="SI",VLOOKUP(R603,Datos!$J$1:$K$50,2,FALSE)*C603,VLOOKUP(R603,Datos!$P$1:$T$13,2,FALSE)*C603),0)</f>
        <v>0</v>
      </c>
      <c r="P603" s="9"/>
      <c r="Q603" s="12" t="e">
        <f>+VLOOKUP(P603,Datos!$F:$G,2,FALSE)</f>
        <v>#N/A</v>
      </c>
      <c r="Y603" s="14"/>
      <c r="Z603" t="e">
        <f>VLOOKUP(M603,'[1]INDIVIDUAL UN'!$C$6:$F$222,4,FALSE)</f>
        <v>#N/A</v>
      </c>
    </row>
    <row r="604" spans="1:26" x14ac:dyDescent="0.35">
      <c r="A604" s="9" t="s">
        <v>25</v>
      </c>
      <c r="D604" s="10" t="s">
        <v>29</v>
      </c>
      <c r="J604" s="12" t="e">
        <f>+VLOOKUP(K604,Datos!$A:$C,3,FALSE)</f>
        <v>#N/A</v>
      </c>
      <c r="L604" s="12" t="e">
        <f>+VLOOKUP(K604,Datos!$A:$C,2,FALSE)</f>
        <v>#N/A</v>
      </c>
      <c r="N604" s="12" t="e">
        <f>+VLOOKUP(M604,Datos!$F:$G,2,FALSE)</f>
        <v>#N/A</v>
      </c>
      <c r="O604" s="13">
        <f>IFERROR(IF(A604="SI",VLOOKUP(R604,Datos!$J$1:$K$50,2,FALSE)*C604,VLOOKUP(R604,Datos!$P$1:$T$13,2,FALSE)*C604),0)</f>
        <v>0</v>
      </c>
      <c r="P604" s="9"/>
      <c r="Q604" s="12" t="e">
        <f>+VLOOKUP(P604,Datos!$F:$G,2,FALSE)</f>
        <v>#N/A</v>
      </c>
      <c r="Y604" s="14"/>
      <c r="Z604" t="e">
        <f>VLOOKUP(M604,'[1]INDIVIDUAL UN'!$C$6:$F$222,4,FALSE)</f>
        <v>#N/A</v>
      </c>
    </row>
    <row r="605" spans="1:26" x14ac:dyDescent="0.35">
      <c r="A605" s="9" t="s">
        <v>25</v>
      </c>
      <c r="D605" s="10" t="s">
        <v>29</v>
      </c>
      <c r="J605" s="12" t="e">
        <f>+VLOOKUP(K605,Datos!$A:$C,3,FALSE)</f>
        <v>#N/A</v>
      </c>
      <c r="L605" s="12" t="e">
        <f>+VLOOKUP(K605,Datos!$A:$C,2,FALSE)</f>
        <v>#N/A</v>
      </c>
      <c r="N605" s="12" t="e">
        <f>+VLOOKUP(M605,Datos!$F:$G,2,FALSE)</f>
        <v>#N/A</v>
      </c>
      <c r="O605" s="13">
        <f>IFERROR(IF(A605="SI",VLOOKUP(R605,Datos!$J$1:$K$50,2,FALSE)*C605,VLOOKUP(R605,Datos!$P$1:$T$13,2,FALSE)*C605),0)</f>
        <v>0</v>
      </c>
      <c r="P605" s="9"/>
      <c r="Q605" s="12" t="e">
        <f>+VLOOKUP(P605,Datos!$F:$G,2,FALSE)</f>
        <v>#N/A</v>
      </c>
      <c r="Y605" s="14"/>
      <c r="Z605" t="e">
        <f>VLOOKUP(M605,'[1]INDIVIDUAL UN'!$C$6:$F$222,4,FALSE)</f>
        <v>#N/A</v>
      </c>
    </row>
    <row r="606" spans="1:26" x14ac:dyDescent="0.35">
      <c r="A606" s="9" t="s">
        <v>25</v>
      </c>
      <c r="D606" s="10" t="s">
        <v>29</v>
      </c>
      <c r="J606" s="12" t="e">
        <f>+VLOOKUP(K606,Datos!$A:$C,3,FALSE)</f>
        <v>#N/A</v>
      </c>
      <c r="L606" s="12" t="e">
        <f>+VLOOKUP(K606,Datos!$A:$C,2,FALSE)</f>
        <v>#N/A</v>
      </c>
      <c r="N606" s="12" t="e">
        <f>+VLOOKUP(M606,Datos!$F:$G,2,FALSE)</f>
        <v>#N/A</v>
      </c>
      <c r="O606" s="13">
        <f>IFERROR(IF(A606="SI",VLOOKUP(R606,Datos!$J$1:$K$50,2,FALSE)*C606,VLOOKUP(R606,Datos!$P$1:$T$13,2,FALSE)*C606),0)</f>
        <v>0</v>
      </c>
      <c r="P606" s="9"/>
      <c r="Q606" s="12" t="e">
        <f>+VLOOKUP(P606,Datos!$F:$G,2,FALSE)</f>
        <v>#N/A</v>
      </c>
      <c r="Y606" s="14"/>
      <c r="Z606" t="e">
        <f>VLOOKUP(M606,'[1]INDIVIDUAL UN'!$C$6:$F$222,4,FALSE)</f>
        <v>#N/A</v>
      </c>
    </row>
    <row r="607" spans="1:26" x14ac:dyDescent="0.35">
      <c r="A607" s="9" t="s">
        <v>25</v>
      </c>
      <c r="D607" s="10" t="s">
        <v>29</v>
      </c>
      <c r="J607" s="12" t="e">
        <f>+VLOOKUP(K607,Datos!$A:$C,3,FALSE)</f>
        <v>#N/A</v>
      </c>
      <c r="L607" s="12" t="e">
        <f>+VLOOKUP(K607,Datos!$A:$C,2,FALSE)</f>
        <v>#N/A</v>
      </c>
      <c r="N607" s="12" t="e">
        <f>+VLOOKUP(M607,Datos!$F:$G,2,FALSE)</f>
        <v>#N/A</v>
      </c>
      <c r="O607" s="13">
        <f>IFERROR(IF(A607="SI",VLOOKUP(R607,Datos!$J$1:$K$50,2,FALSE)*C607,VLOOKUP(R607,Datos!$P$1:$T$13,2,FALSE)*C607),0)</f>
        <v>0</v>
      </c>
      <c r="P607" s="9"/>
      <c r="Q607" s="12" t="e">
        <f>+VLOOKUP(P607,Datos!$F:$G,2,FALSE)</f>
        <v>#N/A</v>
      </c>
      <c r="Y607" s="14"/>
      <c r="Z607" t="e">
        <f>VLOOKUP(M607,'[1]INDIVIDUAL UN'!$C$6:$F$222,4,FALSE)</f>
        <v>#N/A</v>
      </c>
    </row>
    <row r="608" spans="1:26" x14ac:dyDescent="0.35">
      <c r="A608" s="9" t="s">
        <v>25</v>
      </c>
      <c r="D608" s="10" t="s">
        <v>29</v>
      </c>
      <c r="J608" s="12" t="e">
        <f>+VLOOKUP(K608,Datos!$A:$C,3,FALSE)</f>
        <v>#N/A</v>
      </c>
      <c r="L608" s="12" t="e">
        <f>+VLOOKUP(K608,Datos!$A:$C,2,FALSE)</f>
        <v>#N/A</v>
      </c>
      <c r="N608" s="12" t="e">
        <f>+VLOOKUP(M608,Datos!$F:$G,2,FALSE)</f>
        <v>#N/A</v>
      </c>
      <c r="O608" s="13">
        <f>IFERROR(IF(A608="SI",VLOOKUP(R608,Datos!$J$1:$K$50,2,FALSE)*C608,VLOOKUP(R608,Datos!$P$1:$T$13,2,FALSE)*C608),0)</f>
        <v>0</v>
      </c>
      <c r="P608" s="9"/>
      <c r="Q608" s="12" t="e">
        <f>+VLOOKUP(P608,Datos!$F:$G,2,FALSE)</f>
        <v>#N/A</v>
      </c>
      <c r="Y608" s="14"/>
      <c r="Z608" t="e">
        <f>VLOOKUP(M608,'[1]INDIVIDUAL UN'!$C$6:$F$222,4,FALSE)</f>
        <v>#N/A</v>
      </c>
    </row>
    <row r="609" spans="1:26" x14ac:dyDescent="0.35">
      <c r="A609" s="9" t="s">
        <v>25</v>
      </c>
      <c r="D609" s="10" t="s">
        <v>29</v>
      </c>
      <c r="J609" s="12" t="e">
        <f>+VLOOKUP(K609,Datos!$A:$C,3,FALSE)</f>
        <v>#N/A</v>
      </c>
      <c r="L609" s="12" t="e">
        <f>+VLOOKUP(K609,Datos!$A:$C,2,FALSE)</f>
        <v>#N/A</v>
      </c>
      <c r="N609" s="12" t="e">
        <f>+VLOOKUP(M609,Datos!$F:$G,2,FALSE)</f>
        <v>#N/A</v>
      </c>
      <c r="O609" s="13">
        <f>IFERROR(IF(A609="SI",VLOOKUP(R609,Datos!$J$1:$K$50,2,FALSE)*C609,VLOOKUP(R609,Datos!$P$1:$T$13,2,FALSE)*C609),0)</f>
        <v>0</v>
      </c>
      <c r="P609" s="9"/>
      <c r="Q609" s="12" t="e">
        <f>+VLOOKUP(P609,Datos!$F:$G,2,FALSE)</f>
        <v>#N/A</v>
      </c>
      <c r="Y609" s="14"/>
      <c r="Z609" t="e">
        <f>VLOOKUP(M609,'[1]INDIVIDUAL UN'!$C$6:$F$222,4,FALSE)</f>
        <v>#N/A</v>
      </c>
    </row>
    <row r="610" spans="1:26" x14ac:dyDescent="0.35">
      <c r="A610" s="9" t="s">
        <v>25</v>
      </c>
      <c r="D610" s="10" t="s">
        <v>29</v>
      </c>
      <c r="J610" s="12" t="e">
        <f>+VLOOKUP(K610,Datos!$A:$C,3,FALSE)</f>
        <v>#N/A</v>
      </c>
      <c r="L610" s="12" t="e">
        <f>+VLOOKUP(K610,Datos!$A:$C,2,FALSE)</f>
        <v>#N/A</v>
      </c>
      <c r="N610" s="12" t="e">
        <f>+VLOOKUP(M610,Datos!$F:$G,2,FALSE)</f>
        <v>#N/A</v>
      </c>
      <c r="O610" s="13">
        <f>IFERROR(IF(A610="SI",VLOOKUP(R610,Datos!$J$1:$K$50,2,FALSE)*C610,VLOOKUP(R610,Datos!$P$1:$T$13,2,FALSE)*C610),0)</f>
        <v>0</v>
      </c>
      <c r="P610" s="9"/>
      <c r="Q610" s="12" t="e">
        <f>+VLOOKUP(P610,Datos!$F:$G,2,FALSE)</f>
        <v>#N/A</v>
      </c>
      <c r="Y610" s="14"/>
      <c r="Z610" t="e">
        <f>VLOOKUP(M610,'[1]INDIVIDUAL UN'!$C$6:$F$222,4,FALSE)</f>
        <v>#N/A</v>
      </c>
    </row>
    <row r="611" spans="1:26" x14ac:dyDescent="0.35">
      <c r="A611" s="9" t="s">
        <v>25</v>
      </c>
      <c r="D611" s="10" t="s">
        <v>29</v>
      </c>
      <c r="J611" s="12" t="e">
        <f>+VLOOKUP(K611,Datos!$A:$C,3,FALSE)</f>
        <v>#N/A</v>
      </c>
      <c r="L611" s="12" t="e">
        <f>+VLOOKUP(K611,Datos!$A:$C,2,FALSE)</f>
        <v>#N/A</v>
      </c>
      <c r="N611" s="12" t="e">
        <f>+VLOOKUP(M611,Datos!$F:$G,2,FALSE)</f>
        <v>#N/A</v>
      </c>
      <c r="O611" s="13">
        <f>IFERROR(IF(A611="SI",VLOOKUP(R611,Datos!$J$1:$K$50,2,FALSE)*C611,VLOOKUP(R611,Datos!$P$1:$T$13,2,FALSE)*C611),0)</f>
        <v>0</v>
      </c>
      <c r="P611" s="9"/>
      <c r="Q611" s="12" t="e">
        <f>+VLOOKUP(P611,Datos!$F:$G,2,FALSE)</f>
        <v>#N/A</v>
      </c>
      <c r="Y611" s="14"/>
      <c r="Z611" t="e">
        <f>VLOOKUP(M611,'[1]INDIVIDUAL UN'!$C$6:$F$222,4,FALSE)</f>
        <v>#N/A</v>
      </c>
    </row>
    <row r="612" spans="1:26" x14ac:dyDescent="0.35">
      <c r="A612" s="9" t="s">
        <v>25</v>
      </c>
      <c r="D612" s="10" t="s">
        <v>29</v>
      </c>
      <c r="J612" s="12" t="e">
        <f>+VLOOKUP(K612,Datos!$A:$C,3,FALSE)</f>
        <v>#N/A</v>
      </c>
      <c r="L612" s="12" t="e">
        <f>+VLOOKUP(K612,Datos!$A:$C,2,FALSE)</f>
        <v>#N/A</v>
      </c>
      <c r="N612" s="12" t="e">
        <f>+VLOOKUP(M612,Datos!$F:$G,2,FALSE)</f>
        <v>#N/A</v>
      </c>
      <c r="O612" s="13">
        <f>IFERROR(IF(A612="SI",VLOOKUP(R612,Datos!$J$1:$K$50,2,FALSE)*C612,VLOOKUP(R612,Datos!$P$1:$T$13,2,FALSE)*C612),0)</f>
        <v>0</v>
      </c>
      <c r="P612" s="9"/>
      <c r="Q612" s="12" t="e">
        <f>+VLOOKUP(P612,Datos!$F:$G,2,FALSE)</f>
        <v>#N/A</v>
      </c>
      <c r="Y612" s="14"/>
      <c r="Z612" t="e">
        <f>VLOOKUP(M612,'[1]INDIVIDUAL UN'!$C$6:$F$222,4,FALSE)</f>
        <v>#N/A</v>
      </c>
    </row>
    <row r="613" spans="1:26" x14ac:dyDescent="0.35">
      <c r="A613" s="9" t="s">
        <v>25</v>
      </c>
      <c r="D613" s="10" t="s">
        <v>29</v>
      </c>
      <c r="J613" s="12" t="e">
        <f>+VLOOKUP(K613,Datos!$A:$C,3,FALSE)</f>
        <v>#N/A</v>
      </c>
      <c r="L613" s="12" t="e">
        <f>+VLOOKUP(K613,Datos!$A:$C,2,FALSE)</f>
        <v>#N/A</v>
      </c>
      <c r="N613" s="12" t="e">
        <f>+VLOOKUP(M613,Datos!$F:$G,2,FALSE)</f>
        <v>#N/A</v>
      </c>
      <c r="O613" s="13">
        <f>IFERROR(IF(A613="SI",VLOOKUP(R613,Datos!$J$1:$K$50,2,FALSE)*C613,VLOOKUP(R613,Datos!$P$1:$T$13,2,FALSE)*C613),0)</f>
        <v>0</v>
      </c>
      <c r="P613" s="9"/>
      <c r="Q613" s="12" t="e">
        <f>+VLOOKUP(P613,Datos!$F:$G,2,FALSE)</f>
        <v>#N/A</v>
      </c>
      <c r="Y613" s="14"/>
      <c r="Z613" t="e">
        <f>VLOOKUP(M613,'[1]INDIVIDUAL UN'!$C$6:$F$222,4,FALSE)</f>
        <v>#N/A</v>
      </c>
    </row>
    <row r="614" spans="1:26" x14ac:dyDescent="0.35">
      <c r="A614" s="9" t="s">
        <v>25</v>
      </c>
      <c r="D614" s="10" t="s">
        <v>29</v>
      </c>
      <c r="J614" s="12" t="e">
        <f>+VLOOKUP(K614,Datos!$A:$C,3,FALSE)</f>
        <v>#N/A</v>
      </c>
      <c r="L614" s="12" t="e">
        <f>+VLOOKUP(K614,Datos!$A:$C,2,FALSE)</f>
        <v>#N/A</v>
      </c>
      <c r="N614" s="12" t="e">
        <f>+VLOOKUP(M614,Datos!$F:$G,2,FALSE)</f>
        <v>#N/A</v>
      </c>
      <c r="O614" s="13">
        <f>IFERROR(IF(A614="SI",VLOOKUP(R614,Datos!$J$1:$K$50,2,FALSE)*C614,VLOOKUP(R614,Datos!$P$1:$T$13,2,FALSE)*C614),0)</f>
        <v>0</v>
      </c>
      <c r="P614" s="9"/>
      <c r="Q614" s="12" t="e">
        <f>+VLOOKUP(P614,Datos!$F:$G,2,FALSE)</f>
        <v>#N/A</v>
      </c>
      <c r="Y614" s="14"/>
      <c r="Z614" t="e">
        <f>VLOOKUP(M614,'[1]INDIVIDUAL UN'!$C$6:$F$222,4,FALSE)</f>
        <v>#N/A</v>
      </c>
    </row>
    <row r="615" spans="1:26" x14ac:dyDescent="0.35">
      <c r="A615" s="9" t="s">
        <v>25</v>
      </c>
      <c r="D615" s="10" t="s">
        <v>29</v>
      </c>
      <c r="J615" s="12" t="e">
        <f>+VLOOKUP(K615,Datos!$A:$C,3,FALSE)</f>
        <v>#N/A</v>
      </c>
      <c r="L615" s="12" t="e">
        <f>+VLOOKUP(K615,Datos!$A:$C,2,FALSE)</f>
        <v>#N/A</v>
      </c>
      <c r="N615" s="12" t="e">
        <f>+VLOOKUP(M615,Datos!$F:$G,2,FALSE)</f>
        <v>#N/A</v>
      </c>
      <c r="O615" s="13">
        <f>IFERROR(IF(A615="SI",VLOOKUP(R615,Datos!$J$1:$K$50,2,FALSE)*C615,VLOOKUP(R615,Datos!$P$1:$T$13,2,FALSE)*C615),0)</f>
        <v>0</v>
      </c>
      <c r="P615" s="9"/>
      <c r="Q615" s="12" t="e">
        <f>+VLOOKUP(P615,Datos!$F:$G,2,FALSE)</f>
        <v>#N/A</v>
      </c>
      <c r="Y615" s="14"/>
      <c r="Z615" t="e">
        <f>VLOOKUP(M615,'[1]INDIVIDUAL UN'!$C$6:$F$222,4,FALSE)</f>
        <v>#N/A</v>
      </c>
    </row>
    <row r="616" spans="1:26" x14ac:dyDescent="0.35">
      <c r="A616" s="9" t="s">
        <v>25</v>
      </c>
      <c r="D616" s="10" t="s">
        <v>29</v>
      </c>
      <c r="J616" s="12" t="e">
        <f>+VLOOKUP(K616,Datos!$A:$C,3,FALSE)</f>
        <v>#N/A</v>
      </c>
      <c r="L616" s="12" t="e">
        <f>+VLOOKUP(K616,Datos!$A:$C,2,FALSE)</f>
        <v>#N/A</v>
      </c>
      <c r="N616" s="12" t="e">
        <f>+VLOOKUP(M616,Datos!$F:$G,2,FALSE)</f>
        <v>#N/A</v>
      </c>
      <c r="O616" s="13">
        <f>IFERROR(IF(A616="SI",VLOOKUP(R616,Datos!$J$1:$K$50,2,FALSE)*C616,VLOOKUP(R616,Datos!$P$1:$T$13,2,FALSE)*C616),0)</f>
        <v>0</v>
      </c>
      <c r="P616" s="9"/>
      <c r="Q616" s="12" t="e">
        <f>+VLOOKUP(P616,Datos!$F:$G,2,FALSE)</f>
        <v>#N/A</v>
      </c>
      <c r="Y616" s="14"/>
      <c r="Z616" t="e">
        <f>VLOOKUP(M616,'[1]INDIVIDUAL UN'!$C$6:$F$222,4,FALSE)</f>
        <v>#N/A</v>
      </c>
    </row>
    <row r="617" spans="1:26" x14ac:dyDescent="0.35">
      <c r="A617" s="9" t="s">
        <v>25</v>
      </c>
      <c r="D617" s="10" t="s">
        <v>29</v>
      </c>
      <c r="J617" s="12" t="e">
        <f>+VLOOKUP(K617,Datos!$A:$C,3,FALSE)</f>
        <v>#N/A</v>
      </c>
      <c r="L617" s="12" t="e">
        <f>+VLOOKUP(K617,Datos!$A:$C,2,FALSE)</f>
        <v>#N/A</v>
      </c>
      <c r="N617" s="12" t="e">
        <f>+VLOOKUP(M617,Datos!$F:$G,2,FALSE)</f>
        <v>#N/A</v>
      </c>
      <c r="O617" s="13">
        <f>IFERROR(IF(A617="SI",VLOOKUP(R617,Datos!$J$1:$K$50,2,FALSE)*C617,VLOOKUP(R617,Datos!$P$1:$T$13,2,FALSE)*C617),0)</f>
        <v>0</v>
      </c>
      <c r="P617" s="9"/>
      <c r="Q617" s="12" t="e">
        <f>+VLOOKUP(P617,Datos!$F:$G,2,FALSE)</f>
        <v>#N/A</v>
      </c>
      <c r="Y617" s="14"/>
      <c r="Z617" t="e">
        <f>VLOOKUP(M617,'[1]INDIVIDUAL UN'!$C$6:$F$222,4,FALSE)</f>
        <v>#N/A</v>
      </c>
    </row>
    <row r="618" spans="1:26" x14ac:dyDescent="0.35">
      <c r="A618" s="9" t="s">
        <v>25</v>
      </c>
      <c r="D618" s="10" t="s">
        <v>29</v>
      </c>
      <c r="J618" s="12" t="e">
        <f>+VLOOKUP(K618,Datos!$A:$C,3,FALSE)</f>
        <v>#N/A</v>
      </c>
      <c r="L618" s="12" t="e">
        <f>+VLOOKUP(K618,Datos!$A:$C,2,FALSE)</f>
        <v>#N/A</v>
      </c>
      <c r="N618" s="12" t="e">
        <f>+VLOOKUP(M618,Datos!$F:$G,2,FALSE)</f>
        <v>#N/A</v>
      </c>
      <c r="O618" s="13">
        <f>IFERROR(IF(A618="SI",VLOOKUP(R618,Datos!$J$1:$K$50,2,FALSE)*C618,VLOOKUP(R618,Datos!$P$1:$T$13,2,FALSE)*C618),0)</f>
        <v>0</v>
      </c>
      <c r="P618" s="9"/>
      <c r="Q618" s="12" t="e">
        <f>+VLOOKUP(P618,Datos!$F:$G,2,FALSE)</f>
        <v>#N/A</v>
      </c>
      <c r="Y618" s="14"/>
      <c r="Z618" t="e">
        <f>VLOOKUP(M618,'[1]INDIVIDUAL UN'!$C$6:$F$222,4,FALSE)</f>
        <v>#N/A</v>
      </c>
    </row>
    <row r="619" spans="1:26" x14ac:dyDescent="0.35">
      <c r="A619" s="9" t="s">
        <v>25</v>
      </c>
      <c r="D619" s="10" t="s">
        <v>29</v>
      </c>
      <c r="J619" s="12" t="e">
        <f>+VLOOKUP(K619,Datos!$A:$C,3,FALSE)</f>
        <v>#N/A</v>
      </c>
      <c r="L619" s="12" t="e">
        <f>+VLOOKUP(K619,Datos!$A:$C,2,FALSE)</f>
        <v>#N/A</v>
      </c>
      <c r="N619" s="12" t="e">
        <f>+VLOOKUP(M619,Datos!$F:$G,2,FALSE)</f>
        <v>#N/A</v>
      </c>
      <c r="O619" s="13">
        <f>IFERROR(IF(A619="SI",VLOOKUP(R619,Datos!$J$1:$K$50,2,FALSE)*C619,VLOOKUP(R619,Datos!$P$1:$T$13,2,FALSE)*C619),0)</f>
        <v>0</v>
      </c>
      <c r="P619" s="9"/>
      <c r="Q619" s="12" t="e">
        <f>+VLOOKUP(P619,Datos!$F:$G,2,FALSE)</f>
        <v>#N/A</v>
      </c>
      <c r="Y619" s="14"/>
      <c r="Z619" t="e">
        <f>VLOOKUP(M619,'[1]INDIVIDUAL UN'!$C$6:$F$222,4,FALSE)</f>
        <v>#N/A</v>
      </c>
    </row>
    <row r="620" spans="1:26" x14ac:dyDescent="0.35">
      <c r="A620" s="9" t="s">
        <v>25</v>
      </c>
      <c r="D620" s="10" t="s">
        <v>29</v>
      </c>
      <c r="J620" s="12" t="e">
        <f>+VLOOKUP(K620,Datos!$A:$C,3,FALSE)</f>
        <v>#N/A</v>
      </c>
      <c r="L620" s="12" t="e">
        <f>+VLOOKUP(K620,Datos!$A:$C,2,FALSE)</f>
        <v>#N/A</v>
      </c>
      <c r="N620" s="12" t="e">
        <f>+VLOOKUP(M620,Datos!$F:$G,2,FALSE)</f>
        <v>#N/A</v>
      </c>
      <c r="O620" s="13">
        <f>IFERROR(IF(A620="SI",VLOOKUP(R620,Datos!$J$1:$K$50,2,FALSE)*C620,VLOOKUP(R620,Datos!$P$1:$T$13,2,FALSE)*C620),0)</f>
        <v>0</v>
      </c>
      <c r="P620" s="9"/>
      <c r="Q620" s="12" t="e">
        <f>+VLOOKUP(P620,Datos!$F:$G,2,FALSE)</f>
        <v>#N/A</v>
      </c>
      <c r="Y620" s="14"/>
      <c r="Z620" t="e">
        <f>VLOOKUP(M620,'[1]INDIVIDUAL UN'!$C$6:$F$222,4,FALSE)</f>
        <v>#N/A</v>
      </c>
    </row>
    <row r="621" spans="1:26" x14ac:dyDescent="0.35">
      <c r="A621" s="9" t="s">
        <v>25</v>
      </c>
      <c r="D621" s="10" t="s">
        <v>29</v>
      </c>
      <c r="J621" s="12" t="e">
        <f>+VLOOKUP(K621,Datos!$A:$C,3,FALSE)</f>
        <v>#N/A</v>
      </c>
      <c r="L621" s="12" t="e">
        <f>+VLOOKUP(K621,Datos!$A:$C,2,FALSE)</f>
        <v>#N/A</v>
      </c>
      <c r="N621" s="12" t="e">
        <f>+VLOOKUP(M621,Datos!$F:$G,2,FALSE)</f>
        <v>#N/A</v>
      </c>
      <c r="O621" s="13">
        <f>IFERROR(IF(A621="SI",VLOOKUP(R621,Datos!$J$1:$K$50,2,FALSE)*C621,VLOOKUP(R621,Datos!$P$1:$T$13,2,FALSE)*C621),0)</f>
        <v>0</v>
      </c>
      <c r="P621" s="9"/>
      <c r="Q621" s="12" t="e">
        <f>+VLOOKUP(P621,Datos!$F:$G,2,FALSE)</f>
        <v>#N/A</v>
      </c>
      <c r="Y621" s="14"/>
      <c r="Z621" t="e">
        <f>VLOOKUP(M621,'[1]INDIVIDUAL UN'!$C$6:$F$222,4,FALSE)</f>
        <v>#N/A</v>
      </c>
    </row>
    <row r="622" spans="1:26" x14ac:dyDescent="0.35">
      <c r="A622" s="9" t="s">
        <v>25</v>
      </c>
      <c r="D622" s="10" t="s">
        <v>29</v>
      </c>
      <c r="J622" s="12" t="e">
        <f>+VLOOKUP(K622,Datos!$A:$C,3,FALSE)</f>
        <v>#N/A</v>
      </c>
      <c r="L622" s="12" t="e">
        <f>+VLOOKUP(K622,Datos!$A:$C,2,FALSE)</f>
        <v>#N/A</v>
      </c>
      <c r="N622" s="12" t="e">
        <f>+VLOOKUP(M622,Datos!$F:$G,2,FALSE)</f>
        <v>#N/A</v>
      </c>
      <c r="O622" s="13">
        <f>IFERROR(IF(A622="SI",VLOOKUP(R622,Datos!$J$1:$K$50,2,FALSE)*C622,VLOOKUP(R622,Datos!$P$1:$T$13,2,FALSE)*C622),0)</f>
        <v>0</v>
      </c>
      <c r="P622" s="9"/>
      <c r="Q622" s="12" t="e">
        <f>+VLOOKUP(P622,Datos!$F:$G,2,FALSE)</f>
        <v>#N/A</v>
      </c>
      <c r="Y622" s="14"/>
      <c r="Z622" t="e">
        <f>VLOOKUP(M622,'[1]INDIVIDUAL UN'!$C$6:$F$222,4,FALSE)</f>
        <v>#N/A</v>
      </c>
    </row>
    <row r="623" spans="1:26" x14ac:dyDescent="0.35">
      <c r="A623" s="9" t="s">
        <v>25</v>
      </c>
      <c r="D623" s="10" t="s">
        <v>29</v>
      </c>
      <c r="J623" s="12" t="e">
        <f>+VLOOKUP(K623,Datos!$A:$C,3,FALSE)</f>
        <v>#N/A</v>
      </c>
      <c r="L623" s="12" t="e">
        <f>+VLOOKUP(K623,Datos!$A:$C,2,FALSE)</f>
        <v>#N/A</v>
      </c>
      <c r="N623" s="12" t="e">
        <f>+VLOOKUP(M623,Datos!$F:$G,2,FALSE)</f>
        <v>#N/A</v>
      </c>
      <c r="O623" s="13">
        <f>IFERROR(IF(A623="SI",VLOOKUP(R623,Datos!$J$1:$K$50,2,FALSE)*C623,VLOOKUP(R623,Datos!$P$1:$T$13,2,FALSE)*C623),0)</f>
        <v>0</v>
      </c>
      <c r="P623" s="9"/>
      <c r="Q623" s="12" t="e">
        <f>+VLOOKUP(P623,Datos!$F:$G,2,FALSE)</f>
        <v>#N/A</v>
      </c>
      <c r="Y623" s="14"/>
      <c r="Z623" t="e">
        <f>VLOOKUP(M623,'[1]INDIVIDUAL UN'!$C$6:$F$222,4,FALSE)</f>
        <v>#N/A</v>
      </c>
    </row>
    <row r="624" spans="1:26" x14ac:dyDescent="0.35">
      <c r="A624" s="9" t="s">
        <v>25</v>
      </c>
      <c r="D624" s="10" t="s">
        <v>29</v>
      </c>
      <c r="J624" s="12" t="e">
        <f>+VLOOKUP(K624,Datos!$A:$C,3,FALSE)</f>
        <v>#N/A</v>
      </c>
      <c r="L624" s="12" t="e">
        <f>+VLOOKUP(K624,Datos!$A:$C,2,FALSE)</f>
        <v>#N/A</v>
      </c>
      <c r="N624" s="12" t="e">
        <f>+VLOOKUP(M624,Datos!$F:$G,2,FALSE)</f>
        <v>#N/A</v>
      </c>
      <c r="O624" s="13">
        <f>IFERROR(IF(A624="SI",VLOOKUP(R624,Datos!$J$1:$K$50,2,FALSE)*C624,VLOOKUP(R624,Datos!$P$1:$T$13,2,FALSE)*C624),0)</f>
        <v>0</v>
      </c>
      <c r="P624" s="9"/>
      <c r="Q624" s="12" t="e">
        <f>+VLOOKUP(P624,Datos!$F:$G,2,FALSE)</f>
        <v>#N/A</v>
      </c>
      <c r="Y624" s="14"/>
      <c r="Z624" t="e">
        <f>VLOOKUP(M624,'[1]INDIVIDUAL UN'!$C$6:$F$222,4,FALSE)</f>
        <v>#N/A</v>
      </c>
    </row>
    <row r="625" spans="1:26" x14ac:dyDescent="0.35">
      <c r="A625" s="9" t="s">
        <v>25</v>
      </c>
      <c r="D625" s="10" t="s">
        <v>29</v>
      </c>
      <c r="J625" s="12" t="e">
        <f>+VLOOKUP(K625,Datos!$A:$C,3,FALSE)</f>
        <v>#N/A</v>
      </c>
      <c r="L625" s="12" t="e">
        <f>+VLOOKUP(K625,Datos!$A:$C,2,FALSE)</f>
        <v>#N/A</v>
      </c>
      <c r="N625" s="12" t="e">
        <f>+VLOOKUP(M625,Datos!$F:$G,2,FALSE)</f>
        <v>#N/A</v>
      </c>
      <c r="O625" s="13">
        <f>IFERROR(IF(A625="SI",VLOOKUP(R625,Datos!$J$1:$K$50,2,FALSE)*C625,VLOOKUP(R625,Datos!$P$1:$T$13,2,FALSE)*C625),0)</f>
        <v>0</v>
      </c>
      <c r="P625" s="9"/>
      <c r="Q625" s="12" t="e">
        <f>+VLOOKUP(P625,Datos!$F:$G,2,FALSE)</f>
        <v>#N/A</v>
      </c>
      <c r="Y625" s="14"/>
      <c r="Z625" t="e">
        <f>VLOOKUP(M625,'[1]INDIVIDUAL UN'!$C$6:$F$222,4,FALSE)</f>
        <v>#N/A</v>
      </c>
    </row>
    <row r="626" spans="1:26" x14ac:dyDescent="0.35">
      <c r="A626" s="9" t="s">
        <v>25</v>
      </c>
      <c r="D626" s="10" t="s">
        <v>29</v>
      </c>
      <c r="J626" s="12" t="e">
        <f>+VLOOKUP(K626,Datos!$A:$C,3,FALSE)</f>
        <v>#N/A</v>
      </c>
      <c r="L626" s="12" t="e">
        <f>+VLOOKUP(K626,Datos!$A:$C,2,FALSE)</f>
        <v>#N/A</v>
      </c>
      <c r="N626" s="12" t="e">
        <f>+VLOOKUP(M626,Datos!$F:$G,2,FALSE)</f>
        <v>#N/A</v>
      </c>
      <c r="O626" s="13">
        <f>IFERROR(IF(A626="SI",VLOOKUP(R626,Datos!$J$1:$K$50,2,FALSE)*C626,VLOOKUP(R626,Datos!$P$1:$T$13,2,FALSE)*C626),0)</f>
        <v>0</v>
      </c>
      <c r="P626" s="9"/>
      <c r="Q626" s="12" t="e">
        <f>+VLOOKUP(P626,Datos!$F:$G,2,FALSE)</f>
        <v>#N/A</v>
      </c>
      <c r="Y626" s="14"/>
      <c r="Z626" t="e">
        <f>VLOOKUP(M626,'[1]INDIVIDUAL UN'!$C$6:$F$222,4,FALSE)</f>
        <v>#N/A</v>
      </c>
    </row>
    <row r="627" spans="1:26" x14ac:dyDescent="0.35">
      <c r="A627" s="9" t="s">
        <v>25</v>
      </c>
      <c r="D627" s="10" t="s">
        <v>29</v>
      </c>
      <c r="J627" s="12" t="e">
        <f>+VLOOKUP(K627,Datos!$A:$C,3,FALSE)</f>
        <v>#N/A</v>
      </c>
      <c r="L627" s="12" t="e">
        <f>+VLOOKUP(K627,Datos!$A:$C,2,FALSE)</f>
        <v>#N/A</v>
      </c>
      <c r="N627" s="12" t="e">
        <f>+VLOOKUP(M627,Datos!$F:$G,2,FALSE)</f>
        <v>#N/A</v>
      </c>
      <c r="O627" s="13">
        <f>IFERROR(IF(A627="SI",VLOOKUP(R627,Datos!$J$1:$K$50,2,FALSE)*C627,VLOOKUP(R627,Datos!$P$1:$T$13,2,FALSE)*C627),0)</f>
        <v>0</v>
      </c>
      <c r="P627" s="9"/>
      <c r="Q627" s="12" t="e">
        <f>+VLOOKUP(P627,Datos!$F:$G,2,FALSE)</f>
        <v>#N/A</v>
      </c>
      <c r="Y627" s="14"/>
      <c r="Z627" t="e">
        <f>VLOOKUP(M627,'[1]INDIVIDUAL UN'!$C$6:$F$222,4,FALSE)</f>
        <v>#N/A</v>
      </c>
    </row>
    <row r="628" spans="1:26" x14ac:dyDescent="0.35">
      <c r="A628" s="9" t="s">
        <v>25</v>
      </c>
      <c r="D628" s="10" t="s">
        <v>29</v>
      </c>
      <c r="J628" s="12" t="e">
        <f>+VLOOKUP(K628,Datos!$A:$C,3,FALSE)</f>
        <v>#N/A</v>
      </c>
      <c r="L628" s="12" t="e">
        <f>+VLOOKUP(K628,Datos!$A:$C,2,FALSE)</f>
        <v>#N/A</v>
      </c>
      <c r="N628" s="12" t="e">
        <f>+VLOOKUP(M628,Datos!$F:$G,2,FALSE)</f>
        <v>#N/A</v>
      </c>
      <c r="O628" s="13">
        <f>IFERROR(IF(A628="SI",VLOOKUP(R628,Datos!$J$1:$K$50,2,FALSE)*C628,VLOOKUP(R628,Datos!$P$1:$T$13,2,FALSE)*C628),0)</f>
        <v>0</v>
      </c>
      <c r="P628" s="9"/>
      <c r="Q628" s="12" t="e">
        <f>+VLOOKUP(P628,Datos!$F:$G,2,FALSE)</f>
        <v>#N/A</v>
      </c>
      <c r="Y628" s="14"/>
      <c r="Z628" t="e">
        <f>VLOOKUP(M628,'[1]INDIVIDUAL UN'!$C$6:$F$222,4,FALSE)</f>
        <v>#N/A</v>
      </c>
    </row>
    <row r="629" spans="1:26" x14ac:dyDescent="0.35">
      <c r="A629" s="9" t="s">
        <v>25</v>
      </c>
      <c r="D629" s="10" t="s">
        <v>29</v>
      </c>
      <c r="J629" s="12" t="e">
        <f>+VLOOKUP(K629,Datos!$A:$C,3,FALSE)</f>
        <v>#N/A</v>
      </c>
      <c r="L629" s="12" t="e">
        <f>+VLOOKUP(K629,Datos!$A:$C,2,FALSE)</f>
        <v>#N/A</v>
      </c>
      <c r="N629" s="12" t="e">
        <f>+VLOOKUP(M629,Datos!$F:$G,2,FALSE)</f>
        <v>#N/A</v>
      </c>
      <c r="O629" s="13">
        <f>IFERROR(IF(A629="SI",VLOOKUP(R629,Datos!$J$1:$K$50,2,FALSE)*C629,VLOOKUP(R629,Datos!$P$1:$T$13,2,FALSE)*C629),0)</f>
        <v>0</v>
      </c>
      <c r="P629" s="9"/>
      <c r="Q629" s="12" t="e">
        <f>+VLOOKUP(P629,Datos!$F:$G,2,FALSE)</f>
        <v>#N/A</v>
      </c>
      <c r="Y629" s="14"/>
      <c r="Z629" t="e">
        <f>VLOOKUP(M629,'[1]INDIVIDUAL UN'!$C$6:$F$222,4,FALSE)</f>
        <v>#N/A</v>
      </c>
    </row>
    <row r="630" spans="1:26" x14ac:dyDescent="0.35">
      <c r="A630" s="9" t="s">
        <v>25</v>
      </c>
      <c r="D630" s="10" t="s">
        <v>29</v>
      </c>
      <c r="J630" s="12" t="e">
        <f>+VLOOKUP(K630,Datos!$A:$C,3,FALSE)</f>
        <v>#N/A</v>
      </c>
      <c r="L630" s="12" t="e">
        <f>+VLOOKUP(K630,Datos!$A:$C,2,FALSE)</f>
        <v>#N/A</v>
      </c>
      <c r="N630" s="12" t="e">
        <f>+VLOOKUP(M630,Datos!$F:$G,2,FALSE)</f>
        <v>#N/A</v>
      </c>
      <c r="O630" s="13">
        <f>IFERROR(IF(A630="SI",VLOOKUP(R630,Datos!$J$1:$K$50,2,FALSE)*C630,VLOOKUP(R630,Datos!$P$1:$T$13,2,FALSE)*C630),0)</f>
        <v>0</v>
      </c>
      <c r="P630" s="9"/>
      <c r="Q630" s="12" t="e">
        <f>+VLOOKUP(P630,Datos!$F:$G,2,FALSE)</f>
        <v>#N/A</v>
      </c>
      <c r="Y630" s="14"/>
      <c r="Z630" t="e">
        <f>VLOOKUP(M630,'[1]INDIVIDUAL UN'!$C$6:$F$222,4,FALSE)</f>
        <v>#N/A</v>
      </c>
    </row>
    <row r="631" spans="1:26" x14ac:dyDescent="0.35">
      <c r="A631" s="9" t="s">
        <v>25</v>
      </c>
      <c r="D631" s="10" t="s">
        <v>29</v>
      </c>
      <c r="J631" s="12" t="e">
        <f>+VLOOKUP(K631,Datos!$A:$C,3,FALSE)</f>
        <v>#N/A</v>
      </c>
      <c r="L631" s="12" t="e">
        <f>+VLOOKUP(K631,Datos!$A:$C,2,FALSE)</f>
        <v>#N/A</v>
      </c>
      <c r="N631" s="12" t="e">
        <f>+VLOOKUP(M631,Datos!$F:$G,2,FALSE)</f>
        <v>#N/A</v>
      </c>
      <c r="O631" s="13">
        <f>IFERROR(IF(A631="SI",VLOOKUP(R631,Datos!$J$1:$K$50,2,FALSE)*C631,VLOOKUP(R631,Datos!$P$1:$T$13,2,FALSE)*C631),0)</f>
        <v>0</v>
      </c>
      <c r="P631" s="9"/>
      <c r="Q631" s="12" t="e">
        <f>+VLOOKUP(P631,Datos!$F:$G,2,FALSE)</f>
        <v>#N/A</v>
      </c>
      <c r="Y631" s="14"/>
      <c r="Z631" t="e">
        <f>VLOOKUP(M631,'[1]INDIVIDUAL UN'!$C$6:$F$222,4,FALSE)</f>
        <v>#N/A</v>
      </c>
    </row>
    <row r="632" spans="1:26" x14ac:dyDescent="0.35">
      <c r="A632" s="9" t="s">
        <v>25</v>
      </c>
      <c r="D632" s="10" t="s">
        <v>29</v>
      </c>
      <c r="J632" s="12" t="e">
        <f>+VLOOKUP(K632,Datos!$A:$C,3,FALSE)</f>
        <v>#N/A</v>
      </c>
      <c r="L632" s="12" t="e">
        <f>+VLOOKUP(K632,Datos!$A:$C,2,FALSE)</f>
        <v>#N/A</v>
      </c>
      <c r="N632" s="12" t="e">
        <f>+VLOOKUP(M632,Datos!$F:$G,2,FALSE)</f>
        <v>#N/A</v>
      </c>
      <c r="O632" s="13">
        <f>IFERROR(IF(A632="SI",VLOOKUP(R632,Datos!$J$1:$K$50,2,FALSE)*C632,VLOOKUP(R632,Datos!$P$1:$T$13,2,FALSE)*C632),0)</f>
        <v>0</v>
      </c>
      <c r="P632" s="9"/>
      <c r="Q632" s="12" t="e">
        <f>+VLOOKUP(P632,Datos!$F:$G,2,FALSE)</f>
        <v>#N/A</v>
      </c>
      <c r="Y632" s="14"/>
      <c r="Z632" t="e">
        <f>VLOOKUP(M632,'[1]INDIVIDUAL UN'!$C$6:$F$222,4,FALSE)</f>
        <v>#N/A</v>
      </c>
    </row>
    <row r="633" spans="1:26" x14ac:dyDescent="0.35">
      <c r="A633" s="9" t="s">
        <v>25</v>
      </c>
      <c r="D633" s="10" t="s">
        <v>29</v>
      </c>
      <c r="J633" s="12" t="e">
        <f>+VLOOKUP(K633,Datos!$A:$C,3,FALSE)</f>
        <v>#N/A</v>
      </c>
      <c r="L633" s="12" t="e">
        <f>+VLOOKUP(K633,Datos!$A:$C,2,FALSE)</f>
        <v>#N/A</v>
      </c>
      <c r="N633" s="12" t="e">
        <f>+VLOOKUP(M633,Datos!$F:$G,2,FALSE)</f>
        <v>#N/A</v>
      </c>
      <c r="O633" s="13">
        <f>IFERROR(IF(A633="SI",VLOOKUP(R633,Datos!$J$1:$K$50,2,FALSE)*C633,VLOOKUP(R633,Datos!$P$1:$T$13,2,FALSE)*C633),0)</f>
        <v>0</v>
      </c>
      <c r="P633" s="9"/>
      <c r="Q633" s="12" t="e">
        <f>+VLOOKUP(P633,Datos!$F:$G,2,FALSE)</f>
        <v>#N/A</v>
      </c>
      <c r="Y633" s="14"/>
      <c r="Z633" t="e">
        <f>VLOOKUP(M633,'[1]INDIVIDUAL UN'!$C$6:$F$222,4,FALSE)</f>
        <v>#N/A</v>
      </c>
    </row>
    <row r="634" spans="1:26" x14ac:dyDescent="0.35">
      <c r="A634" s="9" t="s">
        <v>25</v>
      </c>
      <c r="D634" s="10" t="s">
        <v>29</v>
      </c>
      <c r="J634" s="12" t="e">
        <f>+VLOOKUP(K634,Datos!$A:$C,3,FALSE)</f>
        <v>#N/A</v>
      </c>
      <c r="L634" s="12" t="e">
        <f>+VLOOKUP(K634,Datos!$A:$C,2,FALSE)</f>
        <v>#N/A</v>
      </c>
      <c r="N634" s="12" t="e">
        <f>+VLOOKUP(M634,Datos!$F:$G,2,FALSE)</f>
        <v>#N/A</v>
      </c>
      <c r="O634" s="13">
        <f>IFERROR(IF(A634="SI",VLOOKUP(R634,Datos!$J$1:$K$50,2,FALSE)*C634,VLOOKUP(R634,Datos!$P$1:$T$13,2,FALSE)*C634),0)</f>
        <v>0</v>
      </c>
      <c r="P634" s="9"/>
      <c r="Q634" s="12" t="e">
        <f>+VLOOKUP(P634,Datos!$F:$G,2,FALSE)</f>
        <v>#N/A</v>
      </c>
      <c r="Y634" s="14"/>
      <c r="Z634" t="e">
        <f>VLOOKUP(M634,'[1]INDIVIDUAL UN'!$C$6:$F$222,4,FALSE)</f>
        <v>#N/A</v>
      </c>
    </row>
    <row r="635" spans="1:26" x14ac:dyDescent="0.35">
      <c r="A635" s="9" t="s">
        <v>25</v>
      </c>
      <c r="D635" s="10" t="s">
        <v>29</v>
      </c>
      <c r="J635" s="12" t="e">
        <f>+VLOOKUP(K635,Datos!$A:$C,3,FALSE)</f>
        <v>#N/A</v>
      </c>
      <c r="L635" s="12" t="e">
        <f>+VLOOKUP(K635,Datos!$A:$C,2,FALSE)</f>
        <v>#N/A</v>
      </c>
      <c r="N635" s="12" t="e">
        <f>+VLOOKUP(M635,Datos!$F:$G,2,FALSE)</f>
        <v>#N/A</v>
      </c>
      <c r="O635" s="13">
        <f>IFERROR(IF(A635="SI",VLOOKUP(R635,Datos!$J$1:$K$50,2,FALSE)*C635,VLOOKUP(R635,Datos!$P$1:$T$13,2,FALSE)*C635),0)</f>
        <v>0</v>
      </c>
      <c r="P635" s="9"/>
      <c r="Q635" s="12" t="e">
        <f>+VLOOKUP(P635,Datos!$F:$G,2,FALSE)</f>
        <v>#N/A</v>
      </c>
      <c r="Y635" s="14"/>
      <c r="Z635" t="e">
        <f>VLOOKUP(M635,'[1]INDIVIDUAL UN'!$C$6:$F$222,4,FALSE)</f>
        <v>#N/A</v>
      </c>
    </row>
    <row r="636" spans="1:26" x14ac:dyDescent="0.35">
      <c r="A636" s="9" t="s">
        <v>25</v>
      </c>
      <c r="D636" s="10" t="s">
        <v>29</v>
      </c>
      <c r="J636" s="12" t="e">
        <f>+VLOOKUP(K636,Datos!$A:$C,3,FALSE)</f>
        <v>#N/A</v>
      </c>
      <c r="L636" s="12" t="e">
        <f>+VLOOKUP(K636,Datos!$A:$C,2,FALSE)</f>
        <v>#N/A</v>
      </c>
      <c r="N636" s="12" t="e">
        <f>+VLOOKUP(M636,Datos!$F:$G,2,FALSE)</f>
        <v>#N/A</v>
      </c>
      <c r="O636" s="13">
        <f>IFERROR(IF(A636="SI",VLOOKUP(R636,Datos!$J$1:$K$50,2,FALSE)*C636,VLOOKUP(R636,Datos!$P$1:$T$13,2,FALSE)*C636),0)</f>
        <v>0</v>
      </c>
      <c r="P636" s="9"/>
      <c r="Q636" s="12" t="e">
        <f>+VLOOKUP(P636,Datos!$F:$G,2,FALSE)</f>
        <v>#N/A</v>
      </c>
      <c r="Y636" s="14"/>
      <c r="Z636" t="e">
        <f>VLOOKUP(M636,'[1]INDIVIDUAL UN'!$C$6:$F$222,4,FALSE)</f>
        <v>#N/A</v>
      </c>
    </row>
    <row r="637" spans="1:26" x14ac:dyDescent="0.35">
      <c r="A637" s="9" t="s">
        <v>25</v>
      </c>
      <c r="D637" s="10" t="s">
        <v>29</v>
      </c>
      <c r="J637" s="12" t="e">
        <f>+VLOOKUP(K637,Datos!$A:$C,3,FALSE)</f>
        <v>#N/A</v>
      </c>
      <c r="L637" s="12" t="e">
        <f>+VLOOKUP(K637,Datos!$A:$C,2,FALSE)</f>
        <v>#N/A</v>
      </c>
      <c r="N637" s="12" t="e">
        <f>+VLOOKUP(M637,Datos!$F:$G,2,FALSE)</f>
        <v>#N/A</v>
      </c>
      <c r="O637" s="13">
        <f>IFERROR(IF(A637="SI",VLOOKUP(R637,Datos!$J$1:$K$50,2,FALSE)*C637,VLOOKUP(R637,Datos!$P$1:$T$13,2,FALSE)*C637),0)</f>
        <v>0</v>
      </c>
      <c r="P637" s="9"/>
      <c r="Q637" s="12" t="e">
        <f>+VLOOKUP(P637,Datos!$F:$G,2,FALSE)</f>
        <v>#N/A</v>
      </c>
      <c r="Y637" s="14"/>
      <c r="Z637" t="e">
        <f>VLOOKUP(M637,'[1]INDIVIDUAL UN'!$C$6:$F$222,4,FALSE)</f>
        <v>#N/A</v>
      </c>
    </row>
    <row r="638" spans="1:26" x14ac:dyDescent="0.35">
      <c r="A638" s="9" t="s">
        <v>25</v>
      </c>
      <c r="D638" s="10" t="s">
        <v>29</v>
      </c>
      <c r="J638" s="12" t="e">
        <f>+VLOOKUP(K638,Datos!$A:$C,3,FALSE)</f>
        <v>#N/A</v>
      </c>
      <c r="L638" s="12" t="e">
        <f>+VLOOKUP(K638,Datos!$A:$C,2,FALSE)</f>
        <v>#N/A</v>
      </c>
      <c r="N638" s="12" t="e">
        <f>+VLOOKUP(M638,Datos!$F:$G,2,FALSE)</f>
        <v>#N/A</v>
      </c>
      <c r="O638" s="13">
        <f>IFERROR(IF(A638="SI",VLOOKUP(R638,Datos!$J$1:$K$50,2,FALSE)*C638,VLOOKUP(R638,Datos!$P$1:$T$13,2,FALSE)*C638),0)</f>
        <v>0</v>
      </c>
      <c r="P638" s="9"/>
      <c r="Q638" s="12" t="e">
        <f>+VLOOKUP(P638,Datos!$F:$G,2,FALSE)</f>
        <v>#N/A</v>
      </c>
      <c r="Y638" s="14"/>
      <c r="Z638" t="e">
        <f>VLOOKUP(M638,'[1]INDIVIDUAL UN'!$C$6:$F$222,4,FALSE)</f>
        <v>#N/A</v>
      </c>
    </row>
    <row r="639" spans="1:26" x14ac:dyDescent="0.35">
      <c r="A639" s="9" t="s">
        <v>25</v>
      </c>
      <c r="D639" s="10" t="s">
        <v>29</v>
      </c>
      <c r="J639" s="12" t="e">
        <f>+VLOOKUP(K639,Datos!$A:$C,3,FALSE)</f>
        <v>#N/A</v>
      </c>
      <c r="L639" s="12" t="e">
        <f>+VLOOKUP(K639,Datos!$A:$C,2,FALSE)</f>
        <v>#N/A</v>
      </c>
      <c r="N639" s="12" t="e">
        <f>+VLOOKUP(M639,Datos!$F:$G,2,FALSE)</f>
        <v>#N/A</v>
      </c>
      <c r="O639" s="13">
        <f>IFERROR(IF(A639="SI",VLOOKUP(R639,Datos!$J$1:$K$50,2,FALSE)*C639,VLOOKUP(R639,Datos!$P$1:$T$13,2,FALSE)*C639),0)</f>
        <v>0</v>
      </c>
      <c r="P639" s="9"/>
      <c r="Q639" s="12" t="e">
        <f>+VLOOKUP(P639,Datos!$F:$G,2,FALSE)</f>
        <v>#N/A</v>
      </c>
      <c r="Y639" s="14"/>
      <c r="Z639" t="e">
        <f>VLOOKUP(M639,'[1]INDIVIDUAL UN'!$C$6:$F$222,4,FALSE)</f>
        <v>#N/A</v>
      </c>
    </row>
    <row r="640" spans="1:26" x14ac:dyDescent="0.35">
      <c r="A640" s="9" t="s">
        <v>25</v>
      </c>
      <c r="D640" s="10" t="s">
        <v>29</v>
      </c>
      <c r="J640" s="12" t="e">
        <f>+VLOOKUP(K640,Datos!$A:$C,3,FALSE)</f>
        <v>#N/A</v>
      </c>
      <c r="L640" s="12" t="e">
        <f>+VLOOKUP(K640,Datos!$A:$C,2,FALSE)</f>
        <v>#N/A</v>
      </c>
      <c r="N640" s="12" t="e">
        <f>+VLOOKUP(M640,Datos!$F:$G,2,FALSE)</f>
        <v>#N/A</v>
      </c>
      <c r="O640" s="13">
        <f>IFERROR(IF(A640="SI",VLOOKUP(R640,Datos!$J$1:$K$50,2,FALSE)*C640,VLOOKUP(R640,Datos!$P$1:$T$13,2,FALSE)*C640),0)</f>
        <v>0</v>
      </c>
      <c r="P640" s="9"/>
      <c r="Q640" s="12" t="e">
        <f>+VLOOKUP(P640,Datos!$F:$G,2,FALSE)</f>
        <v>#N/A</v>
      </c>
      <c r="Y640" s="14"/>
      <c r="Z640" t="e">
        <f>VLOOKUP(M640,'[1]INDIVIDUAL UN'!$C$6:$F$222,4,FALSE)</f>
        <v>#N/A</v>
      </c>
    </row>
    <row r="641" spans="1:26" x14ac:dyDescent="0.35">
      <c r="A641" s="9" t="s">
        <v>25</v>
      </c>
      <c r="D641" s="10" t="s">
        <v>29</v>
      </c>
      <c r="J641" s="12" t="e">
        <f>+VLOOKUP(K641,Datos!$A:$C,3,FALSE)</f>
        <v>#N/A</v>
      </c>
      <c r="L641" s="12" t="e">
        <f>+VLOOKUP(K641,Datos!$A:$C,2,FALSE)</f>
        <v>#N/A</v>
      </c>
      <c r="N641" s="12" t="e">
        <f>+VLOOKUP(M641,Datos!$F:$G,2,FALSE)</f>
        <v>#N/A</v>
      </c>
      <c r="O641" s="13">
        <f>IFERROR(IF(A641="SI",VLOOKUP(R641,Datos!$J$1:$K$50,2,FALSE)*C641,VLOOKUP(R641,Datos!$P$1:$T$13,2,FALSE)*C641),0)</f>
        <v>0</v>
      </c>
      <c r="P641" s="9"/>
      <c r="Q641" s="12" t="e">
        <f>+VLOOKUP(P641,Datos!$F:$G,2,FALSE)</f>
        <v>#N/A</v>
      </c>
      <c r="Y641" s="14"/>
      <c r="Z641" t="e">
        <f>VLOOKUP(M641,'[1]INDIVIDUAL UN'!$C$6:$F$222,4,FALSE)</f>
        <v>#N/A</v>
      </c>
    </row>
    <row r="642" spans="1:26" x14ac:dyDescent="0.35">
      <c r="A642" s="9" t="s">
        <v>25</v>
      </c>
      <c r="D642" s="10" t="s">
        <v>29</v>
      </c>
      <c r="J642" s="12" t="e">
        <f>+VLOOKUP(K642,Datos!$A:$C,3,FALSE)</f>
        <v>#N/A</v>
      </c>
      <c r="L642" s="12" t="e">
        <f>+VLOOKUP(K642,Datos!$A:$C,2,FALSE)</f>
        <v>#N/A</v>
      </c>
      <c r="N642" s="12" t="e">
        <f>+VLOOKUP(M642,Datos!$F:$G,2,FALSE)</f>
        <v>#N/A</v>
      </c>
      <c r="O642" s="13">
        <f>IFERROR(IF(A642="SI",VLOOKUP(R642,Datos!$J$1:$K$50,2,FALSE)*C642,VLOOKUP(R642,Datos!$P$1:$T$13,2,FALSE)*C642),0)</f>
        <v>0</v>
      </c>
      <c r="P642" s="9"/>
      <c r="Q642" s="12" t="e">
        <f>+VLOOKUP(P642,Datos!$F:$G,2,FALSE)</f>
        <v>#N/A</v>
      </c>
      <c r="Y642" s="14"/>
      <c r="Z642" t="e">
        <f>VLOOKUP(M642,'[1]INDIVIDUAL UN'!$C$6:$F$222,4,FALSE)</f>
        <v>#N/A</v>
      </c>
    </row>
    <row r="643" spans="1:26" x14ac:dyDescent="0.35">
      <c r="A643" s="9" t="s">
        <v>25</v>
      </c>
      <c r="D643" s="10" t="s">
        <v>29</v>
      </c>
      <c r="J643" s="12" t="e">
        <f>+VLOOKUP(K643,Datos!$A:$C,3,FALSE)</f>
        <v>#N/A</v>
      </c>
      <c r="L643" s="12" t="e">
        <f>+VLOOKUP(K643,Datos!$A:$C,2,FALSE)</f>
        <v>#N/A</v>
      </c>
      <c r="N643" s="12" t="e">
        <f>+VLOOKUP(M643,Datos!$F:$G,2,FALSE)</f>
        <v>#N/A</v>
      </c>
      <c r="O643" s="13">
        <f>IFERROR(IF(A643="SI",VLOOKUP(R643,Datos!$J$1:$K$50,2,FALSE)*C643,VLOOKUP(R643,Datos!$P$1:$T$13,2,FALSE)*C643),0)</f>
        <v>0</v>
      </c>
      <c r="P643" s="9"/>
      <c r="Q643" s="12" t="e">
        <f>+VLOOKUP(P643,Datos!$F:$G,2,FALSE)</f>
        <v>#N/A</v>
      </c>
      <c r="Y643" s="14"/>
      <c r="Z643" t="e">
        <f>VLOOKUP(M643,'[1]INDIVIDUAL UN'!$C$6:$F$222,4,FALSE)</f>
        <v>#N/A</v>
      </c>
    </row>
    <row r="644" spans="1:26" x14ac:dyDescent="0.35">
      <c r="A644" s="9" t="s">
        <v>25</v>
      </c>
      <c r="D644" s="10" t="s">
        <v>29</v>
      </c>
      <c r="J644" s="12" t="e">
        <f>+VLOOKUP(K644,Datos!$A:$C,3,FALSE)</f>
        <v>#N/A</v>
      </c>
      <c r="L644" s="12" t="e">
        <f>+VLOOKUP(K644,Datos!$A:$C,2,FALSE)</f>
        <v>#N/A</v>
      </c>
      <c r="N644" s="12" t="e">
        <f>+VLOOKUP(M644,Datos!$F:$G,2,FALSE)</f>
        <v>#N/A</v>
      </c>
      <c r="O644" s="13">
        <f>IFERROR(IF(A644="SI",VLOOKUP(R644,Datos!$J$1:$K$50,2,FALSE)*C644,VLOOKUP(R644,Datos!$P$1:$T$13,2,FALSE)*C644),0)</f>
        <v>0</v>
      </c>
      <c r="P644" s="9"/>
      <c r="Q644" s="12" t="e">
        <f>+VLOOKUP(P644,Datos!$F:$G,2,FALSE)</f>
        <v>#N/A</v>
      </c>
      <c r="Y644" s="14"/>
      <c r="Z644" t="e">
        <f>VLOOKUP(M644,'[1]INDIVIDUAL UN'!$C$6:$F$222,4,FALSE)</f>
        <v>#N/A</v>
      </c>
    </row>
    <row r="645" spans="1:26" x14ac:dyDescent="0.35">
      <c r="A645" s="9" t="s">
        <v>25</v>
      </c>
      <c r="D645" s="10" t="s">
        <v>29</v>
      </c>
      <c r="J645" s="12" t="e">
        <f>+VLOOKUP(K645,Datos!$A:$C,3,FALSE)</f>
        <v>#N/A</v>
      </c>
      <c r="L645" s="12" t="e">
        <f>+VLOOKUP(K645,Datos!$A:$C,2,FALSE)</f>
        <v>#N/A</v>
      </c>
      <c r="N645" s="12" t="e">
        <f>+VLOOKUP(M645,Datos!$F:$G,2,FALSE)</f>
        <v>#N/A</v>
      </c>
      <c r="O645" s="13">
        <f>IFERROR(IF(A645="SI",VLOOKUP(R645,Datos!$J$1:$K$50,2,FALSE)*C645,VLOOKUP(R645,Datos!$P$1:$T$13,2,FALSE)*C645),0)</f>
        <v>0</v>
      </c>
      <c r="P645" s="9"/>
      <c r="Q645" s="12" t="e">
        <f>+VLOOKUP(P645,Datos!$F:$G,2,FALSE)</f>
        <v>#N/A</v>
      </c>
      <c r="Y645" s="14"/>
      <c r="Z645" t="e">
        <f>VLOOKUP(M645,'[1]INDIVIDUAL UN'!$C$6:$F$222,4,FALSE)</f>
        <v>#N/A</v>
      </c>
    </row>
    <row r="646" spans="1:26" x14ac:dyDescent="0.35">
      <c r="A646" s="9" t="s">
        <v>25</v>
      </c>
      <c r="D646" s="10" t="s">
        <v>29</v>
      </c>
      <c r="J646" s="12" t="e">
        <f>+VLOOKUP(K646,Datos!$A:$C,3,FALSE)</f>
        <v>#N/A</v>
      </c>
      <c r="L646" s="12" t="e">
        <f>+VLOOKUP(K646,Datos!$A:$C,2,FALSE)</f>
        <v>#N/A</v>
      </c>
      <c r="N646" s="12" t="e">
        <f>+VLOOKUP(M646,Datos!$F:$G,2,FALSE)</f>
        <v>#N/A</v>
      </c>
      <c r="O646" s="13">
        <f>IFERROR(IF(A646="SI",VLOOKUP(R646,Datos!$J$1:$K$50,2,FALSE)*C646,VLOOKUP(R646,Datos!$P$1:$T$13,2,FALSE)*C646),0)</f>
        <v>0</v>
      </c>
      <c r="P646" s="9"/>
      <c r="Q646" s="12" t="e">
        <f>+VLOOKUP(P646,Datos!$F:$G,2,FALSE)</f>
        <v>#N/A</v>
      </c>
      <c r="Y646" s="14"/>
      <c r="Z646" t="e">
        <f>VLOOKUP(M646,'[1]INDIVIDUAL UN'!$C$6:$F$222,4,FALSE)</f>
        <v>#N/A</v>
      </c>
    </row>
    <row r="647" spans="1:26" x14ac:dyDescent="0.35">
      <c r="A647" s="9" t="s">
        <v>25</v>
      </c>
      <c r="D647" s="10" t="s">
        <v>29</v>
      </c>
      <c r="J647" s="12" t="e">
        <f>+VLOOKUP(K647,Datos!$A:$C,3,FALSE)</f>
        <v>#N/A</v>
      </c>
      <c r="L647" s="12" t="e">
        <f>+VLOOKUP(K647,Datos!$A:$C,2,FALSE)</f>
        <v>#N/A</v>
      </c>
      <c r="N647" s="12" t="e">
        <f>+VLOOKUP(M647,Datos!$F:$G,2,FALSE)</f>
        <v>#N/A</v>
      </c>
      <c r="O647" s="13">
        <f>IFERROR(IF(A647="SI",VLOOKUP(R647,Datos!$J$1:$K$50,2,FALSE)*C647,VLOOKUP(R647,Datos!$P$1:$T$13,2,FALSE)*C647),0)</f>
        <v>0</v>
      </c>
      <c r="P647" s="9"/>
      <c r="Q647" s="12" t="e">
        <f>+VLOOKUP(P647,Datos!$F:$G,2,FALSE)</f>
        <v>#N/A</v>
      </c>
      <c r="Y647" s="14"/>
      <c r="Z647" t="e">
        <f>VLOOKUP(M647,'[1]INDIVIDUAL UN'!$C$6:$F$222,4,FALSE)</f>
        <v>#N/A</v>
      </c>
    </row>
    <row r="648" spans="1:26" x14ac:dyDescent="0.35">
      <c r="A648" s="9" t="s">
        <v>25</v>
      </c>
      <c r="D648" s="10" t="s">
        <v>29</v>
      </c>
      <c r="J648" s="12" t="e">
        <f>+VLOOKUP(K648,Datos!$A:$C,3,FALSE)</f>
        <v>#N/A</v>
      </c>
      <c r="L648" s="12" t="e">
        <f>+VLOOKUP(K648,Datos!$A:$C,2,FALSE)</f>
        <v>#N/A</v>
      </c>
      <c r="N648" s="12" t="e">
        <f>+VLOOKUP(M648,Datos!$F:$G,2,FALSE)</f>
        <v>#N/A</v>
      </c>
      <c r="O648" s="13">
        <f>IFERROR(IF(A648="SI",VLOOKUP(R648,Datos!$J$1:$K$50,2,FALSE)*C648,VLOOKUP(R648,Datos!$P$1:$T$13,2,FALSE)*C648),0)</f>
        <v>0</v>
      </c>
      <c r="P648" s="9"/>
      <c r="Q648" s="12" t="e">
        <f>+VLOOKUP(P648,Datos!$F:$G,2,FALSE)</f>
        <v>#N/A</v>
      </c>
      <c r="Y648" s="14"/>
      <c r="Z648" t="e">
        <f>VLOOKUP(M648,'[1]INDIVIDUAL UN'!$C$6:$F$222,4,FALSE)</f>
        <v>#N/A</v>
      </c>
    </row>
    <row r="649" spans="1:26" x14ac:dyDescent="0.35">
      <c r="A649" s="9" t="s">
        <v>25</v>
      </c>
      <c r="D649" s="10" t="s">
        <v>29</v>
      </c>
      <c r="J649" s="12" t="e">
        <f>+VLOOKUP(K649,Datos!$A:$C,3,FALSE)</f>
        <v>#N/A</v>
      </c>
      <c r="L649" s="12" t="e">
        <f>+VLOOKUP(K649,Datos!$A:$C,2,FALSE)</f>
        <v>#N/A</v>
      </c>
      <c r="N649" s="12" t="e">
        <f>+VLOOKUP(M649,Datos!$F:$G,2,FALSE)</f>
        <v>#N/A</v>
      </c>
      <c r="O649" s="13">
        <f>IFERROR(IF(A649="SI",VLOOKUP(R649,Datos!$J$1:$K$50,2,FALSE)*C649,VLOOKUP(R649,Datos!$P$1:$T$13,2,FALSE)*C649),0)</f>
        <v>0</v>
      </c>
      <c r="P649" s="9"/>
      <c r="Q649" s="12" t="e">
        <f>+VLOOKUP(P649,Datos!$F:$G,2,FALSE)</f>
        <v>#N/A</v>
      </c>
      <c r="Y649" s="14"/>
      <c r="Z649" t="e">
        <f>VLOOKUP(M649,'[1]INDIVIDUAL UN'!$C$6:$F$222,4,FALSE)</f>
        <v>#N/A</v>
      </c>
    </row>
    <row r="650" spans="1:26" x14ac:dyDescent="0.35">
      <c r="A650" s="9" t="s">
        <v>25</v>
      </c>
      <c r="D650" s="10" t="s">
        <v>29</v>
      </c>
      <c r="J650" s="12" t="e">
        <f>+VLOOKUP(K650,Datos!$A:$C,3,FALSE)</f>
        <v>#N/A</v>
      </c>
      <c r="L650" s="12" t="e">
        <f>+VLOOKUP(K650,Datos!$A:$C,2,FALSE)</f>
        <v>#N/A</v>
      </c>
      <c r="N650" s="12" t="e">
        <f>+VLOOKUP(M650,Datos!$F:$G,2,FALSE)</f>
        <v>#N/A</v>
      </c>
      <c r="O650" s="13">
        <f>IFERROR(IF(A650="SI",VLOOKUP(R650,Datos!$J$1:$K$50,2,FALSE)*C650,VLOOKUP(R650,Datos!$P$1:$T$13,2,FALSE)*C650),0)</f>
        <v>0</v>
      </c>
      <c r="P650" s="9"/>
      <c r="Q650" s="12" t="e">
        <f>+VLOOKUP(P650,Datos!$F:$G,2,FALSE)</f>
        <v>#N/A</v>
      </c>
      <c r="Y650" s="14"/>
      <c r="Z650" t="e">
        <f>VLOOKUP(M650,'[1]INDIVIDUAL UN'!$C$6:$F$222,4,FALSE)</f>
        <v>#N/A</v>
      </c>
    </row>
    <row r="651" spans="1:26" x14ac:dyDescent="0.35">
      <c r="A651" s="9" t="s">
        <v>25</v>
      </c>
      <c r="D651" s="10" t="s">
        <v>29</v>
      </c>
      <c r="J651" s="12" t="e">
        <f>+VLOOKUP(K651,Datos!$A:$C,3,FALSE)</f>
        <v>#N/A</v>
      </c>
      <c r="L651" s="12" t="e">
        <f>+VLOOKUP(K651,Datos!$A:$C,2,FALSE)</f>
        <v>#N/A</v>
      </c>
      <c r="N651" s="12" t="e">
        <f>+VLOOKUP(M651,Datos!$F:$G,2,FALSE)</f>
        <v>#N/A</v>
      </c>
      <c r="O651" s="13">
        <f>IFERROR(IF(A651="SI",VLOOKUP(R651,Datos!$J$1:$K$50,2,FALSE)*C651,VLOOKUP(R651,Datos!$P$1:$T$13,2,FALSE)*C651),0)</f>
        <v>0</v>
      </c>
      <c r="P651" s="9"/>
      <c r="Q651" s="12" t="e">
        <f>+VLOOKUP(P651,Datos!$F:$G,2,FALSE)</f>
        <v>#N/A</v>
      </c>
      <c r="Y651" s="14"/>
      <c r="Z651" t="e">
        <f>VLOOKUP(M651,'[1]INDIVIDUAL UN'!$C$6:$F$222,4,FALSE)</f>
        <v>#N/A</v>
      </c>
    </row>
    <row r="652" spans="1:26" x14ac:dyDescent="0.35">
      <c r="A652" s="9" t="s">
        <v>25</v>
      </c>
      <c r="D652" s="10" t="s">
        <v>29</v>
      </c>
      <c r="J652" s="12" t="e">
        <f>+VLOOKUP(K652,Datos!$A:$C,3,FALSE)</f>
        <v>#N/A</v>
      </c>
      <c r="L652" s="12" t="e">
        <f>+VLOOKUP(K652,Datos!$A:$C,2,FALSE)</f>
        <v>#N/A</v>
      </c>
      <c r="N652" s="12" t="e">
        <f>+VLOOKUP(M652,Datos!$F:$G,2,FALSE)</f>
        <v>#N/A</v>
      </c>
      <c r="O652" s="13">
        <f>IFERROR(IF(A652="SI",VLOOKUP(R652,Datos!$J$1:$K$50,2,FALSE)*C652,VLOOKUP(R652,Datos!$P$1:$T$13,2,FALSE)*C652),0)</f>
        <v>0</v>
      </c>
      <c r="P652" s="9"/>
      <c r="Q652" s="12" t="e">
        <f>+VLOOKUP(P652,Datos!$F:$G,2,FALSE)</f>
        <v>#N/A</v>
      </c>
      <c r="Y652" s="14"/>
      <c r="Z652" t="e">
        <f>VLOOKUP(M652,'[1]INDIVIDUAL UN'!$C$6:$F$222,4,FALSE)</f>
        <v>#N/A</v>
      </c>
    </row>
    <row r="653" spans="1:26" x14ac:dyDescent="0.35">
      <c r="A653" s="9" t="s">
        <v>25</v>
      </c>
      <c r="D653" s="10" t="s">
        <v>29</v>
      </c>
      <c r="J653" s="12" t="e">
        <f>+VLOOKUP(K653,Datos!$A:$C,3,FALSE)</f>
        <v>#N/A</v>
      </c>
      <c r="L653" s="12" t="e">
        <f>+VLOOKUP(K653,Datos!$A:$C,2,FALSE)</f>
        <v>#N/A</v>
      </c>
      <c r="N653" s="12" t="e">
        <f>+VLOOKUP(M653,Datos!$F:$G,2,FALSE)</f>
        <v>#N/A</v>
      </c>
      <c r="O653" s="13">
        <f>IFERROR(IF(A653="SI",VLOOKUP(R653,Datos!$J$1:$K$50,2,FALSE)*C653,VLOOKUP(R653,Datos!$P$1:$T$13,2,FALSE)*C653),0)</f>
        <v>0</v>
      </c>
      <c r="P653" s="9"/>
      <c r="Q653" s="12" t="e">
        <f>+VLOOKUP(P653,Datos!$F:$G,2,FALSE)</f>
        <v>#N/A</v>
      </c>
      <c r="Y653" s="14"/>
      <c r="Z653" t="e">
        <f>VLOOKUP(M653,'[1]INDIVIDUAL UN'!$C$6:$F$222,4,FALSE)</f>
        <v>#N/A</v>
      </c>
    </row>
    <row r="654" spans="1:26" x14ac:dyDescent="0.35">
      <c r="A654" s="9" t="s">
        <v>25</v>
      </c>
      <c r="D654" s="10" t="s">
        <v>29</v>
      </c>
      <c r="J654" s="12" t="e">
        <f>+VLOOKUP(K654,Datos!$A:$C,3,FALSE)</f>
        <v>#N/A</v>
      </c>
      <c r="L654" s="12" t="e">
        <f>+VLOOKUP(K654,Datos!$A:$C,2,FALSE)</f>
        <v>#N/A</v>
      </c>
      <c r="N654" s="12" t="e">
        <f>+VLOOKUP(M654,Datos!$F:$G,2,FALSE)</f>
        <v>#N/A</v>
      </c>
      <c r="O654" s="13">
        <f>IFERROR(IF(A654="SI",VLOOKUP(R654,Datos!$J$1:$K$50,2,FALSE)*C654,VLOOKUP(R654,Datos!$P$1:$T$13,2,FALSE)*C654),0)</f>
        <v>0</v>
      </c>
      <c r="P654" s="9"/>
      <c r="Q654" s="12" t="e">
        <f>+VLOOKUP(P654,Datos!$F:$G,2,FALSE)</f>
        <v>#N/A</v>
      </c>
      <c r="Y654" s="14"/>
      <c r="Z654" t="e">
        <f>VLOOKUP(M654,'[1]INDIVIDUAL UN'!$C$6:$F$222,4,FALSE)</f>
        <v>#N/A</v>
      </c>
    </row>
    <row r="655" spans="1:26" x14ac:dyDescent="0.35">
      <c r="A655" s="9" t="s">
        <v>25</v>
      </c>
      <c r="D655" s="10" t="s">
        <v>29</v>
      </c>
      <c r="J655" s="12" t="e">
        <f>+VLOOKUP(K655,Datos!$A:$C,3,FALSE)</f>
        <v>#N/A</v>
      </c>
      <c r="L655" s="12" t="e">
        <f>+VLOOKUP(K655,Datos!$A:$C,2,FALSE)</f>
        <v>#N/A</v>
      </c>
      <c r="N655" s="12" t="e">
        <f>+VLOOKUP(M655,Datos!$F:$G,2,FALSE)</f>
        <v>#N/A</v>
      </c>
      <c r="O655" s="13">
        <f>IFERROR(IF(A655="SI",VLOOKUP(R655,Datos!$J$1:$K$50,2,FALSE)*C655,VLOOKUP(R655,Datos!$P$1:$T$13,2,FALSE)*C655),0)</f>
        <v>0</v>
      </c>
      <c r="P655" s="9"/>
      <c r="Q655" s="12" t="e">
        <f>+VLOOKUP(P655,Datos!$F:$G,2,FALSE)</f>
        <v>#N/A</v>
      </c>
      <c r="Y655" s="14"/>
      <c r="Z655" t="e">
        <f>VLOOKUP(M655,'[1]INDIVIDUAL UN'!$C$6:$F$222,4,FALSE)</f>
        <v>#N/A</v>
      </c>
    </row>
    <row r="656" spans="1:26" x14ac:dyDescent="0.35">
      <c r="A656" s="9" t="s">
        <v>25</v>
      </c>
      <c r="D656" s="10" t="s">
        <v>29</v>
      </c>
      <c r="J656" s="12" t="e">
        <f>+VLOOKUP(K656,Datos!$A:$C,3,FALSE)</f>
        <v>#N/A</v>
      </c>
      <c r="L656" s="12" t="e">
        <f>+VLOOKUP(K656,Datos!$A:$C,2,FALSE)</f>
        <v>#N/A</v>
      </c>
      <c r="N656" s="12" t="e">
        <f>+VLOOKUP(M656,Datos!$F:$G,2,FALSE)</f>
        <v>#N/A</v>
      </c>
      <c r="O656" s="13">
        <f>IFERROR(IF(A656="SI",VLOOKUP(R656,Datos!$J$1:$K$50,2,FALSE)*C656,VLOOKUP(R656,Datos!$P$1:$T$13,2,FALSE)*C656),0)</f>
        <v>0</v>
      </c>
      <c r="P656" s="9"/>
      <c r="Q656" s="12" t="e">
        <f>+VLOOKUP(P656,Datos!$F:$G,2,FALSE)</f>
        <v>#N/A</v>
      </c>
      <c r="Y656" s="14"/>
      <c r="Z656" t="e">
        <f>VLOOKUP(M656,'[1]INDIVIDUAL UN'!$C$6:$F$222,4,FALSE)</f>
        <v>#N/A</v>
      </c>
    </row>
    <row r="657" spans="1:26" x14ac:dyDescent="0.35">
      <c r="A657" s="9" t="s">
        <v>25</v>
      </c>
      <c r="D657" s="10" t="s">
        <v>29</v>
      </c>
      <c r="J657" s="12" t="e">
        <f>+VLOOKUP(K657,Datos!$A:$C,3,FALSE)</f>
        <v>#N/A</v>
      </c>
      <c r="L657" s="12" t="e">
        <f>+VLOOKUP(K657,Datos!$A:$C,2,FALSE)</f>
        <v>#N/A</v>
      </c>
      <c r="N657" s="12" t="e">
        <f>+VLOOKUP(M657,Datos!$F:$G,2,FALSE)</f>
        <v>#N/A</v>
      </c>
      <c r="O657" s="13">
        <f>IFERROR(IF(A657="SI",VLOOKUP(R657,Datos!$J$1:$K$50,2,FALSE)*C657,VLOOKUP(R657,Datos!$P$1:$T$13,2,FALSE)*C657),0)</f>
        <v>0</v>
      </c>
      <c r="P657" s="9"/>
      <c r="Q657" s="12" t="e">
        <f>+VLOOKUP(P657,Datos!$F:$G,2,FALSE)</f>
        <v>#N/A</v>
      </c>
      <c r="Y657" s="14"/>
      <c r="Z657" t="e">
        <f>VLOOKUP(M657,'[1]INDIVIDUAL UN'!$C$6:$F$222,4,FALSE)</f>
        <v>#N/A</v>
      </c>
    </row>
    <row r="658" spans="1:26" x14ac:dyDescent="0.35">
      <c r="A658" s="9" t="s">
        <v>25</v>
      </c>
      <c r="D658" s="10" t="s">
        <v>29</v>
      </c>
      <c r="J658" s="12" t="e">
        <f>+VLOOKUP(K658,Datos!$A:$C,3,FALSE)</f>
        <v>#N/A</v>
      </c>
      <c r="L658" s="12" t="e">
        <f>+VLOOKUP(K658,Datos!$A:$C,2,FALSE)</f>
        <v>#N/A</v>
      </c>
      <c r="N658" s="12" t="e">
        <f>+VLOOKUP(M658,Datos!$F:$G,2,FALSE)</f>
        <v>#N/A</v>
      </c>
      <c r="O658" s="13">
        <f>IFERROR(IF(A658="SI",VLOOKUP(R658,Datos!$J$1:$K$50,2,FALSE)*C658,VLOOKUP(R658,Datos!$P$1:$T$13,2,FALSE)*C658),0)</f>
        <v>0</v>
      </c>
      <c r="P658" s="9"/>
      <c r="Q658" s="12" t="e">
        <f>+VLOOKUP(P658,Datos!$F:$G,2,FALSE)</f>
        <v>#N/A</v>
      </c>
      <c r="Y658" s="14"/>
      <c r="Z658" t="e">
        <f>VLOOKUP(M658,'[1]INDIVIDUAL UN'!$C$6:$F$222,4,FALSE)</f>
        <v>#N/A</v>
      </c>
    </row>
    <row r="659" spans="1:26" x14ac:dyDescent="0.35">
      <c r="A659" s="9" t="s">
        <v>25</v>
      </c>
      <c r="D659" s="10" t="s">
        <v>29</v>
      </c>
      <c r="J659" s="12" t="e">
        <f>+VLOOKUP(K659,Datos!$A:$C,3,FALSE)</f>
        <v>#N/A</v>
      </c>
      <c r="L659" s="12" t="e">
        <f>+VLOOKUP(K659,Datos!$A:$C,2,FALSE)</f>
        <v>#N/A</v>
      </c>
      <c r="N659" s="12" t="e">
        <f>+VLOOKUP(M659,Datos!$F:$G,2,FALSE)</f>
        <v>#N/A</v>
      </c>
      <c r="O659" s="13">
        <f>IFERROR(IF(A659="SI",VLOOKUP(R659,Datos!$J$1:$K$50,2,FALSE)*C659,VLOOKUP(R659,Datos!$P$1:$T$13,2,FALSE)*C659),0)</f>
        <v>0</v>
      </c>
      <c r="P659" s="9"/>
      <c r="Q659" s="12" t="e">
        <f>+VLOOKUP(P659,Datos!$F:$G,2,FALSE)</f>
        <v>#N/A</v>
      </c>
      <c r="Y659" s="14"/>
      <c r="Z659" t="e">
        <f>VLOOKUP(M659,'[1]INDIVIDUAL UN'!$C$6:$F$222,4,FALSE)</f>
        <v>#N/A</v>
      </c>
    </row>
    <row r="660" spans="1:26" x14ac:dyDescent="0.35">
      <c r="A660" s="9" t="s">
        <v>25</v>
      </c>
      <c r="D660" s="10" t="s">
        <v>29</v>
      </c>
      <c r="J660" s="12" t="e">
        <f>+VLOOKUP(K660,Datos!$A:$C,3,FALSE)</f>
        <v>#N/A</v>
      </c>
      <c r="L660" s="12" t="e">
        <f>+VLOOKUP(K660,Datos!$A:$C,2,FALSE)</f>
        <v>#N/A</v>
      </c>
      <c r="N660" s="12" t="e">
        <f>+VLOOKUP(M660,Datos!$F:$G,2,FALSE)</f>
        <v>#N/A</v>
      </c>
      <c r="O660" s="13">
        <f>IFERROR(IF(A660="SI",VLOOKUP(R660,Datos!$J$1:$K$50,2,FALSE)*C660,VLOOKUP(R660,Datos!$P$1:$T$13,2,FALSE)*C660),0)</f>
        <v>0</v>
      </c>
      <c r="P660" s="9"/>
      <c r="Q660" s="12" t="e">
        <f>+VLOOKUP(P660,Datos!$F:$G,2,FALSE)</f>
        <v>#N/A</v>
      </c>
      <c r="Y660" s="14"/>
      <c r="Z660" t="e">
        <f>VLOOKUP(M660,'[1]INDIVIDUAL UN'!$C$6:$F$222,4,FALSE)</f>
        <v>#N/A</v>
      </c>
    </row>
    <row r="661" spans="1:26" x14ac:dyDescent="0.35">
      <c r="A661" s="9" t="s">
        <v>25</v>
      </c>
      <c r="D661" s="10" t="s">
        <v>29</v>
      </c>
      <c r="J661" s="12" t="e">
        <f>+VLOOKUP(K661,Datos!$A:$C,3,FALSE)</f>
        <v>#N/A</v>
      </c>
      <c r="L661" s="12" t="e">
        <f>+VLOOKUP(K661,Datos!$A:$C,2,FALSE)</f>
        <v>#N/A</v>
      </c>
      <c r="N661" s="12" t="e">
        <f>+VLOOKUP(M661,Datos!$F:$G,2,FALSE)</f>
        <v>#N/A</v>
      </c>
      <c r="O661" s="13">
        <f>IFERROR(IF(A661="SI",VLOOKUP(R661,Datos!$J$1:$K$50,2,FALSE)*C661,VLOOKUP(R661,Datos!$P$1:$T$13,2,FALSE)*C661),0)</f>
        <v>0</v>
      </c>
      <c r="P661" s="9"/>
      <c r="Q661" s="12" t="e">
        <f>+VLOOKUP(P661,Datos!$F:$G,2,FALSE)</f>
        <v>#N/A</v>
      </c>
      <c r="Y661" s="14"/>
      <c r="Z661" t="e">
        <f>VLOOKUP(M661,'[1]INDIVIDUAL UN'!$C$6:$F$222,4,FALSE)</f>
        <v>#N/A</v>
      </c>
    </row>
    <row r="662" spans="1:26" x14ac:dyDescent="0.35">
      <c r="A662" s="9" t="s">
        <v>25</v>
      </c>
      <c r="D662" s="10" t="s">
        <v>29</v>
      </c>
      <c r="J662" s="12" t="e">
        <f>+VLOOKUP(K662,Datos!$A:$C,3,FALSE)</f>
        <v>#N/A</v>
      </c>
      <c r="L662" s="12" t="e">
        <f>+VLOOKUP(K662,Datos!$A:$C,2,FALSE)</f>
        <v>#N/A</v>
      </c>
      <c r="N662" s="12" t="e">
        <f>+VLOOKUP(M662,Datos!$F:$G,2,FALSE)</f>
        <v>#N/A</v>
      </c>
      <c r="O662" s="13">
        <f>IFERROR(IF(A662="SI",VLOOKUP(R662,Datos!$J$1:$K$50,2,FALSE)*C662,VLOOKUP(R662,Datos!$P$1:$T$13,2,FALSE)*C662),0)</f>
        <v>0</v>
      </c>
      <c r="P662" s="9"/>
      <c r="Q662" s="12" t="e">
        <f>+VLOOKUP(P662,Datos!$F:$G,2,FALSE)</f>
        <v>#N/A</v>
      </c>
      <c r="Y662" s="14"/>
      <c r="Z662" t="e">
        <f>VLOOKUP(M662,'[1]INDIVIDUAL UN'!$C$6:$F$222,4,FALSE)</f>
        <v>#N/A</v>
      </c>
    </row>
    <row r="663" spans="1:26" x14ac:dyDescent="0.35">
      <c r="A663" s="9" t="s">
        <v>25</v>
      </c>
      <c r="D663" s="10" t="s">
        <v>29</v>
      </c>
      <c r="J663" s="12" t="e">
        <f>+VLOOKUP(K663,Datos!$A:$C,3,FALSE)</f>
        <v>#N/A</v>
      </c>
      <c r="L663" s="12" t="e">
        <f>+VLOOKUP(K663,Datos!$A:$C,2,FALSE)</f>
        <v>#N/A</v>
      </c>
      <c r="N663" s="12" t="e">
        <f>+VLOOKUP(M663,Datos!$F:$G,2,FALSE)</f>
        <v>#N/A</v>
      </c>
      <c r="O663" s="13">
        <f>IFERROR(IF(A663="SI",VLOOKUP(R663,Datos!$J$1:$K$50,2,FALSE)*C663,VLOOKUP(R663,Datos!$P$1:$T$13,2,FALSE)*C663),0)</f>
        <v>0</v>
      </c>
      <c r="P663" s="9"/>
      <c r="Q663" s="12" t="e">
        <f>+VLOOKUP(P663,Datos!$F:$G,2,FALSE)</f>
        <v>#N/A</v>
      </c>
      <c r="Y663" s="14"/>
      <c r="Z663" t="e">
        <f>VLOOKUP(M663,'[1]INDIVIDUAL UN'!$C$6:$F$222,4,FALSE)</f>
        <v>#N/A</v>
      </c>
    </row>
    <row r="664" spans="1:26" x14ac:dyDescent="0.35">
      <c r="A664" s="9" t="s">
        <v>25</v>
      </c>
      <c r="D664" s="10" t="s">
        <v>29</v>
      </c>
      <c r="J664" s="12" t="e">
        <f>+VLOOKUP(K664,Datos!$A:$C,3,FALSE)</f>
        <v>#N/A</v>
      </c>
      <c r="L664" s="12" t="e">
        <f>+VLOOKUP(K664,Datos!$A:$C,2,FALSE)</f>
        <v>#N/A</v>
      </c>
      <c r="N664" s="12" t="e">
        <f>+VLOOKUP(M664,Datos!$F:$G,2,FALSE)</f>
        <v>#N/A</v>
      </c>
      <c r="O664" s="13">
        <f>IFERROR(IF(A664="SI",VLOOKUP(R664,Datos!$J$1:$K$50,2,FALSE)*C664,VLOOKUP(R664,Datos!$P$1:$T$13,2,FALSE)*C664),0)</f>
        <v>0</v>
      </c>
      <c r="P664" s="9"/>
      <c r="Q664" s="12" t="e">
        <f>+VLOOKUP(P664,Datos!$F:$G,2,FALSE)</f>
        <v>#N/A</v>
      </c>
      <c r="Y664" s="14"/>
      <c r="Z664" t="e">
        <f>VLOOKUP(M664,'[1]INDIVIDUAL UN'!$C$6:$F$222,4,FALSE)</f>
        <v>#N/A</v>
      </c>
    </row>
    <row r="665" spans="1:26" x14ac:dyDescent="0.35">
      <c r="A665" s="9" t="s">
        <v>25</v>
      </c>
      <c r="D665" s="10" t="s">
        <v>29</v>
      </c>
      <c r="J665" s="12" t="e">
        <f>+VLOOKUP(K665,Datos!$A:$C,3,FALSE)</f>
        <v>#N/A</v>
      </c>
      <c r="L665" s="12" t="e">
        <f>+VLOOKUP(K665,Datos!$A:$C,2,FALSE)</f>
        <v>#N/A</v>
      </c>
      <c r="N665" s="12" t="e">
        <f>+VLOOKUP(M665,Datos!$F:$G,2,FALSE)</f>
        <v>#N/A</v>
      </c>
      <c r="O665" s="13">
        <f>IFERROR(IF(A665="SI",VLOOKUP(R665,Datos!$J$1:$K$50,2,FALSE)*C665,VLOOKUP(R665,Datos!$P$1:$T$13,2,FALSE)*C665),0)</f>
        <v>0</v>
      </c>
      <c r="P665" s="9"/>
      <c r="Q665" s="12" t="e">
        <f>+VLOOKUP(P665,Datos!$F:$G,2,FALSE)</f>
        <v>#N/A</v>
      </c>
      <c r="Y665" s="14"/>
      <c r="Z665" t="e">
        <f>VLOOKUP(M665,'[1]INDIVIDUAL UN'!$C$6:$F$222,4,FALSE)</f>
        <v>#N/A</v>
      </c>
    </row>
    <row r="666" spans="1:26" x14ac:dyDescent="0.35">
      <c r="A666" s="9" t="s">
        <v>25</v>
      </c>
      <c r="D666" s="10" t="s">
        <v>29</v>
      </c>
      <c r="J666" s="12" t="e">
        <f>+VLOOKUP(K666,Datos!$A:$C,3,FALSE)</f>
        <v>#N/A</v>
      </c>
      <c r="L666" s="12" t="e">
        <f>+VLOOKUP(K666,Datos!$A:$C,2,FALSE)</f>
        <v>#N/A</v>
      </c>
      <c r="N666" s="12" t="e">
        <f>+VLOOKUP(M666,Datos!$F:$G,2,FALSE)</f>
        <v>#N/A</v>
      </c>
      <c r="O666" s="13">
        <f>IFERROR(IF(A666="SI",VLOOKUP(R666,Datos!$J$1:$K$50,2,FALSE)*C666,VLOOKUP(R666,Datos!$P$1:$T$13,2,FALSE)*C666),0)</f>
        <v>0</v>
      </c>
      <c r="P666" s="9"/>
      <c r="Q666" s="12" t="e">
        <f>+VLOOKUP(P666,Datos!$F:$G,2,FALSE)</f>
        <v>#N/A</v>
      </c>
      <c r="Y666" s="14"/>
      <c r="Z666" t="e">
        <f>VLOOKUP(M666,'[1]INDIVIDUAL UN'!$C$6:$F$222,4,FALSE)</f>
        <v>#N/A</v>
      </c>
    </row>
    <row r="667" spans="1:26" x14ac:dyDescent="0.35">
      <c r="A667" s="9" t="s">
        <v>25</v>
      </c>
      <c r="D667" s="10" t="s">
        <v>29</v>
      </c>
      <c r="J667" s="12" t="e">
        <f>+VLOOKUP(K667,Datos!$A:$C,3,FALSE)</f>
        <v>#N/A</v>
      </c>
      <c r="L667" s="12" t="e">
        <f>+VLOOKUP(K667,Datos!$A:$C,2,FALSE)</f>
        <v>#N/A</v>
      </c>
      <c r="N667" s="12" t="e">
        <f>+VLOOKUP(M667,Datos!$F:$G,2,FALSE)</f>
        <v>#N/A</v>
      </c>
      <c r="O667" s="13">
        <f>IFERROR(IF(A667="SI",VLOOKUP(R667,Datos!$J$1:$K$50,2,FALSE)*C667,VLOOKUP(R667,Datos!$P$1:$T$13,2,FALSE)*C667),0)</f>
        <v>0</v>
      </c>
      <c r="P667" s="9"/>
      <c r="Q667" s="12" t="e">
        <f>+VLOOKUP(P667,Datos!$F:$G,2,FALSE)</f>
        <v>#N/A</v>
      </c>
      <c r="Y667" s="14"/>
      <c r="Z667" t="e">
        <f>VLOOKUP(M667,'[1]INDIVIDUAL UN'!$C$6:$F$222,4,FALSE)</f>
        <v>#N/A</v>
      </c>
    </row>
    <row r="668" spans="1:26" x14ac:dyDescent="0.35">
      <c r="A668" s="9" t="s">
        <v>25</v>
      </c>
      <c r="D668" s="10" t="s">
        <v>29</v>
      </c>
      <c r="J668" s="12" t="e">
        <f>+VLOOKUP(K668,Datos!$A:$C,3,FALSE)</f>
        <v>#N/A</v>
      </c>
      <c r="L668" s="12" t="e">
        <f>+VLOOKUP(K668,Datos!$A:$C,2,FALSE)</f>
        <v>#N/A</v>
      </c>
      <c r="N668" s="12" t="e">
        <f>+VLOOKUP(M668,Datos!$F:$G,2,FALSE)</f>
        <v>#N/A</v>
      </c>
      <c r="O668" s="13">
        <f>IFERROR(IF(A668="SI",VLOOKUP(R668,Datos!$J$1:$K$50,2,FALSE)*C668,VLOOKUP(R668,Datos!$P$1:$T$13,2,FALSE)*C668),0)</f>
        <v>0</v>
      </c>
      <c r="P668" s="9"/>
      <c r="Q668" s="12" t="e">
        <f>+VLOOKUP(P668,Datos!$F:$G,2,FALSE)</f>
        <v>#N/A</v>
      </c>
      <c r="Y668" s="14"/>
      <c r="Z668" t="e">
        <f>VLOOKUP(M668,'[1]INDIVIDUAL UN'!$C$6:$F$222,4,FALSE)</f>
        <v>#N/A</v>
      </c>
    </row>
    <row r="669" spans="1:26" x14ac:dyDescent="0.35">
      <c r="A669" s="9" t="s">
        <v>25</v>
      </c>
      <c r="D669" s="10" t="s">
        <v>29</v>
      </c>
      <c r="J669" s="12" t="e">
        <f>+VLOOKUP(K669,Datos!$A:$C,3,FALSE)</f>
        <v>#N/A</v>
      </c>
      <c r="L669" s="12" t="e">
        <f>+VLOOKUP(K669,Datos!$A:$C,2,FALSE)</f>
        <v>#N/A</v>
      </c>
      <c r="N669" s="12" t="e">
        <f>+VLOOKUP(M669,Datos!$F:$G,2,FALSE)</f>
        <v>#N/A</v>
      </c>
      <c r="O669" s="13">
        <f>IFERROR(IF(A669="SI",VLOOKUP(R669,Datos!$J$1:$K$50,2,FALSE)*C669,VLOOKUP(R669,Datos!$P$1:$T$13,2,FALSE)*C669),0)</f>
        <v>0</v>
      </c>
      <c r="P669" s="9"/>
      <c r="Q669" s="12" t="e">
        <f>+VLOOKUP(P669,Datos!$F:$G,2,FALSE)</f>
        <v>#N/A</v>
      </c>
      <c r="Y669" s="14"/>
      <c r="Z669" t="e">
        <f>VLOOKUP(M669,'[1]INDIVIDUAL UN'!$C$6:$F$222,4,FALSE)</f>
        <v>#N/A</v>
      </c>
    </row>
    <row r="670" spans="1:26" x14ac:dyDescent="0.35">
      <c r="A670" s="9" t="s">
        <v>25</v>
      </c>
      <c r="D670" s="10" t="s">
        <v>29</v>
      </c>
      <c r="J670" s="12" t="e">
        <f>+VLOOKUP(K670,Datos!$A:$C,3,FALSE)</f>
        <v>#N/A</v>
      </c>
      <c r="L670" s="12" t="e">
        <f>+VLOOKUP(K670,Datos!$A:$C,2,FALSE)</f>
        <v>#N/A</v>
      </c>
      <c r="N670" s="12" t="e">
        <f>+VLOOKUP(M670,Datos!$F:$G,2,FALSE)</f>
        <v>#N/A</v>
      </c>
      <c r="O670" s="13">
        <f>IFERROR(IF(A670="SI",VLOOKUP(R670,Datos!$J$1:$K$50,2,FALSE)*C670,VLOOKUP(R670,Datos!$P$1:$T$13,2,FALSE)*C670),0)</f>
        <v>0</v>
      </c>
      <c r="P670" s="9"/>
      <c r="Q670" s="12" t="e">
        <f>+VLOOKUP(P670,Datos!$F:$G,2,FALSE)</f>
        <v>#N/A</v>
      </c>
      <c r="Y670" s="14"/>
      <c r="Z670" t="e">
        <f>VLOOKUP(M670,'[1]INDIVIDUAL UN'!$C$6:$F$222,4,FALSE)</f>
        <v>#N/A</v>
      </c>
    </row>
    <row r="671" spans="1:26" x14ac:dyDescent="0.35">
      <c r="A671" s="9" t="s">
        <v>25</v>
      </c>
      <c r="D671" s="10" t="s">
        <v>29</v>
      </c>
      <c r="J671" s="12" t="e">
        <f>+VLOOKUP(K671,Datos!$A:$C,3,FALSE)</f>
        <v>#N/A</v>
      </c>
      <c r="L671" s="12" t="e">
        <f>+VLOOKUP(K671,Datos!$A:$C,2,FALSE)</f>
        <v>#N/A</v>
      </c>
      <c r="N671" s="12" t="e">
        <f>+VLOOKUP(M671,Datos!$F:$G,2,FALSE)</f>
        <v>#N/A</v>
      </c>
      <c r="O671" s="13">
        <f>IFERROR(IF(A671="SI",VLOOKUP(R671,Datos!$J$1:$K$50,2,FALSE)*C671,VLOOKUP(R671,Datos!$P$1:$T$13,2,FALSE)*C671),0)</f>
        <v>0</v>
      </c>
      <c r="P671" s="9"/>
      <c r="Q671" s="12" t="e">
        <f>+VLOOKUP(P671,Datos!$F:$G,2,FALSE)</f>
        <v>#N/A</v>
      </c>
      <c r="Y671" s="14"/>
      <c r="Z671" t="e">
        <f>VLOOKUP(M671,'[1]INDIVIDUAL UN'!$C$6:$F$222,4,FALSE)</f>
        <v>#N/A</v>
      </c>
    </row>
    <row r="672" spans="1:26" x14ac:dyDescent="0.35">
      <c r="A672" s="9" t="s">
        <v>25</v>
      </c>
      <c r="D672" s="10" t="s">
        <v>29</v>
      </c>
      <c r="J672" s="12" t="e">
        <f>+VLOOKUP(K672,Datos!$A:$C,3,FALSE)</f>
        <v>#N/A</v>
      </c>
      <c r="L672" s="12" t="e">
        <f>+VLOOKUP(K672,Datos!$A:$C,2,FALSE)</f>
        <v>#N/A</v>
      </c>
      <c r="N672" s="12" t="e">
        <f>+VLOOKUP(M672,Datos!$F:$G,2,FALSE)</f>
        <v>#N/A</v>
      </c>
      <c r="O672" s="13">
        <f>IFERROR(IF(A672="SI",VLOOKUP(R672,Datos!$J$1:$K$50,2,FALSE)*C672,VLOOKUP(R672,Datos!$P$1:$T$13,2,FALSE)*C672),0)</f>
        <v>0</v>
      </c>
      <c r="P672" s="9"/>
      <c r="Q672" s="12" t="e">
        <f>+VLOOKUP(P672,Datos!$F:$G,2,FALSE)</f>
        <v>#N/A</v>
      </c>
      <c r="Y672" s="14"/>
      <c r="Z672" t="e">
        <f>VLOOKUP(M672,'[1]INDIVIDUAL UN'!$C$6:$F$222,4,FALSE)</f>
        <v>#N/A</v>
      </c>
    </row>
    <row r="673" spans="1:26" x14ac:dyDescent="0.35">
      <c r="A673" s="9" t="s">
        <v>25</v>
      </c>
      <c r="D673" s="10" t="s">
        <v>29</v>
      </c>
      <c r="J673" s="12" t="e">
        <f>+VLOOKUP(K673,Datos!$A:$C,3,FALSE)</f>
        <v>#N/A</v>
      </c>
      <c r="L673" s="12" t="e">
        <f>+VLOOKUP(K673,Datos!$A:$C,2,FALSE)</f>
        <v>#N/A</v>
      </c>
      <c r="N673" s="12" t="e">
        <f>+VLOOKUP(M673,Datos!$F:$G,2,FALSE)</f>
        <v>#N/A</v>
      </c>
      <c r="O673" s="78"/>
      <c r="P673" s="9"/>
      <c r="Q673" s="12" t="e">
        <f>+VLOOKUP(P673,Datos!$F:$G,2,FALSE)</f>
        <v>#N/A</v>
      </c>
      <c r="Y673" s="14"/>
      <c r="Z673" t="e">
        <f>VLOOKUP(M673,'[1]INDIVIDUAL UN'!$C$6:$F$222,4,FALSE)</f>
        <v>#N/A</v>
      </c>
    </row>
    <row r="674" spans="1:26" x14ac:dyDescent="0.35">
      <c r="A674" s="9" t="s">
        <v>25</v>
      </c>
      <c r="D674" s="10" t="s">
        <v>29</v>
      </c>
      <c r="J674" s="12" t="e">
        <f>+VLOOKUP(K674,Datos!$A:$C,3,FALSE)</f>
        <v>#N/A</v>
      </c>
      <c r="L674" s="12" t="e">
        <f>+VLOOKUP(K674,Datos!$A:$C,2,FALSE)</f>
        <v>#N/A</v>
      </c>
      <c r="N674" s="12" t="e">
        <f>+VLOOKUP(M674,Datos!$F:$G,2,FALSE)</f>
        <v>#N/A</v>
      </c>
      <c r="O674" s="78"/>
      <c r="P674" s="9"/>
      <c r="Q674" s="12" t="e">
        <f>+VLOOKUP(P674,Datos!$F:$G,2,FALSE)</f>
        <v>#N/A</v>
      </c>
      <c r="Y674" s="14"/>
      <c r="Z674" t="e">
        <f>VLOOKUP(M674,'[1]INDIVIDUAL UN'!$C$6:$F$222,4,FALSE)</f>
        <v>#N/A</v>
      </c>
    </row>
    <row r="675" spans="1:26" x14ac:dyDescent="0.35">
      <c r="A675" s="9" t="s">
        <v>25</v>
      </c>
      <c r="D675" s="10" t="s">
        <v>29</v>
      </c>
      <c r="J675" s="12" t="e">
        <f>+VLOOKUP(K675,Datos!$A:$C,3,FALSE)</f>
        <v>#N/A</v>
      </c>
      <c r="L675" s="12" t="e">
        <f>+VLOOKUP(K675,Datos!$A:$C,2,FALSE)</f>
        <v>#N/A</v>
      </c>
      <c r="N675" s="12" t="e">
        <f>+VLOOKUP(M675,Datos!$F:$G,2,FALSE)</f>
        <v>#N/A</v>
      </c>
      <c r="O675" s="78"/>
      <c r="P675" s="9"/>
      <c r="Q675" s="12" t="e">
        <f>+VLOOKUP(P675,Datos!$F:$G,2,FALSE)</f>
        <v>#N/A</v>
      </c>
      <c r="Y675" s="14"/>
      <c r="Z675" t="e">
        <f>VLOOKUP(M675,'[1]INDIVIDUAL UN'!$C$6:$F$222,4,FALSE)</f>
        <v>#N/A</v>
      </c>
    </row>
    <row r="676" spans="1:26" x14ac:dyDescent="0.35">
      <c r="A676" s="9" t="s">
        <v>25</v>
      </c>
      <c r="D676" s="10" t="s">
        <v>29</v>
      </c>
      <c r="J676" s="12" t="e">
        <f>+VLOOKUP(K676,Datos!$A:$C,3,FALSE)</f>
        <v>#N/A</v>
      </c>
      <c r="L676" s="12" t="e">
        <f>+VLOOKUP(K676,Datos!$A:$C,2,FALSE)</f>
        <v>#N/A</v>
      </c>
      <c r="N676" s="12" t="e">
        <f>+VLOOKUP(M676,Datos!$F:$G,2,FALSE)</f>
        <v>#N/A</v>
      </c>
      <c r="O676" s="78"/>
      <c r="P676" s="9"/>
      <c r="Q676" s="12" t="e">
        <f>+VLOOKUP(P676,Datos!$F:$G,2,FALSE)</f>
        <v>#N/A</v>
      </c>
      <c r="Y676" s="14"/>
      <c r="Z676" t="e">
        <f>VLOOKUP(M676,'[1]INDIVIDUAL UN'!$C$6:$F$222,4,FALSE)</f>
        <v>#N/A</v>
      </c>
    </row>
    <row r="677" spans="1:26" x14ac:dyDescent="0.35">
      <c r="A677" s="9" t="s">
        <v>25</v>
      </c>
      <c r="D677" s="10" t="s">
        <v>29</v>
      </c>
      <c r="J677" s="12" t="e">
        <f>+VLOOKUP(K677,Datos!$A:$C,3,FALSE)</f>
        <v>#N/A</v>
      </c>
      <c r="L677" s="12" t="e">
        <f>+VLOOKUP(K677,Datos!$A:$C,2,FALSE)</f>
        <v>#N/A</v>
      </c>
      <c r="N677" s="12" t="e">
        <f>+VLOOKUP(M677,Datos!$F:$G,2,FALSE)</f>
        <v>#N/A</v>
      </c>
      <c r="O677" s="78"/>
      <c r="P677" s="9"/>
      <c r="Q677" s="12" t="e">
        <f>+VLOOKUP(P677,Datos!$F:$G,2,FALSE)</f>
        <v>#N/A</v>
      </c>
      <c r="Y677" s="14"/>
      <c r="Z677" t="e">
        <f>VLOOKUP(M677,'[1]INDIVIDUAL UN'!$C$6:$F$222,4,FALSE)</f>
        <v>#N/A</v>
      </c>
    </row>
    <row r="678" spans="1:26" x14ac:dyDescent="0.35">
      <c r="A678" s="9" t="s">
        <v>25</v>
      </c>
      <c r="D678" s="10" t="s">
        <v>29</v>
      </c>
      <c r="J678" s="12" t="e">
        <f>+VLOOKUP(K678,Datos!$A:$C,3,FALSE)</f>
        <v>#N/A</v>
      </c>
      <c r="L678" s="12" t="e">
        <f>+VLOOKUP(K678,Datos!$A:$C,2,FALSE)</f>
        <v>#N/A</v>
      </c>
      <c r="N678" s="12" t="e">
        <f>+VLOOKUP(M678,Datos!$F:$G,2,FALSE)</f>
        <v>#N/A</v>
      </c>
      <c r="O678" s="78"/>
      <c r="P678" s="9"/>
      <c r="Q678" s="12" t="e">
        <f>+VLOOKUP(P678,Datos!$F:$G,2,FALSE)</f>
        <v>#N/A</v>
      </c>
      <c r="Y678" s="14"/>
      <c r="Z678" t="e">
        <f>VLOOKUP(M678,'[1]INDIVIDUAL UN'!$C$6:$F$222,4,FALSE)</f>
        <v>#N/A</v>
      </c>
    </row>
    <row r="679" spans="1:26" x14ac:dyDescent="0.35">
      <c r="A679" s="9" t="s">
        <v>25</v>
      </c>
      <c r="D679" s="10" t="s">
        <v>29</v>
      </c>
      <c r="J679" s="12" t="e">
        <f>+VLOOKUP(K679,Datos!$A:$C,3,FALSE)</f>
        <v>#N/A</v>
      </c>
      <c r="L679" s="12" t="e">
        <f>+VLOOKUP(K679,Datos!$A:$C,2,FALSE)</f>
        <v>#N/A</v>
      </c>
      <c r="N679" s="12" t="e">
        <f>+VLOOKUP(M679,Datos!$F:$G,2,FALSE)</f>
        <v>#N/A</v>
      </c>
      <c r="O679" s="78"/>
      <c r="P679" s="9"/>
      <c r="Q679" s="12" t="e">
        <f>+VLOOKUP(P679,Datos!$F:$G,2,FALSE)</f>
        <v>#N/A</v>
      </c>
      <c r="Y679" s="14"/>
      <c r="Z679" t="e">
        <f>VLOOKUP(M679,'[1]INDIVIDUAL UN'!$C$6:$F$222,4,FALSE)</f>
        <v>#N/A</v>
      </c>
    </row>
    <row r="680" spans="1:26" x14ac:dyDescent="0.35">
      <c r="A680" s="9" t="s">
        <v>25</v>
      </c>
      <c r="D680" s="10" t="s">
        <v>29</v>
      </c>
      <c r="J680" s="12" t="e">
        <f>+VLOOKUP(K680,Datos!$A:$C,3,FALSE)</f>
        <v>#N/A</v>
      </c>
      <c r="L680" s="12" t="e">
        <f>+VLOOKUP(K680,Datos!$A:$C,2,FALSE)</f>
        <v>#N/A</v>
      </c>
      <c r="N680" s="12" t="e">
        <f>+VLOOKUP(M680,Datos!$F:$G,2,FALSE)</f>
        <v>#N/A</v>
      </c>
      <c r="O680" s="78"/>
      <c r="P680" s="9"/>
      <c r="Q680" s="12" t="e">
        <f>+VLOOKUP(P680,Datos!$F:$G,2,FALSE)</f>
        <v>#N/A</v>
      </c>
      <c r="Y680" s="14"/>
      <c r="Z680" t="e">
        <f>VLOOKUP(M680,'[1]INDIVIDUAL UN'!$C$6:$F$222,4,FALSE)</f>
        <v>#N/A</v>
      </c>
    </row>
    <row r="681" spans="1:26" x14ac:dyDescent="0.35">
      <c r="A681" s="9" t="s">
        <v>25</v>
      </c>
      <c r="D681" s="10" t="s">
        <v>29</v>
      </c>
      <c r="J681" s="12" t="e">
        <f>+VLOOKUP(K681,Datos!$A:$C,3,FALSE)</f>
        <v>#N/A</v>
      </c>
      <c r="L681" s="12" t="e">
        <f>+VLOOKUP(K681,Datos!$A:$C,2,FALSE)</f>
        <v>#N/A</v>
      </c>
      <c r="N681" s="12" t="e">
        <f>+VLOOKUP(M681,Datos!$F:$G,2,FALSE)</f>
        <v>#N/A</v>
      </c>
      <c r="O681" s="78"/>
      <c r="P681" s="9"/>
      <c r="Q681" s="12" t="e">
        <f>+VLOOKUP(P681,Datos!$F:$G,2,FALSE)</f>
        <v>#N/A</v>
      </c>
      <c r="Y681" s="14"/>
      <c r="Z681" t="e">
        <f>VLOOKUP(M681,'[1]INDIVIDUAL UN'!$C$6:$F$222,4,FALSE)</f>
        <v>#N/A</v>
      </c>
    </row>
    <row r="682" spans="1:26" x14ac:dyDescent="0.35">
      <c r="A682" s="9" t="s">
        <v>25</v>
      </c>
      <c r="D682" s="10" t="s">
        <v>29</v>
      </c>
      <c r="J682" s="12" t="e">
        <f>+VLOOKUP(K682,Datos!$A:$C,3,FALSE)</f>
        <v>#N/A</v>
      </c>
      <c r="L682" s="12" t="e">
        <f>+VLOOKUP(K682,Datos!$A:$C,2,FALSE)</f>
        <v>#N/A</v>
      </c>
      <c r="N682" s="12" t="e">
        <f>+VLOOKUP(M682,Datos!$F:$G,2,FALSE)</f>
        <v>#N/A</v>
      </c>
      <c r="O682" s="78"/>
      <c r="P682" s="9"/>
      <c r="Q682" s="12" t="e">
        <f>+VLOOKUP(P682,Datos!$F:$G,2,FALSE)</f>
        <v>#N/A</v>
      </c>
      <c r="Y682" s="14"/>
      <c r="Z682" t="e">
        <f>VLOOKUP(M682,'[1]INDIVIDUAL UN'!$C$6:$F$222,4,FALSE)</f>
        <v>#N/A</v>
      </c>
    </row>
    <row r="683" spans="1:26" x14ac:dyDescent="0.35">
      <c r="A683" s="9" t="s">
        <v>25</v>
      </c>
      <c r="D683" s="10" t="s">
        <v>29</v>
      </c>
      <c r="J683" s="12" t="e">
        <f>+VLOOKUP(K683,Datos!$A:$C,3,FALSE)</f>
        <v>#N/A</v>
      </c>
      <c r="L683" s="12" t="e">
        <f>+VLOOKUP(K683,Datos!$A:$C,2,FALSE)</f>
        <v>#N/A</v>
      </c>
      <c r="N683" s="12" t="e">
        <f>+VLOOKUP(M683,Datos!$F:$G,2,FALSE)</f>
        <v>#N/A</v>
      </c>
      <c r="O683" s="78"/>
      <c r="P683" s="9"/>
      <c r="Q683" s="12" t="e">
        <f>+VLOOKUP(P683,Datos!$F:$G,2,FALSE)</f>
        <v>#N/A</v>
      </c>
      <c r="Y683" s="14"/>
      <c r="Z683" t="e">
        <f>VLOOKUP(M683,'[1]INDIVIDUAL UN'!$C$6:$F$222,4,FALSE)</f>
        <v>#N/A</v>
      </c>
    </row>
    <row r="684" spans="1:26" x14ac:dyDescent="0.35">
      <c r="A684" s="9" t="s">
        <v>25</v>
      </c>
      <c r="D684" s="10" t="s">
        <v>29</v>
      </c>
      <c r="J684" s="12" t="e">
        <f>+VLOOKUP(K684,Datos!$A:$C,3,FALSE)</f>
        <v>#N/A</v>
      </c>
      <c r="L684" s="12" t="e">
        <f>+VLOOKUP(K684,Datos!$A:$C,2,FALSE)</f>
        <v>#N/A</v>
      </c>
      <c r="N684" s="12" t="e">
        <f>+VLOOKUP(M684,Datos!$F:$G,2,FALSE)</f>
        <v>#N/A</v>
      </c>
      <c r="O684" s="78"/>
      <c r="P684" s="9"/>
      <c r="Q684" s="12" t="e">
        <f>+VLOOKUP(P684,Datos!$F:$G,2,FALSE)</f>
        <v>#N/A</v>
      </c>
      <c r="Y684" s="14"/>
      <c r="Z684" t="e">
        <f>VLOOKUP(M684,'[1]INDIVIDUAL UN'!$C$6:$F$222,4,FALSE)</f>
        <v>#N/A</v>
      </c>
    </row>
    <row r="685" spans="1:26" x14ac:dyDescent="0.35">
      <c r="A685" s="9" t="s">
        <v>25</v>
      </c>
      <c r="D685" s="10" t="s">
        <v>29</v>
      </c>
      <c r="J685" s="12" t="e">
        <f>+VLOOKUP(K685,Datos!$A:$C,3,FALSE)</f>
        <v>#N/A</v>
      </c>
      <c r="L685" s="12" t="e">
        <f>+VLOOKUP(K685,Datos!$A:$C,2,FALSE)</f>
        <v>#N/A</v>
      </c>
      <c r="N685" s="12" t="e">
        <f>+VLOOKUP(M685,Datos!$F:$G,2,FALSE)</f>
        <v>#N/A</v>
      </c>
      <c r="O685" s="78"/>
      <c r="P685" s="9"/>
      <c r="Q685" s="12" t="e">
        <f>+VLOOKUP(P685,Datos!$F:$G,2,FALSE)</f>
        <v>#N/A</v>
      </c>
      <c r="Y685" s="14"/>
      <c r="Z685" t="e">
        <f>VLOOKUP(M685,'[1]INDIVIDUAL UN'!$C$6:$F$222,4,FALSE)</f>
        <v>#N/A</v>
      </c>
    </row>
    <row r="686" spans="1:26" x14ac:dyDescent="0.35">
      <c r="A686" s="9" t="s">
        <v>25</v>
      </c>
      <c r="D686" s="10" t="s">
        <v>29</v>
      </c>
      <c r="J686" s="12" t="e">
        <f>+VLOOKUP(K686,Datos!$A:$C,3,FALSE)</f>
        <v>#N/A</v>
      </c>
      <c r="L686" s="12" t="e">
        <f>+VLOOKUP(K686,Datos!$A:$C,2,FALSE)</f>
        <v>#N/A</v>
      </c>
      <c r="N686" s="12" t="e">
        <f>+VLOOKUP(M686,Datos!$F:$G,2,FALSE)</f>
        <v>#N/A</v>
      </c>
      <c r="O686" s="78"/>
      <c r="P686" s="9"/>
      <c r="Q686" s="12" t="e">
        <f>+VLOOKUP(P686,Datos!$F:$G,2,FALSE)</f>
        <v>#N/A</v>
      </c>
      <c r="Y686" s="14"/>
      <c r="Z686" t="e">
        <f>VLOOKUP(M686,'[1]INDIVIDUAL UN'!$C$6:$F$222,4,FALSE)</f>
        <v>#N/A</v>
      </c>
    </row>
    <row r="687" spans="1:26" x14ac:dyDescent="0.35">
      <c r="A687" s="9" t="s">
        <v>25</v>
      </c>
      <c r="D687" s="10" t="s">
        <v>29</v>
      </c>
      <c r="J687" s="12" t="e">
        <f>+VLOOKUP(K687,Datos!$A:$C,3,FALSE)</f>
        <v>#N/A</v>
      </c>
      <c r="L687" s="12" t="e">
        <f>+VLOOKUP(K687,Datos!$A:$C,2,FALSE)</f>
        <v>#N/A</v>
      </c>
      <c r="N687" s="12" t="e">
        <f>+VLOOKUP(M687,Datos!$F:$G,2,FALSE)</f>
        <v>#N/A</v>
      </c>
      <c r="O687" s="78"/>
      <c r="P687" s="9"/>
      <c r="Q687" s="12" t="e">
        <f>+VLOOKUP(P687,Datos!$F:$G,2,FALSE)</f>
        <v>#N/A</v>
      </c>
      <c r="Y687" s="14"/>
      <c r="Z687" t="e">
        <f>VLOOKUP(M687,'[1]INDIVIDUAL UN'!$C$6:$F$222,4,FALSE)</f>
        <v>#N/A</v>
      </c>
    </row>
    <row r="688" spans="1:26" x14ac:dyDescent="0.35">
      <c r="A688" s="9" t="s">
        <v>25</v>
      </c>
      <c r="D688" s="10" t="s">
        <v>29</v>
      </c>
      <c r="J688" s="12" t="e">
        <f>+VLOOKUP(K688,Datos!$A:$C,3,FALSE)</f>
        <v>#N/A</v>
      </c>
      <c r="L688" s="12" t="e">
        <f>+VLOOKUP(K688,Datos!$A:$C,2,FALSE)</f>
        <v>#N/A</v>
      </c>
      <c r="N688" s="12" t="e">
        <f>+VLOOKUP(M688,Datos!$F:$G,2,FALSE)</f>
        <v>#N/A</v>
      </c>
      <c r="O688" s="78"/>
      <c r="P688" s="9"/>
      <c r="Q688" s="12" t="e">
        <f>+VLOOKUP(P688,Datos!$F:$G,2,FALSE)</f>
        <v>#N/A</v>
      </c>
      <c r="Y688" s="14"/>
      <c r="Z688" t="e">
        <f>VLOOKUP(M688,'[1]INDIVIDUAL UN'!$C$6:$F$222,4,FALSE)</f>
        <v>#N/A</v>
      </c>
    </row>
    <row r="689" spans="1:26" x14ac:dyDescent="0.35">
      <c r="A689" s="9" t="s">
        <v>25</v>
      </c>
      <c r="D689" s="10" t="s">
        <v>29</v>
      </c>
      <c r="J689" s="12" t="e">
        <f>+VLOOKUP(K689,Datos!$A:$C,3,FALSE)</f>
        <v>#N/A</v>
      </c>
      <c r="L689" s="12" t="e">
        <f>+VLOOKUP(K689,Datos!$A:$C,2,FALSE)</f>
        <v>#N/A</v>
      </c>
      <c r="N689" s="12" t="e">
        <f>+VLOOKUP(M689,Datos!$F:$G,2,FALSE)</f>
        <v>#N/A</v>
      </c>
      <c r="O689" s="78"/>
      <c r="P689" s="9"/>
      <c r="Q689" s="12" t="e">
        <f>+VLOOKUP(P689,Datos!$F:$G,2,FALSE)</f>
        <v>#N/A</v>
      </c>
      <c r="Y689" s="14"/>
      <c r="Z689" t="e">
        <f>VLOOKUP(M689,'[1]INDIVIDUAL UN'!$C$6:$F$222,4,FALSE)</f>
        <v>#N/A</v>
      </c>
    </row>
    <row r="690" spans="1:26" x14ac:dyDescent="0.35">
      <c r="A690" s="9" t="s">
        <v>25</v>
      </c>
      <c r="D690" s="10" t="s">
        <v>29</v>
      </c>
      <c r="J690" s="12" t="e">
        <f>+VLOOKUP(K690,Datos!$A:$C,3,FALSE)</f>
        <v>#N/A</v>
      </c>
      <c r="L690" s="12" t="e">
        <f>+VLOOKUP(K690,Datos!$A:$C,2,FALSE)</f>
        <v>#N/A</v>
      </c>
      <c r="N690" s="12" t="e">
        <f>+VLOOKUP(M690,Datos!$F:$G,2,FALSE)</f>
        <v>#N/A</v>
      </c>
      <c r="O690" s="78"/>
      <c r="P690" s="9"/>
      <c r="Q690" s="12" t="e">
        <f>+VLOOKUP(P690,Datos!$F:$G,2,FALSE)</f>
        <v>#N/A</v>
      </c>
      <c r="Y690" s="14"/>
      <c r="Z690" t="e">
        <f>VLOOKUP(M690,'[1]INDIVIDUAL UN'!$C$6:$F$222,4,FALSE)</f>
        <v>#N/A</v>
      </c>
    </row>
    <row r="691" spans="1:26" x14ac:dyDescent="0.35">
      <c r="A691" s="9" t="s">
        <v>25</v>
      </c>
      <c r="D691" s="10" t="s">
        <v>29</v>
      </c>
      <c r="J691" s="12" t="e">
        <f>+VLOOKUP(K691,Datos!$A:$C,3,FALSE)</f>
        <v>#N/A</v>
      </c>
      <c r="L691" s="12" t="e">
        <f>+VLOOKUP(K691,Datos!$A:$C,2,FALSE)</f>
        <v>#N/A</v>
      </c>
      <c r="N691" s="12" t="e">
        <f>+VLOOKUP(M691,Datos!$F:$G,2,FALSE)</f>
        <v>#N/A</v>
      </c>
      <c r="O691" s="78"/>
      <c r="P691" s="9"/>
      <c r="Q691" s="12" t="e">
        <f>+VLOOKUP(P691,Datos!$F:$G,2,FALSE)</f>
        <v>#N/A</v>
      </c>
      <c r="Y691" s="14"/>
      <c r="Z691" t="e">
        <f>VLOOKUP(M691,'[1]INDIVIDUAL UN'!$C$6:$F$222,4,FALSE)</f>
        <v>#N/A</v>
      </c>
    </row>
    <row r="692" spans="1:26" x14ac:dyDescent="0.35">
      <c r="A692" s="9" t="s">
        <v>25</v>
      </c>
      <c r="D692" s="10" t="s">
        <v>29</v>
      </c>
      <c r="J692" s="12" t="e">
        <f>+VLOOKUP(K692,Datos!$A:$C,3,FALSE)</f>
        <v>#N/A</v>
      </c>
      <c r="L692" s="12" t="e">
        <f>+VLOOKUP(K692,Datos!$A:$C,2,FALSE)</f>
        <v>#N/A</v>
      </c>
      <c r="N692" s="12" t="e">
        <f>+VLOOKUP(M692,Datos!$F:$G,2,FALSE)</f>
        <v>#N/A</v>
      </c>
      <c r="O692" s="78"/>
      <c r="P692" s="9"/>
      <c r="Q692" s="12" t="e">
        <f>+VLOOKUP(P692,Datos!$F:$G,2,FALSE)</f>
        <v>#N/A</v>
      </c>
      <c r="Y692" s="14"/>
      <c r="Z692" t="e">
        <f>VLOOKUP(M692,'[1]INDIVIDUAL UN'!$C$6:$F$222,4,FALSE)</f>
        <v>#N/A</v>
      </c>
    </row>
    <row r="693" spans="1:26" x14ac:dyDescent="0.35">
      <c r="A693" s="9" t="s">
        <v>25</v>
      </c>
      <c r="D693" s="10" t="s">
        <v>29</v>
      </c>
      <c r="J693" s="12" t="e">
        <f>+VLOOKUP(K693,Datos!$A:$C,3,FALSE)</f>
        <v>#N/A</v>
      </c>
      <c r="L693" s="12" t="e">
        <f>+VLOOKUP(K693,Datos!$A:$C,2,FALSE)</f>
        <v>#N/A</v>
      </c>
      <c r="N693" s="12" t="e">
        <f>+VLOOKUP(M693,Datos!$F:$G,2,FALSE)</f>
        <v>#N/A</v>
      </c>
      <c r="O693" s="78"/>
      <c r="P693" s="9"/>
      <c r="Q693" s="12" t="e">
        <f>+VLOOKUP(P693,Datos!$F:$G,2,FALSE)</f>
        <v>#N/A</v>
      </c>
      <c r="Y693" s="14"/>
      <c r="Z693" t="e">
        <f>VLOOKUP(M693,'[1]INDIVIDUAL UN'!$C$6:$F$222,4,FALSE)</f>
        <v>#N/A</v>
      </c>
    </row>
    <row r="694" spans="1:26" x14ac:dyDescent="0.35">
      <c r="A694" s="9" t="s">
        <v>25</v>
      </c>
      <c r="D694" s="10" t="s">
        <v>29</v>
      </c>
      <c r="J694" s="12" t="e">
        <f>+VLOOKUP(K694,Datos!$A:$C,3,FALSE)</f>
        <v>#N/A</v>
      </c>
      <c r="L694" s="12" t="e">
        <f>+VLOOKUP(K694,Datos!$A:$C,2,FALSE)</f>
        <v>#N/A</v>
      </c>
      <c r="N694" s="12" t="e">
        <f>+VLOOKUP(M694,Datos!$F:$G,2,FALSE)</f>
        <v>#N/A</v>
      </c>
      <c r="O694" s="78"/>
      <c r="P694" s="9"/>
      <c r="Q694" s="12" t="e">
        <f>+VLOOKUP(P694,Datos!$F:$G,2,FALSE)</f>
        <v>#N/A</v>
      </c>
      <c r="Y694" s="14"/>
      <c r="Z694" t="e">
        <f>VLOOKUP(M694,'[1]INDIVIDUAL UN'!$C$6:$F$222,4,FALSE)</f>
        <v>#N/A</v>
      </c>
    </row>
    <row r="695" spans="1:26" x14ac:dyDescent="0.35">
      <c r="A695" s="9" t="s">
        <v>25</v>
      </c>
      <c r="D695" s="10" t="s">
        <v>29</v>
      </c>
      <c r="J695" s="12" t="e">
        <f>+VLOOKUP(K695,Datos!$A:$C,3,FALSE)</f>
        <v>#N/A</v>
      </c>
      <c r="L695" s="12" t="e">
        <f>+VLOOKUP(K695,Datos!$A:$C,2,FALSE)</f>
        <v>#N/A</v>
      </c>
      <c r="N695" s="12" t="e">
        <f>+VLOOKUP(M695,Datos!$F:$G,2,FALSE)</f>
        <v>#N/A</v>
      </c>
      <c r="O695" s="78"/>
      <c r="P695" s="9"/>
      <c r="Q695" s="12" t="e">
        <f>+VLOOKUP(P695,Datos!$F:$G,2,FALSE)</f>
        <v>#N/A</v>
      </c>
      <c r="Y695" s="14"/>
      <c r="Z695" t="e">
        <f>VLOOKUP(M695,'[1]INDIVIDUAL UN'!$C$6:$F$222,4,FALSE)</f>
        <v>#N/A</v>
      </c>
    </row>
    <row r="696" spans="1:26" x14ac:dyDescent="0.35">
      <c r="A696" s="9" t="s">
        <v>25</v>
      </c>
      <c r="D696" s="10" t="s">
        <v>29</v>
      </c>
      <c r="J696" s="12" t="e">
        <f>+VLOOKUP(K696,Datos!$A:$C,3,FALSE)</f>
        <v>#N/A</v>
      </c>
      <c r="L696" s="12" t="e">
        <f>+VLOOKUP(K696,Datos!$A:$C,2,FALSE)</f>
        <v>#N/A</v>
      </c>
      <c r="N696" s="12" t="e">
        <f>+VLOOKUP(M696,Datos!$F:$G,2,FALSE)</f>
        <v>#N/A</v>
      </c>
      <c r="O696" s="78"/>
      <c r="P696" s="9"/>
      <c r="Q696" s="12" t="e">
        <f>+VLOOKUP(P696,Datos!$F:$G,2,FALSE)</f>
        <v>#N/A</v>
      </c>
      <c r="Y696" s="14"/>
      <c r="Z696" t="e">
        <f>VLOOKUP(M696,'[1]INDIVIDUAL UN'!$C$6:$F$222,4,FALSE)</f>
        <v>#N/A</v>
      </c>
    </row>
    <row r="697" spans="1:26" x14ac:dyDescent="0.35">
      <c r="A697" s="9" t="s">
        <v>25</v>
      </c>
      <c r="D697" s="10" t="s">
        <v>29</v>
      </c>
      <c r="J697" s="12" t="e">
        <f>+VLOOKUP(K697,Datos!$A:$C,3,FALSE)</f>
        <v>#N/A</v>
      </c>
      <c r="L697" s="12" t="e">
        <f>+VLOOKUP(K697,Datos!$A:$C,2,FALSE)</f>
        <v>#N/A</v>
      </c>
      <c r="N697" s="12" t="e">
        <f>+VLOOKUP(M697,Datos!$F:$G,2,FALSE)</f>
        <v>#N/A</v>
      </c>
      <c r="O697" s="78"/>
      <c r="P697" s="9"/>
      <c r="Q697" s="12" t="e">
        <f>+VLOOKUP(P697,Datos!$F:$G,2,FALSE)</f>
        <v>#N/A</v>
      </c>
      <c r="Y697" s="14"/>
      <c r="Z697" t="e">
        <f>VLOOKUP(M697,'[1]INDIVIDUAL UN'!$C$6:$F$222,4,FALSE)</f>
        <v>#N/A</v>
      </c>
    </row>
    <row r="698" spans="1:26" x14ac:dyDescent="0.35">
      <c r="A698" s="9" t="s">
        <v>25</v>
      </c>
      <c r="D698" s="10" t="s">
        <v>29</v>
      </c>
      <c r="J698" s="12" t="e">
        <f>+VLOOKUP(K698,Datos!$A:$C,3,FALSE)</f>
        <v>#N/A</v>
      </c>
      <c r="L698" s="12" t="e">
        <f>+VLOOKUP(K698,Datos!$A:$C,2,FALSE)</f>
        <v>#N/A</v>
      </c>
      <c r="N698" s="12" t="e">
        <f>+VLOOKUP(M698,Datos!$F:$G,2,FALSE)</f>
        <v>#N/A</v>
      </c>
      <c r="O698" s="78"/>
      <c r="P698" s="9"/>
      <c r="Q698" s="12" t="e">
        <f>+VLOOKUP(P698,Datos!$F:$G,2,FALSE)</f>
        <v>#N/A</v>
      </c>
      <c r="Y698" s="14"/>
      <c r="Z698" t="e">
        <f>VLOOKUP(M698,'[1]INDIVIDUAL UN'!$C$6:$F$222,4,FALSE)</f>
        <v>#N/A</v>
      </c>
    </row>
    <row r="699" spans="1:26" x14ac:dyDescent="0.35">
      <c r="A699" s="9" t="s">
        <v>25</v>
      </c>
      <c r="D699" s="10" t="s">
        <v>29</v>
      </c>
      <c r="J699" s="12" t="e">
        <f>+VLOOKUP(K699,Datos!$A:$C,3,FALSE)</f>
        <v>#N/A</v>
      </c>
      <c r="L699" s="12" t="e">
        <f>+VLOOKUP(K699,Datos!$A:$C,2,FALSE)</f>
        <v>#N/A</v>
      </c>
      <c r="N699" s="12" t="e">
        <f>+VLOOKUP(M699,Datos!$F:$G,2,FALSE)</f>
        <v>#N/A</v>
      </c>
      <c r="O699" s="78"/>
      <c r="P699" s="9"/>
      <c r="Q699" s="12" t="e">
        <f>+VLOOKUP(P699,Datos!$F:$G,2,FALSE)</f>
        <v>#N/A</v>
      </c>
      <c r="Y699" s="14"/>
      <c r="Z699" t="e">
        <f>VLOOKUP(M699,'[1]INDIVIDUAL UN'!$C$6:$F$222,4,FALSE)</f>
        <v>#N/A</v>
      </c>
    </row>
    <row r="700" spans="1:26" x14ac:dyDescent="0.35">
      <c r="A700" s="9" t="s">
        <v>25</v>
      </c>
      <c r="D700" s="10" t="s">
        <v>29</v>
      </c>
      <c r="J700" s="12" t="e">
        <f>+VLOOKUP(K700,Datos!$A:$C,3,FALSE)</f>
        <v>#N/A</v>
      </c>
      <c r="L700" s="12" t="e">
        <f>+VLOOKUP(K700,Datos!$A:$C,2,FALSE)</f>
        <v>#N/A</v>
      </c>
      <c r="N700" s="12" t="e">
        <f>+VLOOKUP(M700,Datos!$F:$G,2,FALSE)</f>
        <v>#N/A</v>
      </c>
      <c r="O700" s="78"/>
      <c r="P700" s="9"/>
      <c r="Q700" s="12" t="e">
        <f>+VLOOKUP(P700,Datos!$F:$G,2,FALSE)</f>
        <v>#N/A</v>
      </c>
      <c r="Y700" s="14"/>
      <c r="Z700" t="e">
        <f>VLOOKUP(M700,'[1]INDIVIDUAL UN'!$C$6:$F$222,4,FALSE)</f>
        <v>#N/A</v>
      </c>
    </row>
    <row r="701" spans="1:26" x14ac:dyDescent="0.35">
      <c r="A701" s="9" t="s">
        <v>25</v>
      </c>
      <c r="D701" s="10" t="s">
        <v>29</v>
      </c>
      <c r="J701" s="12" t="e">
        <f>+VLOOKUP(K701,Datos!$A:$C,3,FALSE)</f>
        <v>#N/A</v>
      </c>
      <c r="L701" s="12" t="e">
        <f>+VLOOKUP(K701,Datos!$A:$C,2,FALSE)</f>
        <v>#N/A</v>
      </c>
      <c r="N701" s="12" t="e">
        <f>+VLOOKUP(M701,Datos!$F:$G,2,FALSE)</f>
        <v>#N/A</v>
      </c>
      <c r="O701" s="78"/>
      <c r="P701" s="9"/>
      <c r="Q701" s="12" t="e">
        <f>+VLOOKUP(P701,Datos!$F:$G,2,FALSE)</f>
        <v>#N/A</v>
      </c>
      <c r="Y701" s="14"/>
      <c r="Z701" t="e">
        <f>VLOOKUP(M701,'[1]INDIVIDUAL UN'!$C$6:$F$222,4,FALSE)</f>
        <v>#N/A</v>
      </c>
    </row>
    <row r="702" spans="1:26" x14ac:dyDescent="0.35">
      <c r="A702" s="9" t="s">
        <v>25</v>
      </c>
      <c r="D702" s="10" t="s">
        <v>29</v>
      </c>
      <c r="J702" s="12" t="e">
        <f>+VLOOKUP(K702,Datos!$A:$C,3,FALSE)</f>
        <v>#N/A</v>
      </c>
      <c r="L702" s="12" t="e">
        <f>+VLOOKUP(K702,Datos!$A:$C,2,FALSE)</f>
        <v>#N/A</v>
      </c>
      <c r="N702" s="12" t="e">
        <f>+VLOOKUP(M702,Datos!$F:$G,2,FALSE)</f>
        <v>#N/A</v>
      </c>
      <c r="O702" s="78"/>
      <c r="P702" s="9"/>
      <c r="Q702" s="12" t="e">
        <f>+VLOOKUP(P702,Datos!$F:$G,2,FALSE)</f>
        <v>#N/A</v>
      </c>
      <c r="Y702" s="14"/>
      <c r="Z702" t="e">
        <f>VLOOKUP(M702,'[1]INDIVIDUAL UN'!$C$6:$F$222,4,FALSE)</f>
        <v>#N/A</v>
      </c>
    </row>
    <row r="703" spans="1:26" x14ac:dyDescent="0.35">
      <c r="A703" s="9" t="s">
        <v>25</v>
      </c>
      <c r="D703" s="10" t="s">
        <v>29</v>
      </c>
      <c r="J703" s="12" t="e">
        <f>+VLOOKUP(K703,Datos!$A:$C,3,FALSE)</f>
        <v>#N/A</v>
      </c>
      <c r="L703" s="12" t="e">
        <f>+VLOOKUP(K703,Datos!$A:$C,2,FALSE)</f>
        <v>#N/A</v>
      </c>
      <c r="N703" s="12" t="e">
        <f>+VLOOKUP(M703,Datos!$F:$G,2,FALSE)</f>
        <v>#N/A</v>
      </c>
      <c r="O703" s="78"/>
      <c r="P703" s="9"/>
      <c r="Q703" s="12" t="e">
        <f>+VLOOKUP(P703,Datos!$F:$G,2,FALSE)</f>
        <v>#N/A</v>
      </c>
      <c r="Y703" s="14"/>
      <c r="Z703" t="e">
        <f>VLOOKUP(M703,'[1]INDIVIDUAL UN'!$C$6:$F$222,4,FALSE)</f>
        <v>#N/A</v>
      </c>
    </row>
    <row r="704" spans="1:26" x14ac:dyDescent="0.35">
      <c r="A704" s="9" t="s">
        <v>25</v>
      </c>
      <c r="D704" s="10" t="s">
        <v>29</v>
      </c>
      <c r="J704" s="12" t="e">
        <f>+VLOOKUP(K704,Datos!$A:$C,3,FALSE)</f>
        <v>#N/A</v>
      </c>
      <c r="L704" s="12" t="e">
        <f>+VLOOKUP(K704,Datos!$A:$C,2,FALSE)</f>
        <v>#N/A</v>
      </c>
      <c r="N704" s="12" t="e">
        <f>+VLOOKUP(M704,Datos!$F:$G,2,FALSE)</f>
        <v>#N/A</v>
      </c>
      <c r="O704" s="78"/>
      <c r="P704" s="9"/>
      <c r="Q704" s="12" t="e">
        <f>+VLOOKUP(P704,Datos!$F:$G,2,FALSE)</f>
        <v>#N/A</v>
      </c>
      <c r="Y704" s="14"/>
      <c r="Z704" t="e">
        <f>VLOOKUP(M704,'[1]INDIVIDUAL UN'!$C$6:$F$222,4,FALSE)</f>
        <v>#N/A</v>
      </c>
    </row>
    <row r="705" spans="1:26" x14ac:dyDescent="0.35">
      <c r="A705" s="9" t="s">
        <v>25</v>
      </c>
      <c r="D705" s="10" t="s">
        <v>29</v>
      </c>
      <c r="J705" s="12" t="e">
        <f>+VLOOKUP(K705,Datos!$A:$C,3,FALSE)</f>
        <v>#N/A</v>
      </c>
      <c r="L705" s="12" t="e">
        <f>+VLOOKUP(K705,Datos!$A:$C,2,FALSE)</f>
        <v>#N/A</v>
      </c>
      <c r="N705" s="12" t="e">
        <f>+VLOOKUP(M705,Datos!$F:$G,2,FALSE)</f>
        <v>#N/A</v>
      </c>
      <c r="O705" s="78"/>
      <c r="P705" s="9"/>
      <c r="Q705" s="12" t="e">
        <f>+VLOOKUP(P705,Datos!$F:$G,2,FALSE)</f>
        <v>#N/A</v>
      </c>
      <c r="Y705" s="14"/>
      <c r="Z705" t="e">
        <f>VLOOKUP(M705,'[1]INDIVIDUAL UN'!$C$6:$F$222,4,FALSE)</f>
        <v>#N/A</v>
      </c>
    </row>
    <row r="706" spans="1:26" x14ac:dyDescent="0.35">
      <c r="A706" s="9" t="s">
        <v>25</v>
      </c>
      <c r="D706" s="10" t="s">
        <v>29</v>
      </c>
      <c r="J706" s="12" t="e">
        <f>+VLOOKUP(K706,Datos!$A:$C,3,FALSE)</f>
        <v>#N/A</v>
      </c>
      <c r="L706" s="12" t="e">
        <f>+VLOOKUP(K706,Datos!$A:$C,2,FALSE)</f>
        <v>#N/A</v>
      </c>
      <c r="N706" s="12" t="e">
        <f>+VLOOKUP(M706,Datos!$F:$G,2,FALSE)</f>
        <v>#N/A</v>
      </c>
      <c r="O706" s="78"/>
      <c r="P706" s="9"/>
      <c r="Q706" s="12" t="e">
        <f>+VLOOKUP(P706,Datos!$F:$G,2,FALSE)</f>
        <v>#N/A</v>
      </c>
      <c r="Y706" s="14"/>
      <c r="Z706" t="e">
        <f>VLOOKUP(M706,'[1]INDIVIDUAL UN'!$C$6:$F$222,4,FALSE)</f>
        <v>#N/A</v>
      </c>
    </row>
    <row r="707" spans="1:26" x14ac:dyDescent="0.35">
      <c r="A707" s="9" t="s">
        <v>25</v>
      </c>
      <c r="D707" s="10" t="s">
        <v>29</v>
      </c>
      <c r="J707" s="12" t="e">
        <f>+VLOOKUP(K707,Datos!$A:$C,3,FALSE)</f>
        <v>#N/A</v>
      </c>
      <c r="L707" s="12" t="e">
        <f>+VLOOKUP(K707,Datos!$A:$C,2,FALSE)</f>
        <v>#N/A</v>
      </c>
      <c r="N707" s="12" t="e">
        <f>+VLOOKUP(M707,Datos!$F:$G,2,FALSE)</f>
        <v>#N/A</v>
      </c>
      <c r="O707" s="78"/>
      <c r="P707" s="9"/>
      <c r="Q707" s="12" t="e">
        <f>+VLOOKUP(P707,Datos!$F:$G,2,FALSE)</f>
        <v>#N/A</v>
      </c>
      <c r="Y707" s="14"/>
      <c r="Z707" t="e">
        <f>VLOOKUP(M707,'[1]INDIVIDUAL UN'!$C$6:$F$222,4,FALSE)</f>
        <v>#N/A</v>
      </c>
    </row>
    <row r="708" spans="1:26" x14ac:dyDescent="0.35">
      <c r="A708" s="9" t="s">
        <v>25</v>
      </c>
      <c r="D708" s="10" t="s">
        <v>29</v>
      </c>
      <c r="J708" s="12" t="e">
        <f>+VLOOKUP(K708,Datos!$A:$C,3,FALSE)</f>
        <v>#N/A</v>
      </c>
      <c r="L708" s="12" t="e">
        <f>+VLOOKUP(K708,Datos!$A:$C,2,FALSE)</f>
        <v>#N/A</v>
      </c>
      <c r="N708" s="12" t="e">
        <f>+VLOOKUP(M708,Datos!$F:$G,2,FALSE)</f>
        <v>#N/A</v>
      </c>
      <c r="O708" s="78"/>
      <c r="P708" s="9"/>
      <c r="Q708" s="12" t="e">
        <f>+VLOOKUP(P708,Datos!$F:$G,2,FALSE)</f>
        <v>#N/A</v>
      </c>
      <c r="Y708" s="14"/>
      <c r="Z708" t="e">
        <f>VLOOKUP(M708,'[1]INDIVIDUAL UN'!$C$6:$F$222,4,FALSE)</f>
        <v>#N/A</v>
      </c>
    </row>
    <row r="709" spans="1:26" x14ac:dyDescent="0.35">
      <c r="A709" s="9" t="s">
        <v>25</v>
      </c>
      <c r="D709" s="10" t="s">
        <v>29</v>
      </c>
      <c r="J709" s="12" t="e">
        <f>+VLOOKUP(K709,Datos!$A:$C,3,FALSE)</f>
        <v>#N/A</v>
      </c>
      <c r="L709" s="12" t="e">
        <f>+VLOOKUP(K709,Datos!$A:$C,2,FALSE)</f>
        <v>#N/A</v>
      </c>
      <c r="N709" s="12" t="e">
        <f>+VLOOKUP(M709,Datos!$F:$G,2,FALSE)</f>
        <v>#N/A</v>
      </c>
      <c r="O709" s="78"/>
      <c r="P709" s="9"/>
      <c r="Q709" s="12" t="e">
        <f>+VLOOKUP(P709,Datos!$F:$G,2,FALSE)</f>
        <v>#N/A</v>
      </c>
      <c r="Y709" s="14"/>
      <c r="Z709" t="e">
        <f>VLOOKUP(M709,'[1]INDIVIDUAL UN'!$C$6:$F$222,4,FALSE)</f>
        <v>#N/A</v>
      </c>
    </row>
    <row r="710" spans="1:26" x14ac:dyDescent="0.35">
      <c r="A710" s="9" t="s">
        <v>25</v>
      </c>
      <c r="D710" s="10" t="s">
        <v>29</v>
      </c>
      <c r="J710" s="12" t="e">
        <f>+VLOOKUP(K710,Datos!$A:$C,3,FALSE)</f>
        <v>#N/A</v>
      </c>
      <c r="L710" s="12" t="e">
        <f>+VLOOKUP(K710,Datos!$A:$C,2,FALSE)</f>
        <v>#N/A</v>
      </c>
      <c r="N710" s="12" t="e">
        <f>+VLOOKUP(M710,Datos!$F:$G,2,FALSE)</f>
        <v>#N/A</v>
      </c>
      <c r="O710" s="78"/>
      <c r="P710" s="9"/>
      <c r="Q710" s="12" t="e">
        <f>+VLOOKUP(P710,Datos!$F:$G,2,FALSE)</f>
        <v>#N/A</v>
      </c>
      <c r="Y710" s="14"/>
      <c r="Z710" t="e">
        <f>VLOOKUP(M710,'[1]INDIVIDUAL UN'!$C$6:$F$222,4,FALSE)</f>
        <v>#N/A</v>
      </c>
    </row>
    <row r="711" spans="1:26" x14ac:dyDescent="0.35">
      <c r="A711" s="9" t="s">
        <v>25</v>
      </c>
      <c r="D711" s="10" t="s">
        <v>29</v>
      </c>
      <c r="J711" s="12" t="e">
        <f>+VLOOKUP(K711,Datos!$A:$C,3,FALSE)</f>
        <v>#N/A</v>
      </c>
      <c r="L711" s="12" t="e">
        <f>+VLOOKUP(K711,Datos!$A:$C,2,FALSE)</f>
        <v>#N/A</v>
      </c>
      <c r="N711" s="12" t="e">
        <f>+VLOOKUP(M711,Datos!$F:$G,2,FALSE)</f>
        <v>#N/A</v>
      </c>
      <c r="O711" s="78"/>
      <c r="P711" s="9"/>
      <c r="Q711" s="12" t="e">
        <f>+VLOOKUP(P711,Datos!$F:$G,2,FALSE)</f>
        <v>#N/A</v>
      </c>
      <c r="Y711" s="14"/>
      <c r="Z711" t="e">
        <f>VLOOKUP(M711,'[1]INDIVIDUAL UN'!$C$6:$F$222,4,FALSE)</f>
        <v>#N/A</v>
      </c>
    </row>
    <row r="712" spans="1:26" x14ac:dyDescent="0.35">
      <c r="A712" s="9" t="s">
        <v>25</v>
      </c>
      <c r="D712" s="10" t="s">
        <v>29</v>
      </c>
      <c r="J712" s="12" t="e">
        <f>+VLOOKUP(K712,Datos!$A:$C,3,FALSE)</f>
        <v>#N/A</v>
      </c>
      <c r="L712" s="12" t="e">
        <f>+VLOOKUP(K712,Datos!$A:$C,2,FALSE)</f>
        <v>#N/A</v>
      </c>
      <c r="N712" s="12" t="e">
        <f>+VLOOKUP(M712,Datos!$F:$G,2,FALSE)</f>
        <v>#N/A</v>
      </c>
      <c r="O712" s="78"/>
      <c r="P712" s="9"/>
      <c r="Q712" s="12" t="e">
        <f>+VLOOKUP(P712,Datos!$F:$G,2,FALSE)</f>
        <v>#N/A</v>
      </c>
      <c r="Y712" s="14"/>
      <c r="Z712" t="e">
        <f>VLOOKUP(M712,'[1]INDIVIDUAL UN'!$C$6:$F$222,4,FALSE)</f>
        <v>#N/A</v>
      </c>
    </row>
    <row r="713" spans="1:26" x14ac:dyDescent="0.35">
      <c r="A713" s="9" t="s">
        <v>25</v>
      </c>
      <c r="D713" s="10" t="s">
        <v>29</v>
      </c>
      <c r="J713" s="12" t="e">
        <f>+VLOOKUP(K713,Datos!$A:$C,3,FALSE)</f>
        <v>#N/A</v>
      </c>
      <c r="L713" s="12" t="e">
        <f>+VLOOKUP(K713,Datos!$A:$C,2,FALSE)</f>
        <v>#N/A</v>
      </c>
      <c r="N713" s="12" t="e">
        <f>+VLOOKUP(M713,Datos!$F:$G,2,FALSE)</f>
        <v>#N/A</v>
      </c>
      <c r="O713" s="78"/>
      <c r="P713" s="9"/>
      <c r="Q713" s="12" t="e">
        <f>+VLOOKUP(P713,Datos!$F:$G,2,FALSE)</f>
        <v>#N/A</v>
      </c>
      <c r="Y713" s="14"/>
      <c r="Z713" t="e">
        <f>VLOOKUP(M713,'[1]INDIVIDUAL UN'!$C$6:$F$222,4,FALSE)</f>
        <v>#N/A</v>
      </c>
    </row>
    <row r="714" spans="1:26" x14ac:dyDescent="0.35">
      <c r="A714" s="9" t="s">
        <v>25</v>
      </c>
      <c r="D714" s="10" t="s">
        <v>29</v>
      </c>
      <c r="J714" s="12" t="e">
        <f>+VLOOKUP(K714,Datos!$A:$C,3,FALSE)</f>
        <v>#N/A</v>
      </c>
      <c r="L714" s="12" t="e">
        <f>+VLOOKUP(K714,Datos!$A:$C,2,FALSE)</f>
        <v>#N/A</v>
      </c>
      <c r="N714" s="12" t="e">
        <f>+VLOOKUP(M714,Datos!$F:$G,2,FALSE)</f>
        <v>#N/A</v>
      </c>
      <c r="O714" s="78"/>
      <c r="P714" s="9"/>
      <c r="Q714" s="12" t="e">
        <f>+VLOOKUP(P714,Datos!$F:$G,2,FALSE)</f>
        <v>#N/A</v>
      </c>
      <c r="Y714" s="14"/>
      <c r="Z714" t="e">
        <f>VLOOKUP(M714,'[1]INDIVIDUAL UN'!$C$6:$F$222,4,FALSE)</f>
        <v>#N/A</v>
      </c>
    </row>
    <row r="715" spans="1:26" x14ac:dyDescent="0.35">
      <c r="A715" s="9" t="s">
        <v>25</v>
      </c>
      <c r="D715" s="10" t="s">
        <v>29</v>
      </c>
      <c r="J715" s="12" t="e">
        <f>+VLOOKUP(K715,Datos!$A:$C,3,FALSE)</f>
        <v>#N/A</v>
      </c>
      <c r="L715" s="12" t="e">
        <f>+VLOOKUP(K715,Datos!$A:$C,2,FALSE)</f>
        <v>#N/A</v>
      </c>
      <c r="N715" s="12" t="e">
        <f>+VLOOKUP(M715,Datos!$F:$G,2,FALSE)</f>
        <v>#N/A</v>
      </c>
      <c r="O715" s="78"/>
      <c r="P715" s="9"/>
      <c r="Q715" s="12" t="e">
        <f>+VLOOKUP(P715,Datos!$F:$G,2,FALSE)</f>
        <v>#N/A</v>
      </c>
      <c r="Y715" s="14"/>
      <c r="Z715" t="e">
        <f>VLOOKUP(M715,'[1]INDIVIDUAL UN'!$C$6:$F$222,4,FALSE)</f>
        <v>#N/A</v>
      </c>
    </row>
    <row r="716" spans="1:26" x14ac:dyDescent="0.35">
      <c r="A716" s="9" t="s">
        <v>25</v>
      </c>
      <c r="D716" s="10" t="s">
        <v>29</v>
      </c>
      <c r="J716" s="12" t="e">
        <f>+VLOOKUP(K716,Datos!$A:$C,3,FALSE)</f>
        <v>#N/A</v>
      </c>
      <c r="L716" s="12" t="e">
        <f>+VLOOKUP(K716,Datos!$A:$C,2,FALSE)</f>
        <v>#N/A</v>
      </c>
      <c r="N716" s="12" t="e">
        <f>+VLOOKUP(M716,Datos!$F:$G,2,FALSE)</f>
        <v>#N/A</v>
      </c>
      <c r="O716" s="78"/>
      <c r="P716" s="9"/>
      <c r="Q716" s="12" t="e">
        <f>+VLOOKUP(P716,Datos!$F:$G,2,FALSE)</f>
        <v>#N/A</v>
      </c>
      <c r="Y716" s="14"/>
      <c r="Z716" t="e">
        <f>VLOOKUP(M716,'[1]INDIVIDUAL UN'!$C$6:$F$222,4,FALSE)</f>
        <v>#N/A</v>
      </c>
    </row>
    <row r="717" spans="1:26" x14ac:dyDescent="0.35">
      <c r="A717" s="9" t="s">
        <v>25</v>
      </c>
      <c r="D717" s="10" t="s">
        <v>29</v>
      </c>
      <c r="J717" s="12" t="e">
        <f>+VLOOKUP(K717,Datos!$A:$C,3,FALSE)</f>
        <v>#N/A</v>
      </c>
      <c r="L717" s="12" t="e">
        <f>+VLOOKUP(K717,Datos!$A:$C,2,FALSE)</f>
        <v>#N/A</v>
      </c>
      <c r="N717" s="12" t="e">
        <f>+VLOOKUP(M717,Datos!$F:$G,2,FALSE)</f>
        <v>#N/A</v>
      </c>
      <c r="O717" s="78"/>
      <c r="P717" s="9"/>
      <c r="Q717" s="12" t="e">
        <f>+VLOOKUP(P717,Datos!$F:$G,2,FALSE)</f>
        <v>#N/A</v>
      </c>
      <c r="Y717" s="14"/>
      <c r="Z717" t="e">
        <f>VLOOKUP(M717,'[1]INDIVIDUAL UN'!$C$6:$F$222,4,FALSE)</f>
        <v>#N/A</v>
      </c>
    </row>
    <row r="718" spans="1:26" x14ac:dyDescent="0.35">
      <c r="A718" s="9" t="s">
        <v>25</v>
      </c>
      <c r="D718" s="10" t="s">
        <v>29</v>
      </c>
      <c r="J718" s="12" t="e">
        <f>+VLOOKUP(K718,Datos!$A:$C,3,FALSE)</f>
        <v>#N/A</v>
      </c>
      <c r="L718" s="12" t="e">
        <f>+VLOOKUP(K718,Datos!$A:$C,2,FALSE)</f>
        <v>#N/A</v>
      </c>
      <c r="N718" s="12" t="e">
        <f>+VLOOKUP(M718,Datos!$F:$G,2,FALSE)</f>
        <v>#N/A</v>
      </c>
      <c r="O718" s="78"/>
      <c r="P718" s="9"/>
      <c r="Q718" s="12" t="e">
        <f>+VLOOKUP(P718,Datos!$F:$G,2,FALSE)</f>
        <v>#N/A</v>
      </c>
      <c r="Y718" s="14"/>
      <c r="Z718" t="e">
        <f>VLOOKUP(M718,'[1]INDIVIDUAL UN'!$C$6:$F$222,4,FALSE)</f>
        <v>#N/A</v>
      </c>
    </row>
    <row r="719" spans="1:26" x14ac:dyDescent="0.35">
      <c r="A719" s="9" t="s">
        <v>25</v>
      </c>
      <c r="D719" s="10" t="s">
        <v>29</v>
      </c>
      <c r="J719" s="12" t="e">
        <f>+VLOOKUP(K719,Datos!$A:$C,3,FALSE)</f>
        <v>#N/A</v>
      </c>
      <c r="L719" s="12" t="e">
        <f>+VLOOKUP(K719,Datos!$A:$C,2,FALSE)</f>
        <v>#N/A</v>
      </c>
      <c r="N719" s="12" t="e">
        <f>+VLOOKUP(M719,Datos!$F:$G,2,FALSE)</f>
        <v>#N/A</v>
      </c>
      <c r="O719" s="78"/>
      <c r="P719" s="9"/>
      <c r="Q719" s="12" t="e">
        <f>+VLOOKUP(P719,Datos!$F:$G,2,FALSE)</f>
        <v>#N/A</v>
      </c>
      <c r="Y719" s="14"/>
      <c r="Z719" t="e">
        <f>VLOOKUP(M719,'[1]INDIVIDUAL UN'!$C$6:$F$222,4,FALSE)</f>
        <v>#N/A</v>
      </c>
    </row>
    <row r="720" spans="1:26" x14ac:dyDescent="0.35">
      <c r="A720" s="9" t="s">
        <v>25</v>
      </c>
      <c r="D720" s="10" t="s">
        <v>29</v>
      </c>
      <c r="J720" s="12" t="e">
        <f>+VLOOKUP(K720,Datos!$A:$C,3,FALSE)</f>
        <v>#N/A</v>
      </c>
      <c r="L720" s="12" t="e">
        <f>+VLOOKUP(K720,Datos!$A:$C,2,FALSE)</f>
        <v>#N/A</v>
      </c>
      <c r="N720" s="12" t="e">
        <f>+VLOOKUP(M720,Datos!$F:$G,2,FALSE)</f>
        <v>#N/A</v>
      </c>
      <c r="O720" s="78"/>
      <c r="P720" s="9"/>
      <c r="Q720" s="12" t="e">
        <f>+VLOOKUP(P720,Datos!$F:$G,2,FALSE)</f>
        <v>#N/A</v>
      </c>
      <c r="Y720" s="14"/>
      <c r="Z720" t="e">
        <f>VLOOKUP(M720,'[1]INDIVIDUAL UN'!$C$6:$F$222,4,FALSE)</f>
        <v>#N/A</v>
      </c>
    </row>
    <row r="721" spans="1:26" x14ac:dyDescent="0.35">
      <c r="A721" s="9" t="s">
        <v>25</v>
      </c>
      <c r="D721" s="10" t="s">
        <v>29</v>
      </c>
      <c r="J721" s="12" t="e">
        <f>+VLOOKUP(K721,Datos!$A:$C,3,FALSE)</f>
        <v>#N/A</v>
      </c>
      <c r="L721" s="12" t="e">
        <f>+VLOOKUP(K721,Datos!$A:$C,2,FALSE)</f>
        <v>#N/A</v>
      </c>
      <c r="N721" s="12" t="e">
        <f>+VLOOKUP(M721,Datos!$F:$G,2,FALSE)</f>
        <v>#N/A</v>
      </c>
      <c r="O721" s="78"/>
      <c r="P721" s="9"/>
      <c r="Q721" s="12" t="e">
        <f>+VLOOKUP(P721,Datos!$F:$G,2,FALSE)</f>
        <v>#N/A</v>
      </c>
      <c r="Y721" s="14"/>
      <c r="Z721" t="e">
        <f>VLOOKUP(M721,'[1]INDIVIDUAL UN'!$C$6:$F$222,4,FALSE)</f>
        <v>#N/A</v>
      </c>
    </row>
    <row r="722" spans="1:26" x14ac:dyDescent="0.35">
      <c r="A722" s="9" t="s">
        <v>25</v>
      </c>
      <c r="D722" s="10" t="s">
        <v>29</v>
      </c>
      <c r="J722" s="12" t="e">
        <f>+VLOOKUP(K722,Datos!$A:$C,3,FALSE)</f>
        <v>#N/A</v>
      </c>
      <c r="L722" s="12" t="e">
        <f>+VLOOKUP(K722,Datos!$A:$C,2,FALSE)</f>
        <v>#N/A</v>
      </c>
      <c r="N722" s="12" t="e">
        <f>+VLOOKUP(M722,Datos!$F:$G,2,FALSE)</f>
        <v>#N/A</v>
      </c>
      <c r="O722" s="78"/>
      <c r="P722" s="9"/>
      <c r="Q722" s="12" t="e">
        <f>+VLOOKUP(P722,Datos!$F:$G,2,FALSE)</f>
        <v>#N/A</v>
      </c>
      <c r="Y722" s="14"/>
      <c r="Z722" t="e">
        <f>VLOOKUP(M722,'[1]INDIVIDUAL UN'!$C$6:$F$222,4,FALSE)</f>
        <v>#N/A</v>
      </c>
    </row>
    <row r="723" spans="1:26" x14ac:dyDescent="0.35">
      <c r="A723" s="9" t="s">
        <v>25</v>
      </c>
      <c r="D723" s="10" t="s">
        <v>29</v>
      </c>
      <c r="J723" s="12" t="e">
        <f>+VLOOKUP(K723,Datos!$A:$C,3,FALSE)</f>
        <v>#N/A</v>
      </c>
      <c r="L723" s="12" t="e">
        <f>+VLOOKUP(K723,Datos!$A:$C,2,FALSE)</f>
        <v>#N/A</v>
      </c>
      <c r="N723" s="12" t="e">
        <f>+VLOOKUP(M723,Datos!$F:$G,2,FALSE)</f>
        <v>#N/A</v>
      </c>
      <c r="O723" s="78"/>
      <c r="P723" s="9"/>
      <c r="Q723" s="12" t="e">
        <f>+VLOOKUP(P723,Datos!$F:$G,2,FALSE)</f>
        <v>#N/A</v>
      </c>
      <c r="Y723" s="14"/>
      <c r="Z723" t="e">
        <f>VLOOKUP(M723,'[1]INDIVIDUAL UN'!$C$6:$F$222,4,FALSE)</f>
        <v>#N/A</v>
      </c>
    </row>
    <row r="724" spans="1:26" x14ac:dyDescent="0.35">
      <c r="A724" s="9" t="s">
        <v>25</v>
      </c>
      <c r="D724" s="10" t="s">
        <v>29</v>
      </c>
      <c r="J724" s="12" t="e">
        <f>+VLOOKUP(K724,Datos!$A:$C,3,FALSE)</f>
        <v>#N/A</v>
      </c>
      <c r="L724" s="12" t="e">
        <f>+VLOOKUP(K724,Datos!$A:$C,2,FALSE)</f>
        <v>#N/A</v>
      </c>
      <c r="N724" s="12" t="e">
        <f>+VLOOKUP(M724,Datos!$F:$G,2,FALSE)</f>
        <v>#N/A</v>
      </c>
      <c r="O724" s="78"/>
      <c r="P724" s="9"/>
      <c r="Q724" s="12" t="e">
        <f>+VLOOKUP(P724,Datos!$F:$G,2,FALSE)</f>
        <v>#N/A</v>
      </c>
      <c r="Y724" s="14"/>
      <c r="Z724" t="e">
        <f>VLOOKUP(M724,'[1]INDIVIDUAL UN'!$C$6:$F$222,4,FALSE)</f>
        <v>#N/A</v>
      </c>
    </row>
    <row r="725" spans="1:26" x14ac:dyDescent="0.35">
      <c r="A725" s="9" t="s">
        <v>25</v>
      </c>
      <c r="D725" s="10" t="s">
        <v>29</v>
      </c>
      <c r="J725" s="12" t="e">
        <f>+VLOOKUP(K725,Datos!$A:$C,3,FALSE)</f>
        <v>#N/A</v>
      </c>
      <c r="L725" s="12" t="e">
        <f>+VLOOKUP(K725,Datos!$A:$C,2,FALSE)</f>
        <v>#N/A</v>
      </c>
      <c r="N725" s="12" t="e">
        <f>+VLOOKUP(M725,Datos!$F:$G,2,FALSE)</f>
        <v>#N/A</v>
      </c>
      <c r="O725" s="78"/>
      <c r="P725" s="9"/>
      <c r="Q725" s="12" t="e">
        <f>+VLOOKUP(P725,Datos!$F:$G,2,FALSE)</f>
        <v>#N/A</v>
      </c>
      <c r="Y725" s="14"/>
      <c r="Z725" t="e">
        <f>VLOOKUP(M725,'[1]INDIVIDUAL UN'!$C$6:$F$222,4,FALSE)</f>
        <v>#N/A</v>
      </c>
    </row>
    <row r="726" spans="1:26" x14ac:dyDescent="0.35">
      <c r="A726" s="9" t="s">
        <v>25</v>
      </c>
      <c r="D726" s="10" t="s">
        <v>29</v>
      </c>
      <c r="J726" s="12" t="e">
        <f>+VLOOKUP(K726,Datos!$A:$C,3,FALSE)</f>
        <v>#N/A</v>
      </c>
      <c r="L726" s="12" t="e">
        <f>+VLOOKUP(K726,Datos!$A:$C,2,FALSE)</f>
        <v>#N/A</v>
      </c>
      <c r="N726" s="12" t="e">
        <f>+VLOOKUP(M726,Datos!$F:$G,2,FALSE)</f>
        <v>#N/A</v>
      </c>
      <c r="O726" s="78"/>
      <c r="P726" s="9"/>
      <c r="Q726" s="12" t="e">
        <f>+VLOOKUP(P726,Datos!$F:$G,2,FALSE)</f>
        <v>#N/A</v>
      </c>
      <c r="Y726" s="14"/>
      <c r="Z726" t="e">
        <f>VLOOKUP(M726,'[1]INDIVIDUAL UN'!$C$6:$F$222,4,FALSE)</f>
        <v>#N/A</v>
      </c>
    </row>
    <row r="727" spans="1:26" x14ac:dyDescent="0.35">
      <c r="A727" s="9" t="s">
        <v>25</v>
      </c>
      <c r="D727" s="10" t="s">
        <v>29</v>
      </c>
      <c r="J727" s="12" t="e">
        <f>+VLOOKUP(K727,Datos!$A:$C,3,FALSE)</f>
        <v>#N/A</v>
      </c>
      <c r="L727" s="12" t="e">
        <f>+VLOOKUP(K727,Datos!$A:$C,2,FALSE)</f>
        <v>#N/A</v>
      </c>
      <c r="N727" s="12" t="e">
        <f>+VLOOKUP(M727,Datos!$F:$G,2,FALSE)</f>
        <v>#N/A</v>
      </c>
      <c r="O727" s="78"/>
      <c r="P727" s="9"/>
      <c r="Q727" s="12" t="e">
        <f>+VLOOKUP(P727,Datos!$F:$G,2,FALSE)</f>
        <v>#N/A</v>
      </c>
      <c r="Y727" s="14"/>
      <c r="Z727" t="e">
        <f>VLOOKUP(M727,'[1]INDIVIDUAL UN'!$C$6:$F$222,4,FALSE)</f>
        <v>#N/A</v>
      </c>
    </row>
    <row r="728" spans="1:26" x14ac:dyDescent="0.35">
      <c r="A728" s="9" t="s">
        <v>25</v>
      </c>
      <c r="D728" s="10" t="s">
        <v>29</v>
      </c>
      <c r="J728" s="12" t="e">
        <f>+VLOOKUP(K728,Datos!$A:$C,3,FALSE)</f>
        <v>#N/A</v>
      </c>
      <c r="L728" s="12" t="e">
        <f>+VLOOKUP(K728,Datos!$A:$C,2,FALSE)</f>
        <v>#N/A</v>
      </c>
      <c r="N728" s="12" t="e">
        <f>+VLOOKUP(M728,Datos!$F:$G,2,FALSE)</f>
        <v>#N/A</v>
      </c>
      <c r="O728" s="78"/>
      <c r="P728" s="9"/>
      <c r="Q728" s="12" t="e">
        <f>+VLOOKUP(P728,Datos!$F:$G,2,FALSE)</f>
        <v>#N/A</v>
      </c>
      <c r="Y728" s="14"/>
      <c r="Z728" t="e">
        <f>VLOOKUP(M728,'[1]INDIVIDUAL UN'!$C$6:$F$222,4,FALSE)</f>
        <v>#N/A</v>
      </c>
    </row>
    <row r="729" spans="1:26" x14ac:dyDescent="0.35">
      <c r="A729" s="9" t="s">
        <v>25</v>
      </c>
      <c r="D729" s="10" t="s">
        <v>29</v>
      </c>
      <c r="J729" s="12" t="e">
        <f>+VLOOKUP(K729,Datos!$A:$C,3,FALSE)</f>
        <v>#N/A</v>
      </c>
      <c r="L729" s="12" t="e">
        <f>+VLOOKUP(K729,Datos!$A:$C,2,FALSE)</f>
        <v>#N/A</v>
      </c>
      <c r="N729" s="12" t="e">
        <f>+VLOOKUP(M729,Datos!$F:$G,2,FALSE)</f>
        <v>#N/A</v>
      </c>
      <c r="O729" s="78"/>
      <c r="P729" s="9"/>
      <c r="Q729" s="12" t="e">
        <f>+VLOOKUP(P729,Datos!$F:$G,2,FALSE)</f>
        <v>#N/A</v>
      </c>
      <c r="Y729" s="14"/>
      <c r="Z729" t="e">
        <f>VLOOKUP(M729,'[1]INDIVIDUAL UN'!$C$6:$F$222,4,FALSE)</f>
        <v>#N/A</v>
      </c>
    </row>
    <row r="730" spans="1:26" x14ac:dyDescent="0.35">
      <c r="A730" s="9" t="s">
        <v>25</v>
      </c>
      <c r="D730" s="10" t="s">
        <v>29</v>
      </c>
      <c r="J730" s="12" t="e">
        <f>+VLOOKUP(K730,Datos!$A:$C,3,FALSE)</f>
        <v>#N/A</v>
      </c>
      <c r="L730" s="12" t="e">
        <f>+VLOOKUP(K730,Datos!$A:$C,2,FALSE)</f>
        <v>#N/A</v>
      </c>
      <c r="N730" s="12" t="e">
        <f>+VLOOKUP(M730,Datos!$F:$G,2,FALSE)</f>
        <v>#N/A</v>
      </c>
      <c r="O730" s="78"/>
      <c r="P730" s="9"/>
      <c r="Q730" s="12" t="e">
        <f>+VLOOKUP(P730,Datos!$F:$G,2,FALSE)</f>
        <v>#N/A</v>
      </c>
      <c r="Y730" s="14"/>
      <c r="Z730" t="e">
        <f>VLOOKUP(M730,'[1]INDIVIDUAL UN'!$C$6:$F$222,4,FALSE)</f>
        <v>#N/A</v>
      </c>
    </row>
    <row r="731" spans="1:26" x14ac:dyDescent="0.35">
      <c r="A731" s="9" t="s">
        <v>25</v>
      </c>
      <c r="D731" s="10" t="s">
        <v>29</v>
      </c>
      <c r="J731" s="12" t="e">
        <f>+VLOOKUP(K731,Datos!$A:$C,3,FALSE)</f>
        <v>#N/A</v>
      </c>
      <c r="L731" s="12" t="e">
        <f>+VLOOKUP(K731,Datos!$A:$C,2,FALSE)</f>
        <v>#N/A</v>
      </c>
      <c r="N731" s="12" t="e">
        <f>+VLOOKUP(M731,Datos!$F:$G,2,FALSE)</f>
        <v>#N/A</v>
      </c>
      <c r="O731" s="78"/>
      <c r="P731" s="9"/>
      <c r="Q731" s="12" t="e">
        <f>+VLOOKUP(P731,Datos!$F:$G,2,FALSE)</f>
        <v>#N/A</v>
      </c>
      <c r="Y731" s="14"/>
      <c r="Z731" t="e">
        <f>VLOOKUP(M731,'[1]INDIVIDUAL UN'!$C$6:$F$222,4,FALSE)</f>
        <v>#N/A</v>
      </c>
    </row>
    <row r="732" spans="1:26" x14ac:dyDescent="0.35">
      <c r="A732" s="9" t="s">
        <v>25</v>
      </c>
      <c r="D732" s="10" t="s">
        <v>29</v>
      </c>
      <c r="J732" s="12" t="e">
        <f>+VLOOKUP(K732,Datos!$A:$C,3,FALSE)</f>
        <v>#N/A</v>
      </c>
      <c r="L732" s="12" t="e">
        <f>+VLOOKUP(K732,Datos!$A:$C,2,FALSE)</f>
        <v>#N/A</v>
      </c>
      <c r="N732" s="12" t="e">
        <f>+VLOOKUP(M732,Datos!$F:$G,2,FALSE)</f>
        <v>#N/A</v>
      </c>
      <c r="O732" s="78"/>
      <c r="P732" s="9"/>
      <c r="Q732" s="12" t="e">
        <f>+VLOOKUP(P732,Datos!$F:$G,2,FALSE)</f>
        <v>#N/A</v>
      </c>
      <c r="Y732" s="14"/>
      <c r="Z732" t="e">
        <f>VLOOKUP(M732,'[1]INDIVIDUAL UN'!$C$6:$F$222,4,FALSE)</f>
        <v>#N/A</v>
      </c>
    </row>
    <row r="733" spans="1:26" x14ac:dyDescent="0.35">
      <c r="A733" s="9" t="s">
        <v>25</v>
      </c>
      <c r="D733" s="10" t="s">
        <v>29</v>
      </c>
      <c r="J733" s="12" t="e">
        <f>+VLOOKUP(K733,Datos!$A:$C,3,FALSE)</f>
        <v>#N/A</v>
      </c>
      <c r="L733" s="12" t="e">
        <f>+VLOOKUP(K733,Datos!$A:$C,2,FALSE)</f>
        <v>#N/A</v>
      </c>
      <c r="N733" s="12" t="e">
        <f>+VLOOKUP(M733,Datos!$F:$G,2,FALSE)</f>
        <v>#N/A</v>
      </c>
      <c r="O733" s="78"/>
      <c r="P733" s="9"/>
      <c r="Q733" s="12" t="e">
        <f>+VLOOKUP(P733,Datos!$F:$G,2,FALSE)</f>
        <v>#N/A</v>
      </c>
      <c r="Y733" s="14"/>
      <c r="Z733" t="e">
        <f>VLOOKUP(M733,'[1]INDIVIDUAL UN'!$C$6:$F$222,4,FALSE)</f>
        <v>#N/A</v>
      </c>
    </row>
    <row r="734" spans="1:26" x14ac:dyDescent="0.35">
      <c r="A734" s="9" t="s">
        <v>25</v>
      </c>
      <c r="D734" s="10" t="s">
        <v>29</v>
      </c>
      <c r="J734" s="12" t="e">
        <f>+VLOOKUP(K734,Datos!$A:$C,3,FALSE)</f>
        <v>#N/A</v>
      </c>
      <c r="L734" s="12" t="e">
        <f>+VLOOKUP(K734,Datos!$A:$C,2,FALSE)</f>
        <v>#N/A</v>
      </c>
      <c r="N734" s="12" t="e">
        <f>+VLOOKUP(M734,Datos!$F:$G,2,FALSE)</f>
        <v>#N/A</v>
      </c>
      <c r="O734" s="78"/>
      <c r="P734" s="9"/>
      <c r="Q734" s="12" t="e">
        <f>+VLOOKUP(P734,Datos!$F:$G,2,FALSE)</f>
        <v>#N/A</v>
      </c>
      <c r="Y734" s="14"/>
      <c r="Z734" t="e">
        <f>VLOOKUP(M734,'[1]INDIVIDUAL UN'!$C$6:$F$222,4,FALSE)</f>
        <v>#N/A</v>
      </c>
    </row>
    <row r="735" spans="1:26" x14ac:dyDescent="0.35">
      <c r="A735" s="9" t="s">
        <v>25</v>
      </c>
      <c r="D735" s="10" t="s">
        <v>29</v>
      </c>
      <c r="J735" s="12" t="e">
        <f>+VLOOKUP(K735,Datos!$A:$C,3,FALSE)</f>
        <v>#N/A</v>
      </c>
      <c r="L735" s="12" t="e">
        <f>+VLOOKUP(K735,Datos!$A:$C,2,FALSE)</f>
        <v>#N/A</v>
      </c>
      <c r="N735" s="12" t="e">
        <f>+VLOOKUP(M735,Datos!$F:$G,2,FALSE)</f>
        <v>#N/A</v>
      </c>
      <c r="O735" s="78"/>
      <c r="P735" s="9"/>
      <c r="Q735" s="12" t="e">
        <f>+VLOOKUP(P735,Datos!$F:$G,2,FALSE)</f>
        <v>#N/A</v>
      </c>
      <c r="Y735" s="14"/>
      <c r="Z735" t="e">
        <f>VLOOKUP(M735,'[1]INDIVIDUAL UN'!$C$6:$F$222,4,FALSE)</f>
        <v>#N/A</v>
      </c>
    </row>
    <row r="736" spans="1:26" x14ac:dyDescent="0.35">
      <c r="A736" s="9" t="s">
        <v>25</v>
      </c>
      <c r="D736" s="10" t="s">
        <v>29</v>
      </c>
      <c r="J736" s="12" t="e">
        <f>+VLOOKUP(K736,Datos!$A:$C,3,FALSE)</f>
        <v>#N/A</v>
      </c>
      <c r="L736" s="12" t="e">
        <f>+VLOOKUP(K736,Datos!$A:$C,2,FALSE)</f>
        <v>#N/A</v>
      </c>
      <c r="N736" s="12" t="e">
        <f>+VLOOKUP(M736,Datos!$F:$G,2,FALSE)</f>
        <v>#N/A</v>
      </c>
      <c r="O736" s="78"/>
      <c r="P736" s="9"/>
      <c r="Q736" s="12" t="e">
        <f>+VLOOKUP(P736,Datos!$F:$G,2,FALSE)</f>
        <v>#N/A</v>
      </c>
      <c r="Y736" s="14"/>
      <c r="Z736" t="e">
        <f>VLOOKUP(M736,'[1]INDIVIDUAL UN'!$C$6:$F$222,4,FALSE)</f>
        <v>#N/A</v>
      </c>
    </row>
    <row r="737" spans="1:26" x14ac:dyDescent="0.35">
      <c r="A737" s="9" t="s">
        <v>25</v>
      </c>
      <c r="D737" s="10" t="s">
        <v>29</v>
      </c>
      <c r="J737" s="12" t="e">
        <f>+VLOOKUP(K737,Datos!$A:$C,3,FALSE)</f>
        <v>#N/A</v>
      </c>
      <c r="L737" s="12" t="e">
        <f>+VLOOKUP(K737,Datos!$A:$C,2,FALSE)</f>
        <v>#N/A</v>
      </c>
      <c r="N737" s="12" t="e">
        <f>+VLOOKUP(M737,Datos!$F:$G,2,FALSE)</f>
        <v>#N/A</v>
      </c>
      <c r="O737" s="78"/>
      <c r="P737" s="9"/>
      <c r="Q737" s="12" t="e">
        <f>+VLOOKUP(P737,Datos!$F:$G,2,FALSE)</f>
        <v>#N/A</v>
      </c>
      <c r="Y737" s="14"/>
      <c r="Z737" t="e">
        <f>VLOOKUP(M737,'[1]INDIVIDUAL UN'!$C$6:$F$222,4,FALSE)</f>
        <v>#N/A</v>
      </c>
    </row>
    <row r="738" spans="1:26" x14ac:dyDescent="0.35">
      <c r="A738" s="9" t="s">
        <v>25</v>
      </c>
      <c r="D738" s="10" t="s">
        <v>29</v>
      </c>
      <c r="J738" s="12" t="e">
        <f>+VLOOKUP(K738,Datos!$A:$C,3,FALSE)</f>
        <v>#N/A</v>
      </c>
      <c r="L738" s="12" t="e">
        <f>+VLOOKUP(K738,Datos!$A:$C,2,FALSE)</f>
        <v>#N/A</v>
      </c>
      <c r="N738" s="12" t="e">
        <f>+VLOOKUP(M738,Datos!$F:$G,2,FALSE)</f>
        <v>#N/A</v>
      </c>
      <c r="O738" s="78"/>
      <c r="P738" s="9"/>
      <c r="Q738" s="12" t="e">
        <f>+VLOOKUP(P738,Datos!$F:$G,2,FALSE)</f>
        <v>#N/A</v>
      </c>
      <c r="Y738" s="14"/>
      <c r="Z738" t="e">
        <f>VLOOKUP(M738,'[1]INDIVIDUAL UN'!$C$6:$F$222,4,FALSE)</f>
        <v>#N/A</v>
      </c>
    </row>
    <row r="739" spans="1:26" x14ac:dyDescent="0.35">
      <c r="A739" s="9" t="s">
        <v>25</v>
      </c>
      <c r="D739" s="10" t="s">
        <v>29</v>
      </c>
      <c r="J739" s="12" t="e">
        <f>+VLOOKUP(K739,Datos!$A:$C,3,FALSE)</f>
        <v>#N/A</v>
      </c>
      <c r="L739" s="12" t="e">
        <f>+VLOOKUP(K739,Datos!$A:$C,2,FALSE)</f>
        <v>#N/A</v>
      </c>
      <c r="N739" s="12" t="e">
        <f>+VLOOKUP(M739,Datos!$F:$G,2,FALSE)</f>
        <v>#N/A</v>
      </c>
      <c r="O739" s="78"/>
      <c r="P739" s="9"/>
      <c r="Q739" s="12" t="e">
        <f>+VLOOKUP(P739,Datos!$F:$G,2,FALSE)</f>
        <v>#N/A</v>
      </c>
      <c r="Y739" s="14"/>
      <c r="Z739" t="e">
        <f>VLOOKUP(M739,'[1]INDIVIDUAL UN'!$C$6:$F$222,4,FALSE)</f>
        <v>#N/A</v>
      </c>
    </row>
    <row r="740" spans="1:26" x14ac:dyDescent="0.35">
      <c r="A740" s="9" t="s">
        <v>25</v>
      </c>
      <c r="D740" s="10" t="s">
        <v>29</v>
      </c>
      <c r="J740" s="12" t="e">
        <f>+VLOOKUP(K740,Datos!$A:$C,3,FALSE)</f>
        <v>#N/A</v>
      </c>
      <c r="L740" s="12" t="e">
        <f>+VLOOKUP(K740,Datos!$A:$C,2,FALSE)</f>
        <v>#N/A</v>
      </c>
      <c r="N740" s="12" t="e">
        <f>+VLOOKUP(M740,Datos!$F:$G,2,FALSE)</f>
        <v>#N/A</v>
      </c>
      <c r="O740" s="78"/>
      <c r="P740" s="9"/>
      <c r="Q740" s="12" t="e">
        <f>+VLOOKUP(P740,Datos!$F:$G,2,FALSE)</f>
        <v>#N/A</v>
      </c>
      <c r="Y740" s="14"/>
      <c r="Z740" t="e">
        <f>VLOOKUP(M740,'[1]INDIVIDUAL UN'!$C$6:$F$222,4,FALSE)</f>
        <v>#N/A</v>
      </c>
    </row>
    <row r="741" spans="1:26" x14ac:dyDescent="0.35">
      <c r="A741" s="9" t="s">
        <v>25</v>
      </c>
      <c r="D741" s="10" t="s">
        <v>29</v>
      </c>
      <c r="J741" s="12" t="e">
        <f>+VLOOKUP(K741,Datos!$A:$C,3,FALSE)</f>
        <v>#N/A</v>
      </c>
      <c r="L741" s="12" t="e">
        <f>+VLOOKUP(K741,Datos!$A:$C,2,FALSE)</f>
        <v>#N/A</v>
      </c>
      <c r="N741" s="12" t="e">
        <f>+VLOOKUP(M741,Datos!$F:$G,2,FALSE)</f>
        <v>#N/A</v>
      </c>
      <c r="O741" s="78"/>
      <c r="P741" s="9"/>
      <c r="Q741" s="12" t="e">
        <f>+VLOOKUP(P741,Datos!$F:$G,2,FALSE)</f>
        <v>#N/A</v>
      </c>
      <c r="Y741" s="14"/>
      <c r="Z741" t="e">
        <f>VLOOKUP(M741,'[1]INDIVIDUAL UN'!$C$6:$F$222,4,FALSE)</f>
        <v>#N/A</v>
      </c>
    </row>
    <row r="742" spans="1:26" x14ac:dyDescent="0.35">
      <c r="A742" s="9" t="s">
        <v>25</v>
      </c>
      <c r="D742" s="10" t="s">
        <v>29</v>
      </c>
      <c r="J742" s="12" t="e">
        <f>+VLOOKUP(K742,Datos!$A:$C,3,FALSE)</f>
        <v>#N/A</v>
      </c>
      <c r="L742" s="12" t="e">
        <f>+VLOOKUP(K742,Datos!$A:$C,2,FALSE)</f>
        <v>#N/A</v>
      </c>
      <c r="N742" s="12" t="e">
        <f>+VLOOKUP(M742,Datos!$F:$G,2,FALSE)</f>
        <v>#N/A</v>
      </c>
      <c r="O742" s="78"/>
      <c r="P742" s="9"/>
      <c r="Q742" s="12" t="e">
        <f>+VLOOKUP(P742,Datos!$F:$G,2,FALSE)</f>
        <v>#N/A</v>
      </c>
      <c r="Y742" s="14"/>
      <c r="Z742" t="e">
        <f>VLOOKUP(M742,'[1]INDIVIDUAL UN'!$C$6:$F$222,4,FALSE)</f>
        <v>#N/A</v>
      </c>
    </row>
    <row r="743" spans="1:26" x14ac:dyDescent="0.35">
      <c r="A743" s="9" t="s">
        <v>25</v>
      </c>
      <c r="D743" s="10" t="s">
        <v>29</v>
      </c>
      <c r="J743" s="12" t="e">
        <f>+VLOOKUP(K743,Datos!$A:$C,3,FALSE)</f>
        <v>#N/A</v>
      </c>
      <c r="L743" s="12" t="e">
        <f>+VLOOKUP(K743,Datos!$A:$C,2,FALSE)</f>
        <v>#N/A</v>
      </c>
      <c r="N743" s="12" t="e">
        <f>+VLOOKUP(M743,Datos!$F:$G,2,FALSE)</f>
        <v>#N/A</v>
      </c>
      <c r="O743" s="78"/>
      <c r="P743" s="9"/>
      <c r="Q743" s="12" t="e">
        <f>+VLOOKUP(P743,Datos!$F:$G,2,FALSE)</f>
        <v>#N/A</v>
      </c>
      <c r="Y743" s="14"/>
      <c r="Z743" t="e">
        <f>VLOOKUP(M743,'[1]INDIVIDUAL UN'!$C$6:$F$222,4,FALSE)</f>
        <v>#N/A</v>
      </c>
    </row>
    <row r="744" spans="1:26" x14ac:dyDescent="0.35">
      <c r="A744" s="9" t="s">
        <v>25</v>
      </c>
      <c r="D744" s="10" t="s">
        <v>29</v>
      </c>
      <c r="J744" s="12" t="e">
        <f>+VLOOKUP(K744,Datos!$A:$C,3,FALSE)</f>
        <v>#N/A</v>
      </c>
      <c r="L744" s="12" t="e">
        <f>+VLOOKUP(K744,Datos!$A:$C,2,FALSE)</f>
        <v>#N/A</v>
      </c>
      <c r="N744" s="12" t="e">
        <f>+VLOOKUP(M744,Datos!$F:$G,2,FALSE)</f>
        <v>#N/A</v>
      </c>
      <c r="O744" s="78"/>
      <c r="P744" s="9"/>
      <c r="Q744" s="12" t="e">
        <f>+VLOOKUP(P744,Datos!$F:$G,2,FALSE)</f>
        <v>#N/A</v>
      </c>
      <c r="Y744" s="14"/>
      <c r="Z744" t="e">
        <f>VLOOKUP(M744,'[1]INDIVIDUAL UN'!$C$6:$F$222,4,FALSE)</f>
        <v>#N/A</v>
      </c>
    </row>
    <row r="745" spans="1:26" x14ac:dyDescent="0.35">
      <c r="A745" s="9" t="s">
        <v>25</v>
      </c>
      <c r="D745" s="10" t="s">
        <v>29</v>
      </c>
      <c r="J745" s="12" t="e">
        <f>+VLOOKUP(K745,Datos!$A:$C,3,FALSE)</f>
        <v>#N/A</v>
      </c>
      <c r="L745" s="12" t="e">
        <f>+VLOOKUP(K745,Datos!$A:$C,2,FALSE)</f>
        <v>#N/A</v>
      </c>
      <c r="N745" s="12" t="e">
        <f>+VLOOKUP(M745,Datos!$F:$G,2,FALSE)</f>
        <v>#N/A</v>
      </c>
      <c r="O745" s="78"/>
      <c r="P745" s="9"/>
      <c r="Q745" s="12" t="e">
        <f>+VLOOKUP(P745,Datos!$F:$G,2,FALSE)</f>
        <v>#N/A</v>
      </c>
      <c r="Y745" s="14"/>
      <c r="Z745" t="e">
        <f>VLOOKUP(M745,'[1]INDIVIDUAL UN'!$C$6:$F$222,4,FALSE)</f>
        <v>#N/A</v>
      </c>
    </row>
    <row r="746" spans="1:26" x14ac:dyDescent="0.35">
      <c r="A746" s="9" t="s">
        <v>25</v>
      </c>
      <c r="D746" s="10" t="s">
        <v>29</v>
      </c>
      <c r="J746" s="12" t="e">
        <f>+VLOOKUP(K746,Datos!$A:$C,3,FALSE)</f>
        <v>#N/A</v>
      </c>
      <c r="L746" s="12" t="e">
        <f>+VLOOKUP(K746,Datos!$A:$C,2,FALSE)</f>
        <v>#N/A</v>
      </c>
      <c r="N746" s="12" t="e">
        <f>+VLOOKUP(M746,Datos!$F:$G,2,FALSE)</f>
        <v>#N/A</v>
      </c>
      <c r="O746" s="78"/>
      <c r="P746" s="9"/>
      <c r="Q746" s="12" t="e">
        <f>+VLOOKUP(P746,Datos!$F:$G,2,FALSE)</f>
        <v>#N/A</v>
      </c>
      <c r="Y746" s="14"/>
      <c r="Z746" t="e">
        <f>VLOOKUP(M746,'[1]INDIVIDUAL UN'!$C$6:$F$222,4,FALSE)</f>
        <v>#N/A</v>
      </c>
    </row>
    <row r="747" spans="1:26" x14ac:dyDescent="0.35">
      <c r="A747" s="9" t="s">
        <v>25</v>
      </c>
      <c r="D747" s="10" t="s">
        <v>29</v>
      </c>
      <c r="J747" s="12" t="e">
        <f>+VLOOKUP(K747,Datos!$A:$C,3,FALSE)</f>
        <v>#N/A</v>
      </c>
      <c r="L747" s="12" t="e">
        <f>+VLOOKUP(K747,Datos!$A:$C,2,FALSE)</f>
        <v>#N/A</v>
      </c>
      <c r="N747" s="12" t="e">
        <f>+VLOOKUP(M747,Datos!$F:$G,2,FALSE)</f>
        <v>#N/A</v>
      </c>
      <c r="O747" s="78"/>
      <c r="P747" s="9"/>
      <c r="Q747" s="12" t="e">
        <f>+VLOOKUP(P747,Datos!$F:$G,2,FALSE)</f>
        <v>#N/A</v>
      </c>
      <c r="Y747" s="14"/>
      <c r="Z747" t="e">
        <f>VLOOKUP(M747,'[1]INDIVIDUAL UN'!$C$6:$F$222,4,FALSE)</f>
        <v>#N/A</v>
      </c>
    </row>
    <row r="748" spans="1:26" x14ac:dyDescent="0.35">
      <c r="A748" s="9" t="s">
        <v>25</v>
      </c>
      <c r="D748" s="10" t="s">
        <v>29</v>
      </c>
      <c r="J748" s="12" t="e">
        <f>+VLOOKUP(K748,Datos!$A:$C,3,FALSE)</f>
        <v>#N/A</v>
      </c>
      <c r="L748" s="12" t="e">
        <f>+VLOOKUP(K748,Datos!$A:$C,2,FALSE)</f>
        <v>#N/A</v>
      </c>
      <c r="N748" s="12" t="e">
        <f>+VLOOKUP(M748,Datos!$F:$G,2,FALSE)</f>
        <v>#N/A</v>
      </c>
      <c r="O748" s="78"/>
      <c r="P748" s="9"/>
      <c r="Q748" s="12" t="e">
        <f>+VLOOKUP(P748,Datos!$F:$G,2,FALSE)</f>
        <v>#N/A</v>
      </c>
      <c r="Y748" s="14"/>
      <c r="Z748" t="e">
        <f>VLOOKUP(M748,'[1]INDIVIDUAL UN'!$C$6:$F$222,4,FALSE)</f>
        <v>#N/A</v>
      </c>
    </row>
    <row r="749" spans="1:26" x14ac:dyDescent="0.35">
      <c r="A749" s="9" t="s">
        <v>25</v>
      </c>
      <c r="D749" s="10" t="s">
        <v>29</v>
      </c>
      <c r="J749" s="12" t="e">
        <f>+VLOOKUP(K749,Datos!$A:$C,3,FALSE)</f>
        <v>#N/A</v>
      </c>
      <c r="L749" s="12" t="e">
        <f>+VLOOKUP(K749,Datos!$A:$C,2,FALSE)</f>
        <v>#N/A</v>
      </c>
      <c r="N749" s="12" t="e">
        <f>+VLOOKUP(M749,Datos!$F:$G,2,FALSE)</f>
        <v>#N/A</v>
      </c>
      <c r="O749" s="78"/>
      <c r="P749" s="9"/>
      <c r="Q749" s="12" t="e">
        <f>+VLOOKUP(P749,Datos!$F:$G,2,FALSE)</f>
        <v>#N/A</v>
      </c>
      <c r="Y749" s="14"/>
      <c r="Z749" t="e">
        <f>VLOOKUP(M749,'[1]INDIVIDUAL UN'!$C$6:$F$222,4,FALSE)</f>
        <v>#N/A</v>
      </c>
    </row>
    <row r="750" spans="1:26" x14ac:dyDescent="0.35">
      <c r="A750" s="9" t="s">
        <v>25</v>
      </c>
      <c r="D750" s="10" t="s">
        <v>29</v>
      </c>
      <c r="J750" s="12" t="e">
        <f>+VLOOKUP(K750,Datos!$A:$C,3,FALSE)</f>
        <v>#N/A</v>
      </c>
      <c r="L750" s="12" t="e">
        <f>+VLOOKUP(K750,Datos!$A:$C,2,FALSE)</f>
        <v>#N/A</v>
      </c>
      <c r="N750" s="12" t="e">
        <f>+VLOOKUP(M750,Datos!$F:$G,2,FALSE)</f>
        <v>#N/A</v>
      </c>
      <c r="O750" s="78"/>
      <c r="P750" s="9"/>
      <c r="Q750" s="12" t="e">
        <f>+VLOOKUP(P750,Datos!$F:$G,2,FALSE)</f>
        <v>#N/A</v>
      </c>
      <c r="Y750" s="14"/>
      <c r="Z750" t="e">
        <f>VLOOKUP(M750,'[1]INDIVIDUAL UN'!$C$6:$F$222,4,FALSE)</f>
        <v>#N/A</v>
      </c>
    </row>
    <row r="751" spans="1:26" x14ac:dyDescent="0.35">
      <c r="A751" s="9" t="s">
        <v>25</v>
      </c>
      <c r="D751" s="10" t="s">
        <v>29</v>
      </c>
      <c r="J751" s="12" t="e">
        <f>+VLOOKUP(K751,Datos!$A:$C,3,FALSE)</f>
        <v>#N/A</v>
      </c>
      <c r="L751" s="12" t="e">
        <f>+VLOOKUP(K751,Datos!$A:$C,2,FALSE)</f>
        <v>#N/A</v>
      </c>
      <c r="N751" s="12" t="e">
        <f>+VLOOKUP(M751,Datos!$F:$G,2,FALSE)</f>
        <v>#N/A</v>
      </c>
      <c r="O751" s="78"/>
      <c r="P751" s="9"/>
      <c r="Q751" s="12" t="e">
        <f>+VLOOKUP(P751,Datos!$F:$G,2,FALSE)</f>
        <v>#N/A</v>
      </c>
      <c r="Y751" s="14"/>
      <c r="Z751" t="e">
        <f>VLOOKUP(M751,'[1]INDIVIDUAL UN'!$C$6:$F$222,4,FALSE)</f>
        <v>#N/A</v>
      </c>
    </row>
    <row r="752" spans="1:26" x14ac:dyDescent="0.35">
      <c r="A752" s="9" t="s">
        <v>25</v>
      </c>
      <c r="D752" s="10" t="s">
        <v>29</v>
      </c>
      <c r="J752" s="12" t="e">
        <f>+VLOOKUP(K752,Datos!$A:$C,3,FALSE)</f>
        <v>#N/A</v>
      </c>
      <c r="L752" s="12" t="e">
        <f>+VLOOKUP(K752,Datos!$A:$C,2,FALSE)</f>
        <v>#N/A</v>
      </c>
      <c r="N752" s="12" t="e">
        <f>+VLOOKUP(M752,Datos!$F:$G,2,FALSE)</f>
        <v>#N/A</v>
      </c>
      <c r="O752" s="78"/>
      <c r="P752" s="9"/>
      <c r="Q752" s="12" t="e">
        <f>+VLOOKUP(P752,Datos!$F:$G,2,FALSE)</f>
        <v>#N/A</v>
      </c>
      <c r="Y752" s="14"/>
      <c r="Z752" t="e">
        <f>VLOOKUP(M752,'[1]INDIVIDUAL UN'!$C$6:$F$222,4,FALSE)</f>
        <v>#N/A</v>
      </c>
    </row>
    <row r="753" spans="1:26" x14ac:dyDescent="0.35">
      <c r="A753" s="9" t="s">
        <v>25</v>
      </c>
      <c r="D753" s="10" t="s">
        <v>29</v>
      </c>
      <c r="J753" s="12" t="e">
        <f>+VLOOKUP(K753,Datos!$A:$C,3,FALSE)</f>
        <v>#N/A</v>
      </c>
      <c r="L753" s="12" t="e">
        <f>+VLOOKUP(K753,Datos!$A:$C,2,FALSE)</f>
        <v>#N/A</v>
      </c>
      <c r="N753" s="12" t="e">
        <f>+VLOOKUP(M753,Datos!$F:$G,2,FALSE)</f>
        <v>#N/A</v>
      </c>
      <c r="O753" s="78"/>
      <c r="P753" s="9"/>
      <c r="Q753" s="12" t="e">
        <f>+VLOOKUP(P753,Datos!$F:$G,2,FALSE)</f>
        <v>#N/A</v>
      </c>
      <c r="Y753" s="14"/>
      <c r="Z753" t="e">
        <f>VLOOKUP(M753,'[1]INDIVIDUAL UN'!$C$6:$F$222,4,FALSE)</f>
        <v>#N/A</v>
      </c>
    </row>
    <row r="754" spans="1:26" x14ac:dyDescent="0.35">
      <c r="A754" s="9" t="s">
        <v>25</v>
      </c>
      <c r="D754" s="10" t="s">
        <v>29</v>
      </c>
      <c r="J754" s="12" t="e">
        <f>+VLOOKUP(K754,Datos!$A:$C,3,FALSE)</f>
        <v>#N/A</v>
      </c>
      <c r="L754" s="12" t="e">
        <f>+VLOOKUP(K754,Datos!$A:$C,2,FALSE)</f>
        <v>#N/A</v>
      </c>
      <c r="N754" s="12" t="e">
        <f>+VLOOKUP(M754,Datos!$F:$G,2,FALSE)</f>
        <v>#N/A</v>
      </c>
      <c r="O754" s="78"/>
      <c r="P754" s="9"/>
      <c r="Q754" s="12" t="e">
        <f>+VLOOKUP(P754,Datos!$F:$G,2,FALSE)</f>
        <v>#N/A</v>
      </c>
      <c r="Y754" s="14"/>
      <c r="Z754" t="e">
        <f>VLOOKUP(M754,'[1]INDIVIDUAL UN'!$C$6:$F$222,4,FALSE)</f>
        <v>#N/A</v>
      </c>
    </row>
    <row r="755" spans="1:26" x14ac:dyDescent="0.35">
      <c r="A755" s="9" t="s">
        <v>25</v>
      </c>
      <c r="D755" s="10" t="s">
        <v>29</v>
      </c>
      <c r="J755" s="12" t="e">
        <f>+VLOOKUP(K755,Datos!$A:$C,3,FALSE)</f>
        <v>#N/A</v>
      </c>
      <c r="L755" s="12" t="e">
        <f>+VLOOKUP(K755,Datos!$A:$C,2,FALSE)</f>
        <v>#N/A</v>
      </c>
      <c r="N755" s="12" t="e">
        <f>+VLOOKUP(M755,Datos!$F:$G,2,FALSE)</f>
        <v>#N/A</v>
      </c>
      <c r="O755" s="78"/>
      <c r="P755" s="9"/>
      <c r="Q755" s="12" t="e">
        <f>+VLOOKUP(P755,Datos!$F:$G,2,FALSE)</f>
        <v>#N/A</v>
      </c>
      <c r="Y755" s="14"/>
      <c r="Z755" t="e">
        <f>VLOOKUP(M755,'[1]INDIVIDUAL UN'!$C$6:$F$222,4,FALSE)</f>
        <v>#N/A</v>
      </c>
    </row>
    <row r="756" spans="1:26" x14ac:dyDescent="0.35">
      <c r="A756" s="9" t="s">
        <v>25</v>
      </c>
      <c r="D756" s="10" t="s">
        <v>29</v>
      </c>
      <c r="J756" s="12" t="e">
        <f>+VLOOKUP(K756,Datos!$A:$C,3,FALSE)</f>
        <v>#N/A</v>
      </c>
      <c r="L756" s="12" t="e">
        <f>+VLOOKUP(K756,Datos!$A:$C,2,FALSE)</f>
        <v>#N/A</v>
      </c>
      <c r="N756" s="12" t="e">
        <f>+VLOOKUP(M756,Datos!$F:$G,2,FALSE)</f>
        <v>#N/A</v>
      </c>
      <c r="O756" s="78"/>
      <c r="P756" s="9"/>
      <c r="Q756" s="12" t="e">
        <f>+VLOOKUP(P756,Datos!$F:$G,2,FALSE)</f>
        <v>#N/A</v>
      </c>
      <c r="Y756" s="14"/>
      <c r="Z756" t="e">
        <f>VLOOKUP(M756,'[1]INDIVIDUAL UN'!$C$6:$F$222,4,FALSE)</f>
        <v>#N/A</v>
      </c>
    </row>
    <row r="757" spans="1:26" x14ac:dyDescent="0.35">
      <c r="A757" s="9" t="s">
        <v>25</v>
      </c>
      <c r="D757" s="10" t="s">
        <v>29</v>
      </c>
      <c r="J757" s="12" t="e">
        <f>+VLOOKUP(K757,Datos!$A:$C,3,FALSE)</f>
        <v>#N/A</v>
      </c>
      <c r="L757" s="12" t="e">
        <f>+VLOOKUP(K757,Datos!$A:$C,2,FALSE)</f>
        <v>#N/A</v>
      </c>
      <c r="N757" s="12" t="e">
        <f>+VLOOKUP(M757,Datos!$F:$G,2,FALSE)</f>
        <v>#N/A</v>
      </c>
      <c r="O757" s="78"/>
      <c r="P757" s="9"/>
      <c r="Q757" s="12" t="e">
        <f>+VLOOKUP(P757,Datos!$F:$G,2,FALSE)</f>
        <v>#N/A</v>
      </c>
      <c r="Y757" s="14"/>
      <c r="Z757" t="e">
        <f>VLOOKUP(M757,'[1]INDIVIDUAL UN'!$C$6:$F$222,4,FALSE)</f>
        <v>#N/A</v>
      </c>
    </row>
    <row r="758" spans="1:26" x14ac:dyDescent="0.35">
      <c r="A758" s="9" t="s">
        <v>25</v>
      </c>
      <c r="D758" s="10" t="s">
        <v>29</v>
      </c>
      <c r="J758" s="12" t="e">
        <f>+VLOOKUP(K758,Datos!$A:$C,3,FALSE)</f>
        <v>#N/A</v>
      </c>
      <c r="L758" s="12" t="e">
        <f>+VLOOKUP(K758,Datos!$A:$C,2,FALSE)</f>
        <v>#N/A</v>
      </c>
      <c r="N758" s="12" t="e">
        <f>+VLOOKUP(M758,Datos!$F:$G,2,FALSE)</f>
        <v>#N/A</v>
      </c>
      <c r="O758" s="78"/>
      <c r="P758" s="9"/>
      <c r="Q758" s="12" t="e">
        <f>+VLOOKUP(P758,Datos!$F:$G,2,FALSE)</f>
        <v>#N/A</v>
      </c>
      <c r="Y758" s="14"/>
      <c r="Z758" t="e">
        <f>VLOOKUP(M758,'[1]INDIVIDUAL UN'!$C$6:$F$222,4,FALSE)</f>
        <v>#N/A</v>
      </c>
    </row>
    <row r="759" spans="1:26" x14ac:dyDescent="0.35">
      <c r="A759" s="9" t="s">
        <v>25</v>
      </c>
      <c r="D759" s="10" t="s">
        <v>29</v>
      </c>
      <c r="J759" s="12" t="e">
        <f>+VLOOKUP(K759,Datos!$A:$C,3,FALSE)</f>
        <v>#N/A</v>
      </c>
      <c r="L759" s="12" t="e">
        <f>+VLOOKUP(K759,Datos!$A:$C,2,FALSE)</f>
        <v>#N/A</v>
      </c>
      <c r="N759" s="12" t="e">
        <f>+VLOOKUP(M759,Datos!$F:$G,2,FALSE)</f>
        <v>#N/A</v>
      </c>
      <c r="O759" s="78"/>
      <c r="P759" s="9"/>
      <c r="Q759" s="12" t="e">
        <f>+VLOOKUP(P759,Datos!$F:$G,2,FALSE)</f>
        <v>#N/A</v>
      </c>
      <c r="Y759" s="14"/>
      <c r="Z759" t="e">
        <f>VLOOKUP(M759,'[1]INDIVIDUAL UN'!$C$6:$F$222,4,FALSE)</f>
        <v>#N/A</v>
      </c>
    </row>
    <row r="760" spans="1:26" x14ac:dyDescent="0.35">
      <c r="A760" s="9" t="s">
        <v>25</v>
      </c>
      <c r="D760" s="10" t="s">
        <v>29</v>
      </c>
      <c r="J760" s="12" t="e">
        <f>+VLOOKUP(K760,Datos!$A:$C,3,FALSE)</f>
        <v>#N/A</v>
      </c>
      <c r="L760" s="12" t="e">
        <f>+VLOOKUP(K760,Datos!$A:$C,2,FALSE)</f>
        <v>#N/A</v>
      </c>
      <c r="N760" s="12" t="e">
        <f>+VLOOKUP(M760,Datos!$F:$G,2,FALSE)</f>
        <v>#N/A</v>
      </c>
      <c r="O760" s="78"/>
      <c r="P760" s="9"/>
      <c r="Q760" s="12" t="e">
        <f>+VLOOKUP(P760,Datos!$F:$G,2,FALSE)</f>
        <v>#N/A</v>
      </c>
      <c r="Y760" s="14"/>
      <c r="Z760" t="e">
        <f>VLOOKUP(M760,'[1]INDIVIDUAL UN'!$C$6:$F$222,4,FALSE)</f>
        <v>#N/A</v>
      </c>
    </row>
    <row r="761" spans="1:26" x14ac:dyDescent="0.35">
      <c r="A761" s="9" t="s">
        <v>25</v>
      </c>
      <c r="D761" s="10" t="s">
        <v>29</v>
      </c>
      <c r="J761" s="12" t="e">
        <f>+VLOOKUP(K761,Datos!$A:$C,3,FALSE)</f>
        <v>#N/A</v>
      </c>
      <c r="L761" s="12" t="e">
        <f>+VLOOKUP(K761,Datos!$A:$C,2,FALSE)</f>
        <v>#N/A</v>
      </c>
      <c r="N761" s="12" t="e">
        <f>+VLOOKUP(M761,Datos!$F:$G,2,FALSE)</f>
        <v>#N/A</v>
      </c>
      <c r="O761" s="78"/>
      <c r="P761" s="9"/>
      <c r="Q761" s="12" t="e">
        <f>+VLOOKUP(P761,Datos!$F:$G,2,FALSE)</f>
        <v>#N/A</v>
      </c>
      <c r="Y761" s="14"/>
      <c r="Z761" t="e">
        <f>VLOOKUP(M761,'[1]INDIVIDUAL UN'!$C$6:$F$222,4,FALSE)</f>
        <v>#N/A</v>
      </c>
    </row>
    <row r="762" spans="1:26" x14ac:dyDescent="0.35">
      <c r="A762" s="9" t="s">
        <v>25</v>
      </c>
      <c r="D762" s="10" t="s">
        <v>29</v>
      </c>
      <c r="J762" s="12" t="e">
        <f>+VLOOKUP(K762,Datos!$A:$C,3,FALSE)</f>
        <v>#N/A</v>
      </c>
      <c r="L762" s="12" t="e">
        <f>+VLOOKUP(K762,Datos!$A:$C,2,FALSE)</f>
        <v>#N/A</v>
      </c>
      <c r="N762" s="12" t="e">
        <f>+VLOOKUP(M762,Datos!$F:$G,2,FALSE)</f>
        <v>#N/A</v>
      </c>
      <c r="O762" s="78"/>
      <c r="P762" s="9"/>
      <c r="Q762" s="12" t="e">
        <f>+VLOOKUP(P762,Datos!$F:$G,2,FALSE)</f>
        <v>#N/A</v>
      </c>
      <c r="Y762" s="14"/>
      <c r="Z762" t="e">
        <f>VLOOKUP(M762,'[1]INDIVIDUAL UN'!$C$6:$F$222,4,FALSE)</f>
        <v>#N/A</v>
      </c>
    </row>
    <row r="763" spans="1:26" x14ac:dyDescent="0.35">
      <c r="A763" s="9" t="s">
        <v>25</v>
      </c>
      <c r="D763" s="10" t="s">
        <v>29</v>
      </c>
      <c r="J763" s="12" t="e">
        <f>+VLOOKUP(K763,Datos!$A:$C,3,FALSE)</f>
        <v>#N/A</v>
      </c>
      <c r="L763" s="12" t="e">
        <f>+VLOOKUP(K763,Datos!$A:$C,2,FALSE)</f>
        <v>#N/A</v>
      </c>
      <c r="N763" s="12" t="e">
        <f>+VLOOKUP(M763,Datos!$F:$G,2,FALSE)</f>
        <v>#N/A</v>
      </c>
      <c r="O763" s="78"/>
      <c r="P763" s="9"/>
      <c r="Q763" s="12" t="e">
        <f>+VLOOKUP(P763,Datos!$F:$G,2,FALSE)</f>
        <v>#N/A</v>
      </c>
      <c r="Y763" s="14"/>
      <c r="Z763" t="e">
        <f>VLOOKUP(M763,'[1]INDIVIDUAL UN'!$C$6:$F$222,4,FALSE)</f>
        <v>#N/A</v>
      </c>
    </row>
    <row r="764" spans="1:26" x14ac:dyDescent="0.35">
      <c r="A764" s="9" t="s">
        <v>25</v>
      </c>
      <c r="D764" s="10" t="s">
        <v>29</v>
      </c>
      <c r="J764" s="12" t="e">
        <f>+VLOOKUP(K764,Datos!$A:$C,3,FALSE)</f>
        <v>#N/A</v>
      </c>
      <c r="L764" s="12" t="e">
        <f>+VLOOKUP(K764,Datos!$A:$C,2,FALSE)</f>
        <v>#N/A</v>
      </c>
      <c r="N764" s="12" t="e">
        <f>+VLOOKUP(M764,Datos!$F:$G,2,FALSE)</f>
        <v>#N/A</v>
      </c>
      <c r="O764" s="78"/>
      <c r="P764" s="9"/>
      <c r="Q764" s="12" t="e">
        <f>+VLOOKUP(P764,Datos!$F:$G,2,FALSE)</f>
        <v>#N/A</v>
      </c>
      <c r="Y764" s="14"/>
      <c r="Z764" t="e">
        <f>VLOOKUP(M764,'[1]INDIVIDUAL UN'!$C$6:$F$222,4,FALSE)</f>
        <v>#N/A</v>
      </c>
    </row>
    <row r="765" spans="1:26" x14ac:dyDescent="0.35">
      <c r="A765" s="9" t="s">
        <v>25</v>
      </c>
      <c r="D765" s="10" t="s">
        <v>29</v>
      </c>
      <c r="J765" s="12" t="e">
        <f>+VLOOKUP(K765,Datos!$A:$C,3,FALSE)</f>
        <v>#N/A</v>
      </c>
      <c r="L765" s="12" t="e">
        <f>+VLOOKUP(K765,Datos!$A:$C,2,FALSE)</f>
        <v>#N/A</v>
      </c>
      <c r="N765" s="12" t="e">
        <f>+VLOOKUP(M765,Datos!$F:$G,2,FALSE)</f>
        <v>#N/A</v>
      </c>
      <c r="O765" s="78"/>
      <c r="P765" s="9"/>
      <c r="Q765" s="12" t="e">
        <f>+VLOOKUP(P765,Datos!$F:$G,2,FALSE)</f>
        <v>#N/A</v>
      </c>
      <c r="Y765" s="14"/>
      <c r="Z765" t="e">
        <f>VLOOKUP(M765,'[1]INDIVIDUAL UN'!$C$6:$F$222,4,FALSE)</f>
        <v>#N/A</v>
      </c>
    </row>
    <row r="766" spans="1:26" x14ac:dyDescent="0.35">
      <c r="A766" s="9" t="s">
        <v>25</v>
      </c>
      <c r="D766" s="10" t="s">
        <v>29</v>
      </c>
      <c r="J766" s="12" t="e">
        <f>+VLOOKUP(K766,Datos!$A:$C,3,FALSE)</f>
        <v>#N/A</v>
      </c>
      <c r="L766" s="12" t="e">
        <f>+VLOOKUP(K766,Datos!$A:$C,2,FALSE)</f>
        <v>#N/A</v>
      </c>
      <c r="N766" s="12" t="e">
        <f>+VLOOKUP(M766,Datos!$F:$G,2,FALSE)</f>
        <v>#N/A</v>
      </c>
      <c r="O766" s="78"/>
      <c r="P766" s="9"/>
      <c r="Q766" s="12" t="e">
        <f>+VLOOKUP(P766,Datos!$F:$G,2,FALSE)</f>
        <v>#N/A</v>
      </c>
      <c r="Y766" s="14"/>
      <c r="Z766" t="e">
        <f>VLOOKUP(M766,'[1]INDIVIDUAL UN'!$C$6:$F$222,4,FALSE)</f>
        <v>#N/A</v>
      </c>
    </row>
    <row r="767" spans="1:26" x14ac:dyDescent="0.35">
      <c r="A767" s="9" t="s">
        <v>25</v>
      </c>
      <c r="D767" s="10" t="s">
        <v>29</v>
      </c>
      <c r="J767" s="12" t="e">
        <f>+VLOOKUP(K767,Datos!$A:$C,3,FALSE)</f>
        <v>#N/A</v>
      </c>
      <c r="L767" s="12" t="e">
        <f>+VLOOKUP(K767,Datos!$A:$C,2,FALSE)</f>
        <v>#N/A</v>
      </c>
      <c r="N767" s="12" t="e">
        <f>+VLOOKUP(M767,Datos!$F:$G,2,FALSE)</f>
        <v>#N/A</v>
      </c>
      <c r="O767" s="78"/>
      <c r="P767" s="9"/>
      <c r="Q767" s="12" t="e">
        <f>+VLOOKUP(P767,Datos!$F:$G,2,FALSE)</f>
        <v>#N/A</v>
      </c>
      <c r="Y767" s="14"/>
      <c r="Z767" t="e">
        <f>VLOOKUP(M767,'[1]INDIVIDUAL UN'!$C$6:$F$222,4,FALSE)</f>
        <v>#N/A</v>
      </c>
    </row>
    <row r="768" spans="1:26" x14ac:dyDescent="0.35">
      <c r="A768" s="9" t="s">
        <v>25</v>
      </c>
      <c r="D768" s="10" t="s">
        <v>29</v>
      </c>
      <c r="J768" s="12" t="e">
        <f>+VLOOKUP(K768,Datos!$A:$C,3,FALSE)</f>
        <v>#N/A</v>
      </c>
      <c r="L768" s="12" t="e">
        <f>+VLOOKUP(K768,Datos!$A:$C,2,FALSE)</f>
        <v>#N/A</v>
      </c>
      <c r="N768" s="12" t="e">
        <f>+VLOOKUP(M768,Datos!$F:$G,2,FALSE)</f>
        <v>#N/A</v>
      </c>
      <c r="O768" s="78"/>
      <c r="P768" s="9"/>
      <c r="Q768" s="12" t="e">
        <f>+VLOOKUP(P768,Datos!$F:$G,2,FALSE)</f>
        <v>#N/A</v>
      </c>
      <c r="Y768" s="14"/>
      <c r="Z768" t="e">
        <f>VLOOKUP(M768,'[1]INDIVIDUAL UN'!$C$6:$F$222,4,FALSE)</f>
        <v>#N/A</v>
      </c>
    </row>
    <row r="769" spans="1:26" x14ac:dyDescent="0.35">
      <c r="A769" s="9" t="s">
        <v>25</v>
      </c>
      <c r="D769" s="10" t="s">
        <v>29</v>
      </c>
      <c r="J769" s="12" t="e">
        <f>+VLOOKUP(K769,Datos!$A:$C,3,FALSE)</f>
        <v>#N/A</v>
      </c>
      <c r="L769" s="12" t="e">
        <f>+VLOOKUP(K769,Datos!$A:$C,2,FALSE)</f>
        <v>#N/A</v>
      </c>
      <c r="N769" s="12" t="e">
        <f>+VLOOKUP(M769,Datos!$F:$G,2,FALSE)</f>
        <v>#N/A</v>
      </c>
      <c r="O769" s="78"/>
      <c r="P769" s="9"/>
      <c r="Q769" s="12" t="e">
        <f>+VLOOKUP(P769,Datos!$F:$G,2,FALSE)</f>
        <v>#N/A</v>
      </c>
      <c r="Y769" s="14"/>
      <c r="Z769" t="e">
        <f>VLOOKUP(M769,'[1]INDIVIDUAL UN'!$C$6:$F$222,4,FALSE)</f>
        <v>#N/A</v>
      </c>
    </row>
    <row r="770" spans="1:26" x14ac:dyDescent="0.35">
      <c r="A770" s="9" t="s">
        <v>25</v>
      </c>
      <c r="D770" s="10" t="s">
        <v>29</v>
      </c>
      <c r="J770" s="12" t="e">
        <f>+VLOOKUP(K770,Datos!$A:$C,3,FALSE)</f>
        <v>#N/A</v>
      </c>
      <c r="L770" s="12" t="e">
        <f>+VLOOKUP(K770,Datos!$A:$C,2,FALSE)</f>
        <v>#N/A</v>
      </c>
      <c r="N770" s="12" t="e">
        <f>+VLOOKUP(M770,Datos!$F:$G,2,FALSE)</f>
        <v>#N/A</v>
      </c>
      <c r="O770" s="78"/>
      <c r="P770" s="9"/>
      <c r="Q770" s="12" t="e">
        <f>+VLOOKUP(P770,Datos!$F:$G,2,FALSE)</f>
        <v>#N/A</v>
      </c>
      <c r="Y770" s="14"/>
      <c r="Z770" t="e">
        <f>VLOOKUP(M770,'[1]INDIVIDUAL UN'!$C$6:$F$222,4,FALSE)</f>
        <v>#N/A</v>
      </c>
    </row>
    <row r="771" spans="1:26" x14ac:dyDescent="0.35">
      <c r="A771" s="9" t="s">
        <v>25</v>
      </c>
      <c r="D771" s="10" t="s">
        <v>29</v>
      </c>
      <c r="J771" s="12" t="e">
        <f>+VLOOKUP(K771,Datos!$A:$C,3,FALSE)</f>
        <v>#N/A</v>
      </c>
      <c r="L771" s="12" t="e">
        <f>+VLOOKUP(K771,Datos!$A:$C,2,FALSE)</f>
        <v>#N/A</v>
      </c>
      <c r="N771" s="12" t="e">
        <f>+VLOOKUP(M771,Datos!$F:$G,2,FALSE)</f>
        <v>#N/A</v>
      </c>
      <c r="O771" s="78"/>
      <c r="P771" s="9"/>
      <c r="Q771" s="12" t="e">
        <f>+VLOOKUP(P771,Datos!$F:$G,2,FALSE)</f>
        <v>#N/A</v>
      </c>
      <c r="Y771" s="14"/>
      <c r="Z771" t="e">
        <f>VLOOKUP(M771,'[1]INDIVIDUAL UN'!$C$6:$F$222,4,FALSE)</f>
        <v>#N/A</v>
      </c>
    </row>
    <row r="772" spans="1:26" x14ac:dyDescent="0.35">
      <c r="A772" s="9" t="s">
        <v>25</v>
      </c>
      <c r="D772" s="10" t="s">
        <v>29</v>
      </c>
      <c r="J772" s="12" t="e">
        <f>+VLOOKUP(K772,Datos!$A:$C,3,FALSE)</f>
        <v>#N/A</v>
      </c>
      <c r="L772" s="12" t="e">
        <f>+VLOOKUP(K772,Datos!$A:$C,2,FALSE)</f>
        <v>#N/A</v>
      </c>
      <c r="N772" s="12" t="e">
        <f>+VLOOKUP(M772,Datos!$F:$G,2,FALSE)</f>
        <v>#N/A</v>
      </c>
      <c r="O772" s="78"/>
      <c r="P772" s="9"/>
      <c r="Q772" s="12" t="e">
        <f>+VLOOKUP(P772,Datos!$F:$G,2,FALSE)</f>
        <v>#N/A</v>
      </c>
      <c r="Y772" s="14"/>
      <c r="Z772" t="e">
        <f>VLOOKUP(M772,'[1]INDIVIDUAL UN'!$C$6:$F$222,4,FALSE)</f>
        <v>#N/A</v>
      </c>
    </row>
    <row r="773" spans="1:26" x14ac:dyDescent="0.35">
      <c r="A773" s="9" t="s">
        <v>25</v>
      </c>
      <c r="D773" s="10" t="s">
        <v>29</v>
      </c>
      <c r="J773" s="12" t="e">
        <f>+VLOOKUP(K773,Datos!$A:$C,3,FALSE)</f>
        <v>#N/A</v>
      </c>
      <c r="L773" s="12" t="e">
        <f>+VLOOKUP(K773,Datos!$A:$C,2,FALSE)</f>
        <v>#N/A</v>
      </c>
      <c r="N773" s="12" t="e">
        <f>+VLOOKUP(M773,Datos!$F:$G,2,FALSE)</f>
        <v>#N/A</v>
      </c>
      <c r="O773" s="78"/>
      <c r="P773" s="9"/>
      <c r="Q773" s="12" t="e">
        <f>+VLOOKUP(P773,Datos!$F:$G,2,FALSE)</f>
        <v>#N/A</v>
      </c>
      <c r="Y773" s="14"/>
      <c r="Z773" t="e">
        <f>VLOOKUP(M773,'[1]INDIVIDUAL UN'!$C$6:$F$222,4,FALSE)</f>
        <v>#N/A</v>
      </c>
    </row>
    <row r="774" spans="1:26" x14ac:dyDescent="0.35">
      <c r="A774" s="9" t="s">
        <v>25</v>
      </c>
      <c r="D774" s="10" t="s">
        <v>29</v>
      </c>
      <c r="J774" s="9"/>
      <c r="O774" s="78"/>
      <c r="P774" s="9"/>
      <c r="Q774" s="12" t="e">
        <f>+VLOOKUP(P774,Datos!$F:$G,2,FALSE)</f>
        <v>#N/A</v>
      </c>
      <c r="Y774" s="14"/>
      <c r="Z774" t="e">
        <f>VLOOKUP(M774,'[1]INDIVIDUAL UN'!$C$6:$F$222,4,FALSE)</f>
        <v>#N/A</v>
      </c>
    </row>
    <row r="775" spans="1:26" x14ac:dyDescent="0.35">
      <c r="A775" s="9" t="s">
        <v>25</v>
      </c>
      <c r="D775" s="10" t="s">
        <v>29</v>
      </c>
      <c r="J775" s="9"/>
      <c r="O775" s="78"/>
      <c r="P775" s="9"/>
      <c r="Q775" s="12" t="e">
        <f>+VLOOKUP(P775,Datos!$F:$G,2,FALSE)</f>
        <v>#N/A</v>
      </c>
      <c r="Y775" s="14"/>
      <c r="Z775" t="e">
        <f>VLOOKUP(M775,'[1]INDIVIDUAL UN'!$C$6:$F$222,4,FALSE)</f>
        <v>#N/A</v>
      </c>
    </row>
    <row r="776" spans="1:26" x14ac:dyDescent="0.35">
      <c r="A776" s="9" t="s">
        <v>25</v>
      </c>
      <c r="D776" s="10" t="s">
        <v>29</v>
      </c>
      <c r="J776" s="9"/>
      <c r="O776" s="78"/>
      <c r="P776" s="9"/>
      <c r="Q776" s="12" t="e">
        <f>+VLOOKUP(P776,Datos!$F:$G,2,FALSE)</f>
        <v>#N/A</v>
      </c>
      <c r="Y776" s="14"/>
      <c r="Z776" t="e">
        <f>VLOOKUP(M776,'[1]INDIVIDUAL UN'!$C$6:$F$222,4,FALSE)</f>
        <v>#N/A</v>
      </c>
    </row>
    <row r="777" spans="1:26" x14ac:dyDescent="0.35">
      <c r="A777" s="9" t="s">
        <v>25</v>
      </c>
      <c r="D777" s="10" t="s">
        <v>29</v>
      </c>
      <c r="J777" s="9"/>
      <c r="O777" s="78"/>
      <c r="P777" s="9"/>
      <c r="Q777" s="12" t="e">
        <f>+VLOOKUP(P777,Datos!$F:$G,2,FALSE)</f>
        <v>#N/A</v>
      </c>
      <c r="Y777" s="14"/>
      <c r="Z777" t="e">
        <f>VLOOKUP(M777,'[1]INDIVIDUAL UN'!$C$6:$F$222,4,FALSE)</f>
        <v>#N/A</v>
      </c>
    </row>
    <row r="778" spans="1:26" x14ac:dyDescent="0.35">
      <c r="A778" s="9" t="s">
        <v>25</v>
      </c>
      <c r="D778" s="10" t="s">
        <v>29</v>
      </c>
      <c r="J778" s="9"/>
      <c r="O778" s="78"/>
      <c r="P778" s="9"/>
      <c r="Q778" s="12" t="e">
        <f>+VLOOKUP(P778,Datos!$F:$G,2,FALSE)</f>
        <v>#N/A</v>
      </c>
      <c r="Y778" s="14"/>
      <c r="Z778" t="e">
        <f>VLOOKUP(M778,'[1]INDIVIDUAL UN'!$C$6:$F$222,4,FALSE)</f>
        <v>#N/A</v>
      </c>
    </row>
    <row r="779" spans="1:26" x14ac:dyDescent="0.35">
      <c r="A779" s="9" t="s">
        <v>25</v>
      </c>
      <c r="D779" s="10" t="s">
        <v>29</v>
      </c>
      <c r="J779" s="9"/>
      <c r="O779" s="78"/>
      <c r="P779" s="9"/>
      <c r="Q779" s="12" t="e">
        <f>+VLOOKUP(P779,Datos!$F:$G,2,FALSE)</f>
        <v>#N/A</v>
      </c>
      <c r="Y779" s="14"/>
      <c r="Z779" t="e">
        <f>VLOOKUP(M779,'[1]INDIVIDUAL UN'!$C$6:$F$222,4,FALSE)</f>
        <v>#N/A</v>
      </c>
    </row>
    <row r="780" spans="1:26" x14ac:dyDescent="0.35">
      <c r="A780" s="9" t="s">
        <v>25</v>
      </c>
      <c r="D780" s="10" t="s">
        <v>29</v>
      </c>
      <c r="J780" s="9"/>
      <c r="O780" s="78"/>
      <c r="P780" s="9"/>
      <c r="Q780" s="12" t="e">
        <f>+VLOOKUP(P780,Datos!$F:$G,2,FALSE)</f>
        <v>#N/A</v>
      </c>
      <c r="Y780" s="14"/>
      <c r="Z780" t="e">
        <f>VLOOKUP(M780,'[1]INDIVIDUAL UN'!$C$6:$F$222,4,FALSE)</f>
        <v>#N/A</v>
      </c>
    </row>
    <row r="781" spans="1:26" x14ac:dyDescent="0.35">
      <c r="A781" s="9" t="s">
        <v>25</v>
      </c>
      <c r="D781" s="10" t="s">
        <v>29</v>
      </c>
      <c r="J781" s="9"/>
      <c r="O781" s="78"/>
      <c r="P781" s="9"/>
      <c r="Q781" s="12" t="e">
        <f>+VLOOKUP(P781,Datos!$F:$G,2,FALSE)</f>
        <v>#N/A</v>
      </c>
      <c r="Y781" s="14"/>
      <c r="Z781" t="e">
        <f>VLOOKUP(M781,'[1]INDIVIDUAL UN'!$C$6:$F$222,4,FALSE)</f>
        <v>#N/A</v>
      </c>
    </row>
    <row r="782" spans="1:26" x14ac:dyDescent="0.35">
      <c r="A782" s="9" t="s">
        <v>25</v>
      </c>
      <c r="D782" s="10" t="s">
        <v>29</v>
      </c>
      <c r="J782" s="9"/>
      <c r="O782" s="78"/>
      <c r="P782" s="9"/>
      <c r="Q782" s="12" t="e">
        <f>+VLOOKUP(P782,Datos!$F:$G,2,FALSE)</f>
        <v>#N/A</v>
      </c>
      <c r="Y782" s="14"/>
      <c r="Z782" t="e">
        <f>VLOOKUP(M782,'[1]INDIVIDUAL UN'!$C$6:$F$222,4,FALSE)</f>
        <v>#N/A</v>
      </c>
    </row>
    <row r="783" spans="1:26" x14ac:dyDescent="0.35">
      <c r="A783" s="9" t="s">
        <v>25</v>
      </c>
      <c r="D783" s="10" t="s">
        <v>29</v>
      </c>
      <c r="J783" s="9"/>
      <c r="O783" s="78"/>
      <c r="P783" s="9"/>
      <c r="Q783" s="12" t="e">
        <f>+VLOOKUP(P783,Datos!$F:$G,2,FALSE)</f>
        <v>#N/A</v>
      </c>
      <c r="Y783" s="14"/>
      <c r="Z783" t="e">
        <f>VLOOKUP(M783,'[1]INDIVIDUAL UN'!$C$6:$F$222,4,FALSE)</f>
        <v>#N/A</v>
      </c>
    </row>
    <row r="784" spans="1:26" x14ac:dyDescent="0.35">
      <c r="A784" s="9" t="s">
        <v>25</v>
      </c>
      <c r="D784" s="10" t="s">
        <v>29</v>
      </c>
      <c r="J784" s="9"/>
      <c r="O784" s="78"/>
      <c r="P784" s="9"/>
      <c r="Q784" s="12" t="e">
        <f>+VLOOKUP(P784,Datos!$F:$G,2,FALSE)</f>
        <v>#N/A</v>
      </c>
      <c r="Y784" s="14"/>
      <c r="Z784" t="e">
        <f>VLOOKUP(M784,'[1]INDIVIDUAL UN'!$C$6:$F$222,4,FALSE)</f>
        <v>#N/A</v>
      </c>
    </row>
    <row r="785" spans="1:26" x14ac:dyDescent="0.35">
      <c r="A785" s="9" t="s">
        <v>25</v>
      </c>
      <c r="D785" s="10" t="s">
        <v>29</v>
      </c>
      <c r="J785" s="9"/>
      <c r="O785" s="78"/>
      <c r="P785" s="9"/>
      <c r="Q785" s="12" t="e">
        <f>+VLOOKUP(P785,Datos!$F:$G,2,FALSE)</f>
        <v>#N/A</v>
      </c>
      <c r="Y785" s="14"/>
      <c r="Z785" t="e">
        <f>VLOOKUP(M785,'[1]INDIVIDUAL UN'!$C$6:$F$222,4,FALSE)</f>
        <v>#N/A</v>
      </c>
    </row>
    <row r="786" spans="1:26" x14ac:dyDescent="0.35">
      <c r="A786" s="9" t="s">
        <v>25</v>
      </c>
      <c r="D786" s="10" t="s">
        <v>29</v>
      </c>
      <c r="J786" s="9"/>
      <c r="O786" s="78"/>
      <c r="P786" s="9"/>
      <c r="Q786" s="12" t="e">
        <f>+VLOOKUP(P786,Datos!$F:$G,2,FALSE)</f>
        <v>#N/A</v>
      </c>
      <c r="Y786" s="14"/>
      <c r="Z786" t="e">
        <f>VLOOKUP(M786,'[1]INDIVIDUAL UN'!$C$6:$F$222,4,FALSE)</f>
        <v>#N/A</v>
      </c>
    </row>
    <row r="787" spans="1:26" x14ac:dyDescent="0.35">
      <c r="A787" s="9" t="s">
        <v>25</v>
      </c>
      <c r="D787" s="10" t="s">
        <v>29</v>
      </c>
      <c r="J787" s="9"/>
      <c r="O787" s="78"/>
      <c r="P787" s="9"/>
      <c r="Q787" s="12" t="e">
        <f>+VLOOKUP(P787,Datos!$F:$G,2,FALSE)</f>
        <v>#N/A</v>
      </c>
      <c r="Y787" s="14"/>
      <c r="Z787" t="e">
        <f>VLOOKUP(M787,'[1]INDIVIDUAL UN'!$C$6:$F$222,4,FALSE)</f>
        <v>#N/A</v>
      </c>
    </row>
    <row r="788" spans="1:26" x14ac:dyDescent="0.35">
      <c r="A788" s="9" t="s">
        <v>25</v>
      </c>
      <c r="D788" s="10" t="s">
        <v>29</v>
      </c>
      <c r="J788" s="9"/>
      <c r="O788" s="78"/>
      <c r="P788" s="9"/>
      <c r="Q788" s="12" t="e">
        <f>+VLOOKUP(P788,Datos!$F:$G,2,FALSE)</f>
        <v>#N/A</v>
      </c>
      <c r="Y788" s="14"/>
      <c r="Z788" t="e">
        <f>VLOOKUP(M788,'[1]INDIVIDUAL UN'!$C$6:$F$222,4,FALSE)</f>
        <v>#N/A</v>
      </c>
    </row>
    <row r="789" spans="1:26" x14ac:dyDescent="0.35">
      <c r="A789" s="9" t="s">
        <v>25</v>
      </c>
      <c r="D789" s="10" t="s">
        <v>29</v>
      </c>
      <c r="J789" s="9"/>
      <c r="O789" s="78"/>
      <c r="P789" s="9"/>
      <c r="Q789" s="12" t="e">
        <f>+VLOOKUP(P789,Datos!$F:$G,2,FALSE)</f>
        <v>#N/A</v>
      </c>
      <c r="Y789" s="14"/>
      <c r="Z789" t="e">
        <f>VLOOKUP(M789,'[1]INDIVIDUAL UN'!$C$6:$F$222,4,FALSE)</f>
        <v>#N/A</v>
      </c>
    </row>
    <row r="790" spans="1:26" x14ac:dyDescent="0.35">
      <c r="A790" s="9" t="s">
        <v>25</v>
      </c>
      <c r="D790" s="10" t="s">
        <v>29</v>
      </c>
      <c r="J790" s="9"/>
      <c r="O790" s="78"/>
      <c r="P790" s="9"/>
      <c r="Q790" s="12" t="e">
        <f>+VLOOKUP(P790,Datos!$F:$G,2,FALSE)</f>
        <v>#N/A</v>
      </c>
      <c r="Y790" s="14"/>
      <c r="Z790" t="e">
        <f>VLOOKUP(M790,'[1]INDIVIDUAL UN'!$C$6:$F$222,4,FALSE)</f>
        <v>#N/A</v>
      </c>
    </row>
    <row r="791" spans="1:26" x14ac:dyDescent="0.35">
      <c r="A791" s="9" t="s">
        <v>25</v>
      </c>
      <c r="D791" s="10" t="s">
        <v>29</v>
      </c>
      <c r="J791" s="9"/>
      <c r="O791" s="78"/>
      <c r="P791" s="9"/>
      <c r="Q791" s="12" t="e">
        <f>+VLOOKUP(P791,Datos!$F:$G,2,FALSE)</f>
        <v>#N/A</v>
      </c>
      <c r="Y791" s="14"/>
      <c r="Z791" t="e">
        <f>VLOOKUP(M791,'[1]INDIVIDUAL UN'!$C$6:$F$222,4,FALSE)</f>
        <v>#N/A</v>
      </c>
    </row>
    <row r="792" spans="1:26" x14ac:dyDescent="0.35">
      <c r="A792" s="9" t="s">
        <v>25</v>
      </c>
      <c r="D792" s="10" t="s">
        <v>29</v>
      </c>
      <c r="J792" s="9"/>
      <c r="O792" s="78"/>
      <c r="P792" s="9"/>
      <c r="Q792" s="12" t="e">
        <f>+VLOOKUP(P792,Datos!$F:$G,2,FALSE)</f>
        <v>#N/A</v>
      </c>
      <c r="Y792" s="14"/>
      <c r="Z792" t="e">
        <f>VLOOKUP(M792,'[1]INDIVIDUAL UN'!$C$6:$F$222,4,FALSE)</f>
        <v>#N/A</v>
      </c>
    </row>
    <row r="793" spans="1:26" x14ac:dyDescent="0.35">
      <c r="A793" s="9" t="s">
        <v>25</v>
      </c>
      <c r="D793" s="10" t="s">
        <v>29</v>
      </c>
      <c r="J793" s="9"/>
      <c r="O793" s="78"/>
      <c r="P793" s="9"/>
      <c r="Q793" s="12" t="e">
        <f>+VLOOKUP(P793,Datos!$F:$G,2,FALSE)</f>
        <v>#N/A</v>
      </c>
      <c r="Y793" s="14"/>
      <c r="Z793" t="e">
        <f>VLOOKUP(M793,'[1]INDIVIDUAL UN'!$C$6:$F$222,4,FALSE)</f>
        <v>#N/A</v>
      </c>
    </row>
    <row r="794" spans="1:26" x14ac:dyDescent="0.35">
      <c r="A794" s="9" t="s">
        <v>25</v>
      </c>
      <c r="D794" s="10" t="s">
        <v>29</v>
      </c>
      <c r="J794" s="9"/>
      <c r="O794" s="78"/>
      <c r="P794" s="9"/>
      <c r="Q794" s="12" t="e">
        <f>+VLOOKUP(P794,Datos!$F:$G,2,FALSE)</f>
        <v>#N/A</v>
      </c>
      <c r="Y794" s="14"/>
      <c r="Z794" t="e">
        <f>VLOOKUP(M794,'[1]INDIVIDUAL UN'!$C$6:$F$222,4,FALSE)</f>
        <v>#N/A</v>
      </c>
    </row>
    <row r="795" spans="1:26" x14ac:dyDescent="0.35">
      <c r="A795" s="9" t="s">
        <v>25</v>
      </c>
      <c r="D795" s="10" t="s">
        <v>29</v>
      </c>
      <c r="J795" s="9"/>
      <c r="O795" s="78"/>
      <c r="P795" s="9"/>
      <c r="Q795" s="12" t="e">
        <f>+VLOOKUP(P795,Datos!$F:$G,2,FALSE)</f>
        <v>#N/A</v>
      </c>
      <c r="Y795" s="14"/>
      <c r="Z795" t="e">
        <f>VLOOKUP(M795,'[1]INDIVIDUAL UN'!$C$6:$F$222,4,FALSE)</f>
        <v>#N/A</v>
      </c>
    </row>
    <row r="796" spans="1:26" x14ac:dyDescent="0.35">
      <c r="A796" s="9" t="s">
        <v>25</v>
      </c>
      <c r="D796" s="10" t="s">
        <v>29</v>
      </c>
      <c r="J796" s="9"/>
      <c r="O796" s="78"/>
      <c r="P796" s="9"/>
      <c r="Q796" s="12" t="e">
        <f>+VLOOKUP(P796,Datos!$F:$G,2,FALSE)</f>
        <v>#N/A</v>
      </c>
      <c r="Y796" s="14"/>
      <c r="Z796" t="e">
        <f>VLOOKUP(M796,'[1]INDIVIDUAL UN'!$C$6:$F$222,4,FALSE)</f>
        <v>#N/A</v>
      </c>
    </row>
    <row r="797" spans="1:26" x14ac:dyDescent="0.35">
      <c r="A797" s="9" t="s">
        <v>25</v>
      </c>
      <c r="D797" s="10" t="s">
        <v>29</v>
      </c>
      <c r="J797" s="9"/>
      <c r="O797" s="78"/>
      <c r="P797" s="9"/>
      <c r="Q797" s="12" t="e">
        <f>+VLOOKUP(P797,Datos!$F:$G,2,FALSE)</f>
        <v>#N/A</v>
      </c>
      <c r="Y797" s="14"/>
      <c r="Z797" t="e">
        <f>VLOOKUP(M797,'[1]INDIVIDUAL UN'!$C$6:$F$222,4,FALSE)</f>
        <v>#N/A</v>
      </c>
    </row>
    <row r="798" spans="1:26" x14ac:dyDescent="0.35">
      <c r="A798" s="9" t="s">
        <v>25</v>
      </c>
      <c r="D798" s="10" t="s">
        <v>29</v>
      </c>
      <c r="J798" s="9"/>
      <c r="O798" s="78"/>
      <c r="P798" s="9"/>
      <c r="Q798" s="12" t="e">
        <f>+VLOOKUP(P798,Datos!$F:$G,2,FALSE)</f>
        <v>#N/A</v>
      </c>
      <c r="Y798" s="14"/>
      <c r="Z798" t="e">
        <f>VLOOKUP(M798,'[1]INDIVIDUAL UN'!$C$6:$F$222,4,FALSE)</f>
        <v>#N/A</v>
      </c>
    </row>
    <row r="799" spans="1:26" x14ac:dyDescent="0.35">
      <c r="A799" s="9" t="s">
        <v>25</v>
      </c>
      <c r="D799" s="10" t="s">
        <v>29</v>
      </c>
      <c r="J799" s="9"/>
      <c r="O799" s="78"/>
      <c r="P799" s="9"/>
      <c r="Q799" s="12" t="e">
        <f>+VLOOKUP(P799,Datos!$F:$G,2,FALSE)</f>
        <v>#N/A</v>
      </c>
      <c r="Y799" s="14"/>
      <c r="Z799" t="e">
        <f>VLOOKUP(M799,'[1]INDIVIDUAL UN'!$C$6:$F$222,4,FALSE)</f>
        <v>#N/A</v>
      </c>
    </row>
    <row r="800" spans="1:26" x14ac:dyDescent="0.35">
      <c r="A800" s="9" t="s">
        <v>25</v>
      </c>
      <c r="D800" s="10" t="s">
        <v>29</v>
      </c>
      <c r="J800" s="9"/>
      <c r="O800" s="78"/>
      <c r="P800" s="9"/>
      <c r="Q800" s="12" t="e">
        <f>+VLOOKUP(P800,Datos!$F:$G,2,FALSE)</f>
        <v>#N/A</v>
      </c>
      <c r="Y800" s="14"/>
      <c r="Z800" t="e">
        <f>VLOOKUP(M800,'[1]INDIVIDUAL UN'!$C$6:$F$222,4,FALSE)</f>
        <v>#N/A</v>
      </c>
    </row>
    <row r="801" spans="1:26" x14ac:dyDescent="0.35">
      <c r="A801" s="9" t="s">
        <v>25</v>
      </c>
      <c r="D801" s="10" t="s">
        <v>29</v>
      </c>
      <c r="J801" s="9"/>
      <c r="O801" s="78"/>
      <c r="P801" s="9"/>
      <c r="Q801" s="12" t="e">
        <f>+VLOOKUP(P801,Datos!$F:$G,2,FALSE)</f>
        <v>#N/A</v>
      </c>
      <c r="Y801" s="14"/>
      <c r="Z801" t="e">
        <f>VLOOKUP(M801,'[1]INDIVIDUAL UN'!$C$6:$F$222,4,FALSE)</f>
        <v>#N/A</v>
      </c>
    </row>
    <row r="802" spans="1:26" x14ac:dyDescent="0.35">
      <c r="A802" s="9" t="s">
        <v>25</v>
      </c>
      <c r="D802" s="10" t="s">
        <v>29</v>
      </c>
      <c r="J802" s="9"/>
      <c r="O802" s="78"/>
      <c r="P802" s="9"/>
      <c r="Q802" s="12" t="e">
        <f>+VLOOKUP(P802,Datos!$F:$G,2,FALSE)</f>
        <v>#N/A</v>
      </c>
      <c r="Y802" s="14"/>
      <c r="Z802" t="e">
        <f>VLOOKUP(M802,'[1]INDIVIDUAL UN'!$C$6:$F$222,4,FALSE)</f>
        <v>#N/A</v>
      </c>
    </row>
    <row r="803" spans="1:26" x14ac:dyDescent="0.35">
      <c r="A803" s="9" t="s">
        <v>25</v>
      </c>
      <c r="D803" s="10" t="s">
        <v>29</v>
      </c>
      <c r="J803" s="9"/>
      <c r="O803" s="78"/>
      <c r="P803" s="9"/>
      <c r="Q803" s="12" t="e">
        <f>+VLOOKUP(P803,Datos!$F:$G,2,FALSE)</f>
        <v>#N/A</v>
      </c>
      <c r="Y803" s="14"/>
      <c r="Z803" t="e">
        <f>VLOOKUP(M803,'[1]INDIVIDUAL UN'!$C$6:$F$222,4,FALSE)</f>
        <v>#N/A</v>
      </c>
    </row>
    <row r="804" spans="1:26" x14ac:dyDescent="0.35">
      <c r="A804" s="9" t="s">
        <v>25</v>
      </c>
      <c r="D804" s="10" t="s">
        <v>29</v>
      </c>
      <c r="J804" s="9"/>
      <c r="O804" s="78"/>
      <c r="P804" s="9"/>
      <c r="Q804" s="12" t="e">
        <f>+VLOOKUP(P804,Datos!$F:$G,2,FALSE)</f>
        <v>#N/A</v>
      </c>
      <c r="Y804" s="14"/>
      <c r="Z804" t="e">
        <f>VLOOKUP(M804,'[1]INDIVIDUAL UN'!$C$6:$F$222,4,FALSE)</f>
        <v>#N/A</v>
      </c>
    </row>
    <row r="805" spans="1:26" x14ac:dyDescent="0.35">
      <c r="A805" s="9" t="s">
        <v>25</v>
      </c>
      <c r="D805" s="10" t="s">
        <v>29</v>
      </c>
      <c r="J805" s="9"/>
      <c r="O805" s="78"/>
      <c r="P805" s="9"/>
      <c r="Q805" s="12" t="e">
        <f>+VLOOKUP(P805,Datos!$F:$G,2,FALSE)</f>
        <v>#N/A</v>
      </c>
      <c r="Y805" s="14"/>
      <c r="Z805" t="e">
        <f>VLOOKUP(M805,'[1]INDIVIDUAL UN'!$C$6:$F$222,4,FALSE)</f>
        <v>#N/A</v>
      </c>
    </row>
    <row r="806" spans="1:26" x14ac:dyDescent="0.35">
      <c r="A806" s="9" t="s">
        <v>25</v>
      </c>
      <c r="D806" s="10" t="s">
        <v>29</v>
      </c>
      <c r="J806" s="9"/>
      <c r="O806" s="78"/>
      <c r="P806" s="9"/>
      <c r="Q806" s="12" t="e">
        <f>+VLOOKUP(P806,Datos!$F:$G,2,FALSE)</f>
        <v>#N/A</v>
      </c>
      <c r="Y806" s="14"/>
      <c r="Z806" t="e">
        <f>VLOOKUP(M806,'[1]INDIVIDUAL UN'!$C$6:$F$222,4,FALSE)</f>
        <v>#N/A</v>
      </c>
    </row>
    <row r="807" spans="1:26" x14ac:dyDescent="0.35">
      <c r="A807" s="9" t="s">
        <v>25</v>
      </c>
      <c r="D807" s="10" t="s">
        <v>29</v>
      </c>
      <c r="J807" s="9"/>
      <c r="O807" s="78"/>
      <c r="P807" s="9"/>
      <c r="Q807" s="12" t="e">
        <f>+VLOOKUP(P807,Datos!$F:$G,2,FALSE)</f>
        <v>#N/A</v>
      </c>
      <c r="Y807" s="14"/>
      <c r="Z807" t="e">
        <f>VLOOKUP(M807,'[1]INDIVIDUAL UN'!$C$6:$F$222,4,FALSE)</f>
        <v>#N/A</v>
      </c>
    </row>
    <row r="808" spans="1:26" x14ac:dyDescent="0.35">
      <c r="A808" s="9" t="s">
        <v>25</v>
      </c>
      <c r="D808" s="10" t="s">
        <v>29</v>
      </c>
      <c r="J808" s="9"/>
      <c r="O808" s="78"/>
      <c r="P808" s="9"/>
      <c r="Q808" s="12" t="e">
        <f>+VLOOKUP(P808,Datos!$F:$G,2,FALSE)</f>
        <v>#N/A</v>
      </c>
      <c r="Y808" s="14"/>
      <c r="Z808" t="e">
        <f>VLOOKUP(M808,'[1]INDIVIDUAL UN'!$C$6:$F$222,4,FALSE)</f>
        <v>#N/A</v>
      </c>
    </row>
    <row r="809" spans="1:26" x14ac:dyDescent="0.35">
      <c r="A809" s="9" t="s">
        <v>25</v>
      </c>
      <c r="D809" s="10" t="s">
        <v>29</v>
      </c>
      <c r="J809" s="9"/>
      <c r="O809" s="78"/>
      <c r="P809" s="9"/>
      <c r="Q809" s="12" t="e">
        <f>+VLOOKUP(P809,Datos!$F:$G,2,FALSE)</f>
        <v>#N/A</v>
      </c>
      <c r="Y809" s="14"/>
      <c r="Z809" t="e">
        <f>VLOOKUP(M809,'[1]INDIVIDUAL UN'!$C$6:$F$222,4,FALSE)</f>
        <v>#N/A</v>
      </c>
    </row>
    <row r="810" spans="1:26" x14ac:dyDescent="0.35">
      <c r="A810" s="9" t="s">
        <v>25</v>
      </c>
      <c r="D810" s="10" t="s">
        <v>29</v>
      </c>
      <c r="J810" s="9"/>
      <c r="O810" s="78"/>
      <c r="P810" s="9"/>
      <c r="Q810" s="12" t="e">
        <f>+VLOOKUP(P810,Datos!$F:$G,2,FALSE)</f>
        <v>#N/A</v>
      </c>
      <c r="Y810" s="14"/>
      <c r="Z810" t="e">
        <f>VLOOKUP(M810,'[1]INDIVIDUAL UN'!$C$6:$F$222,4,FALSE)</f>
        <v>#N/A</v>
      </c>
    </row>
    <row r="811" spans="1:26" x14ac:dyDescent="0.35">
      <c r="A811" s="9" t="s">
        <v>25</v>
      </c>
      <c r="D811" s="10" t="s">
        <v>29</v>
      </c>
      <c r="J811" s="9"/>
      <c r="O811" s="78"/>
      <c r="P811" s="9"/>
      <c r="Q811" s="12" t="e">
        <f>+VLOOKUP(P811,Datos!$F:$G,2,FALSE)</f>
        <v>#N/A</v>
      </c>
      <c r="Y811" s="14"/>
      <c r="Z811" t="e">
        <f>VLOOKUP(M811,'[1]INDIVIDUAL UN'!$C$6:$F$222,4,FALSE)</f>
        <v>#N/A</v>
      </c>
    </row>
    <row r="812" spans="1:26" x14ac:dyDescent="0.35">
      <c r="A812" s="9" t="s">
        <v>25</v>
      </c>
      <c r="D812" s="10" t="s">
        <v>29</v>
      </c>
      <c r="J812" s="9"/>
      <c r="O812" s="78"/>
      <c r="P812" s="9"/>
      <c r="Q812" s="12" t="e">
        <f>+VLOOKUP(P812,Datos!$F:$G,2,FALSE)</f>
        <v>#N/A</v>
      </c>
      <c r="Y812" s="14"/>
      <c r="Z812" t="e">
        <f>VLOOKUP(M812,'[1]INDIVIDUAL UN'!$C$6:$F$222,4,FALSE)</f>
        <v>#N/A</v>
      </c>
    </row>
    <row r="813" spans="1:26" x14ac:dyDescent="0.35">
      <c r="A813" s="9" t="s">
        <v>25</v>
      </c>
      <c r="D813" s="10" t="s">
        <v>29</v>
      </c>
      <c r="J813" s="9"/>
      <c r="O813" s="78"/>
      <c r="P813" s="9"/>
      <c r="Q813" s="12" t="e">
        <f>+VLOOKUP(P813,Datos!$F:$G,2,FALSE)</f>
        <v>#N/A</v>
      </c>
      <c r="Y813" s="14"/>
      <c r="Z813" t="e">
        <f>VLOOKUP(M813,'[1]INDIVIDUAL UN'!$C$6:$F$222,4,FALSE)</f>
        <v>#N/A</v>
      </c>
    </row>
    <row r="814" spans="1:26" x14ac:dyDescent="0.35">
      <c r="A814" s="9" t="s">
        <v>25</v>
      </c>
      <c r="D814" s="10" t="s">
        <v>29</v>
      </c>
      <c r="J814" s="9"/>
      <c r="O814" s="78"/>
      <c r="P814" s="9"/>
      <c r="Q814" s="12" t="e">
        <f>+VLOOKUP(P814,Datos!$F:$G,2,FALSE)</f>
        <v>#N/A</v>
      </c>
      <c r="Y814" s="14"/>
      <c r="Z814" t="e">
        <f>VLOOKUP(M814,'[1]INDIVIDUAL UN'!$C$6:$F$222,4,FALSE)</f>
        <v>#N/A</v>
      </c>
    </row>
    <row r="815" spans="1:26" x14ac:dyDescent="0.35">
      <c r="A815" s="9" t="s">
        <v>25</v>
      </c>
      <c r="D815" s="10" t="s">
        <v>29</v>
      </c>
      <c r="J815" s="9"/>
      <c r="O815" s="78"/>
      <c r="P815" s="9"/>
      <c r="Q815" s="12" t="e">
        <f>+VLOOKUP(P815,Datos!$F:$G,2,FALSE)</f>
        <v>#N/A</v>
      </c>
      <c r="Y815" s="14"/>
      <c r="Z815" t="e">
        <f>VLOOKUP(M815,'[1]INDIVIDUAL UN'!$C$6:$F$222,4,FALSE)</f>
        <v>#N/A</v>
      </c>
    </row>
    <row r="816" spans="1:26" x14ac:dyDescent="0.35">
      <c r="A816" s="9" t="s">
        <v>25</v>
      </c>
      <c r="D816" s="10" t="s">
        <v>29</v>
      </c>
      <c r="J816" s="9"/>
      <c r="O816" s="78"/>
      <c r="P816" s="9"/>
      <c r="Q816" s="12" t="e">
        <f>+VLOOKUP(P816,Datos!$F:$G,2,FALSE)</f>
        <v>#N/A</v>
      </c>
      <c r="Y816" s="14"/>
      <c r="Z816" t="e">
        <f>VLOOKUP(M816,'[1]INDIVIDUAL UN'!$C$6:$F$222,4,FALSE)</f>
        <v>#N/A</v>
      </c>
    </row>
    <row r="817" spans="1:26" x14ac:dyDescent="0.35">
      <c r="A817" s="9" t="s">
        <v>25</v>
      </c>
      <c r="D817" s="10" t="s">
        <v>29</v>
      </c>
      <c r="J817" s="9"/>
      <c r="O817" s="78"/>
      <c r="P817" s="9"/>
      <c r="Q817" s="12" t="e">
        <f>+VLOOKUP(P817,Datos!$F:$G,2,FALSE)</f>
        <v>#N/A</v>
      </c>
      <c r="Y817" s="14"/>
      <c r="Z817" t="e">
        <f>VLOOKUP(M817,'[1]INDIVIDUAL UN'!$C$6:$F$222,4,FALSE)</f>
        <v>#N/A</v>
      </c>
    </row>
    <row r="818" spans="1:26" x14ac:dyDescent="0.35">
      <c r="A818" s="9" t="s">
        <v>25</v>
      </c>
      <c r="D818" s="10" t="s">
        <v>29</v>
      </c>
      <c r="J818" s="9"/>
      <c r="O818" s="78"/>
      <c r="P818" s="9"/>
      <c r="Q818" s="12" t="e">
        <f>+VLOOKUP(P818,Datos!$F:$G,2,FALSE)</f>
        <v>#N/A</v>
      </c>
      <c r="Y818" s="14"/>
      <c r="Z818" t="e">
        <f>VLOOKUP(M818,'[1]INDIVIDUAL UN'!$C$6:$F$222,4,FALSE)</f>
        <v>#N/A</v>
      </c>
    </row>
    <row r="819" spans="1:26" x14ac:dyDescent="0.35">
      <c r="A819" s="9" t="s">
        <v>25</v>
      </c>
      <c r="D819" s="10" t="s">
        <v>29</v>
      </c>
      <c r="J819" s="9"/>
      <c r="O819" s="78"/>
      <c r="P819" s="9"/>
      <c r="Q819" s="12" t="e">
        <f>+VLOOKUP(P819,Datos!$F:$G,2,FALSE)</f>
        <v>#N/A</v>
      </c>
      <c r="Y819" s="14"/>
      <c r="Z819" t="e">
        <f>VLOOKUP(M819,'[1]INDIVIDUAL UN'!$C$6:$F$222,4,FALSE)</f>
        <v>#N/A</v>
      </c>
    </row>
    <row r="820" spans="1:26" x14ac:dyDescent="0.35">
      <c r="A820" s="9" t="s">
        <v>25</v>
      </c>
      <c r="D820" s="10" t="s">
        <v>29</v>
      </c>
      <c r="J820" s="9"/>
      <c r="O820" s="78"/>
      <c r="P820" s="9"/>
      <c r="Q820" s="12" t="e">
        <f>+VLOOKUP(P820,Datos!$F:$G,2,FALSE)</f>
        <v>#N/A</v>
      </c>
      <c r="Y820" s="14"/>
      <c r="Z820" t="e">
        <f>VLOOKUP(M820,'[1]INDIVIDUAL UN'!$C$6:$F$222,4,FALSE)</f>
        <v>#N/A</v>
      </c>
    </row>
    <row r="821" spans="1:26" x14ac:dyDescent="0.35">
      <c r="A821" s="9" t="s">
        <v>25</v>
      </c>
      <c r="D821" s="10" t="s">
        <v>29</v>
      </c>
      <c r="J821" s="9"/>
      <c r="O821" s="78"/>
      <c r="P821" s="9"/>
      <c r="Q821" s="12" t="e">
        <f>+VLOOKUP(P821,Datos!$F:$G,2,FALSE)</f>
        <v>#N/A</v>
      </c>
      <c r="Y821" s="14"/>
      <c r="Z821" t="e">
        <f>VLOOKUP(M821,'[1]INDIVIDUAL UN'!$C$6:$F$222,4,FALSE)</f>
        <v>#N/A</v>
      </c>
    </row>
    <row r="822" spans="1:26" x14ac:dyDescent="0.35">
      <c r="A822" s="9" t="s">
        <v>25</v>
      </c>
      <c r="D822" s="10" t="s">
        <v>29</v>
      </c>
      <c r="J822" s="9"/>
      <c r="O822" s="78"/>
      <c r="P822" s="9"/>
      <c r="Q822" s="12" t="e">
        <f>+VLOOKUP(P822,Datos!$F:$G,2,FALSE)</f>
        <v>#N/A</v>
      </c>
      <c r="Y822" s="14"/>
      <c r="Z822" t="e">
        <f>VLOOKUP(M822,'[1]INDIVIDUAL UN'!$C$6:$F$222,4,FALSE)</f>
        <v>#N/A</v>
      </c>
    </row>
    <row r="823" spans="1:26" x14ac:dyDescent="0.35">
      <c r="A823" s="9" t="s">
        <v>25</v>
      </c>
      <c r="D823" s="10" t="s">
        <v>29</v>
      </c>
      <c r="J823" s="9"/>
      <c r="O823" s="78"/>
      <c r="P823" s="9"/>
      <c r="Q823" s="12" t="e">
        <f>+VLOOKUP(P823,Datos!$F:$G,2,FALSE)</f>
        <v>#N/A</v>
      </c>
      <c r="Y823" s="14"/>
      <c r="Z823" t="e">
        <f>VLOOKUP(M823,'[1]INDIVIDUAL UN'!$C$6:$F$222,4,FALSE)</f>
        <v>#N/A</v>
      </c>
    </row>
    <row r="824" spans="1:26" x14ac:dyDescent="0.35">
      <c r="A824" s="9" t="s">
        <v>25</v>
      </c>
      <c r="D824" s="10" t="s">
        <v>29</v>
      </c>
      <c r="J824" s="9"/>
      <c r="O824" s="78"/>
      <c r="P824" s="9"/>
      <c r="Q824" s="12" t="e">
        <f>+VLOOKUP(P824,Datos!$F:$G,2,FALSE)</f>
        <v>#N/A</v>
      </c>
      <c r="Y824" s="14"/>
      <c r="Z824" t="e">
        <f>VLOOKUP(M824,'[1]INDIVIDUAL UN'!$C$6:$F$222,4,FALSE)</f>
        <v>#N/A</v>
      </c>
    </row>
    <row r="825" spans="1:26" x14ac:dyDescent="0.35">
      <c r="A825" s="9" t="s">
        <v>25</v>
      </c>
      <c r="D825" s="10" t="s">
        <v>29</v>
      </c>
      <c r="J825" s="9"/>
      <c r="O825" s="78"/>
      <c r="P825" s="9"/>
      <c r="Q825" s="12" t="e">
        <f>+VLOOKUP(P825,Datos!$F:$G,2,FALSE)</f>
        <v>#N/A</v>
      </c>
      <c r="Y825" s="14"/>
      <c r="Z825" t="e">
        <f>VLOOKUP(M825,'[1]INDIVIDUAL UN'!$C$6:$F$222,4,FALSE)</f>
        <v>#N/A</v>
      </c>
    </row>
    <row r="826" spans="1:26" x14ac:dyDescent="0.35">
      <c r="A826" s="9" t="s">
        <v>25</v>
      </c>
      <c r="D826" s="10" t="s">
        <v>29</v>
      </c>
      <c r="J826" s="9"/>
      <c r="O826" s="78"/>
      <c r="P826" s="9"/>
      <c r="Q826" s="12" t="e">
        <f>+VLOOKUP(P826,Datos!$F:$G,2,FALSE)</f>
        <v>#N/A</v>
      </c>
      <c r="Y826" s="14"/>
      <c r="Z826" t="e">
        <f>VLOOKUP(M826,'[1]INDIVIDUAL UN'!$C$6:$F$222,4,FALSE)</f>
        <v>#N/A</v>
      </c>
    </row>
    <row r="827" spans="1:26" x14ac:dyDescent="0.35">
      <c r="A827" s="9" t="s">
        <v>25</v>
      </c>
      <c r="D827" s="10" t="s">
        <v>29</v>
      </c>
      <c r="J827" s="9"/>
      <c r="O827" s="78"/>
      <c r="P827" s="9"/>
      <c r="Q827" s="12" t="e">
        <f>+VLOOKUP(P827,Datos!$F:$G,2,FALSE)</f>
        <v>#N/A</v>
      </c>
      <c r="Y827" s="14"/>
      <c r="Z827" t="e">
        <f>VLOOKUP(M827,'[1]INDIVIDUAL UN'!$C$6:$F$222,4,FALSE)</f>
        <v>#N/A</v>
      </c>
    </row>
    <row r="828" spans="1:26" x14ac:dyDescent="0.35">
      <c r="A828" s="9" t="s">
        <v>25</v>
      </c>
      <c r="D828" s="10" t="s">
        <v>29</v>
      </c>
      <c r="J828" s="9"/>
      <c r="O828" s="78"/>
      <c r="P828" s="9"/>
      <c r="Q828" s="12" t="e">
        <f>+VLOOKUP(P828,Datos!$F:$G,2,FALSE)</f>
        <v>#N/A</v>
      </c>
      <c r="Y828" s="14"/>
      <c r="Z828" t="e">
        <f>VLOOKUP(M828,'[1]INDIVIDUAL UN'!$C$6:$F$222,4,FALSE)</f>
        <v>#N/A</v>
      </c>
    </row>
    <row r="829" spans="1:26" x14ac:dyDescent="0.35">
      <c r="A829" s="9" t="s">
        <v>25</v>
      </c>
      <c r="D829" s="10" t="s">
        <v>29</v>
      </c>
      <c r="J829" s="9"/>
      <c r="O829" s="78"/>
      <c r="P829" s="9"/>
      <c r="Q829" s="12" t="e">
        <f>+VLOOKUP(P829,Datos!$F:$G,2,FALSE)</f>
        <v>#N/A</v>
      </c>
      <c r="Y829" s="14"/>
      <c r="Z829" t="e">
        <f>VLOOKUP(M829,'[1]INDIVIDUAL UN'!$C$6:$F$222,4,FALSE)</f>
        <v>#N/A</v>
      </c>
    </row>
    <row r="830" spans="1:26" x14ac:dyDescent="0.35">
      <c r="A830" s="9" t="s">
        <v>25</v>
      </c>
      <c r="D830" s="10" t="s">
        <v>29</v>
      </c>
      <c r="J830" s="9"/>
      <c r="O830" s="78"/>
      <c r="P830" s="9"/>
      <c r="Q830" s="12" t="e">
        <f>+VLOOKUP(P830,Datos!$F:$G,2,FALSE)</f>
        <v>#N/A</v>
      </c>
      <c r="Y830" s="14"/>
      <c r="Z830" t="e">
        <f>VLOOKUP(M830,'[1]INDIVIDUAL UN'!$C$6:$F$222,4,FALSE)</f>
        <v>#N/A</v>
      </c>
    </row>
    <row r="831" spans="1:26" x14ac:dyDescent="0.35">
      <c r="A831" s="9" t="s">
        <v>25</v>
      </c>
      <c r="D831" s="10" t="s">
        <v>29</v>
      </c>
      <c r="J831" s="9"/>
      <c r="O831" s="78"/>
      <c r="P831" s="9"/>
      <c r="Q831" s="12" t="e">
        <f>+VLOOKUP(P831,Datos!$F:$G,2,FALSE)</f>
        <v>#N/A</v>
      </c>
      <c r="Y831" s="14"/>
      <c r="Z831" t="e">
        <f>VLOOKUP(M831,'[1]INDIVIDUAL UN'!$C$6:$F$222,4,FALSE)</f>
        <v>#N/A</v>
      </c>
    </row>
    <row r="832" spans="1:26" x14ac:dyDescent="0.35">
      <c r="A832" s="9" t="s">
        <v>25</v>
      </c>
      <c r="D832" s="10" t="s">
        <v>29</v>
      </c>
      <c r="J832" s="9"/>
      <c r="O832" s="78"/>
      <c r="P832" s="9"/>
      <c r="Q832" s="12" t="e">
        <f>+VLOOKUP(P832,Datos!$F:$G,2,FALSE)</f>
        <v>#N/A</v>
      </c>
      <c r="Y832" s="14"/>
      <c r="Z832" t="e">
        <f>VLOOKUP(M832,'[1]INDIVIDUAL UN'!$C$6:$F$222,4,FALSE)</f>
        <v>#N/A</v>
      </c>
    </row>
    <row r="833" spans="1:26" x14ac:dyDescent="0.35">
      <c r="A833" s="9" t="s">
        <v>25</v>
      </c>
      <c r="D833" s="10" t="s">
        <v>29</v>
      </c>
      <c r="J833" s="9"/>
      <c r="O833" s="78"/>
      <c r="P833" s="9"/>
      <c r="Q833" s="12" t="e">
        <f>+VLOOKUP(P833,Datos!$F:$G,2,FALSE)</f>
        <v>#N/A</v>
      </c>
      <c r="Y833" s="14"/>
      <c r="Z833" t="e">
        <f>VLOOKUP(M833,'[1]INDIVIDUAL UN'!$C$6:$F$222,4,FALSE)</f>
        <v>#N/A</v>
      </c>
    </row>
    <row r="834" spans="1:26" x14ac:dyDescent="0.35">
      <c r="A834" s="9" t="s">
        <v>25</v>
      </c>
      <c r="D834" s="10" t="s">
        <v>29</v>
      </c>
      <c r="J834" s="9"/>
      <c r="O834" s="78"/>
      <c r="P834" s="9"/>
      <c r="Q834" s="12" t="e">
        <f>+VLOOKUP(P834,Datos!$F:$G,2,FALSE)</f>
        <v>#N/A</v>
      </c>
      <c r="Y834" s="14"/>
      <c r="Z834" t="e">
        <f>VLOOKUP(M834,'[1]INDIVIDUAL UN'!$C$6:$F$222,4,FALSE)</f>
        <v>#N/A</v>
      </c>
    </row>
    <row r="835" spans="1:26" x14ac:dyDescent="0.35">
      <c r="A835" s="9" t="s">
        <v>25</v>
      </c>
      <c r="D835" s="10" t="s">
        <v>29</v>
      </c>
      <c r="J835" s="9"/>
      <c r="O835" s="78"/>
      <c r="P835" s="9"/>
      <c r="Q835" s="12" t="e">
        <f>+VLOOKUP(P835,Datos!$F:$G,2,FALSE)</f>
        <v>#N/A</v>
      </c>
      <c r="Y835" s="14"/>
      <c r="Z835" t="e">
        <f>VLOOKUP(M835,'[1]INDIVIDUAL UN'!$C$6:$F$222,4,FALSE)</f>
        <v>#N/A</v>
      </c>
    </row>
    <row r="836" spans="1:26" x14ac:dyDescent="0.35">
      <c r="A836" s="9" t="s">
        <v>25</v>
      </c>
      <c r="D836" s="10" t="s">
        <v>29</v>
      </c>
      <c r="J836" s="9"/>
      <c r="O836" s="78"/>
      <c r="P836" s="9"/>
      <c r="Q836" s="12" t="e">
        <f>+VLOOKUP(P836,Datos!$F:$G,2,FALSE)</f>
        <v>#N/A</v>
      </c>
      <c r="Y836" s="14"/>
      <c r="Z836" t="e">
        <f>VLOOKUP(M836,'[1]INDIVIDUAL UN'!$C$6:$F$222,4,FALSE)</f>
        <v>#N/A</v>
      </c>
    </row>
    <row r="837" spans="1:26" x14ac:dyDescent="0.35">
      <c r="A837" s="9" t="s">
        <v>25</v>
      </c>
      <c r="D837" s="10" t="s">
        <v>29</v>
      </c>
      <c r="J837" s="9"/>
      <c r="O837" s="78"/>
      <c r="P837" s="9"/>
      <c r="Q837" s="12" t="e">
        <f>+VLOOKUP(P837,Datos!$F:$G,2,FALSE)</f>
        <v>#N/A</v>
      </c>
      <c r="Y837" s="14"/>
      <c r="Z837" t="e">
        <f>VLOOKUP(M837,'[1]INDIVIDUAL UN'!$C$6:$F$222,4,FALSE)</f>
        <v>#N/A</v>
      </c>
    </row>
    <row r="838" spans="1:26" x14ac:dyDescent="0.35">
      <c r="A838" s="9" t="s">
        <v>25</v>
      </c>
      <c r="D838" s="10" t="s">
        <v>29</v>
      </c>
      <c r="J838" s="9"/>
      <c r="O838" s="78"/>
      <c r="P838" s="9"/>
      <c r="Q838" s="12" t="e">
        <f>+VLOOKUP(P838,Datos!$F:$G,2,FALSE)</f>
        <v>#N/A</v>
      </c>
      <c r="Y838" s="14"/>
      <c r="Z838" t="e">
        <f>VLOOKUP(M838,'[1]INDIVIDUAL UN'!$C$6:$F$222,4,FALSE)</f>
        <v>#N/A</v>
      </c>
    </row>
    <row r="839" spans="1:26" x14ac:dyDescent="0.35">
      <c r="A839" s="9" t="s">
        <v>25</v>
      </c>
      <c r="D839" s="10" t="s">
        <v>29</v>
      </c>
      <c r="J839" s="9"/>
      <c r="O839" s="78"/>
      <c r="P839" s="9"/>
      <c r="Q839" s="12" t="e">
        <f>+VLOOKUP(P839,Datos!$F:$G,2,FALSE)</f>
        <v>#N/A</v>
      </c>
      <c r="Y839" s="14"/>
      <c r="Z839" t="e">
        <f>VLOOKUP(M839,'[1]INDIVIDUAL UN'!$C$6:$F$222,4,FALSE)</f>
        <v>#N/A</v>
      </c>
    </row>
    <row r="840" spans="1:26" x14ac:dyDescent="0.35">
      <c r="A840" s="9" t="s">
        <v>25</v>
      </c>
      <c r="D840" s="10" t="s">
        <v>29</v>
      </c>
      <c r="J840" s="9"/>
      <c r="O840" s="78"/>
      <c r="P840" s="9"/>
      <c r="Q840" s="12" t="e">
        <f>+VLOOKUP(P840,Datos!$F:$G,2,FALSE)</f>
        <v>#N/A</v>
      </c>
      <c r="Y840" s="14"/>
      <c r="Z840" t="e">
        <f>VLOOKUP(M840,'[1]INDIVIDUAL UN'!$C$6:$F$222,4,FALSE)</f>
        <v>#N/A</v>
      </c>
    </row>
    <row r="841" spans="1:26" x14ac:dyDescent="0.35">
      <c r="A841" s="9" t="s">
        <v>25</v>
      </c>
      <c r="D841" s="10" t="s">
        <v>29</v>
      </c>
      <c r="J841" s="9"/>
      <c r="O841" s="78"/>
      <c r="P841" s="9"/>
      <c r="Q841" s="12" t="e">
        <f>+VLOOKUP(P841,Datos!$F:$G,2,FALSE)</f>
        <v>#N/A</v>
      </c>
      <c r="Y841" s="14"/>
      <c r="Z841" t="e">
        <f>VLOOKUP(M841,'[1]INDIVIDUAL UN'!$C$6:$F$222,4,FALSE)</f>
        <v>#N/A</v>
      </c>
    </row>
    <row r="842" spans="1:26" x14ac:dyDescent="0.35">
      <c r="A842" s="9" t="s">
        <v>25</v>
      </c>
      <c r="D842" s="10" t="s">
        <v>29</v>
      </c>
      <c r="J842" s="9"/>
      <c r="O842" s="78"/>
      <c r="P842" s="9"/>
      <c r="Q842" s="12" t="e">
        <f>+VLOOKUP(P842,Datos!$F:$G,2,FALSE)</f>
        <v>#N/A</v>
      </c>
      <c r="Y842" s="14"/>
      <c r="Z842" t="e">
        <f>VLOOKUP(M842,'[1]INDIVIDUAL UN'!$C$6:$F$222,4,FALSE)</f>
        <v>#N/A</v>
      </c>
    </row>
    <row r="843" spans="1:26" x14ac:dyDescent="0.35">
      <c r="A843" s="9" t="s">
        <v>25</v>
      </c>
      <c r="D843" s="10" t="s">
        <v>29</v>
      </c>
      <c r="J843" s="9"/>
      <c r="O843" s="78"/>
      <c r="P843" s="9"/>
      <c r="Q843" s="12" t="e">
        <f>+VLOOKUP(P843,Datos!$F:$G,2,FALSE)</f>
        <v>#N/A</v>
      </c>
      <c r="Y843" s="14"/>
      <c r="Z843" t="e">
        <f>VLOOKUP(M843,'[1]INDIVIDUAL UN'!$C$6:$F$222,4,FALSE)</f>
        <v>#N/A</v>
      </c>
    </row>
    <row r="844" spans="1:26" x14ac:dyDescent="0.35">
      <c r="A844" s="9" t="s">
        <v>25</v>
      </c>
      <c r="D844" s="10" t="s">
        <v>29</v>
      </c>
      <c r="J844" s="9"/>
      <c r="O844" s="78"/>
      <c r="P844" s="9"/>
      <c r="Q844" s="12" t="e">
        <f>+VLOOKUP(P844,Datos!$F:$G,2,FALSE)</f>
        <v>#N/A</v>
      </c>
      <c r="Y844" s="14"/>
      <c r="Z844" t="e">
        <f>VLOOKUP(M844,'[1]INDIVIDUAL UN'!$C$6:$F$222,4,FALSE)</f>
        <v>#N/A</v>
      </c>
    </row>
    <row r="845" spans="1:26" x14ac:dyDescent="0.35">
      <c r="A845" s="9" t="s">
        <v>25</v>
      </c>
      <c r="D845" s="10" t="s">
        <v>29</v>
      </c>
      <c r="J845" s="9"/>
      <c r="O845" s="78"/>
      <c r="P845" s="9"/>
      <c r="Q845" s="12" t="e">
        <f>+VLOOKUP(P845,Datos!$F:$G,2,FALSE)</f>
        <v>#N/A</v>
      </c>
      <c r="Y845" s="14"/>
      <c r="Z845" t="e">
        <f>VLOOKUP(M845,'[1]INDIVIDUAL UN'!$C$6:$F$222,4,FALSE)</f>
        <v>#N/A</v>
      </c>
    </row>
    <row r="846" spans="1:26" x14ac:dyDescent="0.35">
      <c r="A846" s="9" t="s">
        <v>25</v>
      </c>
      <c r="D846" s="10" t="s">
        <v>29</v>
      </c>
      <c r="J846" s="9"/>
      <c r="O846" s="78"/>
      <c r="P846" s="9"/>
      <c r="Q846" s="12" t="e">
        <f>+VLOOKUP(P846,Datos!$F:$G,2,FALSE)</f>
        <v>#N/A</v>
      </c>
      <c r="Y846" s="14"/>
      <c r="Z846" t="e">
        <f>VLOOKUP(M846,'[1]INDIVIDUAL UN'!$C$6:$F$222,4,FALSE)</f>
        <v>#N/A</v>
      </c>
    </row>
    <row r="847" spans="1:26" x14ac:dyDescent="0.35">
      <c r="A847" s="9" t="s">
        <v>25</v>
      </c>
      <c r="D847" s="10" t="s">
        <v>29</v>
      </c>
      <c r="J847" s="9"/>
      <c r="O847" s="78"/>
      <c r="P847" s="9"/>
      <c r="Q847" s="12" t="e">
        <f>+VLOOKUP(P847,Datos!$F:$G,2,FALSE)</f>
        <v>#N/A</v>
      </c>
      <c r="Y847" s="14"/>
      <c r="Z847" t="e">
        <f>VLOOKUP(M847,'[1]INDIVIDUAL UN'!$C$6:$F$222,4,FALSE)</f>
        <v>#N/A</v>
      </c>
    </row>
    <row r="848" spans="1:26" x14ac:dyDescent="0.35">
      <c r="A848" s="9" t="s">
        <v>25</v>
      </c>
      <c r="D848" s="10" t="s">
        <v>29</v>
      </c>
      <c r="J848" s="9"/>
      <c r="O848" s="78"/>
      <c r="P848" s="9"/>
      <c r="Q848" s="12" t="e">
        <f>+VLOOKUP(P848,Datos!$F:$G,2,FALSE)</f>
        <v>#N/A</v>
      </c>
      <c r="Y848" s="14"/>
      <c r="Z848" t="e">
        <f>VLOOKUP(M848,'[1]INDIVIDUAL UN'!$C$6:$F$222,4,FALSE)</f>
        <v>#N/A</v>
      </c>
    </row>
    <row r="849" spans="1:26" x14ac:dyDescent="0.35">
      <c r="A849" s="9" t="s">
        <v>25</v>
      </c>
      <c r="D849" s="10" t="s">
        <v>29</v>
      </c>
      <c r="J849" s="9"/>
      <c r="O849" s="78"/>
      <c r="P849" s="9"/>
      <c r="Q849" s="12" t="e">
        <f>+VLOOKUP(P849,Datos!$F:$G,2,FALSE)</f>
        <v>#N/A</v>
      </c>
      <c r="Y849" s="14"/>
      <c r="Z849" t="e">
        <f>VLOOKUP(M849,'[1]INDIVIDUAL UN'!$C$6:$F$222,4,FALSE)</f>
        <v>#N/A</v>
      </c>
    </row>
    <row r="850" spans="1:26" x14ac:dyDescent="0.35">
      <c r="A850" s="9" t="s">
        <v>25</v>
      </c>
      <c r="D850" s="10" t="s">
        <v>29</v>
      </c>
      <c r="J850" s="9"/>
      <c r="O850" s="78"/>
      <c r="P850" s="9"/>
      <c r="Q850" s="12" t="e">
        <f>+VLOOKUP(P850,Datos!$F:$G,2,FALSE)</f>
        <v>#N/A</v>
      </c>
      <c r="Y850" s="14"/>
      <c r="Z850" t="e">
        <f>VLOOKUP(M850,'[1]INDIVIDUAL UN'!$C$6:$F$222,4,FALSE)</f>
        <v>#N/A</v>
      </c>
    </row>
    <row r="851" spans="1:26" x14ac:dyDescent="0.35">
      <c r="A851" s="9" t="s">
        <v>25</v>
      </c>
      <c r="D851" s="10" t="s">
        <v>29</v>
      </c>
      <c r="J851" s="9"/>
      <c r="O851" s="78"/>
      <c r="P851" s="9"/>
      <c r="Q851" s="12" t="e">
        <f>+VLOOKUP(P851,Datos!$F:$G,2,FALSE)</f>
        <v>#N/A</v>
      </c>
      <c r="Y851" s="14"/>
      <c r="Z851" t="e">
        <f>VLOOKUP(M851,'[1]INDIVIDUAL UN'!$C$6:$F$222,4,FALSE)</f>
        <v>#N/A</v>
      </c>
    </row>
    <row r="852" spans="1:26" x14ac:dyDescent="0.35">
      <c r="A852" s="9" t="s">
        <v>25</v>
      </c>
      <c r="D852" s="10" t="s">
        <v>29</v>
      </c>
      <c r="J852" s="9"/>
      <c r="O852" s="78"/>
      <c r="P852" s="9"/>
      <c r="Q852" s="12" t="e">
        <f>+VLOOKUP(P852,Datos!$F:$G,2,FALSE)</f>
        <v>#N/A</v>
      </c>
      <c r="Y852" s="14"/>
      <c r="Z852" t="e">
        <f>VLOOKUP(M852,'[1]INDIVIDUAL UN'!$C$6:$F$222,4,FALSE)</f>
        <v>#N/A</v>
      </c>
    </row>
    <row r="853" spans="1:26" x14ac:dyDescent="0.35">
      <c r="A853" s="9" t="s">
        <v>25</v>
      </c>
      <c r="D853" s="10" t="s">
        <v>29</v>
      </c>
      <c r="J853" s="9"/>
      <c r="O853" s="78"/>
      <c r="P853" s="9"/>
      <c r="Q853" s="12" t="e">
        <f>+VLOOKUP(P853,Datos!$F:$G,2,FALSE)</f>
        <v>#N/A</v>
      </c>
      <c r="Y853" s="14"/>
      <c r="Z853" t="e">
        <f>VLOOKUP(M853,'[1]INDIVIDUAL UN'!$C$6:$F$222,4,FALSE)</f>
        <v>#N/A</v>
      </c>
    </row>
    <row r="854" spans="1:26" x14ac:dyDescent="0.35">
      <c r="A854" s="9" t="s">
        <v>25</v>
      </c>
      <c r="D854" s="10" t="s">
        <v>29</v>
      </c>
      <c r="J854" s="9"/>
      <c r="O854" s="78"/>
      <c r="P854" s="9"/>
      <c r="Q854" s="12" t="e">
        <f>+VLOOKUP(P854,Datos!$F:$G,2,FALSE)</f>
        <v>#N/A</v>
      </c>
      <c r="Y854" s="14"/>
      <c r="Z854" t="e">
        <f>VLOOKUP(M854,'[1]INDIVIDUAL UN'!$C$6:$F$222,4,FALSE)</f>
        <v>#N/A</v>
      </c>
    </row>
    <row r="855" spans="1:26" x14ac:dyDescent="0.35">
      <c r="A855" s="9" t="s">
        <v>25</v>
      </c>
      <c r="D855" s="10" t="s">
        <v>29</v>
      </c>
      <c r="J855" s="9"/>
      <c r="O855" s="78"/>
      <c r="P855" s="9"/>
      <c r="Q855" s="12" t="e">
        <f>+VLOOKUP(P855,Datos!$F:$G,2,FALSE)</f>
        <v>#N/A</v>
      </c>
      <c r="Y855" s="14"/>
      <c r="Z855" t="e">
        <f>VLOOKUP(M855,'[1]INDIVIDUAL UN'!$C$6:$F$222,4,FALSE)</f>
        <v>#N/A</v>
      </c>
    </row>
    <row r="856" spans="1:26" x14ac:dyDescent="0.35">
      <c r="A856" s="9" t="s">
        <v>25</v>
      </c>
      <c r="D856" s="10" t="s">
        <v>29</v>
      </c>
      <c r="J856" s="9"/>
      <c r="O856" s="78"/>
      <c r="P856" s="9"/>
      <c r="Q856" s="12" t="e">
        <f>+VLOOKUP(P856,Datos!$F:$G,2,FALSE)</f>
        <v>#N/A</v>
      </c>
      <c r="Y856" s="14"/>
      <c r="Z856" t="e">
        <f>VLOOKUP(M856,'[1]INDIVIDUAL UN'!$C$6:$F$222,4,FALSE)</f>
        <v>#N/A</v>
      </c>
    </row>
    <row r="857" spans="1:26" x14ac:dyDescent="0.35">
      <c r="A857" s="9" t="s">
        <v>25</v>
      </c>
      <c r="D857" s="10" t="s">
        <v>29</v>
      </c>
      <c r="J857" s="9"/>
      <c r="O857" s="78"/>
      <c r="P857" s="9"/>
      <c r="Q857" s="12" t="e">
        <f>+VLOOKUP(P857,Datos!$F:$G,2,FALSE)</f>
        <v>#N/A</v>
      </c>
      <c r="Y857" s="14"/>
      <c r="Z857" t="e">
        <f>VLOOKUP(M857,'[1]INDIVIDUAL UN'!$C$6:$F$222,4,FALSE)</f>
        <v>#N/A</v>
      </c>
    </row>
    <row r="858" spans="1:26" x14ac:dyDescent="0.35">
      <c r="A858" s="9" t="s">
        <v>25</v>
      </c>
      <c r="D858" s="10" t="s">
        <v>29</v>
      </c>
      <c r="J858" s="9"/>
      <c r="O858" s="78"/>
      <c r="P858" s="9"/>
      <c r="Q858" s="12" t="e">
        <f>+VLOOKUP(P858,Datos!$F:$G,2,FALSE)</f>
        <v>#N/A</v>
      </c>
      <c r="Y858" s="14"/>
      <c r="Z858" t="e">
        <f>VLOOKUP(M858,'[1]INDIVIDUAL UN'!$C$6:$F$222,4,FALSE)</f>
        <v>#N/A</v>
      </c>
    </row>
    <row r="859" spans="1:26" x14ac:dyDescent="0.35">
      <c r="A859" s="9" t="s">
        <v>25</v>
      </c>
      <c r="D859" s="10" t="s">
        <v>29</v>
      </c>
      <c r="J859" s="9"/>
      <c r="O859" s="78"/>
      <c r="P859" s="9"/>
      <c r="Q859" s="12" t="e">
        <f>+VLOOKUP(P859,Datos!$F:$G,2,FALSE)</f>
        <v>#N/A</v>
      </c>
      <c r="Y859" s="14"/>
      <c r="Z859" t="e">
        <f>VLOOKUP(M859,'[1]INDIVIDUAL UN'!$C$6:$F$222,4,FALSE)</f>
        <v>#N/A</v>
      </c>
    </row>
    <row r="860" spans="1:26" x14ac:dyDescent="0.35">
      <c r="A860" s="9" t="s">
        <v>25</v>
      </c>
      <c r="D860" s="10" t="s">
        <v>29</v>
      </c>
      <c r="J860" s="9"/>
      <c r="O860" s="78"/>
      <c r="P860" s="9"/>
      <c r="Q860" s="12" t="e">
        <f>+VLOOKUP(P860,Datos!$F:$G,2,FALSE)</f>
        <v>#N/A</v>
      </c>
      <c r="Y860" s="14"/>
      <c r="Z860" t="e">
        <f>VLOOKUP(M860,'[1]INDIVIDUAL UN'!$C$6:$F$222,4,FALSE)</f>
        <v>#N/A</v>
      </c>
    </row>
    <row r="861" spans="1:26" x14ac:dyDescent="0.35">
      <c r="A861" s="9" t="s">
        <v>25</v>
      </c>
      <c r="D861" s="10" t="s">
        <v>29</v>
      </c>
      <c r="J861" s="9"/>
      <c r="O861" s="78"/>
      <c r="P861" s="9"/>
      <c r="Q861" s="12" t="e">
        <f>+VLOOKUP(P861,Datos!$F:$G,2,FALSE)</f>
        <v>#N/A</v>
      </c>
      <c r="Y861" s="14"/>
      <c r="Z861" t="e">
        <f>VLOOKUP(M861,'[1]INDIVIDUAL UN'!$C$6:$F$222,4,FALSE)</f>
        <v>#N/A</v>
      </c>
    </row>
    <row r="862" spans="1:26" x14ac:dyDescent="0.35">
      <c r="A862" s="9" t="s">
        <v>25</v>
      </c>
      <c r="D862" s="10" t="s">
        <v>29</v>
      </c>
      <c r="J862" s="9"/>
      <c r="O862" s="78"/>
      <c r="P862" s="9"/>
      <c r="Q862" s="12" t="e">
        <f>+VLOOKUP(P862,Datos!$F:$G,2,FALSE)</f>
        <v>#N/A</v>
      </c>
      <c r="Y862" s="14"/>
      <c r="Z862" t="e">
        <f>VLOOKUP(M862,'[1]INDIVIDUAL UN'!$C$6:$F$222,4,FALSE)</f>
        <v>#N/A</v>
      </c>
    </row>
    <row r="863" spans="1:26" x14ac:dyDescent="0.35">
      <c r="A863" s="9" t="s">
        <v>25</v>
      </c>
      <c r="D863" s="10" t="s">
        <v>29</v>
      </c>
      <c r="J863" s="9"/>
      <c r="O863" s="78"/>
      <c r="P863" s="9"/>
      <c r="Q863" s="12" t="e">
        <f>+VLOOKUP(P863,Datos!$F:$G,2,FALSE)</f>
        <v>#N/A</v>
      </c>
      <c r="Y863" s="14"/>
      <c r="Z863" t="e">
        <f>VLOOKUP(M863,'[1]INDIVIDUAL UN'!$C$6:$F$222,4,FALSE)</f>
        <v>#N/A</v>
      </c>
    </row>
    <row r="864" spans="1:26" x14ac:dyDescent="0.35">
      <c r="A864" s="9" t="s">
        <v>25</v>
      </c>
      <c r="D864" s="10" t="s">
        <v>29</v>
      </c>
      <c r="J864" s="9"/>
      <c r="O864" s="78"/>
      <c r="P864" s="9"/>
      <c r="Q864" s="12" t="e">
        <f>+VLOOKUP(P864,Datos!$F:$G,2,FALSE)</f>
        <v>#N/A</v>
      </c>
      <c r="Y864" s="14"/>
      <c r="Z864" t="e">
        <f>VLOOKUP(M864,'[1]INDIVIDUAL UN'!$C$6:$F$222,4,FALSE)</f>
        <v>#N/A</v>
      </c>
    </row>
    <row r="865" spans="1:26" x14ac:dyDescent="0.35">
      <c r="A865" s="9" t="s">
        <v>25</v>
      </c>
      <c r="D865" s="10" t="s">
        <v>29</v>
      </c>
      <c r="J865" s="9"/>
      <c r="O865" s="78"/>
      <c r="P865" s="9"/>
      <c r="Q865" s="12" t="e">
        <f>+VLOOKUP(P865,Datos!$F:$G,2,FALSE)</f>
        <v>#N/A</v>
      </c>
      <c r="Y865" s="14"/>
      <c r="Z865" t="e">
        <f>VLOOKUP(M865,'[1]INDIVIDUAL UN'!$C$6:$F$222,4,FALSE)</f>
        <v>#N/A</v>
      </c>
    </row>
    <row r="866" spans="1:26" x14ac:dyDescent="0.35">
      <c r="A866" s="9" t="s">
        <v>25</v>
      </c>
      <c r="D866" s="10" t="s">
        <v>29</v>
      </c>
      <c r="J866" s="9"/>
      <c r="O866" s="78"/>
      <c r="P866" s="9"/>
      <c r="Q866" s="12" t="e">
        <f>+VLOOKUP(P866,Datos!$F:$G,2,FALSE)</f>
        <v>#N/A</v>
      </c>
      <c r="Y866" s="14"/>
      <c r="Z866" t="e">
        <f>VLOOKUP(M866,'[1]INDIVIDUAL UN'!$C$6:$F$222,4,FALSE)</f>
        <v>#N/A</v>
      </c>
    </row>
    <row r="867" spans="1:26" x14ac:dyDescent="0.35">
      <c r="A867" s="9" t="s">
        <v>25</v>
      </c>
      <c r="D867" s="10" t="s">
        <v>29</v>
      </c>
      <c r="J867" s="9"/>
      <c r="O867" s="78"/>
      <c r="P867" s="9"/>
      <c r="Q867" s="12" t="e">
        <f>+VLOOKUP(P867,Datos!$F:$G,2,FALSE)</f>
        <v>#N/A</v>
      </c>
      <c r="Y867" s="14"/>
      <c r="Z867" t="e">
        <f>VLOOKUP(M867,'[1]INDIVIDUAL UN'!$C$6:$F$222,4,FALSE)</f>
        <v>#N/A</v>
      </c>
    </row>
    <row r="868" spans="1:26" x14ac:dyDescent="0.35">
      <c r="A868" s="9" t="s">
        <v>25</v>
      </c>
      <c r="D868" s="10" t="s">
        <v>29</v>
      </c>
      <c r="J868" s="9"/>
      <c r="O868" s="78"/>
      <c r="P868" s="9"/>
      <c r="Q868" s="12" t="e">
        <f>+VLOOKUP(P868,Datos!$F:$G,2,FALSE)</f>
        <v>#N/A</v>
      </c>
      <c r="Y868" s="14"/>
      <c r="Z868" t="e">
        <f>VLOOKUP(M868,'[1]INDIVIDUAL UN'!$C$6:$F$222,4,FALSE)</f>
        <v>#N/A</v>
      </c>
    </row>
    <row r="869" spans="1:26" x14ac:dyDescent="0.35">
      <c r="A869" s="9" t="s">
        <v>25</v>
      </c>
      <c r="D869" s="10" t="s">
        <v>29</v>
      </c>
      <c r="J869" s="9"/>
      <c r="O869" s="78"/>
      <c r="P869" s="9"/>
      <c r="Q869" s="12" t="e">
        <f>+VLOOKUP(P869,Datos!$F:$G,2,FALSE)</f>
        <v>#N/A</v>
      </c>
      <c r="Y869" s="14"/>
      <c r="Z869" t="e">
        <f>VLOOKUP(M869,'[1]INDIVIDUAL UN'!$C$6:$F$222,4,FALSE)</f>
        <v>#N/A</v>
      </c>
    </row>
    <row r="870" spans="1:26" x14ac:dyDescent="0.35">
      <c r="A870" s="9" t="s">
        <v>25</v>
      </c>
      <c r="D870" s="10" t="s">
        <v>29</v>
      </c>
      <c r="J870" s="9"/>
      <c r="O870" s="78"/>
      <c r="P870" s="9"/>
      <c r="Q870" s="12" t="e">
        <f>+VLOOKUP(P870,Datos!$F:$G,2,FALSE)</f>
        <v>#N/A</v>
      </c>
      <c r="Y870" s="14"/>
      <c r="Z870" t="e">
        <f>VLOOKUP(M870,'[1]INDIVIDUAL UN'!$C$6:$F$222,4,FALSE)</f>
        <v>#N/A</v>
      </c>
    </row>
    <row r="871" spans="1:26" x14ac:dyDescent="0.35">
      <c r="A871" s="9" t="s">
        <v>25</v>
      </c>
      <c r="D871" s="10" t="s">
        <v>29</v>
      </c>
      <c r="J871" s="9"/>
      <c r="O871" s="78"/>
      <c r="P871" s="9"/>
      <c r="Q871" s="12" t="e">
        <f>+VLOOKUP(P871,Datos!$F:$G,2,FALSE)</f>
        <v>#N/A</v>
      </c>
      <c r="Y871" s="14"/>
      <c r="Z871" t="e">
        <f>VLOOKUP(M871,'[1]INDIVIDUAL UN'!$C$6:$F$222,4,FALSE)</f>
        <v>#N/A</v>
      </c>
    </row>
    <row r="872" spans="1:26" x14ac:dyDescent="0.35">
      <c r="A872" s="9" t="s">
        <v>25</v>
      </c>
      <c r="D872" s="10" t="s">
        <v>29</v>
      </c>
      <c r="J872" s="9"/>
      <c r="O872" s="78"/>
      <c r="P872" s="9"/>
      <c r="Q872" s="12" t="e">
        <f>+VLOOKUP(P872,Datos!$F:$G,2,FALSE)</f>
        <v>#N/A</v>
      </c>
      <c r="Y872" s="14"/>
      <c r="Z872" t="e">
        <f>VLOOKUP(M872,'[1]INDIVIDUAL UN'!$C$6:$F$222,4,FALSE)</f>
        <v>#N/A</v>
      </c>
    </row>
    <row r="873" spans="1:26" x14ac:dyDescent="0.35">
      <c r="A873" s="9" t="s">
        <v>25</v>
      </c>
      <c r="D873" s="10" t="s">
        <v>29</v>
      </c>
      <c r="J873" s="9"/>
      <c r="O873" s="78"/>
      <c r="P873" s="9"/>
      <c r="Q873" s="12" t="e">
        <f>+VLOOKUP(P873,Datos!$F:$G,2,FALSE)</f>
        <v>#N/A</v>
      </c>
      <c r="Y873" s="14"/>
      <c r="Z873" t="e">
        <f>VLOOKUP(M873,'[1]INDIVIDUAL UN'!$C$6:$F$222,4,FALSE)</f>
        <v>#N/A</v>
      </c>
    </row>
    <row r="874" spans="1:26" x14ac:dyDescent="0.35">
      <c r="A874" s="9" t="s">
        <v>25</v>
      </c>
      <c r="D874" s="10" t="s">
        <v>29</v>
      </c>
      <c r="J874" s="9"/>
      <c r="O874" s="78"/>
      <c r="P874" s="9"/>
      <c r="Q874" s="12" t="e">
        <f>+VLOOKUP(P874,Datos!$F:$G,2,FALSE)</f>
        <v>#N/A</v>
      </c>
      <c r="Y874" s="14"/>
      <c r="Z874" t="e">
        <f>VLOOKUP(M874,'[1]INDIVIDUAL UN'!$C$6:$F$222,4,FALSE)</f>
        <v>#N/A</v>
      </c>
    </row>
    <row r="875" spans="1:26" x14ac:dyDescent="0.35">
      <c r="A875" s="9" t="s">
        <v>25</v>
      </c>
      <c r="D875" s="10" t="s">
        <v>29</v>
      </c>
      <c r="J875" s="9"/>
      <c r="O875" s="78"/>
      <c r="P875" s="9"/>
      <c r="Q875" s="12" t="e">
        <f>+VLOOKUP(P875,Datos!$F:$G,2,FALSE)</f>
        <v>#N/A</v>
      </c>
      <c r="Y875" s="14"/>
      <c r="Z875" t="e">
        <f>VLOOKUP(M875,'[1]INDIVIDUAL UN'!$C$6:$F$222,4,FALSE)</f>
        <v>#N/A</v>
      </c>
    </row>
    <row r="876" spans="1:26" x14ac:dyDescent="0.35">
      <c r="A876" s="9" t="s">
        <v>25</v>
      </c>
      <c r="D876" s="10" t="s">
        <v>29</v>
      </c>
      <c r="J876" s="9"/>
      <c r="O876" s="78"/>
      <c r="P876" s="9"/>
      <c r="Q876" s="12" t="e">
        <f>+VLOOKUP(P876,Datos!$F:$G,2,FALSE)</f>
        <v>#N/A</v>
      </c>
      <c r="Y876" s="14"/>
      <c r="Z876" t="e">
        <f>VLOOKUP(M876,'[1]INDIVIDUAL UN'!$C$6:$F$222,4,FALSE)</f>
        <v>#N/A</v>
      </c>
    </row>
    <row r="877" spans="1:26" x14ac:dyDescent="0.35">
      <c r="A877" s="9" t="s">
        <v>25</v>
      </c>
      <c r="D877" s="10" t="s">
        <v>29</v>
      </c>
      <c r="J877" s="9"/>
      <c r="O877" s="78"/>
      <c r="P877" s="9"/>
      <c r="Q877" s="12" t="e">
        <f>+VLOOKUP(P877,Datos!$F:$G,2,FALSE)</f>
        <v>#N/A</v>
      </c>
      <c r="Y877" s="14"/>
      <c r="Z877" t="e">
        <f>VLOOKUP(M877,'[1]INDIVIDUAL UN'!$C$6:$F$222,4,FALSE)</f>
        <v>#N/A</v>
      </c>
    </row>
    <row r="878" spans="1:26" x14ac:dyDescent="0.35">
      <c r="A878" s="9" t="s">
        <v>25</v>
      </c>
      <c r="D878" s="10" t="s">
        <v>29</v>
      </c>
      <c r="J878" s="9"/>
      <c r="O878" s="78"/>
      <c r="P878" s="9"/>
      <c r="Q878" s="12" t="e">
        <f>+VLOOKUP(P878,Datos!$F:$G,2,FALSE)</f>
        <v>#N/A</v>
      </c>
      <c r="Y878" s="14"/>
      <c r="Z878" t="e">
        <f>VLOOKUP(M878,'[1]INDIVIDUAL UN'!$C$6:$F$222,4,FALSE)</f>
        <v>#N/A</v>
      </c>
    </row>
    <row r="879" spans="1:26" x14ac:dyDescent="0.35">
      <c r="A879" s="9" t="s">
        <v>25</v>
      </c>
      <c r="D879" s="10" t="s">
        <v>29</v>
      </c>
      <c r="J879" s="9"/>
      <c r="O879" s="78"/>
      <c r="P879" s="9"/>
      <c r="Q879" s="12" t="e">
        <f>+VLOOKUP(P879,Datos!$F:$G,2,FALSE)</f>
        <v>#N/A</v>
      </c>
      <c r="Y879" s="14"/>
      <c r="Z879" t="e">
        <f>VLOOKUP(M879,'[1]INDIVIDUAL UN'!$C$6:$F$222,4,FALSE)</f>
        <v>#N/A</v>
      </c>
    </row>
    <row r="880" spans="1:26" x14ac:dyDescent="0.35">
      <c r="A880" s="9" t="s">
        <v>25</v>
      </c>
      <c r="D880" s="10" t="s">
        <v>29</v>
      </c>
      <c r="J880" s="9"/>
      <c r="O880" s="78"/>
      <c r="P880" s="9"/>
      <c r="Q880" s="12" t="e">
        <f>+VLOOKUP(P880,Datos!$F:$G,2,FALSE)</f>
        <v>#N/A</v>
      </c>
      <c r="Y880" s="14"/>
      <c r="Z880" t="e">
        <f>VLOOKUP(M880,'[1]INDIVIDUAL UN'!$C$6:$F$222,4,FALSE)</f>
        <v>#N/A</v>
      </c>
    </row>
    <row r="881" spans="1:26" x14ac:dyDescent="0.35">
      <c r="A881" s="9" t="s">
        <v>25</v>
      </c>
      <c r="D881" s="10" t="s">
        <v>29</v>
      </c>
      <c r="J881" s="9"/>
      <c r="O881" s="78"/>
      <c r="P881" s="9"/>
      <c r="Q881" s="12" t="e">
        <f>+VLOOKUP(P881,Datos!$F:$G,2,FALSE)</f>
        <v>#N/A</v>
      </c>
      <c r="Y881" s="14"/>
      <c r="Z881" t="e">
        <f>VLOOKUP(M881,'[1]INDIVIDUAL UN'!$C$6:$F$222,4,FALSE)</f>
        <v>#N/A</v>
      </c>
    </row>
    <row r="882" spans="1:26" x14ac:dyDescent="0.35">
      <c r="A882" s="9" t="s">
        <v>25</v>
      </c>
      <c r="D882" s="10" t="s">
        <v>29</v>
      </c>
      <c r="J882" s="9"/>
      <c r="O882" s="78"/>
      <c r="P882" s="9"/>
      <c r="Q882" s="12" t="e">
        <f>+VLOOKUP(P882,Datos!$F:$G,2,FALSE)</f>
        <v>#N/A</v>
      </c>
      <c r="Y882" s="14"/>
      <c r="Z882" t="e">
        <f>VLOOKUP(M882,'[1]INDIVIDUAL UN'!$C$6:$F$222,4,FALSE)</f>
        <v>#N/A</v>
      </c>
    </row>
    <row r="883" spans="1:26" x14ac:dyDescent="0.35">
      <c r="A883" s="9" t="s">
        <v>25</v>
      </c>
      <c r="D883" s="10" t="s">
        <v>29</v>
      </c>
      <c r="J883" s="9"/>
      <c r="O883" s="78"/>
      <c r="P883" s="9"/>
      <c r="Q883" s="12" t="e">
        <f>+VLOOKUP(P883,Datos!$F:$G,2,FALSE)</f>
        <v>#N/A</v>
      </c>
      <c r="Y883" s="14"/>
      <c r="Z883" t="e">
        <f>VLOOKUP(M883,'[1]INDIVIDUAL UN'!$C$6:$F$222,4,FALSE)</f>
        <v>#N/A</v>
      </c>
    </row>
    <row r="884" spans="1:26" x14ac:dyDescent="0.35">
      <c r="A884" s="9" t="s">
        <v>25</v>
      </c>
      <c r="D884" s="10" t="s">
        <v>29</v>
      </c>
      <c r="J884" s="9"/>
      <c r="O884" s="78"/>
      <c r="P884" s="9"/>
      <c r="Q884" s="12" t="e">
        <f>+VLOOKUP(P884,Datos!$F:$G,2,FALSE)</f>
        <v>#N/A</v>
      </c>
      <c r="Y884" s="14"/>
      <c r="Z884" t="e">
        <f>VLOOKUP(M884,'[1]INDIVIDUAL UN'!$C$6:$F$222,4,FALSE)</f>
        <v>#N/A</v>
      </c>
    </row>
    <row r="885" spans="1:26" x14ac:dyDescent="0.35">
      <c r="A885" s="9" t="s">
        <v>25</v>
      </c>
      <c r="D885" s="10" t="s">
        <v>29</v>
      </c>
      <c r="J885" s="9"/>
      <c r="O885" s="78"/>
      <c r="P885" s="9"/>
      <c r="Q885" s="12" t="e">
        <f>+VLOOKUP(P885,Datos!$F:$G,2,FALSE)</f>
        <v>#N/A</v>
      </c>
      <c r="Y885" s="14"/>
      <c r="Z885" t="e">
        <f>VLOOKUP(M885,'[1]INDIVIDUAL UN'!$C$6:$F$222,4,FALSE)</f>
        <v>#N/A</v>
      </c>
    </row>
    <row r="886" spans="1:26" x14ac:dyDescent="0.35">
      <c r="A886" s="9" t="s">
        <v>25</v>
      </c>
      <c r="D886" s="10" t="s">
        <v>29</v>
      </c>
      <c r="J886" s="9"/>
      <c r="O886" s="78"/>
      <c r="P886" s="9"/>
      <c r="Q886" s="12" t="e">
        <f>+VLOOKUP(P886,Datos!$F:$G,2,FALSE)</f>
        <v>#N/A</v>
      </c>
      <c r="Y886" s="14"/>
      <c r="Z886" t="e">
        <f>VLOOKUP(M886,'[1]INDIVIDUAL UN'!$C$6:$F$222,4,FALSE)</f>
        <v>#N/A</v>
      </c>
    </row>
    <row r="887" spans="1:26" x14ac:dyDescent="0.35">
      <c r="A887" s="9" t="s">
        <v>25</v>
      </c>
      <c r="D887" s="10" t="s">
        <v>29</v>
      </c>
      <c r="J887" s="9"/>
      <c r="O887" s="78"/>
      <c r="P887" s="9"/>
      <c r="Q887" s="12" t="e">
        <f>+VLOOKUP(P887,Datos!$F:$G,2,FALSE)</f>
        <v>#N/A</v>
      </c>
      <c r="Y887" s="14"/>
      <c r="Z887" t="e">
        <f>VLOOKUP(M887,'[1]INDIVIDUAL UN'!$C$6:$F$222,4,FALSE)</f>
        <v>#N/A</v>
      </c>
    </row>
    <row r="888" spans="1:26" x14ac:dyDescent="0.35">
      <c r="A888" s="9" t="s">
        <v>25</v>
      </c>
      <c r="D888" s="10" t="s">
        <v>29</v>
      </c>
      <c r="J888" s="9"/>
      <c r="O888" s="78"/>
      <c r="P888" s="9"/>
      <c r="Q888" s="12" t="e">
        <f>+VLOOKUP(P888,Datos!$F:$G,2,FALSE)</f>
        <v>#N/A</v>
      </c>
      <c r="Y888" s="14"/>
      <c r="Z888" t="e">
        <f>VLOOKUP(M888,'[1]INDIVIDUAL UN'!$C$6:$F$222,4,FALSE)</f>
        <v>#N/A</v>
      </c>
    </row>
    <row r="889" spans="1:26" x14ac:dyDescent="0.35">
      <c r="A889" s="9" t="s">
        <v>25</v>
      </c>
      <c r="D889" s="10" t="s">
        <v>29</v>
      </c>
      <c r="J889" s="9"/>
      <c r="O889" s="78"/>
      <c r="P889" s="9"/>
      <c r="Q889" s="12" t="e">
        <f>+VLOOKUP(P889,Datos!$F:$G,2,FALSE)</f>
        <v>#N/A</v>
      </c>
      <c r="Y889" s="14"/>
      <c r="Z889" t="e">
        <f>VLOOKUP(M889,'[1]INDIVIDUAL UN'!$C$6:$F$222,4,FALSE)</f>
        <v>#N/A</v>
      </c>
    </row>
    <row r="890" spans="1:26" x14ac:dyDescent="0.35">
      <c r="A890" s="9" t="s">
        <v>25</v>
      </c>
      <c r="D890" s="10" t="s">
        <v>29</v>
      </c>
      <c r="J890" s="9"/>
      <c r="O890" s="78"/>
      <c r="P890" s="9"/>
      <c r="Q890" s="12" t="e">
        <f>+VLOOKUP(P890,Datos!$F:$G,2,FALSE)</f>
        <v>#N/A</v>
      </c>
      <c r="Y890" s="14"/>
      <c r="Z890" t="e">
        <f>VLOOKUP(M890,'[1]INDIVIDUAL UN'!$C$6:$F$222,4,FALSE)</f>
        <v>#N/A</v>
      </c>
    </row>
    <row r="891" spans="1:26" x14ac:dyDescent="0.35">
      <c r="A891" s="9" t="s">
        <v>25</v>
      </c>
      <c r="D891" s="10" t="s">
        <v>29</v>
      </c>
      <c r="J891" s="9"/>
      <c r="O891" s="78"/>
      <c r="P891" s="9"/>
      <c r="Q891" s="12" t="e">
        <f>+VLOOKUP(P891,Datos!$F:$G,2,FALSE)</f>
        <v>#N/A</v>
      </c>
      <c r="Y891" s="14"/>
      <c r="Z891" t="e">
        <f>VLOOKUP(M891,'[1]INDIVIDUAL UN'!$C$6:$F$222,4,FALSE)</f>
        <v>#N/A</v>
      </c>
    </row>
    <row r="892" spans="1:26" x14ac:dyDescent="0.35">
      <c r="A892" s="9" t="s">
        <v>25</v>
      </c>
      <c r="D892" s="10" t="s">
        <v>29</v>
      </c>
      <c r="J892" s="9"/>
      <c r="O892" s="78"/>
      <c r="P892" s="9"/>
      <c r="Q892" s="12" t="e">
        <f>+VLOOKUP(P892,Datos!$F:$G,2,FALSE)</f>
        <v>#N/A</v>
      </c>
      <c r="Y892" s="14"/>
      <c r="Z892" t="e">
        <f>VLOOKUP(M892,'[1]INDIVIDUAL UN'!$C$6:$F$222,4,FALSE)</f>
        <v>#N/A</v>
      </c>
    </row>
    <row r="893" spans="1:26" x14ac:dyDescent="0.35">
      <c r="A893" s="9" t="s">
        <v>25</v>
      </c>
      <c r="D893" s="10" t="s">
        <v>29</v>
      </c>
      <c r="J893" s="9"/>
      <c r="O893" s="78"/>
      <c r="P893" s="9"/>
      <c r="Q893" s="12" t="e">
        <f>+VLOOKUP(P893,Datos!$F:$G,2,FALSE)</f>
        <v>#N/A</v>
      </c>
      <c r="Y893" s="14"/>
      <c r="Z893" t="e">
        <f>VLOOKUP(M893,'[1]INDIVIDUAL UN'!$C$6:$F$222,4,FALSE)</f>
        <v>#N/A</v>
      </c>
    </row>
    <row r="894" spans="1:26" x14ac:dyDescent="0.35">
      <c r="A894" s="9" t="s">
        <v>25</v>
      </c>
      <c r="D894" s="10" t="s">
        <v>29</v>
      </c>
      <c r="J894" s="9"/>
      <c r="O894" s="78"/>
      <c r="P894" s="9"/>
      <c r="Q894" s="12" t="e">
        <f>+VLOOKUP(P894,Datos!$F:$G,2,FALSE)</f>
        <v>#N/A</v>
      </c>
      <c r="Y894" s="14"/>
      <c r="Z894" t="e">
        <f>VLOOKUP(M894,'[1]INDIVIDUAL UN'!$C$6:$F$222,4,FALSE)</f>
        <v>#N/A</v>
      </c>
    </row>
    <row r="895" spans="1:26" x14ac:dyDescent="0.35">
      <c r="A895" s="9" t="s">
        <v>25</v>
      </c>
      <c r="D895" s="10" t="s">
        <v>29</v>
      </c>
      <c r="J895" s="9"/>
      <c r="O895" s="78"/>
      <c r="P895" s="9"/>
      <c r="Q895" s="12" t="e">
        <f>+VLOOKUP(P895,Datos!$F:$G,2,FALSE)</f>
        <v>#N/A</v>
      </c>
      <c r="Y895" s="14"/>
      <c r="Z895" t="e">
        <f>VLOOKUP(M895,'[1]INDIVIDUAL UN'!$C$6:$F$222,4,FALSE)</f>
        <v>#N/A</v>
      </c>
    </row>
    <row r="896" spans="1:26" x14ac:dyDescent="0.35">
      <c r="A896" s="9" t="s">
        <v>25</v>
      </c>
      <c r="D896" s="10" t="s">
        <v>29</v>
      </c>
      <c r="J896" s="9"/>
      <c r="O896" s="78"/>
      <c r="P896" s="9"/>
      <c r="Q896" s="12" t="e">
        <f>+VLOOKUP(P896,Datos!$F:$G,2,FALSE)</f>
        <v>#N/A</v>
      </c>
      <c r="Y896" s="14"/>
      <c r="Z896" t="e">
        <f>VLOOKUP(M896,'[1]INDIVIDUAL UN'!$C$6:$F$222,4,FALSE)</f>
        <v>#N/A</v>
      </c>
    </row>
    <row r="897" spans="1:26" x14ac:dyDescent="0.35">
      <c r="A897" s="9" t="s">
        <v>25</v>
      </c>
      <c r="D897" s="10" t="s">
        <v>29</v>
      </c>
      <c r="J897" s="9"/>
      <c r="O897" s="78"/>
      <c r="P897" s="9"/>
      <c r="Q897" s="12" t="e">
        <f>+VLOOKUP(P897,Datos!$F:$G,2,FALSE)</f>
        <v>#N/A</v>
      </c>
      <c r="Y897" s="14"/>
      <c r="Z897" t="e">
        <f>VLOOKUP(M897,'[1]INDIVIDUAL UN'!$C$6:$F$222,4,FALSE)</f>
        <v>#N/A</v>
      </c>
    </row>
    <row r="898" spans="1:26" x14ac:dyDescent="0.35">
      <c r="A898" s="9" t="s">
        <v>25</v>
      </c>
      <c r="D898" s="10" t="s">
        <v>29</v>
      </c>
      <c r="J898" s="9"/>
      <c r="O898" s="78"/>
      <c r="P898" s="9"/>
      <c r="Q898" s="12" t="e">
        <f>+VLOOKUP(P898,Datos!$F:$G,2,FALSE)</f>
        <v>#N/A</v>
      </c>
      <c r="Y898" s="14"/>
      <c r="Z898" t="e">
        <f>VLOOKUP(M898,'[1]INDIVIDUAL UN'!$C$6:$F$222,4,FALSE)</f>
        <v>#N/A</v>
      </c>
    </row>
    <row r="899" spans="1:26" x14ac:dyDescent="0.35">
      <c r="A899" s="9" t="s">
        <v>25</v>
      </c>
      <c r="D899" s="10" t="s">
        <v>29</v>
      </c>
      <c r="J899" s="9"/>
      <c r="O899" s="78"/>
      <c r="P899" s="9"/>
      <c r="Q899" s="12" t="e">
        <f>+VLOOKUP(P899,Datos!$F:$G,2,FALSE)</f>
        <v>#N/A</v>
      </c>
      <c r="Y899" s="14"/>
      <c r="Z899" t="e">
        <f>VLOOKUP(M899,'[1]INDIVIDUAL UN'!$C$6:$F$222,4,FALSE)</f>
        <v>#N/A</v>
      </c>
    </row>
    <row r="900" spans="1:26" x14ac:dyDescent="0.35">
      <c r="A900" s="9" t="s">
        <v>25</v>
      </c>
      <c r="D900" s="10" t="s">
        <v>29</v>
      </c>
      <c r="J900" s="9"/>
      <c r="O900" s="78"/>
      <c r="P900" s="9"/>
      <c r="Q900" s="12" t="e">
        <f>+VLOOKUP(P900,Datos!$F:$G,2,FALSE)</f>
        <v>#N/A</v>
      </c>
      <c r="Y900" s="14"/>
      <c r="Z900" t="e">
        <f>VLOOKUP(M900,'[1]INDIVIDUAL UN'!$C$6:$F$222,4,FALSE)</f>
        <v>#N/A</v>
      </c>
    </row>
    <row r="901" spans="1:26" x14ac:dyDescent="0.35">
      <c r="A901" s="9" t="s">
        <v>25</v>
      </c>
      <c r="D901" s="10" t="s">
        <v>29</v>
      </c>
      <c r="J901" s="9"/>
      <c r="O901" s="78"/>
      <c r="P901" s="9"/>
      <c r="Q901" s="12" t="e">
        <f>+VLOOKUP(P901,Datos!$F:$G,2,FALSE)</f>
        <v>#N/A</v>
      </c>
      <c r="Y901" s="14"/>
      <c r="Z901" t="e">
        <f>VLOOKUP(M901,'[1]INDIVIDUAL UN'!$C$6:$F$222,4,FALSE)</f>
        <v>#N/A</v>
      </c>
    </row>
    <row r="902" spans="1:26" x14ac:dyDescent="0.35">
      <c r="A902" s="9" t="s">
        <v>25</v>
      </c>
      <c r="D902" s="10" t="s">
        <v>29</v>
      </c>
      <c r="J902" s="9"/>
      <c r="O902" s="78"/>
      <c r="P902" s="9"/>
      <c r="Q902" s="12" t="e">
        <f>+VLOOKUP(P902,Datos!$F:$G,2,FALSE)</f>
        <v>#N/A</v>
      </c>
      <c r="Y902" s="14"/>
      <c r="Z902" t="e">
        <f>VLOOKUP(M902,'[1]INDIVIDUAL UN'!$C$6:$F$222,4,FALSE)</f>
        <v>#N/A</v>
      </c>
    </row>
    <row r="903" spans="1:26" x14ac:dyDescent="0.35">
      <c r="A903" s="9" t="s">
        <v>25</v>
      </c>
      <c r="D903" s="10" t="s">
        <v>29</v>
      </c>
      <c r="J903" s="9"/>
      <c r="O903" s="78"/>
      <c r="P903" s="9"/>
      <c r="Q903" s="12" t="e">
        <f>+VLOOKUP(P903,Datos!$F:$G,2,FALSE)</f>
        <v>#N/A</v>
      </c>
      <c r="Y903" s="14"/>
      <c r="Z903" t="e">
        <f>VLOOKUP(M903,'[1]INDIVIDUAL UN'!$C$6:$F$222,4,FALSE)</f>
        <v>#N/A</v>
      </c>
    </row>
    <row r="904" spans="1:26" x14ac:dyDescent="0.35">
      <c r="A904" s="9" t="s">
        <v>25</v>
      </c>
      <c r="D904" s="10" t="s">
        <v>29</v>
      </c>
      <c r="J904" s="9"/>
      <c r="O904" s="78"/>
      <c r="P904" s="9"/>
      <c r="Q904" s="12" t="e">
        <f>+VLOOKUP(P904,Datos!$F:$G,2,FALSE)</f>
        <v>#N/A</v>
      </c>
      <c r="Y904" s="14"/>
      <c r="Z904" t="e">
        <f>VLOOKUP(M904,'[1]INDIVIDUAL UN'!$C$6:$F$222,4,FALSE)</f>
        <v>#N/A</v>
      </c>
    </row>
    <row r="905" spans="1:26" x14ac:dyDescent="0.35">
      <c r="A905" s="9" t="s">
        <v>25</v>
      </c>
      <c r="D905" s="10" t="s">
        <v>29</v>
      </c>
      <c r="J905" s="9"/>
      <c r="O905" s="78"/>
      <c r="P905" s="9"/>
      <c r="Q905" s="12" t="e">
        <f>+VLOOKUP(P905,Datos!$F:$G,2,FALSE)</f>
        <v>#N/A</v>
      </c>
      <c r="Y905" s="14"/>
      <c r="Z905" t="e">
        <f>VLOOKUP(M905,'[1]INDIVIDUAL UN'!$C$6:$F$222,4,FALSE)</f>
        <v>#N/A</v>
      </c>
    </row>
    <row r="906" spans="1:26" x14ac:dyDescent="0.35">
      <c r="A906" s="9" t="s">
        <v>25</v>
      </c>
      <c r="D906" s="10" t="s">
        <v>29</v>
      </c>
      <c r="J906" s="9"/>
      <c r="O906" s="78"/>
      <c r="P906" s="9"/>
      <c r="Q906" s="12" t="e">
        <f>+VLOOKUP(P906,Datos!$F:$G,2,FALSE)</f>
        <v>#N/A</v>
      </c>
      <c r="Y906" s="14"/>
      <c r="Z906" t="e">
        <f>VLOOKUP(M906,'[1]INDIVIDUAL UN'!$C$6:$F$222,4,FALSE)</f>
        <v>#N/A</v>
      </c>
    </row>
    <row r="907" spans="1:26" x14ac:dyDescent="0.35">
      <c r="A907" s="9" t="s">
        <v>25</v>
      </c>
      <c r="D907" s="10" t="s">
        <v>29</v>
      </c>
      <c r="J907" s="9"/>
      <c r="O907" s="78"/>
      <c r="P907" s="9"/>
      <c r="Q907" s="12" t="e">
        <f>+VLOOKUP(P907,Datos!$F:$G,2,FALSE)</f>
        <v>#N/A</v>
      </c>
      <c r="Y907" s="14"/>
      <c r="Z907" t="e">
        <f>VLOOKUP(M907,'[1]INDIVIDUAL UN'!$C$6:$F$222,4,FALSE)</f>
        <v>#N/A</v>
      </c>
    </row>
    <row r="908" spans="1:26" x14ac:dyDescent="0.35">
      <c r="A908" s="9" t="s">
        <v>25</v>
      </c>
      <c r="D908" s="10" t="s">
        <v>29</v>
      </c>
      <c r="J908" s="9"/>
      <c r="O908" s="78"/>
      <c r="P908" s="9"/>
      <c r="Q908" s="12" t="e">
        <f>+VLOOKUP(P908,Datos!$F:$G,2,FALSE)</f>
        <v>#N/A</v>
      </c>
      <c r="Y908" s="14"/>
      <c r="Z908" t="e">
        <f>VLOOKUP(M908,'[1]INDIVIDUAL UN'!$C$6:$F$222,4,FALSE)</f>
        <v>#N/A</v>
      </c>
    </row>
    <row r="909" spans="1:26" x14ac:dyDescent="0.35">
      <c r="A909" s="9" t="s">
        <v>25</v>
      </c>
      <c r="D909" s="10" t="s">
        <v>29</v>
      </c>
      <c r="J909" s="9"/>
      <c r="O909" s="78"/>
      <c r="P909" s="9"/>
      <c r="Q909" s="12" t="e">
        <f>+VLOOKUP(P909,Datos!$F:$G,2,FALSE)</f>
        <v>#N/A</v>
      </c>
      <c r="Y909" s="14"/>
      <c r="Z909" t="e">
        <f>VLOOKUP(M909,'[1]INDIVIDUAL UN'!$C$6:$F$222,4,FALSE)</f>
        <v>#N/A</v>
      </c>
    </row>
    <row r="910" spans="1:26" x14ac:dyDescent="0.35">
      <c r="A910" s="9" t="s">
        <v>25</v>
      </c>
      <c r="D910" s="10" t="s">
        <v>29</v>
      </c>
      <c r="J910" s="9"/>
      <c r="O910" s="78"/>
      <c r="P910" s="9"/>
      <c r="Q910" s="12" t="e">
        <f>+VLOOKUP(P910,Datos!$F:$G,2,FALSE)</f>
        <v>#N/A</v>
      </c>
      <c r="Y910" s="14"/>
      <c r="Z910" t="e">
        <f>VLOOKUP(M910,'[1]INDIVIDUAL UN'!$C$6:$F$222,4,FALSE)</f>
        <v>#N/A</v>
      </c>
    </row>
    <row r="911" spans="1:26" x14ac:dyDescent="0.35">
      <c r="A911" s="9" t="s">
        <v>25</v>
      </c>
      <c r="D911" s="10" t="s">
        <v>29</v>
      </c>
      <c r="J911" s="9"/>
      <c r="O911" s="78"/>
      <c r="P911" s="9"/>
      <c r="Q911" s="12" t="e">
        <f>+VLOOKUP(P911,Datos!$F:$G,2,FALSE)</f>
        <v>#N/A</v>
      </c>
      <c r="Y911" s="14"/>
      <c r="Z911" t="e">
        <f>VLOOKUP(M911,'[1]INDIVIDUAL UN'!$C$6:$F$222,4,FALSE)</f>
        <v>#N/A</v>
      </c>
    </row>
    <row r="912" spans="1:26" x14ac:dyDescent="0.35">
      <c r="A912" s="9" t="s">
        <v>25</v>
      </c>
      <c r="D912" s="10" t="s">
        <v>29</v>
      </c>
      <c r="J912" s="9"/>
      <c r="O912" s="78"/>
      <c r="P912" s="9"/>
      <c r="Q912" s="12" t="e">
        <f>+VLOOKUP(P912,Datos!$F:$G,2,FALSE)</f>
        <v>#N/A</v>
      </c>
      <c r="Y912" s="14"/>
      <c r="Z912" t="e">
        <f>VLOOKUP(M912,'[1]INDIVIDUAL UN'!$C$6:$F$222,4,FALSE)</f>
        <v>#N/A</v>
      </c>
    </row>
    <row r="913" spans="1:26" x14ac:dyDescent="0.35">
      <c r="A913" s="9" t="s">
        <v>25</v>
      </c>
      <c r="D913" s="10" t="s">
        <v>29</v>
      </c>
      <c r="J913" s="9"/>
      <c r="O913" s="78"/>
      <c r="P913" s="9"/>
      <c r="Q913" s="12" t="e">
        <f>+VLOOKUP(P913,Datos!$F:$G,2,FALSE)</f>
        <v>#N/A</v>
      </c>
      <c r="Y913" s="14"/>
      <c r="Z913" t="e">
        <f>VLOOKUP(M913,'[1]INDIVIDUAL UN'!$C$6:$F$222,4,FALSE)</f>
        <v>#N/A</v>
      </c>
    </row>
    <row r="914" spans="1:26" x14ac:dyDescent="0.35">
      <c r="A914" s="9" t="s">
        <v>25</v>
      </c>
      <c r="D914" s="10" t="s">
        <v>29</v>
      </c>
      <c r="J914" s="9"/>
      <c r="O914" s="78"/>
      <c r="P914" s="9"/>
      <c r="Q914" s="12" t="e">
        <f>+VLOOKUP(P914,Datos!$F:$G,2,FALSE)</f>
        <v>#N/A</v>
      </c>
      <c r="Y914" s="14"/>
      <c r="Z914" t="e">
        <f>VLOOKUP(M914,'[1]INDIVIDUAL UN'!$C$6:$F$222,4,FALSE)</f>
        <v>#N/A</v>
      </c>
    </row>
    <row r="915" spans="1:26" x14ac:dyDescent="0.35">
      <c r="A915" s="9" t="s">
        <v>25</v>
      </c>
      <c r="D915" s="10" t="s">
        <v>29</v>
      </c>
      <c r="J915" s="9"/>
      <c r="O915" s="78"/>
      <c r="P915" s="9"/>
      <c r="Q915" s="12" t="e">
        <f>+VLOOKUP(P915,Datos!$F:$G,2,FALSE)</f>
        <v>#N/A</v>
      </c>
      <c r="Y915" s="14"/>
      <c r="Z915" t="e">
        <f>VLOOKUP(M915,'[1]INDIVIDUAL UN'!$C$6:$F$222,4,FALSE)</f>
        <v>#N/A</v>
      </c>
    </row>
    <row r="916" spans="1:26" x14ac:dyDescent="0.35">
      <c r="A916" s="9" t="s">
        <v>25</v>
      </c>
      <c r="D916" s="10" t="s">
        <v>29</v>
      </c>
      <c r="J916" s="9"/>
      <c r="O916" s="78"/>
      <c r="P916" s="9"/>
      <c r="Q916" s="12" t="e">
        <f>+VLOOKUP(P916,Datos!$F:$G,2,FALSE)</f>
        <v>#N/A</v>
      </c>
      <c r="Y916" s="14"/>
      <c r="Z916" t="e">
        <f>VLOOKUP(M916,'[1]INDIVIDUAL UN'!$C$6:$F$222,4,FALSE)</f>
        <v>#N/A</v>
      </c>
    </row>
    <row r="917" spans="1:26" x14ac:dyDescent="0.35">
      <c r="A917" s="9" t="s">
        <v>25</v>
      </c>
      <c r="D917" s="10" t="s">
        <v>29</v>
      </c>
      <c r="J917" s="9"/>
      <c r="O917" s="78"/>
      <c r="P917" s="9"/>
      <c r="Q917" s="12" t="e">
        <f>+VLOOKUP(P917,Datos!$F:$G,2,FALSE)</f>
        <v>#N/A</v>
      </c>
      <c r="Y917" s="14"/>
      <c r="Z917" t="e">
        <f>VLOOKUP(M917,'[1]INDIVIDUAL UN'!$C$6:$F$222,4,FALSE)</f>
        <v>#N/A</v>
      </c>
    </row>
    <row r="918" spans="1:26" x14ac:dyDescent="0.35">
      <c r="A918" s="9" t="s">
        <v>25</v>
      </c>
      <c r="D918" s="10" t="s">
        <v>29</v>
      </c>
      <c r="J918" s="9"/>
      <c r="O918" s="78"/>
      <c r="P918" s="9"/>
      <c r="Q918" s="12" t="e">
        <f>+VLOOKUP(P918,Datos!$F:$G,2,FALSE)</f>
        <v>#N/A</v>
      </c>
      <c r="Y918" s="14"/>
      <c r="Z918" t="e">
        <f>VLOOKUP(M918,'[1]INDIVIDUAL UN'!$C$6:$F$222,4,FALSE)</f>
        <v>#N/A</v>
      </c>
    </row>
    <row r="919" spans="1:26" x14ac:dyDescent="0.35">
      <c r="A919" s="9" t="s">
        <v>25</v>
      </c>
      <c r="D919" s="10" t="s">
        <v>29</v>
      </c>
      <c r="J919" s="9"/>
      <c r="O919" s="78"/>
      <c r="P919" s="9"/>
      <c r="Q919" s="12" t="e">
        <f>+VLOOKUP(P919,Datos!$F:$G,2,FALSE)</f>
        <v>#N/A</v>
      </c>
      <c r="Y919" s="14"/>
      <c r="Z919" t="e">
        <f>VLOOKUP(M919,'[1]INDIVIDUAL UN'!$C$6:$F$222,4,FALSE)</f>
        <v>#N/A</v>
      </c>
    </row>
    <row r="920" spans="1:26" x14ac:dyDescent="0.35">
      <c r="A920" s="9" t="s">
        <v>25</v>
      </c>
      <c r="D920" s="10" t="s">
        <v>29</v>
      </c>
      <c r="J920" s="9"/>
      <c r="O920" s="78"/>
      <c r="P920" s="9"/>
      <c r="Q920" s="12" t="e">
        <f>+VLOOKUP(P920,Datos!$F:$G,2,FALSE)</f>
        <v>#N/A</v>
      </c>
      <c r="Y920" s="14"/>
      <c r="Z920" t="e">
        <f>VLOOKUP(M920,'[1]INDIVIDUAL UN'!$C$6:$F$222,4,FALSE)</f>
        <v>#N/A</v>
      </c>
    </row>
    <row r="921" spans="1:26" x14ac:dyDescent="0.35">
      <c r="A921" s="9" t="s">
        <v>25</v>
      </c>
      <c r="D921" s="10" t="s">
        <v>29</v>
      </c>
      <c r="J921" s="9"/>
      <c r="O921" s="78"/>
      <c r="P921" s="9"/>
      <c r="Q921" s="12" t="e">
        <f>+VLOOKUP(P921,Datos!$F:$G,2,FALSE)</f>
        <v>#N/A</v>
      </c>
      <c r="Y921" s="14"/>
      <c r="Z921" t="e">
        <f>VLOOKUP(M921,'[1]INDIVIDUAL UN'!$C$6:$F$222,4,FALSE)</f>
        <v>#N/A</v>
      </c>
    </row>
    <row r="922" spans="1:26" x14ac:dyDescent="0.35">
      <c r="A922" s="9" t="s">
        <v>25</v>
      </c>
      <c r="D922" s="10" t="s">
        <v>29</v>
      </c>
      <c r="J922" s="9"/>
      <c r="O922" s="78"/>
      <c r="P922" s="9"/>
      <c r="Q922" s="12" t="e">
        <f>+VLOOKUP(P922,Datos!$F:$G,2,FALSE)</f>
        <v>#N/A</v>
      </c>
      <c r="Y922" s="14"/>
      <c r="Z922" t="e">
        <f>VLOOKUP(M922,'[1]INDIVIDUAL UN'!$C$6:$F$222,4,FALSE)</f>
        <v>#N/A</v>
      </c>
    </row>
    <row r="923" spans="1:26" x14ac:dyDescent="0.35">
      <c r="A923" s="9" t="s">
        <v>25</v>
      </c>
      <c r="D923" s="10" t="s">
        <v>29</v>
      </c>
      <c r="J923" s="9"/>
      <c r="O923" s="78"/>
      <c r="P923" s="9"/>
      <c r="Q923" s="12" t="e">
        <f>+VLOOKUP(P923,Datos!$F:$G,2,FALSE)</f>
        <v>#N/A</v>
      </c>
      <c r="Y923" s="14"/>
      <c r="Z923" t="e">
        <f>VLOOKUP(M923,'[1]INDIVIDUAL UN'!$C$6:$F$222,4,FALSE)</f>
        <v>#N/A</v>
      </c>
    </row>
    <row r="924" spans="1:26" x14ac:dyDescent="0.35">
      <c r="A924" s="9" t="s">
        <v>25</v>
      </c>
      <c r="D924" s="10" t="s">
        <v>29</v>
      </c>
      <c r="J924" s="9"/>
      <c r="O924" s="78"/>
      <c r="P924" s="9"/>
      <c r="Q924" s="12" t="e">
        <f>+VLOOKUP(P924,Datos!$F:$G,2,FALSE)</f>
        <v>#N/A</v>
      </c>
      <c r="Y924" s="14"/>
      <c r="Z924" t="e">
        <f>VLOOKUP(M924,'[1]INDIVIDUAL UN'!$C$6:$F$222,4,FALSE)</f>
        <v>#N/A</v>
      </c>
    </row>
    <row r="925" spans="1:26" x14ac:dyDescent="0.35">
      <c r="A925" s="9" t="s">
        <v>25</v>
      </c>
      <c r="D925" s="10" t="s">
        <v>29</v>
      </c>
      <c r="J925" s="9"/>
      <c r="O925" s="78"/>
      <c r="P925" s="9"/>
      <c r="Q925" s="12" t="e">
        <f>+VLOOKUP(P925,Datos!$F:$G,2,FALSE)</f>
        <v>#N/A</v>
      </c>
      <c r="Y925" s="14"/>
      <c r="Z925" t="e">
        <f>VLOOKUP(M925,'[1]INDIVIDUAL UN'!$C$6:$F$222,4,FALSE)</f>
        <v>#N/A</v>
      </c>
    </row>
    <row r="926" spans="1:26" x14ac:dyDescent="0.35">
      <c r="A926" s="9" t="s">
        <v>25</v>
      </c>
      <c r="D926" s="10" t="s">
        <v>29</v>
      </c>
      <c r="J926" s="9"/>
      <c r="O926" s="78"/>
      <c r="P926" s="9"/>
      <c r="Q926" s="12" t="e">
        <f>+VLOOKUP(P926,Datos!$F:$G,2,FALSE)</f>
        <v>#N/A</v>
      </c>
      <c r="Y926" s="14"/>
      <c r="Z926" t="e">
        <f>VLOOKUP(M926,'[1]INDIVIDUAL UN'!$C$6:$F$222,4,FALSE)</f>
        <v>#N/A</v>
      </c>
    </row>
    <row r="927" spans="1:26" x14ac:dyDescent="0.35">
      <c r="A927" s="9" t="s">
        <v>25</v>
      </c>
      <c r="D927" s="10" t="s">
        <v>29</v>
      </c>
      <c r="J927" s="9"/>
      <c r="O927" s="78"/>
      <c r="P927" s="9"/>
      <c r="Q927" s="12" t="e">
        <f>+VLOOKUP(P927,Datos!$F:$G,2,FALSE)</f>
        <v>#N/A</v>
      </c>
      <c r="Y927" s="14"/>
      <c r="Z927" t="e">
        <f>VLOOKUP(M927,'[1]INDIVIDUAL UN'!$C$6:$F$222,4,FALSE)</f>
        <v>#N/A</v>
      </c>
    </row>
    <row r="928" spans="1:26" x14ac:dyDescent="0.35">
      <c r="A928" s="9" t="s">
        <v>25</v>
      </c>
      <c r="D928" s="10" t="s">
        <v>29</v>
      </c>
      <c r="J928" s="9"/>
      <c r="O928" s="78"/>
      <c r="P928" s="9"/>
      <c r="Q928" s="12" t="e">
        <f>+VLOOKUP(P928,Datos!$F:$G,2,FALSE)</f>
        <v>#N/A</v>
      </c>
      <c r="Y928" s="14"/>
      <c r="Z928" t="e">
        <f>VLOOKUP(M928,'[1]INDIVIDUAL UN'!$C$6:$F$222,4,FALSE)</f>
        <v>#N/A</v>
      </c>
    </row>
    <row r="929" spans="1:26" x14ac:dyDescent="0.35">
      <c r="A929" s="9" t="s">
        <v>25</v>
      </c>
      <c r="D929" s="10" t="s">
        <v>29</v>
      </c>
      <c r="J929" s="9"/>
      <c r="O929" s="78"/>
      <c r="P929" s="9"/>
      <c r="Q929" s="12" t="e">
        <f>+VLOOKUP(P929,Datos!$F:$G,2,FALSE)</f>
        <v>#N/A</v>
      </c>
      <c r="Y929" s="14"/>
      <c r="Z929" t="e">
        <f>VLOOKUP(M929,'[1]INDIVIDUAL UN'!$C$6:$F$222,4,FALSE)</f>
        <v>#N/A</v>
      </c>
    </row>
    <row r="930" spans="1:26" x14ac:dyDescent="0.35">
      <c r="A930" s="9" t="s">
        <v>25</v>
      </c>
      <c r="D930" s="10" t="s">
        <v>29</v>
      </c>
      <c r="J930" s="9"/>
      <c r="O930" s="78"/>
      <c r="P930" s="9"/>
      <c r="Q930" s="12" t="e">
        <f>+VLOOKUP(P930,Datos!$F:$G,2,FALSE)</f>
        <v>#N/A</v>
      </c>
      <c r="Y930" s="14"/>
      <c r="Z930" t="e">
        <f>VLOOKUP(M930,'[1]INDIVIDUAL UN'!$C$6:$F$222,4,FALSE)</f>
        <v>#N/A</v>
      </c>
    </row>
    <row r="931" spans="1:26" x14ac:dyDescent="0.35">
      <c r="A931" s="9" t="s">
        <v>25</v>
      </c>
      <c r="D931" s="10" t="s">
        <v>29</v>
      </c>
      <c r="J931" s="9"/>
      <c r="O931" s="78"/>
      <c r="P931" s="9"/>
      <c r="Q931" s="12" t="e">
        <f>+VLOOKUP(P931,Datos!$F:$G,2,FALSE)</f>
        <v>#N/A</v>
      </c>
      <c r="Y931" s="14"/>
      <c r="Z931" t="e">
        <f>VLOOKUP(M931,'[1]INDIVIDUAL UN'!$C$6:$F$222,4,FALSE)</f>
        <v>#N/A</v>
      </c>
    </row>
    <row r="932" spans="1:26" x14ac:dyDescent="0.35">
      <c r="A932" s="9" t="s">
        <v>25</v>
      </c>
      <c r="D932" s="10" t="s">
        <v>29</v>
      </c>
      <c r="J932" s="9"/>
      <c r="O932" s="78"/>
      <c r="P932" s="9"/>
      <c r="Q932" s="12" t="e">
        <f>+VLOOKUP(P932,Datos!$F:$G,2,FALSE)</f>
        <v>#N/A</v>
      </c>
      <c r="Y932" s="14"/>
      <c r="Z932" t="e">
        <f>VLOOKUP(M932,'[1]INDIVIDUAL UN'!$C$6:$F$222,4,FALSE)</f>
        <v>#N/A</v>
      </c>
    </row>
    <row r="933" spans="1:26" x14ac:dyDescent="0.35">
      <c r="A933" s="9" t="s">
        <v>25</v>
      </c>
      <c r="D933" s="10" t="s">
        <v>29</v>
      </c>
      <c r="J933" s="9"/>
      <c r="O933" s="78"/>
      <c r="P933" s="9"/>
      <c r="Q933" s="12" t="e">
        <f>+VLOOKUP(P933,Datos!$F:$G,2,FALSE)</f>
        <v>#N/A</v>
      </c>
      <c r="Y933" s="14"/>
      <c r="Z933" t="e">
        <f>VLOOKUP(M933,'[1]INDIVIDUAL UN'!$C$6:$F$222,4,FALSE)</f>
        <v>#N/A</v>
      </c>
    </row>
    <row r="934" spans="1:26" x14ac:dyDescent="0.35">
      <c r="A934" s="9" t="s">
        <v>25</v>
      </c>
      <c r="D934" s="10" t="s">
        <v>29</v>
      </c>
      <c r="J934" s="9"/>
      <c r="O934" s="78"/>
      <c r="P934" s="9"/>
      <c r="Q934" s="12" t="e">
        <f>+VLOOKUP(P934,Datos!$F:$G,2,FALSE)</f>
        <v>#N/A</v>
      </c>
      <c r="Y934" s="14"/>
      <c r="Z934" t="e">
        <f>VLOOKUP(M934,'[1]INDIVIDUAL UN'!$C$6:$F$222,4,FALSE)</f>
        <v>#N/A</v>
      </c>
    </row>
    <row r="935" spans="1:26" x14ac:dyDescent="0.35">
      <c r="A935" s="9" t="s">
        <v>25</v>
      </c>
      <c r="D935" s="10" t="s">
        <v>29</v>
      </c>
      <c r="J935" s="9"/>
      <c r="O935" s="78"/>
      <c r="P935" s="9"/>
      <c r="Q935" s="12" t="e">
        <f>+VLOOKUP(P935,Datos!$F:$G,2,FALSE)</f>
        <v>#N/A</v>
      </c>
      <c r="Y935" s="14"/>
      <c r="Z935" t="e">
        <f>VLOOKUP(M935,'[1]INDIVIDUAL UN'!$C$6:$F$222,4,FALSE)</f>
        <v>#N/A</v>
      </c>
    </row>
    <row r="936" spans="1:26" x14ac:dyDescent="0.35">
      <c r="A936" s="9" t="s">
        <v>25</v>
      </c>
      <c r="D936" s="10" t="s">
        <v>29</v>
      </c>
      <c r="J936" s="9"/>
      <c r="O936" s="78"/>
      <c r="P936" s="9"/>
      <c r="Q936" s="12" t="e">
        <f>+VLOOKUP(P936,Datos!$F:$G,2,FALSE)</f>
        <v>#N/A</v>
      </c>
      <c r="Y936" s="14"/>
      <c r="Z936" t="e">
        <f>VLOOKUP(M936,'[1]INDIVIDUAL UN'!$C$6:$F$222,4,FALSE)</f>
        <v>#N/A</v>
      </c>
    </row>
    <row r="937" spans="1:26" x14ac:dyDescent="0.35">
      <c r="A937" s="9" t="s">
        <v>25</v>
      </c>
      <c r="D937" s="10" t="s">
        <v>29</v>
      </c>
      <c r="J937" s="9"/>
      <c r="O937" s="78"/>
      <c r="P937" s="9"/>
      <c r="Q937" s="12" t="e">
        <f>+VLOOKUP(P937,Datos!$F:$G,2,FALSE)</f>
        <v>#N/A</v>
      </c>
      <c r="Y937" s="14"/>
      <c r="Z937" t="e">
        <f>VLOOKUP(M937,'[1]INDIVIDUAL UN'!$C$6:$F$222,4,FALSE)</f>
        <v>#N/A</v>
      </c>
    </row>
    <row r="938" spans="1:26" x14ac:dyDescent="0.35">
      <c r="A938" s="9" t="s">
        <v>25</v>
      </c>
      <c r="D938" s="10" t="s">
        <v>29</v>
      </c>
      <c r="J938" s="9"/>
      <c r="O938" s="78"/>
      <c r="P938" s="9"/>
      <c r="Q938" s="12" t="e">
        <f>+VLOOKUP(P938,Datos!$F:$G,2,FALSE)</f>
        <v>#N/A</v>
      </c>
      <c r="Y938" s="14"/>
      <c r="Z938" t="e">
        <f>VLOOKUP(M938,'[1]INDIVIDUAL UN'!$C$6:$F$222,4,FALSE)</f>
        <v>#N/A</v>
      </c>
    </row>
    <row r="939" spans="1:26" x14ac:dyDescent="0.35">
      <c r="A939" s="9" t="s">
        <v>25</v>
      </c>
      <c r="D939" s="10" t="s">
        <v>29</v>
      </c>
      <c r="J939" s="9"/>
      <c r="O939" s="78"/>
      <c r="P939" s="9"/>
      <c r="Q939" s="12" t="e">
        <f>+VLOOKUP(P939,Datos!$F:$G,2,FALSE)</f>
        <v>#N/A</v>
      </c>
      <c r="Y939" s="14"/>
      <c r="Z939" t="e">
        <f>VLOOKUP(M939,'[1]INDIVIDUAL UN'!$C$6:$F$222,4,FALSE)</f>
        <v>#N/A</v>
      </c>
    </row>
    <row r="940" spans="1:26" x14ac:dyDescent="0.35">
      <c r="A940" s="9" t="s">
        <v>25</v>
      </c>
      <c r="D940" s="10" t="s">
        <v>29</v>
      </c>
      <c r="J940" s="9"/>
      <c r="O940" s="78"/>
      <c r="P940" s="9"/>
      <c r="Q940" s="12" t="e">
        <f>+VLOOKUP(P940,Datos!$F:$G,2,FALSE)</f>
        <v>#N/A</v>
      </c>
      <c r="Y940" s="14"/>
      <c r="Z940" t="e">
        <f>VLOOKUP(M940,'[1]INDIVIDUAL UN'!$C$6:$F$222,4,FALSE)</f>
        <v>#N/A</v>
      </c>
    </row>
    <row r="941" spans="1:26" x14ac:dyDescent="0.35">
      <c r="A941" s="9" t="s">
        <v>25</v>
      </c>
      <c r="D941" s="10" t="s">
        <v>29</v>
      </c>
      <c r="J941" s="9"/>
      <c r="O941" s="78"/>
      <c r="P941" s="9"/>
      <c r="Q941" s="12" t="e">
        <f>+VLOOKUP(P941,Datos!$F:$G,2,FALSE)</f>
        <v>#N/A</v>
      </c>
      <c r="Y941" s="14"/>
      <c r="Z941" t="e">
        <f>VLOOKUP(M941,'[1]INDIVIDUAL UN'!$C$6:$F$222,4,FALSE)</f>
        <v>#N/A</v>
      </c>
    </row>
    <row r="942" spans="1:26" x14ac:dyDescent="0.35">
      <c r="A942" s="9" t="s">
        <v>25</v>
      </c>
      <c r="D942" s="10" t="s">
        <v>29</v>
      </c>
      <c r="J942" s="9"/>
      <c r="O942" s="78"/>
      <c r="P942" s="9"/>
      <c r="Q942" s="12" t="e">
        <f>+VLOOKUP(P942,Datos!$F:$G,2,FALSE)</f>
        <v>#N/A</v>
      </c>
      <c r="Y942" s="14"/>
      <c r="Z942" t="e">
        <f>VLOOKUP(M942,'[1]INDIVIDUAL UN'!$C$6:$F$222,4,FALSE)</f>
        <v>#N/A</v>
      </c>
    </row>
    <row r="943" spans="1:26" x14ac:dyDescent="0.35">
      <c r="A943" s="9" t="s">
        <v>25</v>
      </c>
      <c r="D943" s="10" t="s">
        <v>29</v>
      </c>
      <c r="J943" s="9"/>
      <c r="O943" s="78"/>
      <c r="P943" s="9"/>
      <c r="Q943" s="12" t="e">
        <f>+VLOOKUP(P943,Datos!$F:$G,2,FALSE)</f>
        <v>#N/A</v>
      </c>
      <c r="Y943" s="14"/>
      <c r="Z943" t="e">
        <f>VLOOKUP(M943,'[1]INDIVIDUAL UN'!$C$6:$F$222,4,FALSE)</f>
        <v>#N/A</v>
      </c>
    </row>
    <row r="944" spans="1:26" x14ac:dyDescent="0.35">
      <c r="A944" s="9" t="s">
        <v>25</v>
      </c>
      <c r="D944" s="10" t="s">
        <v>29</v>
      </c>
      <c r="J944" s="9"/>
      <c r="O944" s="78"/>
      <c r="P944" s="9"/>
      <c r="Q944" s="12" t="e">
        <f>+VLOOKUP(P944,Datos!$F:$G,2,FALSE)</f>
        <v>#N/A</v>
      </c>
      <c r="Y944" s="14"/>
      <c r="Z944" t="e">
        <f>VLOOKUP(M944,'[1]INDIVIDUAL UN'!$C$6:$F$222,4,FALSE)</f>
        <v>#N/A</v>
      </c>
    </row>
    <row r="945" spans="1:26" x14ac:dyDescent="0.35">
      <c r="A945" s="9" t="s">
        <v>25</v>
      </c>
      <c r="D945" s="10" t="s">
        <v>29</v>
      </c>
      <c r="J945" s="9"/>
      <c r="O945" s="78"/>
      <c r="P945" s="9"/>
      <c r="Q945" s="12" t="e">
        <f>+VLOOKUP(P945,Datos!$F:$G,2,FALSE)</f>
        <v>#N/A</v>
      </c>
      <c r="Y945" s="14"/>
      <c r="Z945" t="e">
        <f>VLOOKUP(M945,'[1]INDIVIDUAL UN'!$C$6:$F$222,4,FALSE)</f>
        <v>#N/A</v>
      </c>
    </row>
    <row r="946" spans="1:26" x14ac:dyDescent="0.35">
      <c r="A946" s="9" t="s">
        <v>25</v>
      </c>
      <c r="D946" s="10" t="s">
        <v>29</v>
      </c>
      <c r="J946" s="9"/>
      <c r="O946" s="78"/>
      <c r="P946" s="9"/>
      <c r="Q946" s="12" t="e">
        <f>+VLOOKUP(P946,Datos!$F:$G,2,FALSE)</f>
        <v>#N/A</v>
      </c>
      <c r="Y946" s="14"/>
      <c r="Z946" t="e">
        <f>VLOOKUP(M946,'[1]INDIVIDUAL UN'!$C$6:$F$222,4,FALSE)</f>
        <v>#N/A</v>
      </c>
    </row>
    <row r="947" spans="1:26" x14ac:dyDescent="0.35">
      <c r="A947" s="9" t="s">
        <v>25</v>
      </c>
      <c r="D947" s="10" t="s">
        <v>29</v>
      </c>
      <c r="J947" s="9"/>
      <c r="O947" s="78"/>
      <c r="P947" s="9"/>
      <c r="Q947" s="12" t="e">
        <f>+VLOOKUP(P947,Datos!$F:$G,2,FALSE)</f>
        <v>#N/A</v>
      </c>
      <c r="Y947" s="14"/>
      <c r="Z947" t="e">
        <f>VLOOKUP(M947,'[1]INDIVIDUAL UN'!$C$6:$F$222,4,FALSE)</f>
        <v>#N/A</v>
      </c>
    </row>
    <row r="948" spans="1:26" x14ac:dyDescent="0.35">
      <c r="A948" s="9" t="s">
        <v>25</v>
      </c>
      <c r="D948" s="10" t="s">
        <v>29</v>
      </c>
      <c r="J948" s="9"/>
      <c r="O948" s="78"/>
      <c r="P948" s="9"/>
      <c r="Q948" s="12" t="e">
        <f>+VLOOKUP(P948,Datos!$F:$G,2,FALSE)</f>
        <v>#N/A</v>
      </c>
      <c r="Y948" s="14"/>
      <c r="Z948" t="e">
        <f>VLOOKUP(M948,'[1]INDIVIDUAL UN'!$C$6:$F$222,4,FALSE)</f>
        <v>#N/A</v>
      </c>
    </row>
    <row r="949" spans="1:26" x14ac:dyDescent="0.35">
      <c r="A949" s="9" t="s">
        <v>25</v>
      </c>
      <c r="D949" s="10" t="s">
        <v>29</v>
      </c>
      <c r="J949" s="9"/>
      <c r="O949" s="78"/>
      <c r="P949" s="9"/>
      <c r="Q949" s="12" t="e">
        <f>+VLOOKUP(P949,Datos!$F:$G,2,FALSE)</f>
        <v>#N/A</v>
      </c>
      <c r="Y949" s="14"/>
      <c r="Z949" t="e">
        <f>VLOOKUP(M949,'[1]INDIVIDUAL UN'!$C$6:$F$222,4,FALSE)</f>
        <v>#N/A</v>
      </c>
    </row>
    <row r="950" spans="1:26" x14ac:dyDescent="0.35">
      <c r="A950" s="9" t="s">
        <v>25</v>
      </c>
      <c r="D950" s="10" t="s">
        <v>29</v>
      </c>
      <c r="J950" s="9"/>
      <c r="O950" s="78"/>
      <c r="P950" s="9"/>
      <c r="Q950" s="12" t="e">
        <f>+VLOOKUP(P950,Datos!$F:$G,2,FALSE)</f>
        <v>#N/A</v>
      </c>
      <c r="Y950" s="14"/>
      <c r="Z950" t="e">
        <f>VLOOKUP(M950,'[1]INDIVIDUAL UN'!$C$6:$F$222,4,FALSE)</f>
        <v>#N/A</v>
      </c>
    </row>
    <row r="951" spans="1:26" x14ac:dyDescent="0.35">
      <c r="A951" s="9" t="s">
        <v>25</v>
      </c>
      <c r="D951" s="10" t="s">
        <v>29</v>
      </c>
      <c r="J951" s="9"/>
      <c r="O951" s="78"/>
      <c r="P951" s="9"/>
      <c r="Q951" s="12" t="e">
        <f>+VLOOKUP(P951,Datos!$F:$G,2,FALSE)</f>
        <v>#N/A</v>
      </c>
      <c r="Y951" s="14"/>
      <c r="Z951" t="e">
        <f>VLOOKUP(M951,'[1]INDIVIDUAL UN'!$C$6:$F$222,4,FALSE)</f>
        <v>#N/A</v>
      </c>
    </row>
    <row r="952" spans="1:26" x14ac:dyDescent="0.35">
      <c r="A952" s="9" t="s">
        <v>25</v>
      </c>
      <c r="D952" s="10" t="s">
        <v>29</v>
      </c>
      <c r="J952" s="9"/>
      <c r="O952" s="78"/>
      <c r="P952" s="9"/>
      <c r="Q952" s="12" t="e">
        <f>+VLOOKUP(P952,Datos!$F:$G,2,FALSE)</f>
        <v>#N/A</v>
      </c>
      <c r="Y952" s="14"/>
      <c r="Z952" t="e">
        <f>VLOOKUP(M952,'[1]INDIVIDUAL UN'!$C$6:$F$222,4,FALSE)</f>
        <v>#N/A</v>
      </c>
    </row>
    <row r="953" spans="1:26" x14ac:dyDescent="0.35">
      <c r="A953" s="9" t="s">
        <v>25</v>
      </c>
      <c r="D953" s="10" t="s">
        <v>29</v>
      </c>
      <c r="J953" s="9"/>
      <c r="O953" s="78"/>
      <c r="P953" s="9"/>
      <c r="Q953" s="12" t="e">
        <f>+VLOOKUP(P953,Datos!$F:$G,2,FALSE)</f>
        <v>#N/A</v>
      </c>
      <c r="Y953" s="14"/>
      <c r="Z953" t="e">
        <f>VLOOKUP(M953,'[1]INDIVIDUAL UN'!$C$6:$F$222,4,FALSE)</f>
        <v>#N/A</v>
      </c>
    </row>
    <row r="954" spans="1:26" x14ac:dyDescent="0.35">
      <c r="A954" s="9" t="s">
        <v>25</v>
      </c>
      <c r="D954" s="10" t="s">
        <v>29</v>
      </c>
      <c r="J954" s="9"/>
      <c r="O954" s="78"/>
      <c r="P954" s="9"/>
      <c r="Q954" s="12" t="e">
        <f>+VLOOKUP(P954,Datos!$F:$G,2,FALSE)</f>
        <v>#N/A</v>
      </c>
      <c r="Y954" s="14"/>
      <c r="Z954" t="e">
        <f>VLOOKUP(M954,'[1]INDIVIDUAL UN'!$C$6:$F$222,4,FALSE)</f>
        <v>#N/A</v>
      </c>
    </row>
    <row r="955" spans="1:26" x14ac:dyDescent="0.35">
      <c r="A955" s="9" t="s">
        <v>25</v>
      </c>
      <c r="D955" s="10" t="s">
        <v>29</v>
      </c>
      <c r="J955" s="9"/>
      <c r="O955" s="78"/>
      <c r="P955" s="9"/>
      <c r="Q955" s="12" t="e">
        <f>+VLOOKUP(P955,Datos!$F:$G,2,FALSE)</f>
        <v>#N/A</v>
      </c>
      <c r="Y955" s="14"/>
      <c r="Z955" t="e">
        <f>VLOOKUP(M955,'[1]INDIVIDUAL UN'!$C$6:$F$222,4,FALSE)</f>
        <v>#N/A</v>
      </c>
    </row>
    <row r="956" spans="1:26" x14ac:dyDescent="0.35">
      <c r="A956" s="9" t="s">
        <v>25</v>
      </c>
      <c r="D956" s="10" t="s">
        <v>29</v>
      </c>
      <c r="J956" s="9"/>
      <c r="O956" s="78"/>
      <c r="P956" s="9"/>
      <c r="Q956" s="12" t="e">
        <f>+VLOOKUP(P956,Datos!$F:$G,2,FALSE)</f>
        <v>#N/A</v>
      </c>
      <c r="Y956" s="14"/>
      <c r="Z956" t="e">
        <f>VLOOKUP(M956,'[1]INDIVIDUAL UN'!$C$6:$F$222,4,FALSE)</f>
        <v>#N/A</v>
      </c>
    </row>
    <row r="957" spans="1:26" x14ac:dyDescent="0.35">
      <c r="A957" s="9" t="s">
        <v>25</v>
      </c>
      <c r="D957" s="10" t="s">
        <v>29</v>
      </c>
      <c r="J957" s="9"/>
      <c r="O957" s="78"/>
      <c r="P957" s="9"/>
      <c r="Q957" s="12" t="e">
        <f>+VLOOKUP(P957,Datos!$F:$G,2,FALSE)</f>
        <v>#N/A</v>
      </c>
      <c r="Y957" s="14"/>
      <c r="Z957" t="e">
        <f>VLOOKUP(M957,'[1]INDIVIDUAL UN'!$C$6:$F$222,4,FALSE)</f>
        <v>#N/A</v>
      </c>
    </row>
    <row r="958" spans="1:26" x14ac:dyDescent="0.35">
      <c r="A958" s="9" t="s">
        <v>25</v>
      </c>
      <c r="D958" s="10" t="s">
        <v>29</v>
      </c>
      <c r="J958" s="9"/>
      <c r="O958" s="78"/>
      <c r="P958" s="9"/>
      <c r="Q958" s="12" t="e">
        <f>+VLOOKUP(P958,Datos!$F:$G,2,FALSE)</f>
        <v>#N/A</v>
      </c>
      <c r="Y958" s="14"/>
      <c r="Z958" t="e">
        <f>VLOOKUP(M958,'[1]INDIVIDUAL UN'!$C$6:$F$222,4,FALSE)</f>
        <v>#N/A</v>
      </c>
    </row>
    <row r="959" spans="1:26" x14ac:dyDescent="0.35">
      <c r="A959" s="9" t="s">
        <v>25</v>
      </c>
      <c r="D959" s="10" t="s">
        <v>29</v>
      </c>
      <c r="J959" s="9"/>
      <c r="O959" s="78"/>
      <c r="P959" s="9"/>
      <c r="Q959" s="12" t="e">
        <f>+VLOOKUP(P959,Datos!$F:$G,2,FALSE)</f>
        <v>#N/A</v>
      </c>
      <c r="Y959" s="14"/>
      <c r="Z959" t="e">
        <f>VLOOKUP(M959,'[1]INDIVIDUAL UN'!$C$6:$F$222,4,FALSE)</f>
        <v>#N/A</v>
      </c>
    </row>
    <row r="960" spans="1:26" x14ac:dyDescent="0.35">
      <c r="A960" s="9" t="s">
        <v>25</v>
      </c>
      <c r="D960" s="10" t="s">
        <v>29</v>
      </c>
      <c r="J960" s="9"/>
      <c r="O960" s="78"/>
      <c r="P960" s="9"/>
      <c r="Q960" s="12" t="e">
        <f>+VLOOKUP(P960,Datos!$F:$G,2,FALSE)</f>
        <v>#N/A</v>
      </c>
      <c r="Y960" s="14"/>
      <c r="Z960" t="e">
        <f>VLOOKUP(M960,'[1]INDIVIDUAL UN'!$C$6:$F$222,4,FALSE)</f>
        <v>#N/A</v>
      </c>
    </row>
    <row r="961" spans="1:26" x14ac:dyDescent="0.35">
      <c r="A961" s="9" t="s">
        <v>25</v>
      </c>
      <c r="D961" s="10" t="s">
        <v>29</v>
      </c>
      <c r="J961" s="9"/>
      <c r="O961" s="78"/>
      <c r="P961" s="9"/>
      <c r="Q961" s="12" t="e">
        <f>+VLOOKUP(P961,Datos!$F:$G,2,FALSE)</f>
        <v>#N/A</v>
      </c>
      <c r="Y961" s="14"/>
      <c r="Z961" t="e">
        <f>VLOOKUP(M961,'[1]INDIVIDUAL UN'!$C$6:$F$222,4,FALSE)</f>
        <v>#N/A</v>
      </c>
    </row>
    <row r="962" spans="1:26" x14ac:dyDescent="0.35">
      <c r="A962" s="9" t="s">
        <v>25</v>
      </c>
      <c r="D962" s="10" t="s">
        <v>29</v>
      </c>
      <c r="J962" s="9"/>
      <c r="O962" s="78"/>
      <c r="P962" s="9"/>
      <c r="Q962" s="12" t="e">
        <f>+VLOOKUP(P962,Datos!$F:$G,2,FALSE)</f>
        <v>#N/A</v>
      </c>
      <c r="Y962" s="14"/>
      <c r="Z962" t="e">
        <f>VLOOKUP(M962,'[1]INDIVIDUAL UN'!$C$6:$F$222,4,FALSE)</f>
        <v>#N/A</v>
      </c>
    </row>
    <row r="963" spans="1:26" x14ac:dyDescent="0.35">
      <c r="A963" s="9" t="s">
        <v>25</v>
      </c>
      <c r="D963" s="10" t="s">
        <v>29</v>
      </c>
      <c r="J963" s="9"/>
      <c r="O963" s="78"/>
      <c r="P963" s="9"/>
      <c r="Q963" s="12" t="e">
        <f>+VLOOKUP(P963,Datos!$F:$G,2,FALSE)</f>
        <v>#N/A</v>
      </c>
      <c r="Y963" s="14"/>
      <c r="Z963" t="e">
        <f>VLOOKUP(M963,'[1]INDIVIDUAL UN'!$C$6:$F$222,4,FALSE)</f>
        <v>#N/A</v>
      </c>
    </row>
    <row r="964" spans="1:26" x14ac:dyDescent="0.35">
      <c r="A964" s="9" t="s">
        <v>25</v>
      </c>
      <c r="D964" s="10" t="s">
        <v>29</v>
      </c>
      <c r="J964" s="9"/>
      <c r="O964" s="78"/>
      <c r="P964" s="9"/>
      <c r="Q964" s="12" t="e">
        <f>+VLOOKUP(P964,Datos!$F:$G,2,FALSE)</f>
        <v>#N/A</v>
      </c>
      <c r="Y964" s="14"/>
      <c r="Z964" t="e">
        <f>VLOOKUP(M964,'[1]INDIVIDUAL UN'!$C$6:$F$222,4,FALSE)</f>
        <v>#N/A</v>
      </c>
    </row>
    <row r="965" spans="1:26" x14ac:dyDescent="0.35">
      <c r="A965" s="9" t="s">
        <v>25</v>
      </c>
      <c r="D965" s="10" t="s">
        <v>29</v>
      </c>
      <c r="J965" s="9"/>
      <c r="O965" s="78"/>
      <c r="P965" s="9"/>
      <c r="Q965" s="12" t="e">
        <f>+VLOOKUP(P965,Datos!$F:$G,2,FALSE)</f>
        <v>#N/A</v>
      </c>
      <c r="Y965" s="14"/>
      <c r="Z965" t="e">
        <f>VLOOKUP(M965,'[1]INDIVIDUAL UN'!$C$6:$F$222,4,FALSE)</f>
        <v>#N/A</v>
      </c>
    </row>
    <row r="966" spans="1:26" x14ac:dyDescent="0.35">
      <c r="A966" s="9" t="s">
        <v>25</v>
      </c>
      <c r="D966" s="10" t="s">
        <v>29</v>
      </c>
      <c r="J966" s="9"/>
      <c r="O966" s="78"/>
      <c r="P966" s="9"/>
      <c r="Q966" s="12" t="e">
        <f>+VLOOKUP(P966,Datos!$F:$G,2,FALSE)</f>
        <v>#N/A</v>
      </c>
      <c r="Y966" s="14"/>
      <c r="Z966" t="e">
        <f>VLOOKUP(M966,'[1]INDIVIDUAL UN'!$C$6:$F$222,4,FALSE)</f>
        <v>#N/A</v>
      </c>
    </row>
    <row r="967" spans="1:26" x14ac:dyDescent="0.35">
      <c r="A967" s="9" t="s">
        <v>25</v>
      </c>
      <c r="D967" s="10" t="s">
        <v>29</v>
      </c>
      <c r="J967" s="9"/>
      <c r="O967" s="78"/>
      <c r="P967" s="9"/>
      <c r="Q967" s="12" t="e">
        <f>+VLOOKUP(P967,Datos!$F:$G,2,FALSE)</f>
        <v>#N/A</v>
      </c>
      <c r="Y967" s="14"/>
      <c r="Z967" t="e">
        <f>VLOOKUP(M967,'[1]INDIVIDUAL UN'!$C$6:$F$222,4,FALSE)</f>
        <v>#N/A</v>
      </c>
    </row>
    <row r="968" spans="1:26" x14ac:dyDescent="0.35">
      <c r="A968" s="9" t="s">
        <v>25</v>
      </c>
      <c r="D968" s="10" t="s">
        <v>29</v>
      </c>
      <c r="J968" s="9"/>
      <c r="O968" s="78"/>
      <c r="P968" s="9"/>
      <c r="Q968" s="12" t="e">
        <f>+VLOOKUP(P968,Datos!$F:$G,2,FALSE)</f>
        <v>#N/A</v>
      </c>
      <c r="Y968" s="14"/>
      <c r="Z968" t="e">
        <f>VLOOKUP(M968,'[1]INDIVIDUAL UN'!$C$6:$F$222,4,FALSE)</f>
        <v>#N/A</v>
      </c>
    </row>
    <row r="969" spans="1:26" x14ac:dyDescent="0.35">
      <c r="A969" s="9" t="s">
        <v>25</v>
      </c>
      <c r="D969" s="10" t="s">
        <v>29</v>
      </c>
      <c r="J969" s="9"/>
      <c r="O969" s="78"/>
      <c r="P969" s="9"/>
      <c r="Q969" s="12" t="e">
        <f>+VLOOKUP(P969,Datos!$F:$G,2,FALSE)</f>
        <v>#N/A</v>
      </c>
      <c r="Y969" s="14"/>
      <c r="Z969" t="e">
        <f>VLOOKUP(M969,'[1]INDIVIDUAL UN'!$C$6:$F$222,4,FALSE)</f>
        <v>#N/A</v>
      </c>
    </row>
    <row r="970" spans="1:26" x14ac:dyDescent="0.35">
      <c r="A970" s="9" t="s">
        <v>25</v>
      </c>
      <c r="D970" s="10" t="s">
        <v>29</v>
      </c>
      <c r="J970" s="9"/>
      <c r="O970" s="78"/>
      <c r="P970" s="9"/>
      <c r="Q970" s="12" t="e">
        <f>+VLOOKUP(P970,Datos!$F:$G,2,FALSE)</f>
        <v>#N/A</v>
      </c>
      <c r="Y970" s="14"/>
      <c r="Z970" t="e">
        <f>VLOOKUP(M970,'[1]INDIVIDUAL UN'!$C$6:$F$222,4,FALSE)</f>
        <v>#N/A</v>
      </c>
    </row>
    <row r="971" spans="1:26" x14ac:dyDescent="0.35">
      <c r="A971" s="9" t="s">
        <v>25</v>
      </c>
      <c r="D971" s="10" t="s">
        <v>29</v>
      </c>
      <c r="J971" s="9"/>
      <c r="O971" s="78"/>
      <c r="P971" s="9"/>
      <c r="Q971" s="12" t="e">
        <f>+VLOOKUP(P971,Datos!$F:$G,2,FALSE)</f>
        <v>#N/A</v>
      </c>
      <c r="Y971" s="14"/>
      <c r="Z971" t="e">
        <f>VLOOKUP(M971,'[1]INDIVIDUAL UN'!$C$6:$F$222,4,FALSE)</f>
        <v>#N/A</v>
      </c>
    </row>
    <row r="972" spans="1:26" x14ac:dyDescent="0.35">
      <c r="A972" s="9" t="s">
        <v>25</v>
      </c>
      <c r="D972" s="10" t="s">
        <v>29</v>
      </c>
      <c r="J972" s="9"/>
      <c r="O972" s="78"/>
      <c r="P972" s="9"/>
      <c r="Q972" s="12" t="e">
        <f>+VLOOKUP(P972,Datos!$F:$G,2,FALSE)</f>
        <v>#N/A</v>
      </c>
      <c r="Y972" s="14"/>
      <c r="Z972" t="e">
        <f>VLOOKUP(M972,'[1]INDIVIDUAL UN'!$C$6:$F$222,4,FALSE)</f>
        <v>#N/A</v>
      </c>
    </row>
    <row r="973" spans="1:26" x14ac:dyDescent="0.35">
      <c r="A973" s="9" t="s">
        <v>25</v>
      </c>
      <c r="D973" s="10" t="s">
        <v>29</v>
      </c>
      <c r="J973" s="9"/>
      <c r="O973" s="78"/>
      <c r="P973" s="9"/>
      <c r="Q973" s="12" t="e">
        <f>+VLOOKUP(P973,Datos!$F:$G,2,FALSE)</f>
        <v>#N/A</v>
      </c>
      <c r="Y973" s="14"/>
      <c r="Z973" t="e">
        <f>VLOOKUP(M973,'[1]INDIVIDUAL UN'!$C$6:$F$222,4,FALSE)</f>
        <v>#N/A</v>
      </c>
    </row>
    <row r="974" spans="1:26" x14ac:dyDescent="0.35">
      <c r="A974" s="9" t="s">
        <v>25</v>
      </c>
      <c r="D974" s="10" t="s">
        <v>29</v>
      </c>
      <c r="J974" s="9"/>
      <c r="O974" s="78"/>
      <c r="P974" s="9"/>
      <c r="Q974" s="12" t="e">
        <f>+VLOOKUP(P974,Datos!$F:$G,2,FALSE)</f>
        <v>#N/A</v>
      </c>
      <c r="Y974" s="14"/>
      <c r="Z974" t="e">
        <f>VLOOKUP(M974,'[1]INDIVIDUAL UN'!$C$6:$F$222,4,FALSE)</f>
        <v>#N/A</v>
      </c>
    </row>
    <row r="975" spans="1:26" x14ac:dyDescent="0.35">
      <c r="A975" s="9" t="s">
        <v>25</v>
      </c>
      <c r="D975" s="10" t="s">
        <v>29</v>
      </c>
      <c r="J975" s="9"/>
      <c r="O975" s="78"/>
      <c r="P975" s="9"/>
      <c r="Q975" s="12" t="e">
        <f>+VLOOKUP(P975,Datos!$F:$G,2,FALSE)</f>
        <v>#N/A</v>
      </c>
      <c r="Y975" s="14"/>
      <c r="Z975" t="e">
        <f>VLOOKUP(M975,'[1]INDIVIDUAL UN'!$C$6:$F$222,4,FALSE)</f>
        <v>#N/A</v>
      </c>
    </row>
    <row r="976" spans="1:26" x14ac:dyDescent="0.35">
      <c r="A976" s="9" t="s">
        <v>25</v>
      </c>
      <c r="D976" s="10" t="s">
        <v>29</v>
      </c>
      <c r="J976" s="9"/>
      <c r="O976" s="78"/>
      <c r="P976" s="9"/>
      <c r="Q976" s="12" t="e">
        <f>+VLOOKUP(P976,Datos!$F:$G,2,FALSE)</f>
        <v>#N/A</v>
      </c>
      <c r="Y976" s="14"/>
      <c r="Z976" t="e">
        <f>VLOOKUP(M976,'[1]INDIVIDUAL UN'!$C$6:$F$222,4,FALSE)</f>
        <v>#N/A</v>
      </c>
    </row>
    <row r="977" spans="1:26" x14ac:dyDescent="0.35">
      <c r="A977" s="9" t="s">
        <v>25</v>
      </c>
      <c r="D977" s="10" t="s">
        <v>29</v>
      </c>
      <c r="J977" s="9"/>
      <c r="O977" s="78"/>
      <c r="P977" s="9"/>
      <c r="Q977" s="12" t="e">
        <f>+VLOOKUP(P977,Datos!$F:$G,2,FALSE)</f>
        <v>#N/A</v>
      </c>
      <c r="Y977" s="14"/>
      <c r="Z977" t="e">
        <f>VLOOKUP(M977,'[1]INDIVIDUAL UN'!$C$6:$F$222,4,FALSE)</f>
        <v>#N/A</v>
      </c>
    </row>
    <row r="978" spans="1:26" x14ac:dyDescent="0.35">
      <c r="A978" s="9" t="s">
        <v>25</v>
      </c>
      <c r="D978" s="10" t="s">
        <v>29</v>
      </c>
      <c r="J978" s="9"/>
      <c r="O978" s="78"/>
      <c r="P978" s="9"/>
      <c r="Q978" s="12" t="e">
        <f>+VLOOKUP(P978,Datos!$F:$G,2,FALSE)</f>
        <v>#N/A</v>
      </c>
      <c r="Y978" s="14"/>
      <c r="Z978" t="e">
        <f>VLOOKUP(M978,'[1]INDIVIDUAL UN'!$C$6:$F$222,4,FALSE)</f>
        <v>#N/A</v>
      </c>
    </row>
    <row r="979" spans="1:26" x14ac:dyDescent="0.35">
      <c r="A979" s="9" t="s">
        <v>25</v>
      </c>
      <c r="D979" s="10" t="s">
        <v>29</v>
      </c>
      <c r="J979" s="9"/>
      <c r="O979" s="78"/>
      <c r="P979" s="9"/>
      <c r="Q979" s="12" t="e">
        <f>+VLOOKUP(P979,Datos!$F:$G,2,FALSE)</f>
        <v>#N/A</v>
      </c>
      <c r="Y979" s="14"/>
      <c r="Z979" t="e">
        <f>VLOOKUP(M979,'[1]INDIVIDUAL UN'!$C$6:$F$222,4,FALSE)</f>
        <v>#N/A</v>
      </c>
    </row>
    <row r="980" spans="1:26" x14ac:dyDescent="0.35">
      <c r="A980" s="9" t="s">
        <v>25</v>
      </c>
      <c r="D980" s="10" t="s">
        <v>29</v>
      </c>
      <c r="J980" s="9"/>
      <c r="O980" s="78"/>
      <c r="P980" s="9"/>
      <c r="Q980" s="12" t="e">
        <f>+VLOOKUP(P980,Datos!$F:$G,2,FALSE)</f>
        <v>#N/A</v>
      </c>
      <c r="Y980" s="14"/>
      <c r="Z980" t="e">
        <f>VLOOKUP(M980,'[1]INDIVIDUAL UN'!$C$6:$F$222,4,FALSE)</f>
        <v>#N/A</v>
      </c>
    </row>
    <row r="981" spans="1:26" x14ac:dyDescent="0.35">
      <c r="A981" s="9" t="s">
        <v>25</v>
      </c>
      <c r="D981" s="10" t="s">
        <v>29</v>
      </c>
      <c r="J981" s="9"/>
      <c r="O981" s="78"/>
      <c r="P981" s="9"/>
      <c r="Q981" s="12" t="e">
        <f>+VLOOKUP(P981,Datos!$F:$G,2,FALSE)</f>
        <v>#N/A</v>
      </c>
      <c r="Y981" s="14"/>
      <c r="Z981" t="e">
        <f>VLOOKUP(M981,'[1]INDIVIDUAL UN'!$C$6:$F$222,4,FALSE)</f>
        <v>#N/A</v>
      </c>
    </row>
    <row r="982" spans="1:26" x14ac:dyDescent="0.35">
      <c r="A982" s="9" t="s">
        <v>25</v>
      </c>
      <c r="D982" s="10" t="s">
        <v>29</v>
      </c>
      <c r="J982" s="9"/>
      <c r="O982" s="78"/>
      <c r="P982" s="9"/>
      <c r="Q982" s="12" t="e">
        <f>+VLOOKUP(P982,Datos!$F:$G,2,FALSE)</f>
        <v>#N/A</v>
      </c>
      <c r="Y982" s="14"/>
      <c r="Z982" t="e">
        <f>VLOOKUP(M982,'[1]INDIVIDUAL UN'!$C$6:$F$222,4,FALSE)</f>
        <v>#N/A</v>
      </c>
    </row>
    <row r="983" spans="1:26" x14ac:dyDescent="0.35">
      <c r="A983" s="9" t="s">
        <v>25</v>
      </c>
      <c r="D983" s="10" t="s">
        <v>29</v>
      </c>
      <c r="J983" s="9"/>
      <c r="O983" s="78"/>
      <c r="P983" s="9"/>
      <c r="Q983" s="12" t="e">
        <f>+VLOOKUP(P983,Datos!$F:$G,2,FALSE)</f>
        <v>#N/A</v>
      </c>
      <c r="Y983" s="14"/>
      <c r="Z983" t="e">
        <f>VLOOKUP(M983,'[1]INDIVIDUAL UN'!$C$6:$F$222,4,FALSE)</f>
        <v>#N/A</v>
      </c>
    </row>
    <row r="984" spans="1:26" x14ac:dyDescent="0.35">
      <c r="A984" s="9" t="s">
        <v>25</v>
      </c>
      <c r="D984" s="10" t="s">
        <v>29</v>
      </c>
      <c r="J984" s="9"/>
      <c r="O984" s="78"/>
      <c r="P984" s="9"/>
      <c r="Q984" s="12" t="e">
        <f>+VLOOKUP(P984,Datos!$F:$G,2,FALSE)</f>
        <v>#N/A</v>
      </c>
      <c r="Y984" s="14"/>
      <c r="Z984" t="e">
        <f>VLOOKUP(M984,'[1]INDIVIDUAL UN'!$C$6:$F$222,4,FALSE)</f>
        <v>#N/A</v>
      </c>
    </row>
    <row r="985" spans="1:26" x14ac:dyDescent="0.35">
      <c r="A985" s="9" t="s">
        <v>25</v>
      </c>
      <c r="D985" s="10" t="s">
        <v>29</v>
      </c>
      <c r="J985" s="9"/>
      <c r="O985" s="78"/>
      <c r="P985" s="9"/>
      <c r="Q985" s="12" t="e">
        <f>+VLOOKUP(P985,Datos!$F:$G,2,FALSE)</f>
        <v>#N/A</v>
      </c>
      <c r="Y985" s="14"/>
      <c r="Z985" t="e">
        <f>VLOOKUP(M985,'[1]INDIVIDUAL UN'!$C$6:$F$222,4,FALSE)</f>
        <v>#N/A</v>
      </c>
    </row>
    <row r="986" spans="1:26" x14ac:dyDescent="0.35">
      <c r="A986" s="9" t="s">
        <v>25</v>
      </c>
      <c r="D986" s="10" t="s">
        <v>29</v>
      </c>
      <c r="J986" s="9"/>
      <c r="O986" s="78"/>
      <c r="P986" s="9"/>
      <c r="Q986" s="12" t="e">
        <f>+VLOOKUP(P986,Datos!$F:$G,2,FALSE)</f>
        <v>#N/A</v>
      </c>
      <c r="Y986" s="14"/>
      <c r="Z986" t="e">
        <f>VLOOKUP(M986,'[1]INDIVIDUAL UN'!$C$6:$F$222,4,FALSE)</f>
        <v>#N/A</v>
      </c>
    </row>
    <row r="987" spans="1:26" x14ac:dyDescent="0.35">
      <c r="A987" s="9" t="s">
        <v>25</v>
      </c>
      <c r="D987" s="10" t="s">
        <v>29</v>
      </c>
      <c r="J987" s="9"/>
      <c r="O987" s="78"/>
      <c r="P987" s="9"/>
      <c r="Q987" s="12" t="e">
        <f>+VLOOKUP(P987,Datos!$F:$G,2,FALSE)</f>
        <v>#N/A</v>
      </c>
      <c r="Y987" s="14"/>
      <c r="Z987" t="e">
        <f>VLOOKUP(M987,'[1]INDIVIDUAL UN'!$C$6:$F$222,4,FALSE)</f>
        <v>#N/A</v>
      </c>
    </row>
    <row r="988" spans="1:26" x14ac:dyDescent="0.35">
      <c r="A988" s="9" t="s">
        <v>25</v>
      </c>
      <c r="D988" s="10" t="s">
        <v>29</v>
      </c>
      <c r="J988" s="9"/>
      <c r="O988" s="78"/>
      <c r="P988" s="9"/>
      <c r="Q988" s="12" t="e">
        <f>+VLOOKUP(P988,Datos!$F:$G,2,FALSE)</f>
        <v>#N/A</v>
      </c>
      <c r="Y988" s="14"/>
      <c r="Z988" t="e">
        <f>VLOOKUP(M988,'[1]INDIVIDUAL UN'!$C$6:$F$222,4,FALSE)</f>
        <v>#N/A</v>
      </c>
    </row>
    <row r="989" spans="1:26" x14ac:dyDescent="0.35">
      <c r="A989" s="9" t="s">
        <v>25</v>
      </c>
      <c r="D989" s="10" t="s">
        <v>29</v>
      </c>
      <c r="J989" s="9"/>
      <c r="O989" s="78"/>
      <c r="P989" s="9"/>
      <c r="Q989" s="12" t="e">
        <f>+VLOOKUP(P989,Datos!$F:$G,2,FALSE)</f>
        <v>#N/A</v>
      </c>
      <c r="Y989" s="14"/>
      <c r="Z989" t="e">
        <f>VLOOKUP(M989,'[1]INDIVIDUAL UN'!$C$6:$F$222,4,FALSE)</f>
        <v>#N/A</v>
      </c>
    </row>
    <row r="990" spans="1:26" x14ac:dyDescent="0.35">
      <c r="A990" s="9" t="s">
        <v>25</v>
      </c>
      <c r="D990" s="10" t="s">
        <v>29</v>
      </c>
      <c r="J990" s="9"/>
      <c r="O990" s="78"/>
      <c r="P990" s="9"/>
      <c r="Q990" s="12" t="e">
        <f>+VLOOKUP(P990,Datos!$F:$G,2,FALSE)</f>
        <v>#N/A</v>
      </c>
      <c r="Y990" s="14"/>
      <c r="Z990" t="e">
        <f>VLOOKUP(M990,'[1]INDIVIDUAL UN'!$C$6:$F$222,4,FALSE)</f>
        <v>#N/A</v>
      </c>
    </row>
    <row r="991" spans="1:26" x14ac:dyDescent="0.35">
      <c r="A991" s="9" t="s">
        <v>25</v>
      </c>
      <c r="D991" s="10" t="s">
        <v>29</v>
      </c>
      <c r="J991" s="9"/>
      <c r="O991" s="78"/>
      <c r="P991" s="9"/>
      <c r="Q991" s="12" t="e">
        <f>+VLOOKUP(P991,Datos!$F:$G,2,FALSE)</f>
        <v>#N/A</v>
      </c>
      <c r="Y991" s="14"/>
      <c r="Z991" t="e">
        <f>VLOOKUP(M991,'[1]INDIVIDUAL UN'!$C$6:$F$222,4,FALSE)</f>
        <v>#N/A</v>
      </c>
    </row>
    <row r="992" spans="1:26" x14ac:dyDescent="0.35">
      <c r="A992" s="9" t="s">
        <v>25</v>
      </c>
      <c r="D992" s="10" t="s">
        <v>29</v>
      </c>
      <c r="J992" s="9"/>
      <c r="O992" s="78"/>
      <c r="P992" s="9"/>
      <c r="Q992" s="12" t="e">
        <f>+VLOOKUP(P992,Datos!$F:$G,2,FALSE)</f>
        <v>#N/A</v>
      </c>
      <c r="Y992" s="14"/>
      <c r="Z992" t="e">
        <f>VLOOKUP(M992,'[1]INDIVIDUAL UN'!$C$6:$F$222,4,FALSE)</f>
        <v>#N/A</v>
      </c>
    </row>
    <row r="993" spans="1:26" x14ac:dyDescent="0.35">
      <c r="A993" s="9" t="s">
        <v>25</v>
      </c>
      <c r="D993" s="10" t="s">
        <v>29</v>
      </c>
      <c r="J993" s="9"/>
      <c r="O993" s="78"/>
      <c r="P993" s="9"/>
      <c r="Q993" s="12" t="e">
        <f>+VLOOKUP(P993,Datos!$F:$G,2,FALSE)</f>
        <v>#N/A</v>
      </c>
      <c r="Y993" s="14"/>
      <c r="Z993" t="e">
        <f>VLOOKUP(M993,'[1]INDIVIDUAL UN'!$C$6:$F$222,4,FALSE)</f>
        <v>#N/A</v>
      </c>
    </row>
    <row r="994" spans="1:26" x14ac:dyDescent="0.35">
      <c r="A994" s="9" t="s">
        <v>25</v>
      </c>
      <c r="D994" s="10" t="s">
        <v>29</v>
      </c>
      <c r="J994" s="9"/>
      <c r="O994" s="78"/>
      <c r="P994" s="9"/>
      <c r="Q994" s="12" t="e">
        <f>+VLOOKUP(P994,Datos!$F:$G,2,FALSE)</f>
        <v>#N/A</v>
      </c>
      <c r="Y994" s="14"/>
      <c r="Z994" t="e">
        <f>VLOOKUP(M994,'[1]INDIVIDUAL UN'!$C$6:$F$222,4,FALSE)</f>
        <v>#N/A</v>
      </c>
    </row>
    <row r="995" spans="1:26" x14ac:dyDescent="0.35">
      <c r="A995" s="9" t="s">
        <v>25</v>
      </c>
      <c r="D995" s="10" t="s">
        <v>29</v>
      </c>
      <c r="J995" s="9"/>
      <c r="O995" s="78"/>
      <c r="P995" s="9"/>
      <c r="Q995" s="12" t="e">
        <f>+VLOOKUP(P995,Datos!$F:$G,2,FALSE)</f>
        <v>#N/A</v>
      </c>
      <c r="Y995" s="14"/>
      <c r="Z995" t="e">
        <f>VLOOKUP(M995,'[1]INDIVIDUAL UN'!$C$6:$F$222,4,FALSE)</f>
        <v>#N/A</v>
      </c>
    </row>
    <row r="996" spans="1:26" x14ac:dyDescent="0.35">
      <c r="A996" s="9" t="s">
        <v>25</v>
      </c>
      <c r="D996" s="10" t="s">
        <v>29</v>
      </c>
      <c r="J996" s="9"/>
      <c r="O996" s="78"/>
      <c r="P996" s="9"/>
      <c r="Q996" s="12" t="e">
        <f>+VLOOKUP(P996,Datos!$F:$G,2,FALSE)</f>
        <v>#N/A</v>
      </c>
      <c r="Y996" s="14"/>
      <c r="Z996" t="e">
        <f>VLOOKUP(M996,'[1]INDIVIDUAL UN'!$C$6:$F$222,4,FALSE)</f>
        <v>#N/A</v>
      </c>
    </row>
    <row r="997" spans="1:26" x14ac:dyDescent="0.35">
      <c r="A997" s="9" t="s">
        <v>25</v>
      </c>
      <c r="D997" s="10" t="s">
        <v>29</v>
      </c>
      <c r="J997" s="9"/>
      <c r="O997" s="78"/>
      <c r="P997" s="9"/>
      <c r="Q997" s="12" t="e">
        <f>+VLOOKUP(P997,Datos!$F:$G,2,FALSE)</f>
        <v>#N/A</v>
      </c>
      <c r="Y997" s="14"/>
      <c r="Z997" t="e">
        <f>VLOOKUP(M997,'[1]INDIVIDUAL UN'!$C$6:$F$222,4,FALSE)</f>
        <v>#N/A</v>
      </c>
    </row>
    <row r="998" spans="1:26" x14ac:dyDescent="0.35">
      <c r="A998" s="9" t="s">
        <v>25</v>
      </c>
      <c r="D998" s="10" t="s">
        <v>29</v>
      </c>
      <c r="J998" s="9"/>
      <c r="O998" s="78"/>
      <c r="P998" s="9"/>
      <c r="Q998" s="12" t="e">
        <f>+VLOOKUP(P998,Datos!$F:$G,2,FALSE)</f>
        <v>#N/A</v>
      </c>
      <c r="Y998" s="14"/>
      <c r="Z998" t="e">
        <f>VLOOKUP(M998,'[1]INDIVIDUAL UN'!$C$6:$F$222,4,FALSE)</f>
        <v>#N/A</v>
      </c>
    </row>
    <row r="999" spans="1:26" x14ac:dyDescent="0.35">
      <c r="A999" s="9" t="s">
        <v>25</v>
      </c>
      <c r="D999" s="10" t="s">
        <v>29</v>
      </c>
      <c r="J999" s="9"/>
      <c r="O999" s="78"/>
      <c r="P999" s="9"/>
      <c r="Q999" s="12" t="e">
        <f>+VLOOKUP(P999,Datos!$F:$G,2,FALSE)</f>
        <v>#N/A</v>
      </c>
      <c r="Y999" s="14"/>
      <c r="Z999" t="e">
        <f>VLOOKUP(M999,'[1]INDIVIDUAL UN'!$C$6:$F$222,4,FALSE)</f>
        <v>#N/A</v>
      </c>
    </row>
    <row r="1000" spans="1:26" x14ac:dyDescent="0.35">
      <c r="A1000" s="9" t="s">
        <v>25</v>
      </c>
      <c r="D1000" s="10" t="s">
        <v>29</v>
      </c>
      <c r="J1000" s="9"/>
      <c r="O1000" s="78"/>
      <c r="P1000" s="9"/>
      <c r="Q1000" s="12" t="e">
        <f>+VLOOKUP(P1000,Datos!$F:$G,2,FALSE)</f>
        <v>#N/A</v>
      </c>
      <c r="Y1000" s="14"/>
      <c r="Z1000" t="e">
        <f>VLOOKUP(M1000,'[1]INDIVIDUAL UN'!$C$6:$F$222,4,FALSE)</f>
        <v>#N/A</v>
      </c>
    </row>
    <row r="1001" spans="1:26" x14ac:dyDescent="0.35">
      <c r="A1001" s="9" t="s">
        <v>25</v>
      </c>
      <c r="D1001" s="10" t="s">
        <v>29</v>
      </c>
      <c r="J1001" s="9"/>
      <c r="O1001" s="78"/>
      <c r="P1001" s="9"/>
      <c r="Q1001" s="12" t="e">
        <f>+VLOOKUP(P1001,Datos!$F:$G,2,FALSE)</f>
        <v>#N/A</v>
      </c>
      <c r="Y1001" s="14"/>
      <c r="Z1001" t="e">
        <f>VLOOKUP(M1001,'[1]INDIVIDUAL UN'!$C$6:$F$222,4,FALSE)</f>
        <v>#N/A</v>
      </c>
    </row>
    <row r="1002" spans="1:26" x14ac:dyDescent="0.35">
      <c r="A1002" s="9" t="s">
        <v>25</v>
      </c>
      <c r="D1002" s="10" t="s">
        <v>29</v>
      </c>
      <c r="J1002" s="9"/>
      <c r="O1002" s="78"/>
      <c r="P1002" s="9"/>
      <c r="Q1002" s="12" t="e">
        <f>+VLOOKUP(P1002,Datos!$F:$G,2,FALSE)</f>
        <v>#N/A</v>
      </c>
      <c r="Y1002" s="14"/>
      <c r="Z1002" t="e">
        <f>VLOOKUP(M1002,'[1]INDIVIDUAL UN'!$C$6:$F$222,4,FALSE)</f>
        <v>#N/A</v>
      </c>
    </row>
    <row r="1003" spans="1:26" x14ac:dyDescent="0.35">
      <c r="A1003" s="9" t="s">
        <v>25</v>
      </c>
      <c r="D1003" s="10" t="s">
        <v>29</v>
      </c>
      <c r="J1003" s="9"/>
      <c r="O1003" s="78"/>
      <c r="P1003" s="9"/>
      <c r="Q1003" s="12" t="e">
        <f>+VLOOKUP(P1003,Datos!$F:$G,2,FALSE)</f>
        <v>#N/A</v>
      </c>
      <c r="Y1003" s="14"/>
      <c r="Z1003" t="e">
        <f>VLOOKUP(M1003,'[1]INDIVIDUAL UN'!$C$6:$F$222,4,FALSE)</f>
        <v>#N/A</v>
      </c>
    </row>
    <row r="1004" spans="1:26" x14ac:dyDescent="0.35">
      <c r="A1004" s="9" t="s">
        <v>25</v>
      </c>
      <c r="D1004" s="10" t="s">
        <v>29</v>
      </c>
      <c r="J1004" s="9"/>
      <c r="O1004" s="78"/>
      <c r="P1004" s="9"/>
      <c r="Q1004" s="12" t="e">
        <f>+VLOOKUP(P1004,Datos!$F:$G,2,FALSE)</f>
        <v>#N/A</v>
      </c>
      <c r="Y1004" s="14"/>
      <c r="Z1004" t="e">
        <f>VLOOKUP(M1004,'[1]INDIVIDUAL UN'!$C$6:$F$222,4,FALSE)</f>
        <v>#N/A</v>
      </c>
    </row>
    <row r="1005" spans="1:26" x14ac:dyDescent="0.35">
      <c r="A1005" s="9" t="s">
        <v>25</v>
      </c>
      <c r="D1005" s="10" t="s">
        <v>29</v>
      </c>
      <c r="J1005" s="9"/>
      <c r="O1005" s="78"/>
      <c r="P1005" s="9"/>
      <c r="Q1005" s="12" t="e">
        <f>+VLOOKUP(P1005,Datos!$F:$G,2,FALSE)</f>
        <v>#N/A</v>
      </c>
      <c r="Y1005" s="14"/>
      <c r="Z1005" t="e">
        <f>VLOOKUP(M1005,'[1]INDIVIDUAL UN'!$C$6:$F$222,4,FALSE)</f>
        <v>#N/A</v>
      </c>
    </row>
    <row r="1006" spans="1:26" x14ac:dyDescent="0.35">
      <c r="A1006" s="9" t="s">
        <v>25</v>
      </c>
      <c r="D1006" s="10" t="s">
        <v>29</v>
      </c>
      <c r="J1006" s="9"/>
      <c r="O1006" s="78"/>
      <c r="P1006" s="9"/>
      <c r="Q1006" s="12" t="e">
        <f>+VLOOKUP(P1006,Datos!$F:$G,2,FALSE)</f>
        <v>#N/A</v>
      </c>
      <c r="Y1006" s="14"/>
      <c r="Z1006" t="e">
        <f>VLOOKUP(M1006,'[1]INDIVIDUAL UN'!$C$6:$F$222,4,FALSE)</f>
        <v>#N/A</v>
      </c>
    </row>
    <row r="1007" spans="1:26" x14ac:dyDescent="0.35">
      <c r="A1007" s="9" t="s">
        <v>25</v>
      </c>
      <c r="D1007" s="10" t="s">
        <v>29</v>
      </c>
      <c r="J1007" s="9"/>
      <c r="O1007" s="78"/>
      <c r="P1007" s="9"/>
      <c r="Q1007" s="12" t="e">
        <f>+VLOOKUP(P1007,Datos!$F:$G,2,FALSE)</f>
        <v>#N/A</v>
      </c>
      <c r="Y1007" s="14"/>
      <c r="Z1007" t="e">
        <f>VLOOKUP(M1007,'[1]INDIVIDUAL UN'!$C$6:$F$222,4,FALSE)</f>
        <v>#N/A</v>
      </c>
    </row>
    <row r="1008" spans="1:26" x14ac:dyDescent="0.35">
      <c r="A1008" s="9" t="s">
        <v>25</v>
      </c>
      <c r="D1008" s="10" t="s">
        <v>29</v>
      </c>
      <c r="J1008" s="9"/>
      <c r="O1008" s="78"/>
      <c r="P1008" s="9"/>
      <c r="Q1008" s="12" t="e">
        <f>+VLOOKUP(P1008,Datos!$F:$G,2,FALSE)</f>
        <v>#N/A</v>
      </c>
      <c r="Y1008" s="14"/>
      <c r="Z1008" t="e">
        <f>VLOOKUP(M1008,'[1]INDIVIDUAL UN'!$C$6:$F$222,4,FALSE)</f>
        <v>#N/A</v>
      </c>
    </row>
    <row r="1009" spans="1:26" x14ac:dyDescent="0.35">
      <c r="A1009" s="9" t="s">
        <v>25</v>
      </c>
      <c r="D1009" s="10" t="s">
        <v>29</v>
      </c>
      <c r="J1009" s="9"/>
      <c r="O1009" s="78"/>
      <c r="P1009" s="9"/>
      <c r="Q1009" s="12" t="e">
        <f>+VLOOKUP(P1009,Datos!$F:$G,2,FALSE)</f>
        <v>#N/A</v>
      </c>
      <c r="Y1009" s="14"/>
      <c r="Z1009" t="e">
        <f>VLOOKUP(M1009,'[1]INDIVIDUAL UN'!$C$6:$F$222,4,FALSE)</f>
        <v>#N/A</v>
      </c>
    </row>
    <row r="1010" spans="1:26" x14ac:dyDescent="0.35">
      <c r="A1010" s="9" t="s">
        <v>25</v>
      </c>
      <c r="D1010" s="10" t="s">
        <v>29</v>
      </c>
      <c r="J1010" s="9"/>
      <c r="O1010" s="78"/>
      <c r="P1010" s="9"/>
      <c r="Q1010" s="12" t="e">
        <f>+VLOOKUP(P1010,Datos!$F:$G,2,FALSE)</f>
        <v>#N/A</v>
      </c>
      <c r="Y1010" s="14"/>
      <c r="Z1010" t="e">
        <f>VLOOKUP(M1010,'[1]INDIVIDUAL UN'!$C$6:$F$222,4,FALSE)</f>
        <v>#N/A</v>
      </c>
    </row>
    <row r="1011" spans="1:26" x14ac:dyDescent="0.35">
      <c r="A1011" s="9" t="s">
        <v>25</v>
      </c>
      <c r="D1011" s="10" t="s">
        <v>29</v>
      </c>
      <c r="J1011" s="9"/>
      <c r="O1011" s="78"/>
      <c r="P1011" s="9"/>
      <c r="Q1011" s="12" t="e">
        <f>+VLOOKUP(P1011,Datos!$F:$G,2,FALSE)</f>
        <v>#N/A</v>
      </c>
      <c r="Y1011" s="14"/>
      <c r="Z1011" t="e">
        <f>VLOOKUP(M1011,'[1]INDIVIDUAL UN'!$C$6:$F$222,4,FALSE)</f>
        <v>#N/A</v>
      </c>
    </row>
    <row r="1012" spans="1:26" x14ac:dyDescent="0.35">
      <c r="A1012" s="9" t="s">
        <v>25</v>
      </c>
      <c r="D1012" s="10" t="s">
        <v>29</v>
      </c>
      <c r="J1012" s="9"/>
      <c r="O1012" s="78"/>
      <c r="P1012" s="9"/>
      <c r="Q1012" s="12" t="e">
        <f>+VLOOKUP(P1012,Datos!$F:$G,2,FALSE)</f>
        <v>#N/A</v>
      </c>
      <c r="Y1012" s="14"/>
      <c r="Z1012" t="e">
        <f>VLOOKUP(M1012,'[1]INDIVIDUAL UN'!$C$6:$F$222,4,FALSE)</f>
        <v>#N/A</v>
      </c>
    </row>
    <row r="1013" spans="1:26" x14ac:dyDescent="0.35">
      <c r="A1013" s="9" t="s">
        <v>25</v>
      </c>
      <c r="D1013" s="10" t="s">
        <v>29</v>
      </c>
      <c r="J1013" s="9"/>
      <c r="O1013" s="78"/>
      <c r="P1013" s="9"/>
      <c r="Q1013" s="12" t="e">
        <f>+VLOOKUP(P1013,Datos!$F:$G,2,FALSE)</f>
        <v>#N/A</v>
      </c>
      <c r="Y1013" s="14"/>
      <c r="Z1013" t="e">
        <f>VLOOKUP(M1013,'[1]INDIVIDUAL UN'!$C$6:$F$222,4,FALSE)</f>
        <v>#N/A</v>
      </c>
    </row>
    <row r="1014" spans="1:26" x14ac:dyDescent="0.35">
      <c r="A1014" s="9" t="s">
        <v>25</v>
      </c>
      <c r="D1014" s="10" t="s">
        <v>29</v>
      </c>
      <c r="J1014" s="9"/>
      <c r="O1014" s="78"/>
      <c r="P1014" s="9"/>
      <c r="Q1014" s="12" t="e">
        <f>+VLOOKUP(P1014,Datos!$F:$G,2,FALSE)</f>
        <v>#N/A</v>
      </c>
      <c r="Y1014" s="14"/>
      <c r="Z1014" t="e">
        <f>VLOOKUP(M1014,'[1]INDIVIDUAL UN'!$C$6:$F$222,4,FALSE)</f>
        <v>#N/A</v>
      </c>
    </row>
    <row r="1015" spans="1:26" x14ac:dyDescent="0.35">
      <c r="A1015" s="9" t="s">
        <v>25</v>
      </c>
      <c r="D1015" s="10" t="s">
        <v>29</v>
      </c>
      <c r="J1015" s="9"/>
      <c r="O1015" s="78"/>
      <c r="P1015" s="9"/>
      <c r="Q1015" s="12" t="e">
        <f>+VLOOKUP(P1015,Datos!$F:$G,2,FALSE)</f>
        <v>#N/A</v>
      </c>
      <c r="Y1015" s="14"/>
      <c r="Z1015" t="e">
        <f>VLOOKUP(M1015,'[1]INDIVIDUAL UN'!$C$6:$F$222,4,FALSE)</f>
        <v>#N/A</v>
      </c>
    </row>
    <row r="1016" spans="1:26" x14ac:dyDescent="0.35">
      <c r="A1016" s="9" t="s">
        <v>25</v>
      </c>
      <c r="D1016" s="10" t="s">
        <v>29</v>
      </c>
      <c r="J1016" s="9"/>
      <c r="O1016" s="78"/>
      <c r="P1016" s="9"/>
      <c r="Q1016" s="12" t="e">
        <f>+VLOOKUP(P1016,Datos!$F:$G,2,FALSE)</f>
        <v>#N/A</v>
      </c>
      <c r="Y1016" s="14"/>
      <c r="Z1016" t="e">
        <f>VLOOKUP(M1016,'[1]INDIVIDUAL UN'!$C$6:$F$222,4,FALSE)</f>
        <v>#N/A</v>
      </c>
    </row>
    <row r="1017" spans="1:26" x14ac:dyDescent="0.35">
      <c r="A1017" s="9" t="s">
        <v>25</v>
      </c>
      <c r="D1017" s="10" t="s">
        <v>29</v>
      </c>
      <c r="J1017" s="9"/>
      <c r="O1017" s="78"/>
      <c r="P1017" s="9"/>
      <c r="Q1017" s="12" t="e">
        <f>+VLOOKUP(P1017,Datos!$F:$G,2,FALSE)</f>
        <v>#N/A</v>
      </c>
      <c r="Y1017" s="14"/>
      <c r="Z1017" t="e">
        <f>VLOOKUP(M1017,'[1]INDIVIDUAL UN'!$C$6:$F$222,4,FALSE)</f>
        <v>#N/A</v>
      </c>
    </row>
    <row r="1018" spans="1:26" x14ac:dyDescent="0.35">
      <c r="A1018" s="9" t="s">
        <v>25</v>
      </c>
      <c r="D1018" s="10" t="s">
        <v>29</v>
      </c>
      <c r="J1018" s="9"/>
      <c r="O1018" s="78"/>
      <c r="P1018" s="9"/>
      <c r="Q1018" s="12" t="e">
        <f>+VLOOKUP(P1018,Datos!$F:$G,2,FALSE)</f>
        <v>#N/A</v>
      </c>
      <c r="Y1018" s="14"/>
      <c r="Z1018" t="e">
        <f>VLOOKUP(M1018,'[1]INDIVIDUAL UN'!$C$6:$F$222,4,FALSE)</f>
        <v>#N/A</v>
      </c>
    </row>
    <row r="1019" spans="1:26" x14ac:dyDescent="0.35">
      <c r="A1019" s="9" t="s">
        <v>25</v>
      </c>
      <c r="D1019" s="10" t="s">
        <v>29</v>
      </c>
      <c r="J1019" s="9"/>
      <c r="O1019" s="78"/>
      <c r="P1019" s="9"/>
      <c r="Q1019" s="12" t="e">
        <f>+VLOOKUP(P1019,Datos!$F:$G,2,FALSE)</f>
        <v>#N/A</v>
      </c>
      <c r="Y1019" s="14"/>
      <c r="Z1019" t="e">
        <f>VLOOKUP(M1019,'[1]INDIVIDUAL UN'!$C$6:$F$222,4,FALSE)</f>
        <v>#N/A</v>
      </c>
    </row>
    <row r="1020" spans="1:26" x14ac:dyDescent="0.35">
      <c r="A1020" s="9" t="s">
        <v>25</v>
      </c>
      <c r="D1020" s="10" t="s">
        <v>29</v>
      </c>
      <c r="J1020" s="9"/>
      <c r="O1020" s="78"/>
      <c r="P1020" s="9"/>
      <c r="Q1020" s="12" t="e">
        <f>+VLOOKUP(P1020,Datos!$F:$G,2,FALSE)</f>
        <v>#N/A</v>
      </c>
      <c r="Y1020" s="14"/>
      <c r="Z1020" t="e">
        <f>VLOOKUP(M1020,'[1]INDIVIDUAL UN'!$C$6:$F$222,4,FALSE)</f>
        <v>#N/A</v>
      </c>
    </row>
    <row r="1021" spans="1:26" x14ac:dyDescent="0.35">
      <c r="A1021" s="9" t="s">
        <v>25</v>
      </c>
      <c r="D1021" s="10" t="s">
        <v>29</v>
      </c>
      <c r="J1021" s="9"/>
      <c r="O1021" s="78"/>
      <c r="P1021" s="9"/>
      <c r="Q1021" s="12" t="e">
        <f>+VLOOKUP(P1021,Datos!$F:$G,2,FALSE)</f>
        <v>#N/A</v>
      </c>
      <c r="Y1021" s="14"/>
      <c r="Z1021" t="e">
        <f>VLOOKUP(M1021,'[1]INDIVIDUAL UN'!$C$6:$F$222,4,FALSE)</f>
        <v>#N/A</v>
      </c>
    </row>
    <row r="1022" spans="1:26" x14ac:dyDescent="0.35">
      <c r="A1022" s="9" t="s">
        <v>25</v>
      </c>
      <c r="D1022" s="10" t="s">
        <v>29</v>
      </c>
      <c r="J1022" s="9"/>
      <c r="O1022" s="78"/>
      <c r="P1022" s="9"/>
      <c r="Q1022" s="12" t="e">
        <f>+VLOOKUP(P1022,Datos!$F:$G,2,FALSE)</f>
        <v>#N/A</v>
      </c>
      <c r="Y1022" s="14"/>
      <c r="Z1022" t="e">
        <f>VLOOKUP(M1022,'[1]INDIVIDUAL UN'!$C$6:$F$222,4,FALSE)</f>
        <v>#N/A</v>
      </c>
    </row>
    <row r="1023" spans="1:26" x14ac:dyDescent="0.35">
      <c r="A1023" s="9" t="s">
        <v>25</v>
      </c>
      <c r="D1023" s="10" t="s">
        <v>29</v>
      </c>
      <c r="J1023" s="9"/>
      <c r="O1023" s="78"/>
      <c r="P1023" s="9"/>
      <c r="Q1023" s="12" t="e">
        <f>+VLOOKUP(P1023,Datos!$F:$G,2,FALSE)</f>
        <v>#N/A</v>
      </c>
      <c r="Y1023" s="14"/>
      <c r="Z1023" t="e">
        <f>VLOOKUP(M1023,'[1]INDIVIDUAL UN'!$C$6:$F$222,4,FALSE)</f>
        <v>#N/A</v>
      </c>
    </row>
    <row r="1024" spans="1:26" x14ac:dyDescent="0.35">
      <c r="A1024" s="9" t="s">
        <v>25</v>
      </c>
      <c r="D1024" s="10" t="s">
        <v>29</v>
      </c>
      <c r="J1024" s="9"/>
      <c r="O1024" s="78"/>
      <c r="P1024" s="9"/>
      <c r="Q1024" s="12" t="e">
        <f>+VLOOKUP(P1024,Datos!$F:$G,2,FALSE)</f>
        <v>#N/A</v>
      </c>
      <c r="Y1024" s="14"/>
      <c r="Z1024" t="e">
        <f>VLOOKUP(M1024,'[1]INDIVIDUAL UN'!$C$6:$F$222,4,FALSE)</f>
        <v>#N/A</v>
      </c>
    </row>
    <row r="1025" spans="1:26" x14ac:dyDescent="0.35">
      <c r="A1025" s="9" t="s">
        <v>25</v>
      </c>
      <c r="D1025" s="10" t="s">
        <v>29</v>
      </c>
      <c r="J1025" s="9"/>
      <c r="O1025" s="78"/>
      <c r="P1025" s="9"/>
      <c r="Q1025" s="12" t="e">
        <f>+VLOOKUP(P1025,Datos!$F:$G,2,FALSE)</f>
        <v>#N/A</v>
      </c>
      <c r="Y1025" s="14"/>
      <c r="Z1025" t="e">
        <f>VLOOKUP(M1025,'[1]INDIVIDUAL UN'!$C$6:$F$222,4,FALSE)</f>
        <v>#N/A</v>
      </c>
    </row>
    <row r="1026" spans="1:26" x14ac:dyDescent="0.35">
      <c r="A1026" s="9" t="s">
        <v>25</v>
      </c>
      <c r="D1026" s="10" t="s">
        <v>29</v>
      </c>
      <c r="J1026" s="9"/>
      <c r="O1026" s="78"/>
      <c r="P1026" s="9"/>
      <c r="Q1026" s="12" t="e">
        <f>+VLOOKUP(P1026,Datos!$F:$G,2,FALSE)</f>
        <v>#N/A</v>
      </c>
      <c r="Y1026" s="14"/>
      <c r="Z1026" t="e">
        <f>VLOOKUP(M1026,'[1]INDIVIDUAL UN'!$C$6:$F$222,4,FALSE)</f>
        <v>#N/A</v>
      </c>
    </row>
    <row r="1027" spans="1:26" x14ac:dyDescent="0.35">
      <c r="A1027" s="9" t="s">
        <v>25</v>
      </c>
      <c r="D1027" s="10" t="s">
        <v>29</v>
      </c>
      <c r="J1027" s="9"/>
      <c r="O1027" s="78"/>
      <c r="P1027" s="9"/>
      <c r="Q1027" s="12" t="e">
        <f>+VLOOKUP(P1027,Datos!$F:$G,2,FALSE)</f>
        <v>#N/A</v>
      </c>
      <c r="Y1027" s="14"/>
      <c r="Z1027" t="e">
        <f>VLOOKUP(M1027,'[1]INDIVIDUAL UN'!$C$6:$F$222,4,FALSE)</f>
        <v>#N/A</v>
      </c>
    </row>
    <row r="1028" spans="1:26" x14ac:dyDescent="0.35">
      <c r="A1028" s="9" t="s">
        <v>25</v>
      </c>
      <c r="D1028" s="10" t="s">
        <v>29</v>
      </c>
      <c r="J1028" s="9"/>
      <c r="O1028" s="78"/>
      <c r="P1028" s="9"/>
      <c r="Q1028" s="12" t="e">
        <f>+VLOOKUP(P1028,Datos!$F:$G,2,FALSE)</f>
        <v>#N/A</v>
      </c>
      <c r="Y1028" s="14"/>
      <c r="Z1028" t="e">
        <f>VLOOKUP(M1028,'[1]INDIVIDUAL UN'!$C$6:$F$222,4,FALSE)</f>
        <v>#N/A</v>
      </c>
    </row>
    <row r="1029" spans="1:26" x14ac:dyDescent="0.35">
      <c r="A1029" s="9" t="s">
        <v>25</v>
      </c>
      <c r="D1029" s="10" t="s">
        <v>29</v>
      </c>
      <c r="J1029" s="9"/>
      <c r="O1029" s="78"/>
      <c r="P1029" s="9"/>
      <c r="Q1029" s="12" t="e">
        <f>+VLOOKUP(P1029,Datos!$F:$G,2,FALSE)</f>
        <v>#N/A</v>
      </c>
      <c r="Y1029" s="14"/>
      <c r="Z1029" t="e">
        <f>VLOOKUP(M1029,'[1]INDIVIDUAL UN'!$C$6:$F$222,4,FALSE)</f>
        <v>#N/A</v>
      </c>
    </row>
    <row r="1030" spans="1:26" x14ac:dyDescent="0.35">
      <c r="A1030" s="9" t="s">
        <v>25</v>
      </c>
      <c r="D1030" s="10" t="s">
        <v>29</v>
      </c>
      <c r="J1030" s="9"/>
      <c r="O1030" s="78"/>
      <c r="P1030" s="9"/>
      <c r="Q1030" s="12" t="e">
        <f>+VLOOKUP(P1030,Datos!$F:$G,2,FALSE)</f>
        <v>#N/A</v>
      </c>
      <c r="Y1030" s="14"/>
      <c r="Z1030" t="e">
        <f>VLOOKUP(M1030,'[1]INDIVIDUAL UN'!$C$6:$F$222,4,FALSE)</f>
        <v>#N/A</v>
      </c>
    </row>
    <row r="1031" spans="1:26" x14ac:dyDescent="0.35">
      <c r="A1031" s="9" t="s">
        <v>25</v>
      </c>
      <c r="D1031" s="10" t="s">
        <v>29</v>
      </c>
      <c r="J1031" s="9"/>
      <c r="O1031" s="78"/>
      <c r="P1031" s="9"/>
      <c r="Q1031" s="12" t="e">
        <f>+VLOOKUP(P1031,Datos!$F:$G,2,FALSE)</f>
        <v>#N/A</v>
      </c>
      <c r="Y1031" s="14"/>
      <c r="Z1031" t="e">
        <f>VLOOKUP(M1031,'[1]INDIVIDUAL UN'!$C$6:$F$222,4,FALSE)</f>
        <v>#N/A</v>
      </c>
    </row>
    <row r="1032" spans="1:26" x14ac:dyDescent="0.35">
      <c r="A1032" s="9" t="s">
        <v>25</v>
      </c>
      <c r="D1032" s="10" t="s">
        <v>29</v>
      </c>
      <c r="J1032" s="9"/>
      <c r="O1032" s="78"/>
      <c r="P1032" s="9"/>
      <c r="Q1032" s="12" t="e">
        <f>+VLOOKUP(P1032,Datos!$F:$G,2,FALSE)</f>
        <v>#N/A</v>
      </c>
      <c r="Y1032" s="14"/>
      <c r="Z1032" t="e">
        <f>VLOOKUP(M1032,'[1]INDIVIDUAL UN'!$C$6:$F$222,4,FALSE)</f>
        <v>#N/A</v>
      </c>
    </row>
    <row r="1033" spans="1:26" x14ac:dyDescent="0.35">
      <c r="A1033" s="9" t="s">
        <v>25</v>
      </c>
      <c r="D1033" s="10" t="s">
        <v>29</v>
      </c>
      <c r="J1033" s="9"/>
      <c r="O1033" s="78"/>
      <c r="P1033" s="9"/>
      <c r="Q1033" s="12" t="e">
        <f>+VLOOKUP(P1033,Datos!$F:$G,2,FALSE)</f>
        <v>#N/A</v>
      </c>
      <c r="Y1033" s="14"/>
      <c r="Z1033" t="e">
        <f>VLOOKUP(M1033,'[1]INDIVIDUAL UN'!$C$6:$F$222,4,FALSE)</f>
        <v>#N/A</v>
      </c>
    </row>
    <row r="1034" spans="1:26" x14ac:dyDescent="0.35">
      <c r="A1034" s="9" t="s">
        <v>25</v>
      </c>
      <c r="D1034" s="10" t="s">
        <v>29</v>
      </c>
      <c r="J1034" s="9"/>
      <c r="O1034" s="78"/>
      <c r="P1034" s="9"/>
      <c r="Q1034" s="12" t="e">
        <f>+VLOOKUP(P1034,Datos!$F:$G,2,FALSE)</f>
        <v>#N/A</v>
      </c>
      <c r="Y1034" s="14"/>
      <c r="Z1034" t="e">
        <f>VLOOKUP(M1034,'[1]INDIVIDUAL UN'!$C$6:$F$222,4,FALSE)</f>
        <v>#N/A</v>
      </c>
    </row>
    <row r="1035" spans="1:26" x14ac:dyDescent="0.35">
      <c r="A1035" s="9" t="s">
        <v>25</v>
      </c>
      <c r="D1035" s="10" t="s">
        <v>29</v>
      </c>
      <c r="J1035" s="9"/>
      <c r="O1035" s="78"/>
      <c r="P1035" s="9"/>
      <c r="Q1035" s="12" t="e">
        <f>+VLOOKUP(P1035,Datos!$F:$G,2,FALSE)</f>
        <v>#N/A</v>
      </c>
      <c r="Y1035" s="14"/>
      <c r="Z1035" t="e">
        <f>VLOOKUP(M1035,'[1]INDIVIDUAL UN'!$C$6:$F$222,4,FALSE)</f>
        <v>#N/A</v>
      </c>
    </row>
    <row r="1036" spans="1:26" x14ac:dyDescent="0.35">
      <c r="A1036" s="9" t="s">
        <v>25</v>
      </c>
      <c r="D1036" s="10" t="s">
        <v>29</v>
      </c>
      <c r="J1036" s="9"/>
      <c r="O1036" s="78"/>
      <c r="P1036" s="9"/>
      <c r="Q1036" s="12" t="e">
        <f>+VLOOKUP(P1036,Datos!$F:$G,2,FALSE)</f>
        <v>#N/A</v>
      </c>
      <c r="Y1036" s="14"/>
      <c r="Z1036" t="e">
        <f>VLOOKUP(M1036,'[1]INDIVIDUAL UN'!$C$6:$F$222,4,FALSE)</f>
        <v>#N/A</v>
      </c>
    </row>
    <row r="1037" spans="1:26" x14ac:dyDescent="0.35">
      <c r="A1037" s="9" t="s">
        <v>25</v>
      </c>
      <c r="D1037" s="10" t="s">
        <v>29</v>
      </c>
      <c r="J1037" s="9"/>
      <c r="O1037" s="78"/>
      <c r="P1037" s="9"/>
      <c r="Q1037" s="12" t="e">
        <f>+VLOOKUP(P1037,Datos!$F:$G,2,FALSE)</f>
        <v>#N/A</v>
      </c>
      <c r="Y1037" s="14"/>
      <c r="Z1037" t="e">
        <f>VLOOKUP(M1037,'[1]INDIVIDUAL UN'!$C$6:$F$222,4,FALSE)</f>
        <v>#N/A</v>
      </c>
    </row>
    <row r="1038" spans="1:26" x14ac:dyDescent="0.35">
      <c r="A1038" s="9" t="s">
        <v>25</v>
      </c>
      <c r="D1038" s="10" t="s">
        <v>29</v>
      </c>
      <c r="J1038" s="9"/>
      <c r="O1038" s="78"/>
      <c r="P1038" s="9"/>
      <c r="Q1038" s="12" t="e">
        <f>+VLOOKUP(P1038,Datos!$F:$G,2,FALSE)</f>
        <v>#N/A</v>
      </c>
      <c r="Y1038" s="14"/>
      <c r="Z1038" t="e">
        <f>VLOOKUP(M1038,'[1]INDIVIDUAL UN'!$C$6:$F$222,4,FALSE)</f>
        <v>#N/A</v>
      </c>
    </row>
    <row r="1039" spans="1:26" x14ac:dyDescent="0.35">
      <c r="A1039" s="9" t="s">
        <v>25</v>
      </c>
      <c r="D1039" s="10" t="s">
        <v>29</v>
      </c>
      <c r="J1039" s="9"/>
      <c r="O1039" s="78"/>
      <c r="P1039" s="9"/>
      <c r="Q1039" s="12" t="e">
        <f>+VLOOKUP(P1039,Datos!$F:$G,2,FALSE)</f>
        <v>#N/A</v>
      </c>
      <c r="Y1039" s="14"/>
      <c r="Z1039" t="e">
        <f>VLOOKUP(M1039,'[1]INDIVIDUAL UN'!$C$6:$F$222,4,FALSE)</f>
        <v>#N/A</v>
      </c>
    </row>
    <row r="1040" spans="1:26" x14ac:dyDescent="0.35">
      <c r="A1040" s="9" t="s">
        <v>25</v>
      </c>
      <c r="D1040" s="10" t="s">
        <v>29</v>
      </c>
      <c r="J1040" s="9"/>
      <c r="O1040" s="78"/>
      <c r="P1040" s="9"/>
      <c r="Q1040" s="12" t="e">
        <f>+VLOOKUP(P1040,Datos!$F:$G,2,FALSE)</f>
        <v>#N/A</v>
      </c>
      <c r="Y1040" s="14"/>
      <c r="Z1040" t="e">
        <f>VLOOKUP(M1040,'[1]INDIVIDUAL UN'!$C$6:$F$222,4,FALSE)</f>
        <v>#N/A</v>
      </c>
    </row>
    <row r="1041" spans="1:26" x14ac:dyDescent="0.35">
      <c r="A1041" s="9" t="s">
        <v>25</v>
      </c>
      <c r="D1041" s="10" t="s">
        <v>29</v>
      </c>
      <c r="J1041" s="9"/>
      <c r="O1041" s="78"/>
      <c r="P1041" s="9"/>
      <c r="Q1041" s="12" t="e">
        <f>+VLOOKUP(P1041,Datos!$F:$G,2,FALSE)</f>
        <v>#N/A</v>
      </c>
      <c r="Y1041" s="14"/>
      <c r="Z1041" t="e">
        <f>VLOOKUP(M1041,'[1]INDIVIDUAL UN'!$C$6:$F$222,4,FALSE)</f>
        <v>#N/A</v>
      </c>
    </row>
    <row r="1042" spans="1:26" x14ac:dyDescent="0.35">
      <c r="A1042" s="9" t="s">
        <v>25</v>
      </c>
      <c r="D1042" s="10" t="s">
        <v>29</v>
      </c>
      <c r="J1042" s="9"/>
      <c r="O1042" s="78"/>
      <c r="P1042" s="9"/>
      <c r="Q1042" s="12" t="e">
        <f>+VLOOKUP(P1042,Datos!$F:$G,2,FALSE)</f>
        <v>#N/A</v>
      </c>
      <c r="Y1042" s="14"/>
      <c r="Z1042" t="e">
        <f>VLOOKUP(M1042,'[1]INDIVIDUAL UN'!$C$6:$F$222,4,FALSE)</f>
        <v>#N/A</v>
      </c>
    </row>
    <row r="1043" spans="1:26" x14ac:dyDescent="0.35">
      <c r="A1043" s="9" t="s">
        <v>25</v>
      </c>
      <c r="D1043" s="10" t="s">
        <v>29</v>
      </c>
      <c r="J1043" s="9"/>
      <c r="O1043" s="78"/>
      <c r="P1043" s="9"/>
      <c r="Q1043" s="12" t="e">
        <f>+VLOOKUP(P1043,Datos!$F:$G,2,FALSE)</f>
        <v>#N/A</v>
      </c>
      <c r="Y1043" s="14"/>
      <c r="Z1043" t="e">
        <f>VLOOKUP(M1043,'[1]INDIVIDUAL UN'!$C$6:$F$222,4,FALSE)</f>
        <v>#N/A</v>
      </c>
    </row>
    <row r="1044" spans="1:26" x14ac:dyDescent="0.35">
      <c r="A1044" s="9" t="s">
        <v>25</v>
      </c>
      <c r="D1044" s="10" t="s">
        <v>29</v>
      </c>
      <c r="J1044" s="9"/>
      <c r="O1044" s="78"/>
      <c r="P1044" s="9"/>
      <c r="Q1044" s="12" t="e">
        <f>+VLOOKUP(P1044,Datos!$F:$G,2,FALSE)</f>
        <v>#N/A</v>
      </c>
      <c r="Y1044" s="14"/>
      <c r="Z1044" t="e">
        <f>VLOOKUP(M1044,'[1]INDIVIDUAL UN'!$C$6:$F$222,4,FALSE)</f>
        <v>#N/A</v>
      </c>
    </row>
    <row r="1045" spans="1:26" x14ac:dyDescent="0.35">
      <c r="A1045" s="9" t="s">
        <v>25</v>
      </c>
      <c r="D1045" s="10" t="s">
        <v>29</v>
      </c>
      <c r="J1045" s="9"/>
      <c r="O1045" s="78"/>
      <c r="P1045" s="9"/>
      <c r="Q1045" s="12" t="e">
        <f>+VLOOKUP(P1045,Datos!$F:$G,2,FALSE)</f>
        <v>#N/A</v>
      </c>
      <c r="Y1045" s="14"/>
      <c r="Z1045" t="e">
        <f>VLOOKUP(M1045,'[1]INDIVIDUAL UN'!$C$6:$F$222,4,FALSE)</f>
        <v>#N/A</v>
      </c>
    </row>
    <row r="1046" spans="1:26" x14ac:dyDescent="0.35">
      <c r="A1046" s="9" t="s">
        <v>25</v>
      </c>
      <c r="D1046" s="10" t="s">
        <v>29</v>
      </c>
      <c r="J1046" s="9"/>
      <c r="O1046" s="78"/>
      <c r="P1046" s="9"/>
      <c r="Q1046" s="12" t="e">
        <f>+VLOOKUP(P1046,Datos!$F:$G,2,FALSE)</f>
        <v>#N/A</v>
      </c>
      <c r="Y1046" s="14"/>
      <c r="Z1046" t="e">
        <f>VLOOKUP(M1046,'[1]INDIVIDUAL UN'!$C$6:$F$222,4,FALSE)</f>
        <v>#N/A</v>
      </c>
    </row>
    <row r="1047" spans="1:26" x14ac:dyDescent="0.35">
      <c r="A1047" s="9" t="s">
        <v>25</v>
      </c>
      <c r="D1047" s="10" t="s">
        <v>29</v>
      </c>
      <c r="J1047" s="9"/>
      <c r="O1047" s="78"/>
      <c r="P1047" s="9"/>
      <c r="Q1047" s="12" t="e">
        <f>+VLOOKUP(P1047,Datos!$F:$G,2,FALSE)</f>
        <v>#N/A</v>
      </c>
      <c r="Y1047" s="14"/>
      <c r="Z1047" t="e">
        <f>VLOOKUP(M1047,'[1]INDIVIDUAL UN'!$C$6:$F$222,4,FALSE)</f>
        <v>#N/A</v>
      </c>
    </row>
    <row r="1048" spans="1:26" x14ac:dyDescent="0.35">
      <c r="A1048" s="9" t="s">
        <v>25</v>
      </c>
      <c r="D1048" s="10" t="s">
        <v>29</v>
      </c>
      <c r="J1048" s="9"/>
      <c r="O1048" s="78"/>
      <c r="P1048" s="9"/>
      <c r="Q1048" s="12" t="e">
        <f>+VLOOKUP(P1048,Datos!$F:$G,2,FALSE)</f>
        <v>#N/A</v>
      </c>
      <c r="Y1048" s="14"/>
      <c r="Z1048" t="e">
        <f>VLOOKUP(M1048,'[1]INDIVIDUAL UN'!$C$6:$F$222,4,FALSE)</f>
        <v>#N/A</v>
      </c>
    </row>
    <row r="1049" spans="1:26" x14ac:dyDescent="0.35">
      <c r="A1049" s="9" t="s">
        <v>25</v>
      </c>
      <c r="D1049" s="10" t="s">
        <v>29</v>
      </c>
      <c r="J1049" s="9"/>
      <c r="O1049" s="78"/>
      <c r="P1049" s="9"/>
      <c r="Q1049" s="12" t="e">
        <f>+VLOOKUP(P1049,Datos!$F:$G,2,FALSE)</f>
        <v>#N/A</v>
      </c>
      <c r="Y1049" s="14"/>
      <c r="Z1049" t="e">
        <f>VLOOKUP(M1049,'[1]INDIVIDUAL UN'!$C$6:$F$222,4,FALSE)</f>
        <v>#N/A</v>
      </c>
    </row>
    <row r="1050" spans="1:26" x14ac:dyDescent="0.35">
      <c r="A1050" s="9" t="s">
        <v>25</v>
      </c>
      <c r="D1050" s="10" t="s">
        <v>29</v>
      </c>
      <c r="J1050" s="9"/>
      <c r="O1050" s="78"/>
      <c r="P1050" s="9"/>
      <c r="Q1050" s="12" t="e">
        <f>+VLOOKUP(P1050,Datos!$F:$G,2,FALSE)</f>
        <v>#N/A</v>
      </c>
      <c r="Y1050" s="14"/>
      <c r="Z1050" t="e">
        <f>VLOOKUP(M1050,'[1]INDIVIDUAL UN'!$C$6:$F$222,4,FALSE)</f>
        <v>#N/A</v>
      </c>
    </row>
    <row r="1051" spans="1:26" x14ac:dyDescent="0.35">
      <c r="A1051" s="9" t="s">
        <v>25</v>
      </c>
      <c r="D1051" s="10" t="s">
        <v>29</v>
      </c>
      <c r="J1051" s="9"/>
      <c r="O1051" s="78"/>
      <c r="P1051" s="9"/>
      <c r="Q1051" s="12" t="e">
        <f>+VLOOKUP(P1051,Datos!$F:$G,2,FALSE)</f>
        <v>#N/A</v>
      </c>
      <c r="Y1051" s="14"/>
      <c r="Z1051" t="e">
        <f>VLOOKUP(M1051,'[1]INDIVIDUAL UN'!$C$6:$F$222,4,FALSE)</f>
        <v>#N/A</v>
      </c>
    </row>
    <row r="1052" spans="1:26" x14ac:dyDescent="0.35">
      <c r="A1052" s="9" t="s">
        <v>25</v>
      </c>
      <c r="D1052" s="10" t="s">
        <v>29</v>
      </c>
      <c r="J1052" s="9"/>
      <c r="O1052" s="78"/>
      <c r="P1052" s="9"/>
      <c r="Q1052" s="12" t="e">
        <f>+VLOOKUP(P1052,Datos!$F:$G,2,FALSE)</f>
        <v>#N/A</v>
      </c>
      <c r="Y1052" s="14"/>
      <c r="Z1052" t="e">
        <f>VLOOKUP(M1052,'[1]INDIVIDUAL UN'!$C$6:$F$222,4,FALSE)</f>
        <v>#N/A</v>
      </c>
    </row>
    <row r="1053" spans="1:26" x14ac:dyDescent="0.35">
      <c r="A1053" s="9" t="s">
        <v>25</v>
      </c>
      <c r="D1053" s="10" t="s">
        <v>29</v>
      </c>
      <c r="J1053" s="9"/>
      <c r="O1053" s="78"/>
      <c r="P1053" s="9"/>
      <c r="Q1053" s="12" t="e">
        <f>+VLOOKUP(P1053,Datos!$F:$G,2,FALSE)</f>
        <v>#N/A</v>
      </c>
      <c r="Y1053" s="14"/>
      <c r="Z1053" t="e">
        <f>VLOOKUP(M1053,'[1]INDIVIDUAL UN'!$C$6:$F$222,4,FALSE)</f>
        <v>#N/A</v>
      </c>
    </row>
    <row r="1054" spans="1:26" x14ac:dyDescent="0.35">
      <c r="A1054" s="9" t="s">
        <v>25</v>
      </c>
      <c r="D1054" s="10" t="s">
        <v>29</v>
      </c>
      <c r="J1054" s="9"/>
      <c r="O1054" s="78"/>
      <c r="P1054" s="9"/>
      <c r="Q1054" s="12" t="e">
        <f>+VLOOKUP(P1054,Datos!$F:$G,2,FALSE)</f>
        <v>#N/A</v>
      </c>
      <c r="Y1054" s="14"/>
      <c r="Z1054" t="e">
        <f>VLOOKUP(M1054,'[1]INDIVIDUAL UN'!$C$6:$F$222,4,FALSE)</f>
        <v>#N/A</v>
      </c>
    </row>
    <row r="1055" spans="1:26" x14ac:dyDescent="0.35">
      <c r="A1055" s="9" t="s">
        <v>25</v>
      </c>
      <c r="D1055" s="10" t="s">
        <v>29</v>
      </c>
      <c r="J1055" s="9"/>
      <c r="O1055" s="78"/>
      <c r="P1055" s="9"/>
      <c r="Q1055" s="12" t="e">
        <f>+VLOOKUP(P1055,Datos!$F:$G,2,FALSE)</f>
        <v>#N/A</v>
      </c>
      <c r="Y1055" s="14"/>
      <c r="Z1055" t="e">
        <f>VLOOKUP(M1055,'[1]INDIVIDUAL UN'!$C$6:$F$222,4,FALSE)</f>
        <v>#N/A</v>
      </c>
    </row>
    <row r="1056" spans="1:26" x14ac:dyDescent="0.35">
      <c r="A1056" s="9" t="s">
        <v>25</v>
      </c>
      <c r="D1056" s="10" t="s">
        <v>29</v>
      </c>
      <c r="J1056" s="9"/>
      <c r="O1056" s="78"/>
      <c r="P1056" s="9"/>
      <c r="Q1056" s="12" t="e">
        <f>+VLOOKUP(P1056,Datos!$F:$G,2,FALSE)</f>
        <v>#N/A</v>
      </c>
      <c r="Y1056" s="14"/>
      <c r="Z1056" t="e">
        <f>VLOOKUP(M1056,'[1]INDIVIDUAL UN'!$C$6:$F$222,4,FALSE)</f>
        <v>#N/A</v>
      </c>
    </row>
    <row r="1057" spans="1:26" x14ac:dyDescent="0.35">
      <c r="A1057" s="9" t="s">
        <v>25</v>
      </c>
      <c r="D1057" s="10" t="s">
        <v>29</v>
      </c>
      <c r="J1057" s="9"/>
      <c r="O1057" s="78"/>
      <c r="P1057" s="9"/>
      <c r="Q1057" s="12" t="e">
        <f>+VLOOKUP(P1057,Datos!$F:$G,2,FALSE)</f>
        <v>#N/A</v>
      </c>
      <c r="Y1057" s="14"/>
      <c r="Z1057" t="e">
        <f>VLOOKUP(M1057,'[1]INDIVIDUAL UN'!$C$6:$F$222,4,FALSE)</f>
        <v>#N/A</v>
      </c>
    </row>
    <row r="1058" spans="1:26" x14ac:dyDescent="0.35">
      <c r="A1058" s="9" t="s">
        <v>25</v>
      </c>
      <c r="D1058" s="10" t="s">
        <v>29</v>
      </c>
      <c r="J1058" s="9"/>
      <c r="O1058" s="78"/>
      <c r="P1058" s="9"/>
      <c r="Q1058" s="12" t="e">
        <f>+VLOOKUP(P1058,Datos!$F:$G,2,FALSE)</f>
        <v>#N/A</v>
      </c>
      <c r="Y1058" s="14"/>
      <c r="Z1058" t="e">
        <f>VLOOKUP(M1058,'[1]INDIVIDUAL UN'!$C$6:$F$222,4,FALSE)</f>
        <v>#N/A</v>
      </c>
    </row>
    <row r="1059" spans="1:26" x14ac:dyDescent="0.35">
      <c r="A1059" s="9" t="s">
        <v>25</v>
      </c>
      <c r="D1059" s="10" t="s">
        <v>29</v>
      </c>
      <c r="J1059" s="9"/>
      <c r="O1059" s="78"/>
      <c r="P1059" s="9"/>
      <c r="Q1059" s="12" t="e">
        <f>+VLOOKUP(P1059,Datos!$F:$G,2,FALSE)</f>
        <v>#N/A</v>
      </c>
      <c r="Y1059" s="14"/>
      <c r="Z1059" t="e">
        <f>VLOOKUP(M1059,'[1]INDIVIDUAL UN'!$C$6:$F$222,4,FALSE)</f>
        <v>#N/A</v>
      </c>
    </row>
    <row r="1060" spans="1:26" x14ac:dyDescent="0.35">
      <c r="A1060" s="9" t="s">
        <v>25</v>
      </c>
      <c r="D1060" s="10" t="s">
        <v>29</v>
      </c>
      <c r="J1060" s="9"/>
      <c r="O1060" s="78"/>
      <c r="P1060" s="9"/>
      <c r="Q1060" s="12" t="e">
        <f>+VLOOKUP(P1060,Datos!$F:$G,2,FALSE)</f>
        <v>#N/A</v>
      </c>
      <c r="Y1060" s="14"/>
      <c r="Z1060" t="e">
        <f>VLOOKUP(M1060,'[1]INDIVIDUAL UN'!$C$6:$F$222,4,FALSE)</f>
        <v>#N/A</v>
      </c>
    </row>
    <row r="1061" spans="1:26" x14ac:dyDescent="0.35">
      <c r="A1061" s="9" t="s">
        <v>25</v>
      </c>
      <c r="D1061" s="10" t="s">
        <v>29</v>
      </c>
      <c r="J1061" s="9"/>
      <c r="O1061" s="78"/>
      <c r="P1061" s="9"/>
      <c r="Q1061" s="12" t="e">
        <f>+VLOOKUP(P1061,Datos!$F:$G,2,FALSE)</f>
        <v>#N/A</v>
      </c>
      <c r="Y1061" s="14"/>
      <c r="Z1061" t="e">
        <f>VLOOKUP(M1061,'[1]INDIVIDUAL UN'!$C$6:$F$222,4,FALSE)</f>
        <v>#N/A</v>
      </c>
    </row>
    <row r="1062" spans="1:26" x14ac:dyDescent="0.35">
      <c r="A1062" s="9" t="s">
        <v>25</v>
      </c>
      <c r="D1062" s="10" t="s">
        <v>29</v>
      </c>
      <c r="J1062" s="9"/>
      <c r="O1062" s="78"/>
      <c r="P1062" s="9"/>
      <c r="Q1062" s="12" t="e">
        <f>+VLOOKUP(P1062,Datos!$F:$G,2,FALSE)</f>
        <v>#N/A</v>
      </c>
      <c r="Y1062" s="14"/>
      <c r="Z1062" t="e">
        <f>VLOOKUP(M1062,'[1]INDIVIDUAL UN'!$C$6:$F$222,4,FALSE)</f>
        <v>#N/A</v>
      </c>
    </row>
    <row r="1063" spans="1:26" x14ac:dyDescent="0.35">
      <c r="A1063" s="9" t="s">
        <v>25</v>
      </c>
      <c r="D1063" s="10" t="s">
        <v>29</v>
      </c>
      <c r="J1063" s="9"/>
      <c r="O1063" s="78"/>
      <c r="P1063" s="9"/>
      <c r="Q1063" s="12" t="e">
        <f>+VLOOKUP(P1063,Datos!$F:$G,2,FALSE)</f>
        <v>#N/A</v>
      </c>
      <c r="Y1063" s="14"/>
      <c r="Z1063" t="e">
        <f>VLOOKUP(M1063,'[1]INDIVIDUAL UN'!$C$6:$F$222,4,FALSE)</f>
        <v>#N/A</v>
      </c>
    </row>
    <row r="1064" spans="1:26" x14ac:dyDescent="0.35">
      <c r="A1064" s="9" t="s">
        <v>25</v>
      </c>
      <c r="D1064" s="10" t="s">
        <v>29</v>
      </c>
      <c r="J1064" s="9"/>
      <c r="O1064" s="78"/>
      <c r="P1064" s="9"/>
      <c r="Q1064" s="12" t="e">
        <f>+VLOOKUP(P1064,Datos!$F:$G,2,FALSE)</f>
        <v>#N/A</v>
      </c>
      <c r="Y1064" s="14"/>
      <c r="Z1064" t="e">
        <f>VLOOKUP(M1064,'[1]INDIVIDUAL UN'!$C$6:$F$222,4,FALSE)</f>
        <v>#N/A</v>
      </c>
    </row>
    <row r="1065" spans="1:26" x14ac:dyDescent="0.35">
      <c r="A1065" s="9" t="s">
        <v>25</v>
      </c>
      <c r="D1065" s="10" t="s">
        <v>29</v>
      </c>
      <c r="J1065" s="9"/>
      <c r="O1065" s="78"/>
      <c r="P1065" s="9"/>
      <c r="Q1065" s="12" t="e">
        <f>+VLOOKUP(P1065,Datos!$F:$G,2,FALSE)</f>
        <v>#N/A</v>
      </c>
      <c r="Y1065" s="14"/>
      <c r="Z1065" t="e">
        <f>VLOOKUP(M1065,'[1]INDIVIDUAL UN'!$C$6:$F$222,4,FALSE)</f>
        <v>#N/A</v>
      </c>
    </row>
    <row r="1066" spans="1:26" x14ac:dyDescent="0.35">
      <c r="A1066" s="9" t="s">
        <v>25</v>
      </c>
      <c r="D1066" s="10" t="s">
        <v>29</v>
      </c>
      <c r="J1066" s="9"/>
      <c r="O1066" s="78"/>
      <c r="P1066" s="9"/>
      <c r="Q1066" s="12" t="e">
        <f>+VLOOKUP(P1066,Datos!$F:$G,2,FALSE)</f>
        <v>#N/A</v>
      </c>
      <c r="Y1066" s="14"/>
      <c r="Z1066" t="e">
        <f>VLOOKUP(M1066,'[1]INDIVIDUAL UN'!$C$6:$F$222,4,FALSE)</f>
        <v>#N/A</v>
      </c>
    </row>
    <row r="1067" spans="1:26" x14ac:dyDescent="0.35">
      <c r="A1067" s="9" t="s">
        <v>25</v>
      </c>
      <c r="D1067" s="10" t="s">
        <v>29</v>
      </c>
      <c r="J1067" s="9"/>
      <c r="O1067" s="78"/>
      <c r="P1067" s="9"/>
      <c r="Q1067" s="12" t="e">
        <f>+VLOOKUP(P1067,Datos!$F:$G,2,FALSE)</f>
        <v>#N/A</v>
      </c>
      <c r="Y1067" s="14"/>
      <c r="Z1067" t="e">
        <f>VLOOKUP(M1067,'[1]INDIVIDUAL UN'!$C$6:$F$222,4,FALSE)</f>
        <v>#N/A</v>
      </c>
    </row>
    <row r="1068" spans="1:26" x14ac:dyDescent="0.35">
      <c r="A1068" s="9" t="s">
        <v>25</v>
      </c>
      <c r="D1068" s="10" t="s">
        <v>29</v>
      </c>
      <c r="J1068" s="9"/>
      <c r="O1068" s="78"/>
      <c r="P1068" s="9"/>
      <c r="Q1068" s="12" t="e">
        <f>+VLOOKUP(P1068,Datos!$F:$G,2,FALSE)</f>
        <v>#N/A</v>
      </c>
      <c r="Y1068" s="14"/>
      <c r="Z1068" t="e">
        <f>VLOOKUP(M1068,'[1]INDIVIDUAL UN'!$C$6:$F$222,4,FALSE)</f>
        <v>#N/A</v>
      </c>
    </row>
    <row r="1069" spans="1:26" x14ac:dyDescent="0.35">
      <c r="A1069" s="9" t="s">
        <v>25</v>
      </c>
      <c r="D1069" s="10" t="s">
        <v>29</v>
      </c>
      <c r="J1069" s="9"/>
      <c r="O1069" s="78"/>
      <c r="P1069" s="9"/>
      <c r="Q1069" s="12" t="e">
        <f>+VLOOKUP(P1069,Datos!$F:$G,2,FALSE)</f>
        <v>#N/A</v>
      </c>
      <c r="Y1069" s="14"/>
      <c r="Z1069" t="e">
        <f>VLOOKUP(M1069,'[1]INDIVIDUAL UN'!$C$6:$F$222,4,FALSE)</f>
        <v>#N/A</v>
      </c>
    </row>
    <row r="1070" spans="1:26" x14ac:dyDescent="0.35">
      <c r="A1070" s="9" t="s">
        <v>25</v>
      </c>
      <c r="D1070" s="10" t="s">
        <v>29</v>
      </c>
      <c r="J1070" s="9"/>
      <c r="O1070" s="78"/>
      <c r="P1070" s="9"/>
      <c r="Q1070" s="12" t="e">
        <f>+VLOOKUP(P1070,Datos!$F:$G,2,FALSE)</f>
        <v>#N/A</v>
      </c>
      <c r="Y1070" s="14"/>
      <c r="Z1070" t="e">
        <f>VLOOKUP(M1070,'[1]INDIVIDUAL UN'!$C$6:$F$222,4,FALSE)</f>
        <v>#N/A</v>
      </c>
    </row>
    <row r="1071" spans="1:26" x14ac:dyDescent="0.35">
      <c r="A1071" s="9" t="s">
        <v>25</v>
      </c>
      <c r="D1071" s="10" t="s">
        <v>29</v>
      </c>
      <c r="J1071" s="9"/>
      <c r="O1071" s="78"/>
      <c r="P1071" s="9"/>
      <c r="Q1071" s="12" t="e">
        <f>+VLOOKUP(P1071,Datos!$F:$G,2,FALSE)</f>
        <v>#N/A</v>
      </c>
      <c r="Y1071" s="14"/>
      <c r="Z1071" t="e">
        <f>VLOOKUP(M1071,'[1]INDIVIDUAL UN'!$C$6:$F$222,4,FALSE)</f>
        <v>#N/A</v>
      </c>
    </row>
    <row r="1072" spans="1:26" x14ac:dyDescent="0.35">
      <c r="A1072" s="9" t="s">
        <v>25</v>
      </c>
      <c r="D1072" s="10" t="s">
        <v>29</v>
      </c>
      <c r="J1072" s="9"/>
      <c r="O1072" s="78"/>
      <c r="P1072" s="9"/>
      <c r="Q1072" s="12" t="e">
        <f>+VLOOKUP(P1072,Datos!$F:$G,2,FALSE)</f>
        <v>#N/A</v>
      </c>
      <c r="Y1072" s="14"/>
      <c r="Z1072" t="e">
        <f>VLOOKUP(M1072,'[1]INDIVIDUAL UN'!$C$6:$F$222,4,FALSE)</f>
        <v>#N/A</v>
      </c>
    </row>
    <row r="1073" spans="1:26" x14ac:dyDescent="0.35">
      <c r="A1073" s="9" t="s">
        <v>25</v>
      </c>
      <c r="D1073" s="10" t="s">
        <v>29</v>
      </c>
      <c r="J1073" s="9"/>
      <c r="O1073" s="78"/>
      <c r="P1073" s="9"/>
      <c r="Q1073" s="12" t="e">
        <f>+VLOOKUP(P1073,Datos!$F:$G,2,FALSE)</f>
        <v>#N/A</v>
      </c>
      <c r="Y1073" s="14"/>
      <c r="Z1073" t="e">
        <f>VLOOKUP(M1073,'[1]INDIVIDUAL UN'!$C$6:$F$222,4,FALSE)</f>
        <v>#N/A</v>
      </c>
    </row>
    <row r="1074" spans="1:26" x14ac:dyDescent="0.35">
      <c r="A1074" s="9" t="s">
        <v>25</v>
      </c>
      <c r="D1074" s="10" t="s">
        <v>29</v>
      </c>
      <c r="J1074" s="9"/>
      <c r="O1074" s="78"/>
      <c r="P1074" s="9"/>
      <c r="Q1074" s="12" t="e">
        <f>+VLOOKUP(P1074,Datos!$F:$G,2,FALSE)</f>
        <v>#N/A</v>
      </c>
      <c r="Y1074" s="14"/>
      <c r="Z1074" t="e">
        <f>VLOOKUP(M1074,'[1]INDIVIDUAL UN'!$C$6:$F$222,4,FALSE)</f>
        <v>#N/A</v>
      </c>
    </row>
    <row r="1075" spans="1:26" x14ac:dyDescent="0.35">
      <c r="A1075" s="9" t="s">
        <v>25</v>
      </c>
      <c r="D1075" s="10" t="s">
        <v>29</v>
      </c>
      <c r="J1075" s="9"/>
      <c r="O1075" s="78"/>
      <c r="P1075" s="9"/>
      <c r="Q1075" s="12" t="e">
        <f>+VLOOKUP(P1075,Datos!$F:$G,2,FALSE)</f>
        <v>#N/A</v>
      </c>
      <c r="Y1075" s="14"/>
      <c r="Z1075" t="e">
        <f>VLOOKUP(M1075,'[1]INDIVIDUAL UN'!$C$6:$F$222,4,FALSE)</f>
        <v>#N/A</v>
      </c>
    </row>
    <row r="1076" spans="1:26" x14ac:dyDescent="0.35">
      <c r="A1076" s="9" t="s">
        <v>25</v>
      </c>
      <c r="D1076" s="10" t="s">
        <v>29</v>
      </c>
      <c r="J1076" s="9"/>
      <c r="O1076" s="78"/>
      <c r="P1076" s="9"/>
      <c r="Q1076" s="12" t="e">
        <f>+VLOOKUP(P1076,Datos!$F:$G,2,FALSE)</f>
        <v>#N/A</v>
      </c>
      <c r="Y1076" s="14"/>
      <c r="Z1076" t="e">
        <f>VLOOKUP(M1076,'[1]INDIVIDUAL UN'!$C$6:$F$222,4,FALSE)</f>
        <v>#N/A</v>
      </c>
    </row>
    <row r="1077" spans="1:26" x14ac:dyDescent="0.35">
      <c r="A1077" s="9" t="s">
        <v>25</v>
      </c>
      <c r="D1077" s="10" t="s">
        <v>29</v>
      </c>
      <c r="J1077" s="9"/>
      <c r="O1077" s="78"/>
      <c r="P1077" s="9"/>
      <c r="Q1077" s="12" t="e">
        <f>+VLOOKUP(P1077,Datos!$F:$G,2,FALSE)</f>
        <v>#N/A</v>
      </c>
      <c r="Y1077" s="14"/>
      <c r="Z1077" t="e">
        <f>VLOOKUP(M1077,'[1]INDIVIDUAL UN'!$C$6:$F$222,4,FALSE)</f>
        <v>#N/A</v>
      </c>
    </row>
    <row r="1078" spans="1:26" x14ac:dyDescent="0.35">
      <c r="A1078" s="9" t="s">
        <v>25</v>
      </c>
      <c r="D1078" s="10" t="s">
        <v>29</v>
      </c>
      <c r="J1078" s="9"/>
      <c r="O1078" s="78"/>
      <c r="P1078" s="9"/>
      <c r="Q1078" s="12" t="e">
        <f>+VLOOKUP(P1078,Datos!$F:$G,2,FALSE)</f>
        <v>#N/A</v>
      </c>
      <c r="Y1078" s="14"/>
      <c r="Z1078" t="e">
        <f>VLOOKUP(M1078,'[1]INDIVIDUAL UN'!$C$6:$F$222,4,FALSE)</f>
        <v>#N/A</v>
      </c>
    </row>
    <row r="1079" spans="1:26" x14ac:dyDescent="0.35">
      <c r="A1079" s="9" t="s">
        <v>25</v>
      </c>
      <c r="D1079" s="10" t="s">
        <v>29</v>
      </c>
      <c r="J1079" s="9"/>
      <c r="O1079" s="78"/>
      <c r="P1079" s="9"/>
      <c r="Q1079" s="12" t="e">
        <f>+VLOOKUP(P1079,Datos!$F:$G,2,FALSE)</f>
        <v>#N/A</v>
      </c>
      <c r="Y1079" s="14"/>
      <c r="Z1079" t="e">
        <f>VLOOKUP(M1079,'[1]INDIVIDUAL UN'!$C$6:$F$222,4,FALSE)</f>
        <v>#N/A</v>
      </c>
    </row>
    <row r="1080" spans="1:26" x14ac:dyDescent="0.35">
      <c r="A1080" s="9" t="s">
        <v>25</v>
      </c>
      <c r="D1080" s="10" t="s">
        <v>29</v>
      </c>
      <c r="J1080" s="9"/>
      <c r="O1080" s="78"/>
      <c r="P1080" s="9"/>
      <c r="Q1080" s="12" t="e">
        <f>+VLOOKUP(P1080,Datos!$F:$G,2,FALSE)</f>
        <v>#N/A</v>
      </c>
      <c r="Y1080" s="14"/>
      <c r="Z1080" t="e">
        <f>VLOOKUP(M1080,'[1]INDIVIDUAL UN'!$C$6:$F$222,4,FALSE)</f>
        <v>#N/A</v>
      </c>
    </row>
    <row r="1081" spans="1:26" x14ac:dyDescent="0.35">
      <c r="A1081" s="9" t="s">
        <v>25</v>
      </c>
      <c r="D1081" s="10" t="s">
        <v>29</v>
      </c>
      <c r="J1081" s="9"/>
      <c r="O1081" s="78"/>
      <c r="P1081" s="9"/>
      <c r="Q1081" s="12" t="e">
        <f>+VLOOKUP(P1081,Datos!$F:$G,2,FALSE)</f>
        <v>#N/A</v>
      </c>
      <c r="Y1081" s="14"/>
      <c r="Z1081" t="e">
        <f>VLOOKUP(M1081,'[1]INDIVIDUAL UN'!$C$6:$F$222,4,FALSE)</f>
        <v>#N/A</v>
      </c>
    </row>
    <row r="1082" spans="1:26" x14ac:dyDescent="0.35">
      <c r="A1082" s="9" t="s">
        <v>25</v>
      </c>
      <c r="D1082" s="10" t="s">
        <v>29</v>
      </c>
      <c r="J1082" s="9"/>
      <c r="O1082" s="78"/>
      <c r="P1082" s="9"/>
      <c r="Q1082" s="12" t="e">
        <f>+VLOOKUP(P1082,Datos!$F:$G,2,FALSE)</f>
        <v>#N/A</v>
      </c>
      <c r="Y1082" s="14"/>
      <c r="Z1082" t="e">
        <f>VLOOKUP(M1082,'[1]INDIVIDUAL UN'!$C$6:$F$222,4,FALSE)</f>
        <v>#N/A</v>
      </c>
    </row>
    <row r="1083" spans="1:26" x14ac:dyDescent="0.35">
      <c r="A1083" s="9" t="s">
        <v>25</v>
      </c>
      <c r="D1083" s="10" t="s">
        <v>29</v>
      </c>
      <c r="J1083" s="9"/>
      <c r="O1083" s="78"/>
      <c r="P1083" s="9"/>
      <c r="Q1083" s="12" t="e">
        <f>+VLOOKUP(P1083,Datos!$F:$G,2,FALSE)</f>
        <v>#N/A</v>
      </c>
      <c r="Y1083" s="14"/>
      <c r="Z1083" t="e">
        <f>VLOOKUP(M1083,'[1]INDIVIDUAL UN'!$C$6:$F$222,4,FALSE)</f>
        <v>#N/A</v>
      </c>
    </row>
    <row r="1084" spans="1:26" x14ac:dyDescent="0.35">
      <c r="A1084" s="9" t="s">
        <v>25</v>
      </c>
      <c r="D1084" s="10" t="s">
        <v>29</v>
      </c>
      <c r="J1084" s="9"/>
      <c r="O1084" s="78"/>
      <c r="P1084" s="9"/>
      <c r="Q1084" s="12" t="e">
        <f>+VLOOKUP(P1084,Datos!$F:$G,2,FALSE)</f>
        <v>#N/A</v>
      </c>
      <c r="Y1084" s="14"/>
      <c r="Z1084" t="e">
        <f>VLOOKUP(M1084,'[1]INDIVIDUAL UN'!$C$6:$F$222,4,FALSE)</f>
        <v>#N/A</v>
      </c>
    </row>
    <row r="1085" spans="1:26" x14ac:dyDescent="0.35">
      <c r="A1085" s="9" t="s">
        <v>25</v>
      </c>
      <c r="D1085" s="10" t="s">
        <v>29</v>
      </c>
      <c r="J1085" s="9"/>
      <c r="O1085" s="78"/>
      <c r="P1085" s="9"/>
      <c r="Q1085" s="12" t="e">
        <f>+VLOOKUP(P1085,Datos!$F:$G,2,FALSE)</f>
        <v>#N/A</v>
      </c>
      <c r="Y1085" s="14"/>
      <c r="Z1085" t="e">
        <f>VLOOKUP(M1085,'[1]INDIVIDUAL UN'!$C$6:$F$222,4,FALSE)</f>
        <v>#N/A</v>
      </c>
    </row>
    <row r="1086" spans="1:26" x14ac:dyDescent="0.35">
      <c r="A1086" s="9" t="s">
        <v>25</v>
      </c>
      <c r="D1086" s="10" t="s">
        <v>29</v>
      </c>
      <c r="J1086" s="9"/>
      <c r="O1086" s="78"/>
      <c r="P1086" s="9"/>
      <c r="Q1086" s="12" t="e">
        <f>+VLOOKUP(P1086,Datos!$F:$G,2,FALSE)</f>
        <v>#N/A</v>
      </c>
      <c r="Y1086" s="14"/>
      <c r="Z1086" t="e">
        <f>VLOOKUP(M1086,'[1]INDIVIDUAL UN'!$C$6:$F$222,4,FALSE)</f>
        <v>#N/A</v>
      </c>
    </row>
    <row r="1087" spans="1:26" x14ac:dyDescent="0.35">
      <c r="A1087" s="9" t="s">
        <v>25</v>
      </c>
      <c r="D1087" s="10" t="s">
        <v>29</v>
      </c>
      <c r="J1087" s="9"/>
      <c r="O1087" s="78"/>
      <c r="P1087" s="9"/>
      <c r="Q1087" s="12" t="e">
        <f>+VLOOKUP(P1087,Datos!$F:$G,2,FALSE)</f>
        <v>#N/A</v>
      </c>
      <c r="Y1087" s="14"/>
      <c r="Z1087" t="e">
        <f>VLOOKUP(M1087,'[1]INDIVIDUAL UN'!$C$6:$F$222,4,FALSE)</f>
        <v>#N/A</v>
      </c>
    </row>
    <row r="1088" spans="1:26" x14ac:dyDescent="0.35">
      <c r="A1088" s="9" t="s">
        <v>25</v>
      </c>
      <c r="D1088" s="10" t="s">
        <v>29</v>
      </c>
      <c r="J1088" s="9"/>
      <c r="O1088" s="78"/>
      <c r="P1088" s="9"/>
      <c r="Q1088" s="12" t="e">
        <f>+VLOOKUP(P1088,Datos!$F:$G,2,FALSE)</f>
        <v>#N/A</v>
      </c>
      <c r="Y1088" s="14"/>
      <c r="Z1088" t="e">
        <f>VLOOKUP(M1088,'[1]INDIVIDUAL UN'!$C$6:$F$222,4,FALSE)</f>
        <v>#N/A</v>
      </c>
    </row>
    <row r="1089" spans="1:26" x14ac:dyDescent="0.35">
      <c r="A1089" s="9" t="s">
        <v>25</v>
      </c>
      <c r="D1089" s="10" t="s">
        <v>29</v>
      </c>
      <c r="J1089" s="9"/>
      <c r="O1089" s="78"/>
      <c r="P1089" s="9"/>
      <c r="Q1089" s="12" t="e">
        <f>+VLOOKUP(P1089,Datos!$F:$G,2,FALSE)</f>
        <v>#N/A</v>
      </c>
      <c r="Y1089" s="14"/>
      <c r="Z1089" t="e">
        <f>VLOOKUP(M1089,'[1]INDIVIDUAL UN'!$C$6:$F$222,4,FALSE)</f>
        <v>#N/A</v>
      </c>
    </row>
    <row r="1090" spans="1:26" x14ac:dyDescent="0.35">
      <c r="A1090" s="9" t="s">
        <v>25</v>
      </c>
      <c r="D1090" s="10" t="s">
        <v>29</v>
      </c>
      <c r="J1090" s="9"/>
      <c r="O1090" s="78"/>
      <c r="P1090" s="9"/>
      <c r="Q1090" s="12" t="e">
        <f>+VLOOKUP(P1090,Datos!$F:$G,2,FALSE)</f>
        <v>#N/A</v>
      </c>
      <c r="Y1090" s="14"/>
      <c r="Z1090" t="e">
        <f>VLOOKUP(M1090,'[1]INDIVIDUAL UN'!$C$6:$F$222,4,FALSE)</f>
        <v>#N/A</v>
      </c>
    </row>
    <row r="1091" spans="1:26" x14ac:dyDescent="0.35">
      <c r="A1091" s="9" t="s">
        <v>25</v>
      </c>
      <c r="D1091" s="10" t="s">
        <v>29</v>
      </c>
      <c r="J1091" s="9"/>
      <c r="O1091" s="78"/>
      <c r="P1091" s="9"/>
      <c r="Q1091" s="12" t="e">
        <f>+VLOOKUP(P1091,Datos!$F:$G,2,FALSE)</f>
        <v>#N/A</v>
      </c>
      <c r="Y1091" s="14"/>
      <c r="Z1091" t="e">
        <f>VLOOKUP(M1091,'[1]INDIVIDUAL UN'!$C$6:$F$222,4,FALSE)</f>
        <v>#N/A</v>
      </c>
    </row>
    <row r="1092" spans="1:26" x14ac:dyDescent="0.35">
      <c r="A1092" s="9" t="s">
        <v>25</v>
      </c>
      <c r="D1092" s="10" t="s">
        <v>29</v>
      </c>
      <c r="J1092" s="9"/>
      <c r="O1092" s="78"/>
      <c r="P1092" s="9"/>
      <c r="Q1092" s="12" t="e">
        <f>+VLOOKUP(P1092,Datos!$F:$G,2,FALSE)</f>
        <v>#N/A</v>
      </c>
      <c r="Y1092" s="14"/>
      <c r="Z1092" t="e">
        <f>VLOOKUP(M1092,'[1]INDIVIDUAL UN'!$C$6:$F$222,4,FALSE)</f>
        <v>#N/A</v>
      </c>
    </row>
    <row r="1093" spans="1:26" x14ac:dyDescent="0.35">
      <c r="A1093" s="9" t="s">
        <v>25</v>
      </c>
      <c r="D1093" s="10" t="s">
        <v>29</v>
      </c>
      <c r="J1093" s="9"/>
      <c r="O1093" s="78"/>
      <c r="P1093" s="9"/>
      <c r="Q1093" s="12" t="e">
        <f>+VLOOKUP(P1093,Datos!$F:$G,2,FALSE)</f>
        <v>#N/A</v>
      </c>
      <c r="Y1093" s="14"/>
      <c r="Z1093" t="e">
        <f>VLOOKUP(M1093,'[1]INDIVIDUAL UN'!$C$6:$F$222,4,FALSE)</f>
        <v>#N/A</v>
      </c>
    </row>
    <row r="1094" spans="1:26" x14ac:dyDescent="0.35">
      <c r="A1094" s="9" t="s">
        <v>25</v>
      </c>
      <c r="D1094" s="10" t="s">
        <v>29</v>
      </c>
      <c r="J1094" s="9"/>
      <c r="O1094" s="78"/>
      <c r="P1094" s="9"/>
      <c r="Q1094" s="12" t="e">
        <f>+VLOOKUP(P1094,Datos!$F:$G,2,FALSE)</f>
        <v>#N/A</v>
      </c>
      <c r="Y1094" s="14"/>
      <c r="Z1094" t="e">
        <f>VLOOKUP(M1094,'[1]INDIVIDUAL UN'!$C$6:$F$222,4,FALSE)</f>
        <v>#N/A</v>
      </c>
    </row>
    <row r="1095" spans="1:26" x14ac:dyDescent="0.35">
      <c r="A1095" s="9" t="s">
        <v>25</v>
      </c>
      <c r="D1095" s="10" t="s">
        <v>29</v>
      </c>
      <c r="J1095" s="9"/>
      <c r="O1095" s="78"/>
      <c r="P1095" s="9"/>
      <c r="Q1095" s="12" t="e">
        <f>+VLOOKUP(P1095,Datos!$F:$G,2,FALSE)</f>
        <v>#N/A</v>
      </c>
      <c r="Y1095" s="14"/>
      <c r="Z1095" t="e">
        <f>VLOOKUP(M1095,'[1]INDIVIDUAL UN'!$C$6:$F$222,4,FALSE)</f>
        <v>#N/A</v>
      </c>
    </row>
    <row r="1096" spans="1:26" x14ac:dyDescent="0.35">
      <c r="A1096" s="9" t="s">
        <v>25</v>
      </c>
      <c r="D1096" s="10" t="s">
        <v>29</v>
      </c>
      <c r="J1096" s="9"/>
      <c r="O1096" s="78"/>
      <c r="P1096" s="9"/>
      <c r="Q1096" s="12" t="e">
        <f>+VLOOKUP(P1096,Datos!$F:$G,2,FALSE)</f>
        <v>#N/A</v>
      </c>
      <c r="Y1096" s="14"/>
      <c r="Z1096" t="e">
        <f>VLOOKUP(M1096,'[1]INDIVIDUAL UN'!$C$6:$F$222,4,FALSE)</f>
        <v>#N/A</v>
      </c>
    </row>
    <row r="1097" spans="1:26" x14ac:dyDescent="0.35">
      <c r="A1097" s="9" t="s">
        <v>25</v>
      </c>
      <c r="D1097" s="10" t="s">
        <v>29</v>
      </c>
      <c r="J1097" s="9"/>
      <c r="O1097" s="78"/>
      <c r="P1097" s="9"/>
      <c r="Q1097" s="12" t="e">
        <f>+VLOOKUP(P1097,Datos!$F:$G,2,FALSE)</f>
        <v>#N/A</v>
      </c>
      <c r="Y1097" s="14"/>
      <c r="Z1097" t="e">
        <f>VLOOKUP(M1097,'[1]INDIVIDUAL UN'!$C$6:$F$222,4,FALSE)</f>
        <v>#N/A</v>
      </c>
    </row>
    <row r="1098" spans="1:26" x14ac:dyDescent="0.35">
      <c r="A1098" s="9" t="s">
        <v>25</v>
      </c>
      <c r="D1098" s="10" t="s">
        <v>29</v>
      </c>
      <c r="J1098" s="9"/>
      <c r="O1098" s="78"/>
      <c r="P1098" s="9"/>
      <c r="Q1098" s="12" t="e">
        <f>+VLOOKUP(P1098,Datos!$F:$G,2,FALSE)</f>
        <v>#N/A</v>
      </c>
      <c r="Y1098" s="14"/>
      <c r="Z1098" t="e">
        <f>VLOOKUP(M1098,'[1]INDIVIDUAL UN'!$C$6:$F$222,4,FALSE)</f>
        <v>#N/A</v>
      </c>
    </row>
    <row r="1099" spans="1:26" x14ac:dyDescent="0.35">
      <c r="A1099" s="9" t="s">
        <v>25</v>
      </c>
      <c r="D1099" s="10" t="s">
        <v>29</v>
      </c>
      <c r="J1099" s="9"/>
      <c r="O1099" s="78"/>
      <c r="P1099" s="9"/>
      <c r="Q1099" s="12" t="e">
        <f>+VLOOKUP(P1099,Datos!$F:$G,2,FALSE)</f>
        <v>#N/A</v>
      </c>
      <c r="Y1099" s="14"/>
      <c r="Z1099" t="e">
        <f>VLOOKUP(M1099,'[1]INDIVIDUAL UN'!$C$6:$F$222,4,FALSE)</f>
        <v>#N/A</v>
      </c>
    </row>
    <row r="1100" spans="1:26" x14ac:dyDescent="0.35">
      <c r="A1100" s="9" t="s">
        <v>25</v>
      </c>
      <c r="D1100" s="10" t="s">
        <v>29</v>
      </c>
      <c r="J1100" s="9"/>
      <c r="O1100" s="78"/>
      <c r="P1100" s="9"/>
      <c r="Q1100" s="12" t="e">
        <f>+VLOOKUP(P1100,Datos!$F:$G,2,FALSE)</f>
        <v>#N/A</v>
      </c>
      <c r="Y1100" s="14"/>
      <c r="Z1100" t="e">
        <f>VLOOKUP(M1100,'[1]INDIVIDUAL UN'!$C$6:$F$222,4,FALSE)</f>
        <v>#N/A</v>
      </c>
    </row>
    <row r="1101" spans="1:26" x14ac:dyDescent="0.35">
      <c r="A1101" s="9" t="s">
        <v>25</v>
      </c>
      <c r="D1101" s="10" t="s">
        <v>29</v>
      </c>
      <c r="J1101" s="9"/>
      <c r="O1101" s="78"/>
      <c r="P1101" s="9"/>
      <c r="Q1101" s="12" t="e">
        <f>+VLOOKUP(P1101,Datos!$F:$G,2,FALSE)</f>
        <v>#N/A</v>
      </c>
      <c r="Y1101" s="14"/>
      <c r="Z1101" t="e">
        <f>VLOOKUP(M1101,'[1]INDIVIDUAL UN'!$C$6:$F$222,4,FALSE)</f>
        <v>#N/A</v>
      </c>
    </row>
    <row r="1102" spans="1:26" x14ac:dyDescent="0.35">
      <c r="A1102" s="9" t="s">
        <v>25</v>
      </c>
      <c r="D1102" s="10" t="s">
        <v>29</v>
      </c>
      <c r="J1102" s="9"/>
      <c r="O1102" s="78"/>
      <c r="P1102" s="9"/>
      <c r="Q1102" s="12" t="e">
        <f>+VLOOKUP(P1102,Datos!$F:$G,2,FALSE)</f>
        <v>#N/A</v>
      </c>
      <c r="Y1102" s="14"/>
      <c r="Z1102" t="e">
        <f>VLOOKUP(M1102,'[1]INDIVIDUAL UN'!$C$6:$F$222,4,FALSE)</f>
        <v>#N/A</v>
      </c>
    </row>
    <row r="1103" spans="1:26" x14ac:dyDescent="0.35">
      <c r="A1103" s="9" t="s">
        <v>25</v>
      </c>
      <c r="D1103" s="10" t="s">
        <v>29</v>
      </c>
      <c r="J1103" s="9"/>
      <c r="O1103" s="78"/>
      <c r="P1103" s="9"/>
      <c r="Q1103" s="12" t="e">
        <f>+VLOOKUP(P1103,Datos!$F:$G,2,FALSE)</f>
        <v>#N/A</v>
      </c>
      <c r="Y1103" s="14"/>
      <c r="Z1103" t="e">
        <f>VLOOKUP(M1103,'[1]INDIVIDUAL UN'!$C$6:$F$222,4,FALSE)</f>
        <v>#N/A</v>
      </c>
    </row>
    <row r="1104" spans="1:26" x14ac:dyDescent="0.35">
      <c r="A1104" s="9" t="s">
        <v>25</v>
      </c>
      <c r="D1104" s="10" t="s">
        <v>29</v>
      </c>
      <c r="J1104" s="9"/>
      <c r="O1104" s="78"/>
      <c r="P1104" s="9"/>
      <c r="Q1104" s="12" t="e">
        <f>+VLOOKUP(P1104,Datos!$F:$G,2,FALSE)</f>
        <v>#N/A</v>
      </c>
      <c r="Y1104" s="14"/>
      <c r="Z1104" t="e">
        <f>VLOOKUP(M1104,'[1]INDIVIDUAL UN'!$C$6:$F$222,4,FALSE)</f>
        <v>#N/A</v>
      </c>
    </row>
    <row r="1105" spans="1:26" x14ac:dyDescent="0.35">
      <c r="A1105" s="9" t="s">
        <v>25</v>
      </c>
      <c r="D1105" s="10" t="s">
        <v>29</v>
      </c>
      <c r="J1105" s="9"/>
      <c r="O1105" s="78"/>
      <c r="P1105" s="9"/>
      <c r="Q1105" s="12" t="e">
        <f>+VLOOKUP(P1105,Datos!$F:$G,2,FALSE)</f>
        <v>#N/A</v>
      </c>
      <c r="Y1105" s="14"/>
      <c r="Z1105" t="e">
        <f>VLOOKUP(M1105,'[1]INDIVIDUAL UN'!$C$6:$F$222,4,FALSE)</f>
        <v>#N/A</v>
      </c>
    </row>
    <row r="1106" spans="1:26" x14ac:dyDescent="0.35">
      <c r="A1106" s="9" t="s">
        <v>25</v>
      </c>
      <c r="D1106" s="10" t="s">
        <v>29</v>
      </c>
      <c r="J1106" s="9"/>
      <c r="O1106" s="78"/>
      <c r="P1106" s="9"/>
      <c r="Q1106" s="12" t="e">
        <f>+VLOOKUP(P1106,Datos!$F:$G,2,FALSE)</f>
        <v>#N/A</v>
      </c>
      <c r="Y1106" s="14"/>
      <c r="Z1106" t="e">
        <f>VLOOKUP(M1106,'[1]INDIVIDUAL UN'!$C$6:$F$222,4,FALSE)</f>
        <v>#N/A</v>
      </c>
    </row>
    <row r="1107" spans="1:26" x14ac:dyDescent="0.35">
      <c r="A1107" s="9" t="s">
        <v>25</v>
      </c>
      <c r="D1107" s="10" t="s">
        <v>29</v>
      </c>
      <c r="J1107" s="9"/>
      <c r="O1107" s="78"/>
      <c r="P1107" s="9"/>
      <c r="Q1107" s="12" t="e">
        <f>+VLOOKUP(P1107,Datos!$F:$G,2,FALSE)</f>
        <v>#N/A</v>
      </c>
      <c r="Y1107" s="14"/>
      <c r="Z1107" t="e">
        <f>VLOOKUP(M1107,'[1]INDIVIDUAL UN'!$C$6:$F$222,4,FALSE)</f>
        <v>#N/A</v>
      </c>
    </row>
    <row r="1108" spans="1:26" x14ac:dyDescent="0.35">
      <c r="A1108" s="9" t="s">
        <v>25</v>
      </c>
      <c r="D1108" s="10" t="s">
        <v>29</v>
      </c>
      <c r="J1108" s="9"/>
      <c r="O1108" s="78"/>
      <c r="P1108" s="9"/>
      <c r="Q1108" s="12" t="e">
        <f>+VLOOKUP(P1108,Datos!$F:$G,2,FALSE)</f>
        <v>#N/A</v>
      </c>
      <c r="Y1108" s="14"/>
      <c r="Z1108" t="e">
        <f>VLOOKUP(M1108,'[1]INDIVIDUAL UN'!$C$6:$F$222,4,FALSE)</f>
        <v>#N/A</v>
      </c>
    </row>
    <row r="1109" spans="1:26" x14ac:dyDescent="0.35">
      <c r="A1109" s="9" t="s">
        <v>25</v>
      </c>
      <c r="D1109" s="10" t="s">
        <v>29</v>
      </c>
      <c r="J1109" s="9"/>
      <c r="O1109" s="78"/>
      <c r="P1109" s="9"/>
      <c r="Q1109" s="12" t="e">
        <f>+VLOOKUP(P1109,Datos!$F:$G,2,FALSE)</f>
        <v>#N/A</v>
      </c>
      <c r="Y1109" s="14"/>
      <c r="Z1109" t="e">
        <f>VLOOKUP(M1109,'[1]INDIVIDUAL UN'!$C$6:$F$222,4,FALSE)</f>
        <v>#N/A</v>
      </c>
    </row>
    <row r="1110" spans="1:26" x14ac:dyDescent="0.35">
      <c r="A1110" s="9" t="s">
        <v>25</v>
      </c>
      <c r="D1110" s="10" t="s">
        <v>29</v>
      </c>
      <c r="J1110" s="9"/>
      <c r="O1110" s="78"/>
      <c r="P1110" s="9"/>
      <c r="Q1110" s="12" t="e">
        <f>+VLOOKUP(P1110,Datos!$F:$G,2,FALSE)</f>
        <v>#N/A</v>
      </c>
      <c r="Y1110" s="14"/>
      <c r="Z1110" t="e">
        <f>VLOOKUP(M1110,'[1]INDIVIDUAL UN'!$C$6:$F$222,4,FALSE)</f>
        <v>#N/A</v>
      </c>
    </row>
    <row r="1111" spans="1:26" x14ac:dyDescent="0.35">
      <c r="A1111" s="9" t="s">
        <v>25</v>
      </c>
      <c r="D1111" s="10" t="s">
        <v>29</v>
      </c>
      <c r="J1111" s="9"/>
      <c r="O1111" s="78"/>
      <c r="P1111" s="9"/>
      <c r="Q1111" s="12" t="e">
        <f>+VLOOKUP(P1111,Datos!$F:$G,2,FALSE)</f>
        <v>#N/A</v>
      </c>
      <c r="Y1111" s="14"/>
      <c r="Z1111" t="e">
        <f>VLOOKUP(M1111,'[1]INDIVIDUAL UN'!$C$6:$F$222,4,FALSE)</f>
        <v>#N/A</v>
      </c>
    </row>
    <row r="1112" spans="1:26" x14ac:dyDescent="0.35">
      <c r="A1112" s="9" t="s">
        <v>25</v>
      </c>
      <c r="D1112" s="10" t="s">
        <v>29</v>
      </c>
      <c r="J1112" s="9"/>
      <c r="O1112" s="78"/>
      <c r="P1112" s="9"/>
      <c r="Q1112" s="12" t="e">
        <f>+VLOOKUP(P1112,Datos!$F:$G,2,FALSE)</f>
        <v>#N/A</v>
      </c>
      <c r="Y1112" s="14"/>
      <c r="Z1112" t="e">
        <f>VLOOKUP(M1112,'[1]INDIVIDUAL UN'!$C$6:$F$222,4,FALSE)</f>
        <v>#N/A</v>
      </c>
    </row>
    <row r="1113" spans="1:26" x14ac:dyDescent="0.35">
      <c r="A1113" s="9" t="s">
        <v>25</v>
      </c>
      <c r="D1113" s="10" t="s">
        <v>29</v>
      </c>
      <c r="J1113" s="9"/>
      <c r="O1113" s="78"/>
      <c r="P1113" s="9"/>
      <c r="Q1113" s="12" t="e">
        <f>+VLOOKUP(P1113,Datos!$F:$G,2,FALSE)</f>
        <v>#N/A</v>
      </c>
      <c r="Y1113" s="14"/>
      <c r="Z1113" t="e">
        <f>VLOOKUP(M1113,'[1]INDIVIDUAL UN'!$C$6:$F$222,4,FALSE)</f>
        <v>#N/A</v>
      </c>
    </row>
    <row r="1114" spans="1:26" x14ac:dyDescent="0.35">
      <c r="A1114" s="9" t="s">
        <v>25</v>
      </c>
      <c r="D1114" s="10" t="s">
        <v>29</v>
      </c>
      <c r="J1114" s="9"/>
      <c r="O1114" s="78"/>
      <c r="P1114" s="9"/>
      <c r="Q1114" s="12" t="e">
        <f>+VLOOKUP(P1114,Datos!$F:$G,2,FALSE)</f>
        <v>#N/A</v>
      </c>
      <c r="Y1114" s="14"/>
      <c r="Z1114" t="e">
        <f>VLOOKUP(M1114,'[1]INDIVIDUAL UN'!$C$6:$F$222,4,FALSE)</f>
        <v>#N/A</v>
      </c>
    </row>
    <row r="1115" spans="1:26" x14ac:dyDescent="0.35">
      <c r="A1115" s="9" t="s">
        <v>25</v>
      </c>
      <c r="D1115" s="10" t="s">
        <v>29</v>
      </c>
      <c r="J1115" s="9"/>
      <c r="O1115" s="78"/>
      <c r="P1115" s="9"/>
      <c r="Q1115" s="12" t="e">
        <f>+VLOOKUP(P1115,Datos!$F:$G,2,FALSE)</f>
        <v>#N/A</v>
      </c>
      <c r="Y1115" s="14"/>
      <c r="Z1115" t="e">
        <f>VLOOKUP(M1115,'[1]INDIVIDUAL UN'!$C$6:$F$222,4,FALSE)</f>
        <v>#N/A</v>
      </c>
    </row>
    <row r="1116" spans="1:26" x14ac:dyDescent="0.35">
      <c r="A1116" s="9" t="s">
        <v>25</v>
      </c>
      <c r="D1116" s="10" t="s">
        <v>29</v>
      </c>
      <c r="J1116" s="9"/>
      <c r="O1116" s="78"/>
      <c r="P1116" s="9"/>
      <c r="Q1116" s="12" t="e">
        <f>+VLOOKUP(P1116,Datos!$F:$G,2,FALSE)</f>
        <v>#N/A</v>
      </c>
      <c r="Y1116" s="14"/>
      <c r="Z1116" t="e">
        <f>VLOOKUP(M1116,'[1]INDIVIDUAL UN'!$C$6:$F$222,4,FALSE)</f>
        <v>#N/A</v>
      </c>
    </row>
    <row r="1117" spans="1:26" x14ac:dyDescent="0.35">
      <c r="A1117" s="9" t="s">
        <v>25</v>
      </c>
      <c r="D1117" s="10" t="s">
        <v>29</v>
      </c>
      <c r="J1117" s="9"/>
      <c r="O1117" s="78"/>
      <c r="P1117" s="9"/>
      <c r="Q1117" s="12" t="e">
        <f>+VLOOKUP(P1117,Datos!$F:$G,2,FALSE)</f>
        <v>#N/A</v>
      </c>
      <c r="Y1117" s="14"/>
      <c r="Z1117" t="e">
        <f>VLOOKUP(M1117,'[1]INDIVIDUAL UN'!$C$6:$F$222,4,FALSE)</f>
        <v>#N/A</v>
      </c>
    </row>
    <row r="1118" spans="1:26" x14ac:dyDescent="0.35">
      <c r="A1118" s="9" t="s">
        <v>25</v>
      </c>
      <c r="D1118" s="10" t="s">
        <v>29</v>
      </c>
      <c r="J1118" s="9"/>
      <c r="O1118" s="78"/>
      <c r="P1118" s="9"/>
      <c r="Q1118" s="12" t="e">
        <f>+VLOOKUP(P1118,Datos!$F:$G,2,FALSE)</f>
        <v>#N/A</v>
      </c>
      <c r="Y1118" s="14"/>
      <c r="Z1118" t="e">
        <f>VLOOKUP(M1118,'[1]INDIVIDUAL UN'!$C$6:$F$222,4,FALSE)</f>
        <v>#N/A</v>
      </c>
    </row>
    <row r="1119" spans="1:26" x14ac:dyDescent="0.35">
      <c r="A1119" s="9" t="s">
        <v>25</v>
      </c>
      <c r="D1119" s="10" t="s">
        <v>29</v>
      </c>
      <c r="J1119" s="9"/>
      <c r="O1119" s="78"/>
      <c r="P1119" s="9"/>
      <c r="Q1119" s="12" t="e">
        <f>+VLOOKUP(P1119,Datos!$F:$G,2,FALSE)</f>
        <v>#N/A</v>
      </c>
      <c r="Y1119" s="14"/>
      <c r="Z1119" t="e">
        <f>VLOOKUP(M1119,'[1]INDIVIDUAL UN'!$C$6:$F$222,4,FALSE)</f>
        <v>#N/A</v>
      </c>
    </row>
    <row r="1120" spans="1:26" x14ac:dyDescent="0.35">
      <c r="A1120" s="9" t="s">
        <v>25</v>
      </c>
      <c r="D1120" s="10" t="s">
        <v>29</v>
      </c>
      <c r="J1120" s="9"/>
      <c r="O1120" s="78"/>
      <c r="P1120" s="9"/>
      <c r="Q1120" s="12" t="e">
        <f>+VLOOKUP(P1120,Datos!$F:$G,2,FALSE)</f>
        <v>#N/A</v>
      </c>
      <c r="Y1120" s="14"/>
      <c r="Z1120" t="e">
        <f>VLOOKUP(M1120,'[1]INDIVIDUAL UN'!$C$6:$F$222,4,FALSE)</f>
        <v>#N/A</v>
      </c>
    </row>
    <row r="1121" spans="1:26" x14ac:dyDescent="0.35">
      <c r="A1121" s="9" t="s">
        <v>25</v>
      </c>
      <c r="D1121" s="10" t="s">
        <v>29</v>
      </c>
      <c r="J1121" s="9"/>
      <c r="O1121" s="78"/>
      <c r="P1121" s="9"/>
      <c r="Q1121" s="12" t="e">
        <f>+VLOOKUP(P1121,Datos!$F:$G,2,FALSE)</f>
        <v>#N/A</v>
      </c>
      <c r="Y1121" s="14"/>
      <c r="Z1121" t="e">
        <f>VLOOKUP(M1121,'[1]INDIVIDUAL UN'!$C$6:$F$222,4,FALSE)</f>
        <v>#N/A</v>
      </c>
    </row>
    <row r="1122" spans="1:26" x14ac:dyDescent="0.35">
      <c r="A1122" s="9" t="s">
        <v>25</v>
      </c>
      <c r="D1122" s="10" t="s">
        <v>29</v>
      </c>
      <c r="J1122" s="9"/>
      <c r="O1122" s="78"/>
      <c r="P1122" s="9"/>
      <c r="Q1122" s="12" t="e">
        <f>+VLOOKUP(P1122,Datos!$F:$G,2,FALSE)</f>
        <v>#N/A</v>
      </c>
      <c r="Y1122" s="14"/>
      <c r="Z1122" t="e">
        <f>VLOOKUP(M1122,'[1]INDIVIDUAL UN'!$C$6:$F$222,4,FALSE)</f>
        <v>#N/A</v>
      </c>
    </row>
    <row r="1123" spans="1:26" x14ac:dyDescent="0.35">
      <c r="A1123" s="9" t="s">
        <v>25</v>
      </c>
      <c r="D1123" s="10" t="s">
        <v>29</v>
      </c>
      <c r="J1123" s="9"/>
      <c r="O1123" s="78"/>
      <c r="P1123" s="9"/>
      <c r="Q1123" s="12" t="e">
        <f>+VLOOKUP(P1123,Datos!$F:$G,2,FALSE)</f>
        <v>#N/A</v>
      </c>
      <c r="Y1123" s="14"/>
      <c r="Z1123" t="e">
        <f>VLOOKUP(M1123,'[1]INDIVIDUAL UN'!$C$6:$F$222,4,FALSE)</f>
        <v>#N/A</v>
      </c>
    </row>
    <row r="1124" spans="1:26" x14ac:dyDescent="0.35">
      <c r="A1124" s="9" t="s">
        <v>25</v>
      </c>
      <c r="D1124" s="10" t="s">
        <v>29</v>
      </c>
      <c r="J1124" s="9"/>
      <c r="O1124" s="78"/>
      <c r="P1124" s="9"/>
      <c r="Q1124" s="12" t="e">
        <f>+VLOOKUP(P1124,Datos!$F:$G,2,FALSE)</f>
        <v>#N/A</v>
      </c>
      <c r="Y1124" s="14"/>
      <c r="Z1124" t="e">
        <f>VLOOKUP(M1124,'[1]INDIVIDUAL UN'!$C$6:$F$222,4,FALSE)</f>
        <v>#N/A</v>
      </c>
    </row>
    <row r="1125" spans="1:26" x14ac:dyDescent="0.35">
      <c r="A1125" s="9" t="s">
        <v>25</v>
      </c>
      <c r="D1125" s="10" t="s">
        <v>29</v>
      </c>
      <c r="J1125" s="9"/>
      <c r="O1125" s="78"/>
      <c r="P1125" s="9"/>
      <c r="Q1125" s="12" t="e">
        <f>+VLOOKUP(P1125,Datos!$F:$G,2,FALSE)</f>
        <v>#N/A</v>
      </c>
      <c r="Y1125" s="14"/>
      <c r="Z1125" t="e">
        <f>VLOOKUP(M1125,'[1]INDIVIDUAL UN'!$C$6:$F$222,4,FALSE)</f>
        <v>#N/A</v>
      </c>
    </row>
    <row r="1126" spans="1:26" x14ac:dyDescent="0.35">
      <c r="A1126" s="9" t="s">
        <v>25</v>
      </c>
      <c r="D1126" s="10" t="s">
        <v>29</v>
      </c>
      <c r="J1126" s="9"/>
      <c r="O1126" s="78"/>
      <c r="P1126" s="9"/>
      <c r="Q1126" s="12" t="e">
        <f>+VLOOKUP(P1126,Datos!$F:$G,2,FALSE)</f>
        <v>#N/A</v>
      </c>
      <c r="Y1126" s="14"/>
      <c r="Z1126" t="e">
        <f>VLOOKUP(M1126,'[1]INDIVIDUAL UN'!$C$6:$F$222,4,FALSE)</f>
        <v>#N/A</v>
      </c>
    </row>
    <row r="1127" spans="1:26" x14ac:dyDescent="0.35">
      <c r="A1127" s="9" t="s">
        <v>25</v>
      </c>
      <c r="D1127" s="10" t="s">
        <v>29</v>
      </c>
      <c r="J1127" s="9"/>
      <c r="O1127" s="78"/>
      <c r="P1127" s="9"/>
      <c r="Q1127" s="12" t="e">
        <f>+VLOOKUP(P1127,Datos!$F:$G,2,FALSE)</f>
        <v>#N/A</v>
      </c>
      <c r="Y1127" s="14"/>
      <c r="Z1127" t="e">
        <f>VLOOKUP(M1127,'[1]INDIVIDUAL UN'!$C$6:$F$222,4,FALSE)</f>
        <v>#N/A</v>
      </c>
    </row>
    <row r="1128" spans="1:26" x14ac:dyDescent="0.35">
      <c r="A1128" s="9" t="s">
        <v>25</v>
      </c>
      <c r="D1128" s="10" t="s">
        <v>29</v>
      </c>
      <c r="J1128" s="9"/>
      <c r="O1128" s="78"/>
      <c r="P1128" s="9"/>
      <c r="Q1128" s="12" t="e">
        <f>+VLOOKUP(P1128,Datos!$F:$G,2,FALSE)</f>
        <v>#N/A</v>
      </c>
      <c r="Y1128" s="14"/>
      <c r="Z1128" t="e">
        <f>VLOOKUP(M1128,'[1]INDIVIDUAL UN'!$C$6:$F$222,4,FALSE)</f>
        <v>#N/A</v>
      </c>
    </row>
    <row r="1129" spans="1:26" x14ac:dyDescent="0.35">
      <c r="A1129" s="9" t="s">
        <v>25</v>
      </c>
      <c r="D1129" s="10" t="s">
        <v>29</v>
      </c>
      <c r="J1129" s="9"/>
      <c r="O1129" s="78"/>
      <c r="P1129" s="9"/>
      <c r="Q1129" s="12" t="e">
        <f>+VLOOKUP(P1129,Datos!$F:$G,2,FALSE)</f>
        <v>#N/A</v>
      </c>
      <c r="Y1129" s="14"/>
      <c r="Z1129" t="e">
        <f>VLOOKUP(M1129,'[1]INDIVIDUAL UN'!$C$6:$F$222,4,FALSE)</f>
        <v>#N/A</v>
      </c>
    </row>
    <row r="1130" spans="1:26" x14ac:dyDescent="0.35">
      <c r="A1130" s="9" t="s">
        <v>25</v>
      </c>
      <c r="D1130" s="10" t="s">
        <v>29</v>
      </c>
      <c r="J1130" s="9"/>
      <c r="O1130" s="78"/>
      <c r="P1130" s="9"/>
      <c r="Q1130" s="12" t="e">
        <f>+VLOOKUP(P1130,Datos!$F:$G,2,FALSE)</f>
        <v>#N/A</v>
      </c>
      <c r="Y1130" s="14"/>
      <c r="Z1130" t="e">
        <f>VLOOKUP(M1130,'[1]INDIVIDUAL UN'!$C$6:$F$222,4,FALSE)</f>
        <v>#N/A</v>
      </c>
    </row>
    <row r="1131" spans="1:26" x14ac:dyDescent="0.35">
      <c r="A1131" s="9" t="s">
        <v>25</v>
      </c>
      <c r="D1131" s="10" t="s">
        <v>29</v>
      </c>
      <c r="J1131" s="9"/>
      <c r="O1131" s="78"/>
      <c r="P1131" s="9"/>
      <c r="Q1131" s="12" t="e">
        <f>+VLOOKUP(P1131,Datos!$F:$G,2,FALSE)</f>
        <v>#N/A</v>
      </c>
      <c r="Y1131" s="14"/>
      <c r="Z1131" t="e">
        <f>VLOOKUP(M1131,'[1]INDIVIDUAL UN'!$C$6:$F$222,4,FALSE)</f>
        <v>#N/A</v>
      </c>
    </row>
    <row r="1132" spans="1:26" x14ac:dyDescent="0.35">
      <c r="A1132" s="9" t="s">
        <v>25</v>
      </c>
      <c r="D1132" s="10" t="s">
        <v>29</v>
      </c>
      <c r="J1132" s="9"/>
      <c r="O1132" s="78"/>
      <c r="P1132" s="9"/>
      <c r="Q1132" s="12" t="e">
        <f>+VLOOKUP(P1132,Datos!$F:$G,2,FALSE)</f>
        <v>#N/A</v>
      </c>
      <c r="Y1132" s="14"/>
      <c r="Z1132" t="e">
        <f>VLOOKUP(M1132,'[1]INDIVIDUAL UN'!$C$6:$F$222,4,FALSE)</f>
        <v>#N/A</v>
      </c>
    </row>
    <row r="1133" spans="1:26" x14ac:dyDescent="0.35">
      <c r="A1133" s="9" t="s">
        <v>25</v>
      </c>
      <c r="D1133" s="10" t="s">
        <v>29</v>
      </c>
      <c r="J1133" s="9"/>
      <c r="O1133" s="78"/>
      <c r="P1133" s="9"/>
      <c r="Q1133" s="12" t="e">
        <f>+VLOOKUP(P1133,Datos!$F:$G,2,FALSE)</f>
        <v>#N/A</v>
      </c>
      <c r="Y1133" s="14"/>
      <c r="Z1133" t="e">
        <f>VLOOKUP(M1133,'[1]INDIVIDUAL UN'!$C$6:$F$222,4,FALSE)</f>
        <v>#N/A</v>
      </c>
    </row>
    <row r="1134" spans="1:26" x14ac:dyDescent="0.35">
      <c r="A1134" s="9" t="s">
        <v>25</v>
      </c>
      <c r="D1134" s="10" t="s">
        <v>29</v>
      </c>
      <c r="J1134" s="9"/>
      <c r="O1134" s="78"/>
      <c r="P1134" s="9"/>
      <c r="Q1134" s="12" t="e">
        <f>+VLOOKUP(P1134,Datos!$F:$G,2,FALSE)</f>
        <v>#N/A</v>
      </c>
      <c r="Y1134" s="14"/>
      <c r="Z1134" t="e">
        <f>VLOOKUP(M1134,'[1]INDIVIDUAL UN'!$C$6:$F$222,4,FALSE)</f>
        <v>#N/A</v>
      </c>
    </row>
    <row r="1135" spans="1:26" x14ac:dyDescent="0.35">
      <c r="A1135" s="9" t="s">
        <v>25</v>
      </c>
      <c r="D1135" s="10" t="s">
        <v>29</v>
      </c>
      <c r="J1135" s="9"/>
      <c r="O1135" s="78"/>
      <c r="P1135" s="9"/>
      <c r="Q1135" s="12" t="e">
        <f>+VLOOKUP(P1135,Datos!$F:$G,2,FALSE)</f>
        <v>#N/A</v>
      </c>
      <c r="Y1135" s="14"/>
      <c r="Z1135" t="e">
        <f>VLOOKUP(M1135,'[1]INDIVIDUAL UN'!$C$6:$F$222,4,FALSE)</f>
        <v>#N/A</v>
      </c>
    </row>
    <row r="1136" spans="1:26" x14ac:dyDescent="0.35">
      <c r="A1136" s="9" t="s">
        <v>25</v>
      </c>
      <c r="D1136" s="10" t="s">
        <v>29</v>
      </c>
      <c r="J1136" s="9"/>
      <c r="O1136" s="78"/>
      <c r="P1136" s="9"/>
      <c r="Q1136" s="12" t="e">
        <f>+VLOOKUP(P1136,Datos!$F:$G,2,FALSE)</f>
        <v>#N/A</v>
      </c>
      <c r="Y1136" s="14"/>
      <c r="Z1136" t="e">
        <f>VLOOKUP(M1136,'[1]INDIVIDUAL UN'!$C$6:$F$222,4,FALSE)</f>
        <v>#N/A</v>
      </c>
    </row>
    <row r="1137" spans="1:26" x14ac:dyDescent="0.35">
      <c r="A1137" s="9" t="s">
        <v>25</v>
      </c>
      <c r="D1137" s="10" t="s">
        <v>29</v>
      </c>
      <c r="J1137" s="9"/>
      <c r="O1137" s="78"/>
      <c r="P1137" s="9"/>
      <c r="Q1137" s="12" t="e">
        <f>+VLOOKUP(P1137,Datos!$F:$G,2,FALSE)</f>
        <v>#N/A</v>
      </c>
      <c r="Y1137" s="14"/>
      <c r="Z1137" t="e">
        <f>VLOOKUP(M1137,'[1]INDIVIDUAL UN'!$C$6:$F$222,4,FALSE)</f>
        <v>#N/A</v>
      </c>
    </row>
    <row r="1138" spans="1:26" x14ac:dyDescent="0.35">
      <c r="A1138" s="9" t="s">
        <v>25</v>
      </c>
      <c r="D1138" s="10" t="s">
        <v>29</v>
      </c>
      <c r="J1138" s="9"/>
      <c r="O1138" s="78"/>
      <c r="P1138" s="9"/>
      <c r="Q1138" s="12" t="e">
        <f>+VLOOKUP(P1138,Datos!$F:$G,2,FALSE)</f>
        <v>#N/A</v>
      </c>
      <c r="Y1138" s="14"/>
      <c r="Z1138" t="e">
        <f>VLOOKUP(M1138,'[1]INDIVIDUAL UN'!$C$6:$F$222,4,FALSE)</f>
        <v>#N/A</v>
      </c>
    </row>
    <row r="1139" spans="1:26" x14ac:dyDescent="0.35">
      <c r="A1139" s="9" t="s">
        <v>25</v>
      </c>
      <c r="D1139" s="10" t="s">
        <v>29</v>
      </c>
      <c r="J1139" s="9"/>
      <c r="O1139" s="78"/>
      <c r="P1139" s="9"/>
      <c r="Q1139" s="12" t="e">
        <f>+VLOOKUP(P1139,Datos!$F:$G,2,FALSE)</f>
        <v>#N/A</v>
      </c>
      <c r="Y1139" s="14"/>
      <c r="Z1139" t="e">
        <f>VLOOKUP(M1139,'[1]INDIVIDUAL UN'!$C$6:$F$222,4,FALSE)</f>
        <v>#N/A</v>
      </c>
    </row>
    <row r="1140" spans="1:26" x14ac:dyDescent="0.35">
      <c r="A1140" s="9" t="s">
        <v>25</v>
      </c>
      <c r="D1140" s="10" t="s">
        <v>29</v>
      </c>
      <c r="J1140" s="9"/>
      <c r="O1140" s="78"/>
      <c r="P1140" s="9"/>
      <c r="Q1140" s="12" t="e">
        <f>+VLOOKUP(P1140,Datos!$F:$G,2,FALSE)</f>
        <v>#N/A</v>
      </c>
      <c r="Y1140" s="14"/>
      <c r="Z1140" t="e">
        <f>VLOOKUP(M1140,'[1]INDIVIDUAL UN'!$C$6:$F$222,4,FALSE)</f>
        <v>#N/A</v>
      </c>
    </row>
    <row r="1141" spans="1:26" x14ac:dyDescent="0.35">
      <c r="A1141" s="9" t="s">
        <v>25</v>
      </c>
      <c r="D1141" s="10" t="s">
        <v>29</v>
      </c>
      <c r="J1141" s="9"/>
      <c r="O1141" s="78"/>
      <c r="P1141" s="9"/>
      <c r="Q1141" s="12" t="e">
        <f>+VLOOKUP(P1141,Datos!$F:$G,2,FALSE)</f>
        <v>#N/A</v>
      </c>
      <c r="Y1141" s="14"/>
      <c r="Z1141" t="e">
        <f>VLOOKUP(M1141,'[1]INDIVIDUAL UN'!$C$6:$F$222,4,FALSE)</f>
        <v>#N/A</v>
      </c>
    </row>
    <row r="1142" spans="1:26" x14ac:dyDescent="0.35">
      <c r="A1142" s="9" t="s">
        <v>25</v>
      </c>
      <c r="D1142" s="10" t="s">
        <v>29</v>
      </c>
      <c r="J1142" s="9"/>
      <c r="O1142" s="78"/>
      <c r="P1142" s="9"/>
      <c r="Q1142" s="12" t="e">
        <f>+VLOOKUP(P1142,Datos!$F:$G,2,FALSE)</f>
        <v>#N/A</v>
      </c>
      <c r="Y1142" s="14"/>
      <c r="Z1142" t="e">
        <f>VLOOKUP(M1142,'[1]INDIVIDUAL UN'!$C$6:$F$222,4,FALSE)</f>
        <v>#N/A</v>
      </c>
    </row>
    <row r="1143" spans="1:26" x14ac:dyDescent="0.35">
      <c r="A1143" s="9" t="s">
        <v>25</v>
      </c>
      <c r="D1143" s="10" t="s">
        <v>29</v>
      </c>
      <c r="J1143" s="9"/>
      <c r="O1143" s="78"/>
      <c r="P1143" s="9"/>
      <c r="Q1143" s="12" t="e">
        <f>+VLOOKUP(P1143,Datos!$F:$G,2,FALSE)</f>
        <v>#N/A</v>
      </c>
      <c r="Y1143" s="14"/>
      <c r="Z1143" t="e">
        <f>VLOOKUP(M1143,'[1]INDIVIDUAL UN'!$C$6:$F$222,4,FALSE)</f>
        <v>#N/A</v>
      </c>
    </row>
    <row r="1144" spans="1:26" x14ac:dyDescent="0.35">
      <c r="A1144" s="9" t="s">
        <v>25</v>
      </c>
      <c r="D1144" s="10" t="s">
        <v>29</v>
      </c>
      <c r="J1144" s="9"/>
      <c r="O1144" s="78"/>
      <c r="P1144" s="9"/>
      <c r="Q1144" s="12" t="e">
        <f>+VLOOKUP(P1144,Datos!$F:$G,2,FALSE)</f>
        <v>#N/A</v>
      </c>
      <c r="Y1144" s="14"/>
      <c r="Z1144" t="e">
        <f>VLOOKUP(M1144,'[1]INDIVIDUAL UN'!$C$6:$F$222,4,FALSE)</f>
        <v>#N/A</v>
      </c>
    </row>
    <row r="1145" spans="1:26" x14ac:dyDescent="0.35">
      <c r="A1145" s="9" t="s">
        <v>25</v>
      </c>
      <c r="D1145" s="10" t="s">
        <v>29</v>
      </c>
      <c r="J1145" s="9"/>
      <c r="O1145" s="78"/>
      <c r="P1145" s="9"/>
      <c r="Q1145" s="12" t="e">
        <f>+VLOOKUP(P1145,Datos!$F:$G,2,FALSE)</f>
        <v>#N/A</v>
      </c>
      <c r="Y1145" s="14"/>
      <c r="Z1145" t="e">
        <f>VLOOKUP(M1145,'[1]INDIVIDUAL UN'!$C$6:$F$222,4,FALSE)</f>
        <v>#N/A</v>
      </c>
    </row>
    <row r="1146" spans="1:26" x14ac:dyDescent="0.35">
      <c r="A1146" s="9" t="s">
        <v>25</v>
      </c>
      <c r="D1146" s="10" t="s">
        <v>29</v>
      </c>
      <c r="J1146" s="9"/>
      <c r="O1146" s="78"/>
      <c r="P1146" s="9"/>
      <c r="Q1146" s="12" t="e">
        <f>+VLOOKUP(P1146,Datos!$F:$G,2,FALSE)</f>
        <v>#N/A</v>
      </c>
      <c r="Y1146" s="14"/>
      <c r="Z1146" t="e">
        <f>VLOOKUP(M1146,'[1]INDIVIDUAL UN'!$C$6:$F$222,4,FALSE)</f>
        <v>#N/A</v>
      </c>
    </row>
    <row r="1147" spans="1:26" x14ac:dyDescent="0.35">
      <c r="A1147" s="9" t="s">
        <v>25</v>
      </c>
      <c r="D1147" s="10" t="s">
        <v>29</v>
      </c>
      <c r="J1147" s="9"/>
      <c r="O1147" s="78"/>
      <c r="P1147" s="9"/>
      <c r="Q1147" s="12" t="e">
        <f>+VLOOKUP(P1147,Datos!$F:$G,2,FALSE)</f>
        <v>#N/A</v>
      </c>
      <c r="Y1147" s="14"/>
      <c r="Z1147" t="e">
        <f>VLOOKUP(M1147,'[1]INDIVIDUAL UN'!$C$6:$F$222,4,FALSE)</f>
        <v>#N/A</v>
      </c>
    </row>
    <row r="1148" spans="1:26" x14ac:dyDescent="0.35">
      <c r="A1148" s="9" t="s">
        <v>25</v>
      </c>
      <c r="D1148" s="10" t="s">
        <v>29</v>
      </c>
      <c r="J1148" s="9"/>
      <c r="O1148" s="78"/>
      <c r="P1148" s="9"/>
      <c r="Q1148" s="12" t="e">
        <f>+VLOOKUP(P1148,Datos!$F:$G,2,FALSE)</f>
        <v>#N/A</v>
      </c>
      <c r="Y1148" s="14"/>
      <c r="Z1148" t="e">
        <f>VLOOKUP(M1148,'[1]INDIVIDUAL UN'!$C$6:$F$222,4,FALSE)</f>
        <v>#N/A</v>
      </c>
    </row>
    <row r="1149" spans="1:26" x14ac:dyDescent="0.35">
      <c r="A1149" s="9" t="s">
        <v>25</v>
      </c>
      <c r="D1149" s="10" t="s">
        <v>29</v>
      </c>
      <c r="J1149" s="9"/>
      <c r="O1149" s="78"/>
      <c r="P1149" s="9"/>
      <c r="Q1149" s="12" t="e">
        <f>+VLOOKUP(P1149,Datos!$F:$G,2,FALSE)</f>
        <v>#N/A</v>
      </c>
      <c r="Y1149" s="14"/>
      <c r="Z1149" t="e">
        <f>VLOOKUP(M1149,'[1]INDIVIDUAL UN'!$C$6:$F$222,4,FALSE)</f>
        <v>#N/A</v>
      </c>
    </row>
    <row r="1150" spans="1:26" x14ac:dyDescent="0.35">
      <c r="A1150" s="9" t="s">
        <v>25</v>
      </c>
      <c r="D1150" s="10" t="s">
        <v>29</v>
      </c>
      <c r="J1150" s="9"/>
      <c r="O1150" s="78"/>
      <c r="P1150" s="9"/>
      <c r="Q1150" s="12" t="e">
        <f>+VLOOKUP(P1150,Datos!$F:$G,2,FALSE)</f>
        <v>#N/A</v>
      </c>
      <c r="Y1150" s="14"/>
      <c r="Z1150" t="e">
        <f>VLOOKUP(M1150,'[1]INDIVIDUAL UN'!$C$6:$F$222,4,FALSE)</f>
        <v>#N/A</v>
      </c>
    </row>
    <row r="1151" spans="1:26" x14ac:dyDescent="0.35">
      <c r="A1151" s="9" t="s">
        <v>25</v>
      </c>
      <c r="D1151" s="10" t="s">
        <v>29</v>
      </c>
      <c r="J1151" s="9"/>
      <c r="O1151" s="78"/>
      <c r="P1151" s="9"/>
      <c r="Q1151" s="12" t="e">
        <f>+VLOOKUP(P1151,Datos!$F:$G,2,FALSE)</f>
        <v>#N/A</v>
      </c>
      <c r="Y1151" s="14"/>
      <c r="Z1151" t="e">
        <f>VLOOKUP(M1151,'[1]INDIVIDUAL UN'!$C$6:$F$222,4,FALSE)</f>
        <v>#N/A</v>
      </c>
    </row>
    <row r="1152" spans="1:26" x14ac:dyDescent="0.35">
      <c r="A1152" s="9" t="s">
        <v>25</v>
      </c>
      <c r="D1152" s="10" t="s">
        <v>29</v>
      </c>
      <c r="J1152" s="9"/>
      <c r="O1152" s="78"/>
      <c r="P1152" s="9"/>
      <c r="Q1152" s="12" t="e">
        <f>+VLOOKUP(P1152,Datos!$F:$G,2,FALSE)</f>
        <v>#N/A</v>
      </c>
      <c r="Y1152" s="14"/>
      <c r="Z1152" t="e">
        <f>VLOOKUP(M1152,'[1]INDIVIDUAL UN'!$C$6:$F$222,4,FALSE)</f>
        <v>#N/A</v>
      </c>
    </row>
    <row r="1153" spans="1:26" x14ac:dyDescent="0.35">
      <c r="A1153" s="9" t="s">
        <v>25</v>
      </c>
      <c r="D1153" s="10" t="s">
        <v>29</v>
      </c>
      <c r="J1153" s="9"/>
      <c r="O1153" s="78"/>
      <c r="P1153" s="9"/>
      <c r="Q1153" s="12" t="e">
        <f>+VLOOKUP(P1153,Datos!$F:$G,2,FALSE)</f>
        <v>#N/A</v>
      </c>
      <c r="Y1153" s="14"/>
      <c r="Z1153" t="e">
        <f>VLOOKUP(M1153,'[1]INDIVIDUAL UN'!$C$6:$F$222,4,FALSE)</f>
        <v>#N/A</v>
      </c>
    </row>
    <row r="1154" spans="1:26" x14ac:dyDescent="0.35">
      <c r="A1154" s="9" t="s">
        <v>25</v>
      </c>
      <c r="D1154" s="10" t="s">
        <v>29</v>
      </c>
      <c r="J1154" s="9"/>
      <c r="O1154" s="78"/>
      <c r="P1154" s="9"/>
      <c r="Q1154" s="12" t="e">
        <f>+VLOOKUP(P1154,Datos!$F:$G,2,FALSE)</f>
        <v>#N/A</v>
      </c>
      <c r="Y1154" s="14"/>
      <c r="Z1154" t="e">
        <f>VLOOKUP(M1154,'[1]INDIVIDUAL UN'!$C$6:$F$222,4,FALSE)</f>
        <v>#N/A</v>
      </c>
    </row>
    <row r="1155" spans="1:26" x14ac:dyDescent="0.35">
      <c r="A1155" s="9" t="s">
        <v>25</v>
      </c>
      <c r="D1155" s="10" t="s">
        <v>29</v>
      </c>
      <c r="J1155" s="9"/>
      <c r="O1155" s="78"/>
      <c r="P1155" s="9"/>
      <c r="Q1155" s="12" t="e">
        <f>+VLOOKUP(P1155,Datos!$F:$G,2,FALSE)</f>
        <v>#N/A</v>
      </c>
      <c r="Y1155" s="14"/>
      <c r="Z1155" t="e">
        <f>VLOOKUP(M1155,'[1]INDIVIDUAL UN'!$C$6:$F$222,4,FALSE)</f>
        <v>#N/A</v>
      </c>
    </row>
    <row r="1156" spans="1:26" x14ac:dyDescent="0.35">
      <c r="A1156" s="9" t="s">
        <v>25</v>
      </c>
      <c r="D1156" s="10" t="s">
        <v>29</v>
      </c>
      <c r="J1156" s="9"/>
      <c r="O1156" s="78"/>
      <c r="P1156" s="9"/>
      <c r="Q1156" s="12" t="e">
        <f>+VLOOKUP(P1156,Datos!$F:$G,2,FALSE)</f>
        <v>#N/A</v>
      </c>
      <c r="Y1156" s="14"/>
      <c r="Z1156" t="e">
        <f>VLOOKUP(M1156,'[1]INDIVIDUAL UN'!$C$6:$F$222,4,FALSE)</f>
        <v>#N/A</v>
      </c>
    </row>
    <row r="1157" spans="1:26" x14ac:dyDescent="0.35">
      <c r="A1157" s="9" t="s">
        <v>25</v>
      </c>
      <c r="D1157" s="10" t="s">
        <v>29</v>
      </c>
      <c r="J1157" s="9"/>
      <c r="O1157" s="78"/>
      <c r="P1157" s="9"/>
      <c r="Q1157" s="12" t="e">
        <f>+VLOOKUP(P1157,Datos!$F:$G,2,FALSE)</f>
        <v>#N/A</v>
      </c>
      <c r="Y1157" s="14"/>
      <c r="Z1157" t="e">
        <f>VLOOKUP(M1157,'[1]INDIVIDUAL UN'!$C$6:$F$222,4,FALSE)</f>
        <v>#N/A</v>
      </c>
    </row>
    <row r="1158" spans="1:26" x14ac:dyDescent="0.35">
      <c r="A1158" s="9" t="s">
        <v>25</v>
      </c>
      <c r="D1158" s="10" t="s">
        <v>29</v>
      </c>
      <c r="J1158" s="9"/>
      <c r="O1158" s="78"/>
      <c r="P1158" s="9"/>
      <c r="Q1158" s="12" t="e">
        <f>+VLOOKUP(P1158,Datos!$F:$G,2,FALSE)</f>
        <v>#N/A</v>
      </c>
      <c r="Y1158" s="14"/>
      <c r="Z1158" t="e">
        <f>VLOOKUP(M1158,'[1]INDIVIDUAL UN'!$C$6:$F$222,4,FALSE)</f>
        <v>#N/A</v>
      </c>
    </row>
    <row r="1159" spans="1:26" x14ac:dyDescent="0.35">
      <c r="A1159" s="9" t="s">
        <v>25</v>
      </c>
      <c r="D1159" s="10" t="s">
        <v>29</v>
      </c>
      <c r="J1159" s="9"/>
      <c r="O1159" s="78"/>
      <c r="P1159" s="9"/>
      <c r="Q1159" s="12" t="e">
        <f>+VLOOKUP(P1159,Datos!$F:$G,2,FALSE)</f>
        <v>#N/A</v>
      </c>
      <c r="Y1159" s="14"/>
      <c r="Z1159" t="e">
        <f>VLOOKUP(M1159,'[1]INDIVIDUAL UN'!$C$6:$F$222,4,FALSE)</f>
        <v>#N/A</v>
      </c>
    </row>
    <row r="1160" spans="1:26" x14ac:dyDescent="0.35">
      <c r="A1160" s="9" t="s">
        <v>25</v>
      </c>
      <c r="D1160" s="10" t="s">
        <v>29</v>
      </c>
      <c r="J1160" s="9"/>
      <c r="O1160" s="78"/>
      <c r="P1160" s="9"/>
      <c r="Q1160" s="12" t="e">
        <f>+VLOOKUP(P1160,Datos!$F:$G,2,FALSE)</f>
        <v>#N/A</v>
      </c>
      <c r="Y1160" s="14"/>
      <c r="Z1160" t="e">
        <f>VLOOKUP(M1160,'[1]INDIVIDUAL UN'!$C$6:$F$222,4,FALSE)</f>
        <v>#N/A</v>
      </c>
    </row>
    <row r="1161" spans="1:26" x14ac:dyDescent="0.35">
      <c r="A1161" s="9" t="s">
        <v>25</v>
      </c>
      <c r="D1161" s="10" t="s">
        <v>29</v>
      </c>
      <c r="J1161" s="9"/>
      <c r="O1161" s="78"/>
      <c r="P1161" s="9"/>
      <c r="Q1161" s="12" t="e">
        <f>+VLOOKUP(P1161,Datos!$F:$G,2,FALSE)</f>
        <v>#N/A</v>
      </c>
      <c r="Y1161" s="14"/>
      <c r="Z1161" t="e">
        <f>VLOOKUP(M1161,'[1]INDIVIDUAL UN'!$C$6:$F$222,4,FALSE)</f>
        <v>#N/A</v>
      </c>
    </row>
    <row r="1162" spans="1:26" x14ac:dyDescent="0.35">
      <c r="A1162" s="9" t="s">
        <v>25</v>
      </c>
      <c r="D1162" s="10" t="s">
        <v>29</v>
      </c>
      <c r="J1162" s="9"/>
      <c r="O1162" s="78"/>
      <c r="P1162" s="9"/>
      <c r="Q1162" s="12" t="e">
        <f>+VLOOKUP(P1162,Datos!$F:$G,2,FALSE)</f>
        <v>#N/A</v>
      </c>
      <c r="Y1162" s="14"/>
      <c r="Z1162" t="e">
        <f>VLOOKUP(M1162,'[1]INDIVIDUAL UN'!$C$6:$F$222,4,FALSE)</f>
        <v>#N/A</v>
      </c>
    </row>
    <row r="1163" spans="1:26" x14ac:dyDescent="0.35">
      <c r="A1163" s="9" t="s">
        <v>25</v>
      </c>
      <c r="D1163" s="10" t="s">
        <v>29</v>
      </c>
      <c r="J1163" s="9"/>
      <c r="O1163" s="78"/>
      <c r="P1163" s="9"/>
      <c r="Q1163" s="12" t="e">
        <f>+VLOOKUP(P1163,Datos!$F:$G,2,FALSE)</f>
        <v>#N/A</v>
      </c>
      <c r="Y1163" s="14"/>
      <c r="Z1163" t="e">
        <f>VLOOKUP(M1163,'[1]INDIVIDUAL UN'!$C$6:$F$222,4,FALSE)</f>
        <v>#N/A</v>
      </c>
    </row>
    <row r="1164" spans="1:26" x14ac:dyDescent="0.35">
      <c r="A1164" s="9" t="s">
        <v>25</v>
      </c>
      <c r="D1164" s="10" t="s">
        <v>29</v>
      </c>
      <c r="J1164" s="9"/>
      <c r="O1164" s="78"/>
      <c r="P1164" s="9"/>
      <c r="Q1164" s="12" t="e">
        <f>+VLOOKUP(P1164,Datos!$F:$G,2,FALSE)</f>
        <v>#N/A</v>
      </c>
      <c r="Y1164" s="14"/>
      <c r="Z1164" t="e">
        <f>VLOOKUP(M1164,'[1]INDIVIDUAL UN'!$C$6:$F$222,4,FALSE)</f>
        <v>#N/A</v>
      </c>
    </row>
    <row r="1165" spans="1:26" x14ac:dyDescent="0.35">
      <c r="A1165" s="9" t="s">
        <v>25</v>
      </c>
      <c r="D1165" s="10" t="s">
        <v>29</v>
      </c>
      <c r="J1165" s="9"/>
      <c r="O1165" s="78"/>
      <c r="P1165" s="9"/>
      <c r="Q1165" s="12" t="e">
        <f>+VLOOKUP(P1165,Datos!$F:$G,2,FALSE)</f>
        <v>#N/A</v>
      </c>
      <c r="Y1165" s="14"/>
      <c r="Z1165" t="e">
        <f>VLOOKUP(M1165,'[1]INDIVIDUAL UN'!$C$6:$F$222,4,FALSE)</f>
        <v>#N/A</v>
      </c>
    </row>
    <row r="1166" spans="1:26" x14ac:dyDescent="0.35">
      <c r="A1166" s="9" t="s">
        <v>25</v>
      </c>
      <c r="D1166" s="10" t="s">
        <v>29</v>
      </c>
      <c r="J1166" s="9"/>
      <c r="O1166" s="78"/>
      <c r="P1166" s="9"/>
      <c r="Q1166" s="12" t="e">
        <f>+VLOOKUP(P1166,Datos!$F:$G,2,FALSE)</f>
        <v>#N/A</v>
      </c>
      <c r="Y1166" s="14"/>
      <c r="Z1166" t="e">
        <f>VLOOKUP(M1166,'[1]INDIVIDUAL UN'!$C$6:$F$222,4,FALSE)</f>
        <v>#N/A</v>
      </c>
    </row>
    <row r="1167" spans="1:26" x14ac:dyDescent="0.35">
      <c r="A1167" s="9" t="s">
        <v>25</v>
      </c>
      <c r="D1167" s="10" t="s">
        <v>29</v>
      </c>
      <c r="J1167" s="9"/>
      <c r="O1167" s="78"/>
      <c r="P1167" s="9"/>
      <c r="Q1167" s="12" t="e">
        <f>+VLOOKUP(P1167,Datos!$F:$G,2,FALSE)</f>
        <v>#N/A</v>
      </c>
      <c r="Y1167" s="14"/>
      <c r="Z1167" t="e">
        <f>VLOOKUP(M1167,'[1]INDIVIDUAL UN'!$C$6:$F$222,4,FALSE)</f>
        <v>#N/A</v>
      </c>
    </row>
    <row r="1168" spans="1:26" x14ac:dyDescent="0.35">
      <c r="A1168" s="9" t="s">
        <v>25</v>
      </c>
      <c r="D1168" s="10" t="s">
        <v>29</v>
      </c>
      <c r="J1168" s="9"/>
      <c r="O1168" s="78"/>
      <c r="P1168" s="9"/>
      <c r="Q1168" s="12" t="e">
        <f>+VLOOKUP(P1168,Datos!$F:$G,2,FALSE)</f>
        <v>#N/A</v>
      </c>
      <c r="Y1168" s="14"/>
      <c r="Z1168" t="e">
        <f>VLOOKUP(M1168,'[1]INDIVIDUAL UN'!$C$6:$F$222,4,FALSE)</f>
        <v>#N/A</v>
      </c>
    </row>
    <row r="1169" spans="1:26" x14ac:dyDescent="0.35">
      <c r="A1169" s="9" t="s">
        <v>25</v>
      </c>
      <c r="D1169" s="10" t="s">
        <v>29</v>
      </c>
      <c r="J1169" s="9"/>
      <c r="O1169" s="78"/>
      <c r="P1169" s="9"/>
      <c r="Q1169" s="12" t="e">
        <f>+VLOOKUP(P1169,Datos!$F:$G,2,FALSE)</f>
        <v>#N/A</v>
      </c>
      <c r="Y1169" s="14"/>
      <c r="Z1169" t="e">
        <f>VLOOKUP(M1169,'[1]INDIVIDUAL UN'!$C$6:$F$222,4,FALSE)</f>
        <v>#N/A</v>
      </c>
    </row>
    <row r="1170" spans="1:26" x14ac:dyDescent="0.35">
      <c r="A1170" s="9" t="s">
        <v>25</v>
      </c>
      <c r="D1170" s="10" t="s">
        <v>29</v>
      </c>
      <c r="J1170" s="9"/>
      <c r="O1170" s="78"/>
      <c r="P1170" s="9"/>
      <c r="Q1170" s="12" t="e">
        <f>+VLOOKUP(P1170,Datos!$F:$G,2,FALSE)</f>
        <v>#N/A</v>
      </c>
      <c r="Y1170" s="14"/>
      <c r="Z1170" t="e">
        <f>VLOOKUP(M1170,'[1]INDIVIDUAL UN'!$C$6:$F$222,4,FALSE)</f>
        <v>#N/A</v>
      </c>
    </row>
    <row r="1171" spans="1:26" x14ac:dyDescent="0.35">
      <c r="A1171" s="9" t="s">
        <v>25</v>
      </c>
      <c r="D1171" s="10" t="s">
        <v>29</v>
      </c>
      <c r="J1171" s="9"/>
      <c r="O1171" s="78"/>
      <c r="P1171" s="9"/>
      <c r="Q1171" s="12" t="e">
        <f>+VLOOKUP(P1171,Datos!$F:$G,2,FALSE)</f>
        <v>#N/A</v>
      </c>
      <c r="Y1171" s="14"/>
      <c r="Z1171" t="e">
        <f>VLOOKUP(M1171,'[1]INDIVIDUAL UN'!$C$6:$F$222,4,FALSE)</f>
        <v>#N/A</v>
      </c>
    </row>
    <row r="1172" spans="1:26" x14ac:dyDescent="0.35">
      <c r="A1172" s="9" t="s">
        <v>25</v>
      </c>
      <c r="D1172" s="10" t="s">
        <v>29</v>
      </c>
      <c r="J1172" s="9"/>
      <c r="O1172" s="78"/>
      <c r="P1172" s="9"/>
      <c r="Q1172" s="12" t="e">
        <f>+VLOOKUP(P1172,Datos!$F:$G,2,FALSE)</f>
        <v>#N/A</v>
      </c>
      <c r="Y1172" s="14"/>
      <c r="Z1172" t="e">
        <f>VLOOKUP(M1172,'[1]INDIVIDUAL UN'!$C$6:$F$222,4,FALSE)</f>
        <v>#N/A</v>
      </c>
    </row>
    <row r="1173" spans="1:26" x14ac:dyDescent="0.35">
      <c r="A1173" s="9" t="s">
        <v>25</v>
      </c>
      <c r="D1173" s="10" t="s">
        <v>29</v>
      </c>
      <c r="J1173" s="9"/>
      <c r="O1173" s="78"/>
      <c r="P1173" s="9"/>
      <c r="Q1173" s="12" t="e">
        <f>+VLOOKUP(P1173,Datos!$F:$G,2,FALSE)</f>
        <v>#N/A</v>
      </c>
      <c r="Y1173" s="14"/>
      <c r="Z1173" t="e">
        <f>VLOOKUP(M1173,'[1]INDIVIDUAL UN'!$C$6:$F$222,4,FALSE)</f>
        <v>#N/A</v>
      </c>
    </row>
    <row r="1174" spans="1:26" x14ac:dyDescent="0.35">
      <c r="A1174" s="9" t="s">
        <v>25</v>
      </c>
      <c r="D1174" s="10" t="s">
        <v>29</v>
      </c>
      <c r="J1174" s="9"/>
      <c r="O1174" s="78"/>
      <c r="P1174" s="9"/>
      <c r="Q1174" s="12" t="e">
        <f>+VLOOKUP(P1174,Datos!$F:$G,2,FALSE)</f>
        <v>#N/A</v>
      </c>
      <c r="Y1174" s="14"/>
      <c r="Z1174" t="e">
        <f>VLOOKUP(M1174,'[1]INDIVIDUAL UN'!$C$6:$F$222,4,FALSE)</f>
        <v>#N/A</v>
      </c>
    </row>
    <row r="1175" spans="1:26" x14ac:dyDescent="0.35">
      <c r="A1175" s="9" t="s">
        <v>25</v>
      </c>
      <c r="D1175" s="10" t="s">
        <v>29</v>
      </c>
      <c r="J1175" s="9"/>
      <c r="O1175" s="78"/>
      <c r="P1175" s="9"/>
      <c r="Q1175" s="12" t="e">
        <f>+VLOOKUP(P1175,Datos!$F:$G,2,FALSE)</f>
        <v>#N/A</v>
      </c>
      <c r="Y1175" s="14"/>
      <c r="Z1175" t="e">
        <f>VLOOKUP(M1175,'[1]INDIVIDUAL UN'!$C$6:$F$222,4,FALSE)</f>
        <v>#N/A</v>
      </c>
    </row>
    <row r="1176" spans="1:26" x14ac:dyDescent="0.35">
      <c r="A1176" s="9" t="s">
        <v>25</v>
      </c>
      <c r="D1176" s="10" t="s">
        <v>29</v>
      </c>
      <c r="J1176" s="9"/>
      <c r="O1176" s="78"/>
      <c r="P1176" s="9"/>
      <c r="Q1176" s="12" t="e">
        <f>+VLOOKUP(P1176,Datos!$F:$G,2,FALSE)</f>
        <v>#N/A</v>
      </c>
      <c r="Y1176" s="14"/>
      <c r="Z1176" t="e">
        <f>VLOOKUP(M1176,'[1]INDIVIDUAL UN'!$C$6:$F$222,4,FALSE)</f>
        <v>#N/A</v>
      </c>
    </row>
    <row r="1177" spans="1:26" x14ac:dyDescent="0.35">
      <c r="A1177" s="9" t="s">
        <v>25</v>
      </c>
      <c r="D1177" s="10" t="s">
        <v>29</v>
      </c>
      <c r="J1177" s="9"/>
      <c r="O1177" s="78"/>
      <c r="P1177" s="9"/>
      <c r="Q1177" s="12" t="e">
        <f>+VLOOKUP(P1177,Datos!$F:$G,2,FALSE)</f>
        <v>#N/A</v>
      </c>
      <c r="Y1177" s="14"/>
      <c r="Z1177" t="e">
        <f>VLOOKUP(M1177,'[1]INDIVIDUAL UN'!$C$6:$F$222,4,FALSE)</f>
        <v>#N/A</v>
      </c>
    </row>
    <row r="1178" spans="1:26" x14ac:dyDescent="0.35">
      <c r="A1178" s="9" t="s">
        <v>25</v>
      </c>
      <c r="D1178" s="10" t="s">
        <v>29</v>
      </c>
      <c r="J1178" s="9"/>
      <c r="O1178" s="78"/>
      <c r="P1178" s="9"/>
      <c r="Q1178" s="12" t="e">
        <f>+VLOOKUP(P1178,Datos!$F:$G,2,FALSE)</f>
        <v>#N/A</v>
      </c>
      <c r="Y1178" s="14"/>
      <c r="Z1178" t="e">
        <f>VLOOKUP(M1178,'[1]INDIVIDUAL UN'!$C$6:$F$222,4,FALSE)</f>
        <v>#N/A</v>
      </c>
    </row>
    <row r="1179" spans="1:26" x14ac:dyDescent="0.35">
      <c r="A1179" s="9" t="s">
        <v>25</v>
      </c>
      <c r="D1179" s="10" t="s">
        <v>29</v>
      </c>
      <c r="J1179" s="9"/>
      <c r="O1179" s="78"/>
      <c r="P1179" s="9"/>
      <c r="Q1179" s="12" t="e">
        <f>+VLOOKUP(P1179,Datos!$F:$G,2,FALSE)</f>
        <v>#N/A</v>
      </c>
      <c r="Y1179" s="14"/>
      <c r="Z1179" t="e">
        <f>VLOOKUP(M1179,'[1]INDIVIDUAL UN'!$C$6:$F$222,4,FALSE)</f>
        <v>#N/A</v>
      </c>
    </row>
    <row r="1180" spans="1:26" x14ac:dyDescent="0.35">
      <c r="A1180" s="9" t="s">
        <v>25</v>
      </c>
      <c r="D1180" s="10" t="s">
        <v>29</v>
      </c>
      <c r="J1180" s="9"/>
      <c r="O1180" s="78"/>
      <c r="P1180" s="9"/>
      <c r="Q1180" s="12" t="e">
        <f>+VLOOKUP(P1180,Datos!$F:$G,2,FALSE)</f>
        <v>#N/A</v>
      </c>
      <c r="Y1180" s="14"/>
      <c r="Z1180" t="e">
        <f>VLOOKUP(M1180,'[1]INDIVIDUAL UN'!$C$6:$F$222,4,FALSE)</f>
        <v>#N/A</v>
      </c>
    </row>
    <row r="1181" spans="1:26" x14ac:dyDescent="0.35">
      <c r="A1181" s="9" t="s">
        <v>25</v>
      </c>
      <c r="D1181" s="10" t="s">
        <v>29</v>
      </c>
      <c r="J1181" s="9"/>
      <c r="O1181" s="78"/>
      <c r="P1181" s="9"/>
      <c r="Q1181" s="12" t="e">
        <f>+VLOOKUP(P1181,Datos!$F:$G,2,FALSE)</f>
        <v>#N/A</v>
      </c>
      <c r="Y1181" s="14"/>
      <c r="Z1181" t="e">
        <f>VLOOKUP(M1181,'[1]INDIVIDUAL UN'!$C$6:$F$222,4,FALSE)</f>
        <v>#N/A</v>
      </c>
    </row>
    <row r="1182" spans="1:26" x14ac:dyDescent="0.35">
      <c r="A1182" s="9" t="s">
        <v>25</v>
      </c>
      <c r="D1182" s="10" t="s">
        <v>29</v>
      </c>
      <c r="J1182" s="9"/>
      <c r="O1182" s="78"/>
      <c r="P1182" s="9"/>
      <c r="Q1182" s="12" t="e">
        <f>+VLOOKUP(P1182,Datos!$F:$G,2,FALSE)</f>
        <v>#N/A</v>
      </c>
      <c r="Y1182" s="14"/>
      <c r="Z1182" t="e">
        <f>VLOOKUP(M1182,'[1]INDIVIDUAL UN'!$C$6:$F$222,4,FALSE)</f>
        <v>#N/A</v>
      </c>
    </row>
    <row r="1183" spans="1:26" x14ac:dyDescent="0.35">
      <c r="A1183" s="9" t="s">
        <v>25</v>
      </c>
      <c r="D1183" s="10" t="s">
        <v>29</v>
      </c>
      <c r="J1183" s="9"/>
      <c r="O1183" s="78"/>
      <c r="P1183" s="9"/>
      <c r="Q1183" s="12" t="e">
        <f>+VLOOKUP(P1183,Datos!$F:$G,2,FALSE)</f>
        <v>#N/A</v>
      </c>
      <c r="Y1183" s="14"/>
      <c r="Z1183" t="e">
        <f>VLOOKUP(M1183,'[1]INDIVIDUAL UN'!$C$6:$F$222,4,FALSE)</f>
        <v>#N/A</v>
      </c>
    </row>
    <row r="1184" spans="1:26" x14ac:dyDescent="0.35">
      <c r="A1184" s="9" t="s">
        <v>25</v>
      </c>
      <c r="D1184" s="10" t="s">
        <v>29</v>
      </c>
      <c r="J1184" s="9"/>
      <c r="O1184" s="78"/>
      <c r="P1184" s="9"/>
      <c r="Q1184" s="12" t="e">
        <f>+VLOOKUP(P1184,Datos!$F:$G,2,FALSE)</f>
        <v>#N/A</v>
      </c>
      <c r="Y1184" s="14"/>
      <c r="Z1184" t="e">
        <f>VLOOKUP(M1184,'[1]INDIVIDUAL UN'!$C$6:$F$222,4,FALSE)</f>
        <v>#N/A</v>
      </c>
    </row>
    <row r="1185" spans="1:26" x14ac:dyDescent="0.35">
      <c r="A1185" s="9" t="s">
        <v>25</v>
      </c>
      <c r="D1185" s="10" t="s">
        <v>29</v>
      </c>
      <c r="J1185" s="9"/>
      <c r="O1185" s="78"/>
      <c r="P1185" s="9"/>
      <c r="Q1185" s="12" t="e">
        <f>+VLOOKUP(P1185,Datos!$F:$G,2,FALSE)</f>
        <v>#N/A</v>
      </c>
      <c r="Y1185" s="14"/>
      <c r="Z1185" t="e">
        <f>VLOOKUP(M1185,'[1]INDIVIDUAL UN'!$C$6:$F$222,4,FALSE)</f>
        <v>#N/A</v>
      </c>
    </row>
    <row r="1186" spans="1:26" x14ac:dyDescent="0.35">
      <c r="A1186" s="9" t="s">
        <v>25</v>
      </c>
      <c r="D1186" s="10" t="s">
        <v>29</v>
      </c>
      <c r="J1186" s="9"/>
      <c r="O1186" s="78"/>
      <c r="P1186" s="9"/>
      <c r="Q1186" s="12" t="e">
        <f>+VLOOKUP(P1186,Datos!$F:$G,2,FALSE)</f>
        <v>#N/A</v>
      </c>
      <c r="Y1186" s="14"/>
      <c r="Z1186" t="e">
        <f>VLOOKUP(M1186,'[1]INDIVIDUAL UN'!$C$6:$F$222,4,FALSE)</f>
        <v>#N/A</v>
      </c>
    </row>
    <row r="1187" spans="1:26" x14ac:dyDescent="0.35">
      <c r="A1187" s="9" t="s">
        <v>25</v>
      </c>
      <c r="D1187" s="10" t="s">
        <v>29</v>
      </c>
      <c r="J1187" s="9"/>
      <c r="O1187" s="78"/>
      <c r="P1187" s="9"/>
      <c r="Q1187" s="12" t="e">
        <f>+VLOOKUP(P1187,Datos!$F:$G,2,FALSE)</f>
        <v>#N/A</v>
      </c>
      <c r="Y1187" s="14"/>
      <c r="Z1187" t="e">
        <f>VLOOKUP(M1187,'[1]INDIVIDUAL UN'!$C$6:$F$222,4,FALSE)</f>
        <v>#N/A</v>
      </c>
    </row>
    <row r="1188" spans="1:26" x14ac:dyDescent="0.35">
      <c r="A1188" s="9" t="s">
        <v>25</v>
      </c>
      <c r="D1188" s="10" t="s">
        <v>29</v>
      </c>
      <c r="J1188" s="9"/>
      <c r="O1188" s="78"/>
      <c r="P1188" s="9"/>
      <c r="Q1188" s="12" t="e">
        <f>+VLOOKUP(P1188,Datos!$F:$G,2,FALSE)</f>
        <v>#N/A</v>
      </c>
      <c r="Y1188" s="14"/>
      <c r="Z1188" t="e">
        <f>VLOOKUP(M1188,'[1]INDIVIDUAL UN'!$C$6:$F$222,4,FALSE)</f>
        <v>#N/A</v>
      </c>
    </row>
    <row r="1189" spans="1:26" x14ac:dyDescent="0.35">
      <c r="A1189" s="9" t="s">
        <v>25</v>
      </c>
      <c r="D1189" s="10" t="s">
        <v>29</v>
      </c>
      <c r="J1189" s="9"/>
      <c r="O1189" s="78"/>
      <c r="P1189" s="9"/>
      <c r="Q1189" s="12" t="e">
        <f>+VLOOKUP(P1189,Datos!$F:$G,2,FALSE)</f>
        <v>#N/A</v>
      </c>
      <c r="Y1189" s="14"/>
      <c r="Z1189" t="e">
        <f>VLOOKUP(M1189,'[1]INDIVIDUAL UN'!$C$6:$F$222,4,FALSE)</f>
        <v>#N/A</v>
      </c>
    </row>
    <row r="1190" spans="1:26" x14ac:dyDescent="0.35">
      <c r="A1190" s="9" t="s">
        <v>25</v>
      </c>
      <c r="D1190" s="10" t="s">
        <v>29</v>
      </c>
      <c r="J1190" s="9"/>
      <c r="O1190" s="78"/>
      <c r="P1190" s="9"/>
      <c r="Q1190" s="12" t="e">
        <f>+VLOOKUP(P1190,Datos!$F:$G,2,FALSE)</f>
        <v>#N/A</v>
      </c>
      <c r="Y1190" s="14"/>
      <c r="Z1190" t="e">
        <f>VLOOKUP(M1190,'[1]INDIVIDUAL UN'!$C$6:$F$222,4,FALSE)</f>
        <v>#N/A</v>
      </c>
    </row>
    <row r="1191" spans="1:26" x14ac:dyDescent="0.35">
      <c r="A1191" s="9" t="s">
        <v>25</v>
      </c>
      <c r="D1191" s="10" t="s">
        <v>29</v>
      </c>
      <c r="J1191" s="9"/>
      <c r="O1191" s="78"/>
      <c r="P1191" s="9"/>
      <c r="Q1191" s="12" t="e">
        <f>+VLOOKUP(P1191,Datos!$F:$G,2,FALSE)</f>
        <v>#N/A</v>
      </c>
      <c r="Y1191" s="14"/>
      <c r="Z1191" t="e">
        <f>VLOOKUP(M1191,'[1]INDIVIDUAL UN'!$C$6:$F$222,4,FALSE)</f>
        <v>#N/A</v>
      </c>
    </row>
    <row r="1192" spans="1:26" x14ac:dyDescent="0.35">
      <c r="A1192" s="9" t="s">
        <v>25</v>
      </c>
      <c r="D1192" s="10" t="s">
        <v>29</v>
      </c>
      <c r="J1192" s="9"/>
      <c r="O1192" s="78"/>
      <c r="P1192" s="9"/>
      <c r="Q1192" s="12" t="e">
        <f>+VLOOKUP(P1192,Datos!$F:$G,2,FALSE)</f>
        <v>#N/A</v>
      </c>
      <c r="Y1192" s="14"/>
      <c r="Z1192" t="e">
        <f>VLOOKUP(M1192,'[1]INDIVIDUAL UN'!$C$6:$F$222,4,FALSE)</f>
        <v>#N/A</v>
      </c>
    </row>
    <row r="1193" spans="1:26" x14ac:dyDescent="0.35">
      <c r="A1193" s="9" t="s">
        <v>25</v>
      </c>
      <c r="D1193" s="10" t="s">
        <v>29</v>
      </c>
      <c r="J1193" s="9"/>
      <c r="O1193" s="78"/>
      <c r="P1193" s="9"/>
      <c r="Q1193" s="12" t="e">
        <f>+VLOOKUP(P1193,Datos!$F:$G,2,FALSE)</f>
        <v>#N/A</v>
      </c>
      <c r="Y1193" s="14"/>
      <c r="Z1193" t="e">
        <f>VLOOKUP(M1193,'[1]INDIVIDUAL UN'!$C$6:$F$222,4,FALSE)</f>
        <v>#N/A</v>
      </c>
    </row>
    <row r="1194" spans="1:26" x14ac:dyDescent="0.35">
      <c r="A1194" s="9" t="s">
        <v>25</v>
      </c>
      <c r="D1194" s="10" t="s">
        <v>29</v>
      </c>
      <c r="J1194" s="9"/>
      <c r="O1194" s="78"/>
      <c r="P1194" s="9"/>
      <c r="Q1194" s="12" t="e">
        <f>+VLOOKUP(P1194,Datos!$F:$G,2,FALSE)</f>
        <v>#N/A</v>
      </c>
      <c r="Y1194" s="14"/>
      <c r="Z1194" t="e">
        <f>VLOOKUP(M1194,'[1]INDIVIDUAL UN'!$C$6:$F$222,4,FALSE)</f>
        <v>#N/A</v>
      </c>
    </row>
    <row r="1195" spans="1:26" x14ac:dyDescent="0.35">
      <c r="A1195" s="9" t="s">
        <v>25</v>
      </c>
      <c r="D1195" s="10" t="s">
        <v>29</v>
      </c>
      <c r="J1195" s="9"/>
      <c r="O1195" s="78"/>
      <c r="P1195" s="9"/>
      <c r="Q1195" s="12" t="e">
        <f>+VLOOKUP(P1195,Datos!$F:$G,2,FALSE)</f>
        <v>#N/A</v>
      </c>
      <c r="Y1195" s="14"/>
      <c r="Z1195" t="e">
        <f>VLOOKUP(M1195,'[1]INDIVIDUAL UN'!$C$6:$F$222,4,FALSE)</f>
        <v>#N/A</v>
      </c>
    </row>
    <row r="1196" spans="1:26" x14ac:dyDescent="0.35">
      <c r="A1196" s="9" t="s">
        <v>25</v>
      </c>
      <c r="D1196" s="10" t="s">
        <v>29</v>
      </c>
      <c r="J1196" s="9"/>
      <c r="O1196" s="78"/>
      <c r="P1196" s="9"/>
      <c r="Q1196" s="12" t="e">
        <f>+VLOOKUP(P1196,Datos!$F:$G,2,FALSE)</f>
        <v>#N/A</v>
      </c>
      <c r="Y1196" s="14"/>
      <c r="Z1196" t="e">
        <f>VLOOKUP(M1196,'[1]INDIVIDUAL UN'!$C$6:$F$222,4,FALSE)</f>
        <v>#N/A</v>
      </c>
    </row>
    <row r="1197" spans="1:26" x14ac:dyDescent="0.35">
      <c r="A1197" s="9" t="s">
        <v>25</v>
      </c>
      <c r="D1197" s="10" t="s">
        <v>29</v>
      </c>
      <c r="J1197" s="9"/>
      <c r="O1197" s="78"/>
      <c r="P1197" s="9"/>
      <c r="Q1197" s="12" t="e">
        <f>+VLOOKUP(P1197,Datos!$F:$G,2,FALSE)</f>
        <v>#N/A</v>
      </c>
      <c r="Y1197" s="14"/>
      <c r="Z1197" t="e">
        <f>VLOOKUP(M1197,'[1]INDIVIDUAL UN'!$C$6:$F$222,4,FALSE)</f>
        <v>#N/A</v>
      </c>
    </row>
    <row r="1198" spans="1:26" x14ac:dyDescent="0.35">
      <c r="A1198" s="9" t="s">
        <v>25</v>
      </c>
      <c r="D1198" s="10" t="s">
        <v>29</v>
      </c>
      <c r="J1198" s="9"/>
      <c r="O1198" s="78"/>
      <c r="P1198" s="9"/>
      <c r="Q1198" s="12" t="e">
        <f>+VLOOKUP(P1198,Datos!$F:$G,2,FALSE)</f>
        <v>#N/A</v>
      </c>
      <c r="Y1198" s="14"/>
      <c r="Z1198" t="e">
        <f>VLOOKUP(M1198,'[1]INDIVIDUAL UN'!$C$6:$F$222,4,FALSE)</f>
        <v>#N/A</v>
      </c>
    </row>
    <row r="1199" spans="1:26" x14ac:dyDescent="0.35">
      <c r="A1199" s="9" t="s">
        <v>25</v>
      </c>
      <c r="D1199" s="10" t="s">
        <v>29</v>
      </c>
      <c r="J1199" s="9"/>
      <c r="O1199" s="78"/>
      <c r="P1199" s="9"/>
      <c r="Q1199" s="12" t="e">
        <f>+VLOOKUP(P1199,Datos!$F:$G,2,FALSE)</f>
        <v>#N/A</v>
      </c>
      <c r="Y1199" s="14"/>
      <c r="Z1199" t="e">
        <f>VLOOKUP(M1199,'[1]INDIVIDUAL UN'!$C$6:$F$222,4,FALSE)</f>
        <v>#N/A</v>
      </c>
    </row>
    <row r="1200" spans="1:26" x14ac:dyDescent="0.35">
      <c r="A1200" s="9" t="s">
        <v>25</v>
      </c>
      <c r="D1200" s="10" t="s">
        <v>29</v>
      </c>
      <c r="J1200" s="9"/>
      <c r="O1200" s="78"/>
      <c r="P1200" s="9"/>
      <c r="Q1200" s="12" t="e">
        <f>+VLOOKUP(P1200,Datos!$F:$G,2,FALSE)</f>
        <v>#N/A</v>
      </c>
      <c r="Y1200" s="14"/>
      <c r="Z1200" t="e">
        <f>VLOOKUP(M1200,'[1]INDIVIDUAL UN'!$C$6:$F$222,4,FALSE)</f>
        <v>#N/A</v>
      </c>
    </row>
    <row r="1201" spans="1:26" x14ac:dyDescent="0.35">
      <c r="A1201" s="9" t="s">
        <v>25</v>
      </c>
      <c r="D1201" s="10" t="s">
        <v>29</v>
      </c>
      <c r="J1201" s="9"/>
      <c r="O1201" s="78"/>
      <c r="P1201" s="9"/>
      <c r="Q1201" s="12" t="e">
        <f>+VLOOKUP(P1201,Datos!$F:$G,2,FALSE)</f>
        <v>#N/A</v>
      </c>
      <c r="Y1201" s="14"/>
      <c r="Z1201" t="e">
        <f>VLOOKUP(M1201,'[1]INDIVIDUAL UN'!$C$6:$F$222,4,FALSE)</f>
        <v>#N/A</v>
      </c>
    </row>
    <row r="1202" spans="1:26" x14ac:dyDescent="0.35">
      <c r="A1202" s="9" t="s">
        <v>25</v>
      </c>
      <c r="D1202" s="10" t="s">
        <v>29</v>
      </c>
      <c r="J1202" s="9"/>
      <c r="O1202" s="78"/>
      <c r="P1202" s="9"/>
      <c r="Q1202" s="12" t="e">
        <f>+VLOOKUP(P1202,Datos!$F:$G,2,FALSE)</f>
        <v>#N/A</v>
      </c>
      <c r="Y1202" s="14"/>
      <c r="Z1202" t="e">
        <f>VLOOKUP(M1202,'[1]INDIVIDUAL UN'!$C$6:$F$222,4,FALSE)</f>
        <v>#N/A</v>
      </c>
    </row>
    <row r="1203" spans="1:26" x14ac:dyDescent="0.35">
      <c r="A1203" s="9" t="s">
        <v>25</v>
      </c>
      <c r="D1203" s="10" t="s">
        <v>29</v>
      </c>
      <c r="J1203" s="9"/>
      <c r="O1203" s="78"/>
      <c r="P1203" s="9"/>
      <c r="Q1203" s="12" t="e">
        <f>+VLOOKUP(P1203,Datos!$F:$G,2,FALSE)</f>
        <v>#N/A</v>
      </c>
      <c r="Y1203" s="14"/>
      <c r="Z1203" t="e">
        <f>VLOOKUP(M1203,'[1]INDIVIDUAL UN'!$C$6:$F$222,4,FALSE)</f>
        <v>#N/A</v>
      </c>
    </row>
    <row r="1204" spans="1:26" x14ac:dyDescent="0.35">
      <c r="A1204" s="9" t="s">
        <v>25</v>
      </c>
      <c r="D1204" s="10" t="s">
        <v>29</v>
      </c>
      <c r="J1204" s="9"/>
      <c r="O1204" s="78"/>
      <c r="P1204" s="9"/>
      <c r="Q1204" s="12" t="e">
        <f>+VLOOKUP(P1204,Datos!$F:$G,2,FALSE)</f>
        <v>#N/A</v>
      </c>
      <c r="Y1204" s="14"/>
      <c r="Z1204" t="e">
        <f>VLOOKUP(M1204,'[1]INDIVIDUAL UN'!$C$6:$F$222,4,FALSE)</f>
        <v>#N/A</v>
      </c>
    </row>
    <row r="1205" spans="1:26" x14ac:dyDescent="0.35">
      <c r="A1205" s="9" t="s">
        <v>25</v>
      </c>
      <c r="D1205" s="10" t="s">
        <v>29</v>
      </c>
      <c r="J1205" s="9"/>
      <c r="O1205" s="78"/>
      <c r="P1205" s="9"/>
      <c r="Q1205" s="12" t="e">
        <f>+VLOOKUP(P1205,Datos!$F:$G,2,FALSE)</f>
        <v>#N/A</v>
      </c>
      <c r="Y1205" s="14"/>
      <c r="Z1205" t="e">
        <f>VLOOKUP(M1205,'[1]INDIVIDUAL UN'!$C$6:$F$222,4,FALSE)</f>
        <v>#N/A</v>
      </c>
    </row>
    <row r="1206" spans="1:26" x14ac:dyDescent="0.35">
      <c r="A1206" s="9" t="s">
        <v>25</v>
      </c>
      <c r="D1206" s="10" t="s">
        <v>29</v>
      </c>
      <c r="J1206" s="9"/>
      <c r="O1206" s="78"/>
      <c r="P1206" s="9"/>
      <c r="Q1206" s="12" t="e">
        <f>+VLOOKUP(P1206,Datos!$F:$G,2,FALSE)</f>
        <v>#N/A</v>
      </c>
      <c r="Y1206" s="14"/>
      <c r="Z1206" t="e">
        <f>VLOOKUP(M1206,'[1]INDIVIDUAL UN'!$C$6:$F$222,4,FALSE)</f>
        <v>#N/A</v>
      </c>
    </row>
    <row r="1207" spans="1:26" x14ac:dyDescent="0.35">
      <c r="A1207" s="9" t="s">
        <v>25</v>
      </c>
      <c r="D1207" s="10" t="s">
        <v>29</v>
      </c>
      <c r="J1207" s="9"/>
      <c r="O1207" s="78"/>
      <c r="P1207" s="9"/>
      <c r="Q1207" s="12" t="e">
        <f>+VLOOKUP(P1207,Datos!$F:$G,2,FALSE)</f>
        <v>#N/A</v>
      </c>
      <c r="Y1207" s="14"/>
      <c r="Z1207" t="e">
        <f>VLOOKUP(M1207,'[1]INDIVIDUAL UN'!$C$6:$F$222,4,FALSE)</f>
        <v>#N/A</v>
      </c>
    </row>
    <row r="1208" spans="1:26" x14ac:dyDescent="0.35">
      <c r="A1208" s="9" t="s">
        <v>25</v>
      </c>
      <c r="D1208" s="10" t="s">
        <v>29</v>
      </c>
      <c r="J1208" s="9"/>
      <c r="O1208" s="78"/>
      <c r="P1208" s="9"/>
      <c r="Q1208" s="12" t="e">
        <f>+VLOOKUP(P1208,Datos!$F:$G,2,FALSE)</f>
        <v>#N/A</v>
      </c>
      <c r="Y1208" s="14"/>
      <c r="Z1208" t="e">
        <f>VLOOKUP(M1208,'[1]INDIVIDUAL UN'!$C$6:$F$222,4,FALSE)</f>
        <v>#N/A</v>
      </c>
    </row>
    <row r="1209" spans="1:26" x14ac:dyDescent="0.35">
      <c r="A1209" s="9" t="s">
        <v>25</v>
      </c>
      <c r="D1209" s="10" t="s">
        <v>29</v>
      </c>
      <c r="J1209" s="9"/>
      <c r="O1209" s="78"/>
      <c r="P1209" s="9"/>
      <c r="Q1209" s="12" t="e">
        <f>+VLOOKUP(P1209,Datos!$F:$G,2,FALSE)</f>
        <v>#N/A</v>
      </c>
      <c r="Y1209" s="14"/>
      <c r="Z1209" t="e">
        <f>VLOOKUP(M1209,'[1]INDIVIDUAL UN'!$C$6:$F$222,4,FALSE)</f>
        <v>#N/A</v>
      </c>
    </row>
    <row r="1210" spans="1:26" x14ac:dyDescent="0.35">
      <c r="A1210" s="9" t="s">
        <v>25</v>
      </c>
      <c r="D1210" s="10" t="s">
        <v>29</v>
      </c>
      <c r="J1210" s="9"/>
      <c r="O1210" s="78"/>
      <c r="P1210" s="9"/>
      <c r="Q1210" s="12" t="e">
        <f>+VLOOKUP(P1210,Datos!$F:$G,2,FALSE)</f>
        <v>#N/A</v>
      </c>
      <c r="Y1210" s="14"/>
      <c r="Z1210" t="e">
        <f>VLOOKUP(M1210,'[1]INDIVIDUAL UN'!$C$6:$F$222,4,FALSE)</f>
        <v>#N/A</v>
      </c>
    </row>
    <row r="1211" spans="1:26" x14ac:dyDescent="0.35">
      <c r="A1211" s="9" t="s">
        <v>25</v>
      </c>
      <c r="D1211" s="10" t="s">
        <v>29</v>
      </c>
      <c r="J1211" s="9"/>
      <c r="O1211" s="78"/>
      <c r="P1211" s="9"/>
      <c r="Q1211" s="12" t="e">
        <f>+VLOOKUP(P1211,Datos!$F:$G,2,FALSE)</f>
        <v>#N/A</v>
      </c>
      <c r="Y1211" s="14"/>
      <c r="Z1211" t="e">
        <f>VLOOKUP(M1211,'[1]INDIVIDUAL UN'!$C$6:$F$222,4,FALSE)</f>
        <v>#N/A</v>
      </c>
    </row>
    <row r="1212" spans="1:26" x14ac:dyDescent="0.35">
      <c r="A1212" s="9" t="s">
        <v>25</v>
      </c>
      <c r="D1212" s="10" t="s">
        <v>29</v>
      </c>
      <c r="J1212" s="9"/>
      <c r="O1212" s="78"/>
      <c r="P1212" s="9"/>
      <c r="Q1212" s="12" t="e">
        <f>+VLOOKUP(P1212,Datos!$F:$G,2,FALSE)</f>
        <v>#N/A</v>
      </c>
      <c r="Y1212" s="14"/>
      <c r="Z1212" t="e">
        <f>VLOOKUP(M1212,'[1]INDIVIDUAL UN'!$C$6:$F$222,4,FALSE)</f>
        <v>#N/A</v>
      </c>
    </row>
    <row r="1213" spans="1:26" x14ac:dyDescent="0.35">
      <c r="A1213" s="9" t="s">
        <v>25</v>
      </c>
      <c r="D1213" s="10" t="s">
        <v>29</v>
      </c>
      <c r="J1213" s="9"/>
      <c r="O1213" s="78"/>
      <c r="P1213" s="9"/>
      <c r="Q1213" s="12" t="e">
        <f>+VLOOKUP(P1213,Datos!$F:$G,2,FALSE)</f>
        <v>#N/A</v>
      </c>
      <c r="Y1213" s="14"/>
      <c r="Z1213" t="e">
        <f>VLOOKUP(M1213,'[1]INDIVIDUAL UN'!$C$6:$F$222,4,FALSE)</f>
        <v>#N/A</v>
      </c>
    </row>
  </sheetData>
  <autoFilter ref="A1:Z1213" xr:uid="{1B0F42AC-1952-4BBC-A604-8267D8CE7F23}">
    <filterColumn colId="7">
      <filters blank="1">
        <dateGroupItem year="2026" month="9" day="18" dateTimeGrouping="day"/>
        <dateGroupItem year="2026" month="9" day="19" dateTimeGrouping="day"/>
        <dateGroupItem year="2026" month="9" day="20" dateTimeGrouping="day"/>
      </filters>
    </filterColumn>
  </autoFilter>
  <conditionalFormatting sqref="B1">
    <cfRule type="iconSet" priority="41">
      <iconSet iconSet="3Symbols2" showValue="0">
        <cfvo type="percent" val="0"/>
        <cfvo type="num" val="0.999"/>
        <cfvo type="num" val="1"/>
      </iconSet>
    </cfRule>
  </conditionalFormatting>
  <conditionalFormatting sqref="C1 R1:Y1 A1">
    <cfRule type="iconSet" priority="42">
      <iconSet iconSet="3Symbols2" showValue="0">
        <cfvo type="percent" val="0"/>
        <cfvo type="num" val="0.999"/>
        <cfvo type="num" val="1"/>
      </iconSet>
    </cfRule>
  </conditionalFormatting>
  <conditionalFormatting sqref="T522 T525">
    <cfRule type="iconSet" priority="45">
      <iconSet iconSet="3Symbols2">
        <cfvo type="percent" val="0"/>
        <cfvo type="num" val="1"/>
        <cfvo type="num" val="2"/>
      </iconSet>
    </cfRule>
  </conditionalFormatting>
  <conditionalFormatting sqref="T524">
    <cfRule type="iconSet" priority="46">
      <iconSet iconSet="3Symbols2">
        <cfvo type="percent" val="0"/>
        <cfvo type="num" val="1"/>
        <cfvo type="num" val="2"/>
      </iconSet>
    </cfRule>
  </conditionalFormatting>
  <conditionalFormatting sqref="T531">
    <cfRule type="iconSet" priority="47">
      <iconSet iconSet="3Symbols2">
        <cfvo type="percent" val="0"/>
        <cfvo type="num" val="1"/>
        <cfvo type="num" val="2"/>
      </iconSet>
    </cfRule>
  </conditionalFormatting>
  <conditionalFormatting sqref="U524">
    <cfRule type="colorScale" priority="38">
      <colorScale>
        <cfvo type="num" val="1"/>
        <cfvo type="num" val="2"/>
        <color rgb="FFFCFCFF"/>
        <color rgb="FFF8696B"/>
      </colorScale>
    </cfRule>
  </conditionalFormatting>
  <conditionalFormatting sqref="U522 U525 V2:V584">
    <cfRule type="colorScale" priority="39">
      <colorScale>
        <cfvo type="num" val="1"/>
        <cfvo type="num" val="2"/>
        <color rgb="FFFCFCFF"/>
        <color rgb="FFF8696B"/>
      </colorScale>
    </cfRule>
  </conditionalFormatting>
  <conditionalFormatting sqref="U531">
    <cfRule type="colorScale" priority="40">
      <colorScale>
        <cfvo type="num" val="1"/>
        <cfvo type="num" val="2"/>
        <color rgb="FFFCFCFF"/>
        <color rgb="FFF8696B"/>
      </colorScale>
    </cfRule>
  </conditionalFormatting>
  <conditionalFormatting sqref="V447">
    <cfRule type="colorScale" priority="2">
      <colorScale>
        <cfvo type="num" val="1"/>
        <cfvo type="num" val="2"/>
        <color rgb="FFFCFCFF"/>
        <color rgb="FFF8696B"/>
      </colorScale>
    </cfRule>
  </conditionalFormatting>
  <conditionalFormatting sqref="V451">
    <cfRule type="colorScale" priority="4">
      <colorScale>
        <cfvo type="num" val="1"/>
        <cfvo type="num" val="2"/>
        <color rgb="FFFCFCFF"/>
        <color rgb="FFF8696B"/>
      </colorScale>
    </cfRule>
  </conditionalFormatting>
  <conditionalFormatting sqref="V452">
    <cfRule type="colorScale" priority="5">
      <colorScale>
        <cfvo type="num" val="1"/>
        <cfvo type="num" val="2"/>
        <color rgb="FFFCFCFF"/>
        <color rgb="FFF8696B"/>
      </colorScale>
    </cfRule>
  </conditionalFormatting>
  <conditionalFormatting sqref="V453">
    <cfRule type="colorScale" priority="3">
      <colorScale>
        <cfvo type="num" val="1"/>
        <cfvo type="num" val="2"/>
        <color rgb="FFFCFCFF"/>
        <color rgb="FFF8696B"/>
      </colorScale>
    </cfRule>
  </conditionalFormatting>
  <conditionalFormatting sqref="V461">
    <cfRule type="colorScale" priority="24">
      <colorScale>
        <cfvo type="num" val="1"/>
        <cfvo type="num" val="2"/>
        <color rgb="FFFCFCFF"/>
        <color rgb="FFF8696B"/>
      </colorScale>
    </cfRule>
  </conditionalFormatting>
  <conditionalFormatting sqref="V462">
    <cfRule type="colorScale" priority="21">
      <colorScale>
        <cfvo type="num" val="1"/>
        <cfvo type="num" val="2"/>
        <color rgb="FFFCFCFF"/>
        <color rgb="FFF8696B"/>
      </colorScale>
    </cfRule>
  </conditionalFormatting>
  <conditionalFormatting sqref="V463:V465">
    <cfRule type="colorScale" priority="22">
      <colorScale>
        <cfvo type="num" val="1"/>
        <cfvo type="num" val="2"/>
        <color rgb="FFFCFCFF"/>
        <color rgb="FFF8696B"/>
      </colorScale>
    </cfRule>
  </conditionalFormatting>
  <conditionalFormatting sqref="V464:V465">
    <cfRule type="colorScale" priority="15">
      <colorScale>
        <cfvo type="num" val="1"/>
        <cfvo type="num" val="2"/>
        <color rgb="FFFCFCFF"/>
        <color rgb="FFF8696B"/>
      </colorScale>
    </cfRule>
  </conditionalFormatting>
  <conditionalFormatting sqref="V466">
    <cfRule type="colorScale" priority="18">
      <colorScale>
        <cfvo type="num" val="1"/>
        <cfvo type="num" val="2"/>
        <color rgb="FFFCFCFF"/>
        <color rgb="FFF8696B"/>
      </colorScale>
    </cfRule>
  </conditionalFormatting>
  <conditionalFormatting sqref="V467:V469">
    <cfRule type="colorScale" priority="20">
      <colorScale>
        <cfvo type="num" val="1"/>
        <cfvo type="num" val="2"/>
        <color rgb="FFFCFCFF"/>
        <color rgb="FFF8696B"/>
      </colorScale>
    </cfRule>
  </conditionalFormatting>
  <conditionalFormatting sqref="V469">
    <cfRule type="colorScale" priority="6">
      <colorScale>
        <cfvo type="num" val="1"/>
        <cfvo type="num" val="2"/>
        <color rgb="FFFCFCFF"/>
        <color rgb="FFF8696B"/>
      </colorScale>
    </cfRule>
  </conditionalFormatting>
  <conditionalFormatting sqref="V470">
    <cfRule type="colorScale" priority="12">
      <colorScale>
        <cfvo type="num" val="1"/>
        <cfvo type="num" val="2"/>
        <color rgb="FFFCFCFF"/>
        <color rgb="FFF8696B"/>
      </colorScale>
    </cfRule>
  </conditionalFormatting>
  <conditionalFormatting sqref="V471">
    <cfRule type="colorScale" priority="13">
      <colorScale>
        <cfvo type="num" val="1"/>
        <cfvo type="num" val="2"/>
        <color rgb="FFFCFCFF"/>
        <color rgb="FFF8696B"/>
      </colorScale>
    </cfRule>
  </conditionalFormatting>
  <conditionalFormatting sqref="V472">
    <cfRule type="colorScale" priority="10">
      <colorScale>
        <cfvo type="num" val="1"/>
        <cfvo type="num" val="2"/>
        <color rgb="FFFCFCFF"/>
        <color rgb="FFF8696B"/>
      </colorScale>
    </cfRule>
  </conditionalFormatting>
  <conditionalFormatting sqref="V473:V477">
    <cfRule type="colorScale" priority="9">
      <colorScale>
        <cfvo type="num" val="1"/>
        <cfvo type="num" val="2"/>
        <color rgb="FFFCFCFF"/>
        <color rgb="FFF8696B"/>
      </colorScale>
    </cfRule>
  </conditionalFormatting>
  <conditionalFormatting sqref="V478">
    <cfRule type="colorScale" priority="7">
      <colorScale>
        <cfvo type="num" val="1"/>
        <cfvo type="num" val="2"/>
        <color rgb="FFFCFCFF"/>
        <color rgb="FFF8696B"/>
      </colorScale>
    </cfRule>
  </conditionalFormatting>
  <conditionalFormatting sqref="V479">
    <cfRule type="colorScale" priority="16">
      <colorScale>
        <cfvo type="num" val="1"/>
        <cfvo type="num" val="2"/>
        <color rgb="FFFCFCFF"/>
        <color rgb="FFF8696B"/>
      </colorScale>
    </cfRule>
  </conditionalFormatting>
  <conditionalFormatting sqref="V480">
    <cfRule type="colorScale" priority="23">
      <colorScale>
        <cfvo type="num" val="1"/>
        <cfvo type="num" val="2"/>
        <color rgb="FFFCFCFF"/>
        <color rgb="FFF8696B"/>
      </colorScale>
    </cfRule>
  </conditionalFormatting>
  <conditionalFormatting sqref="V490">
    <cfRule type="colorScale" priority="28">
      <colorScale>
        <cfvo type="num" val="1"/>
        <cfvo type="num" val="2"/>
        <color rgb="FFFCFCFF"/>
        <color rgb="FFF8696B"/>
      </colorScale>
    </cfRule>
  </conditionalFormatting>
  <conditionalFormatting sqref="V492 V496 V503 V510 V517 V524 V531 V538 V545 V552 V559 V566 V573 V580">
    <cfRule type="colorScale" priority="34">
      <colorScale>
        <cfvo type="num" val="1"/>
        <cfvo type="num" val="2"/>
        <color rgb="FFFCFCFF"/>
        <color rgb="FFF8696B"/>
      </colorScale>
    </cfRule>
  </conditionalFormatting>
  <conditionalFormatting sqref="V498 V505 V512 V519 V526 V533 V540 V547 V554 V561 V568 V575 V582">
    <cfRule type="colorScale" priority="31">
      <colorScale>
        <cfvo type="num" val="1"/>
        <cfvo type="num" val="2"/>
        <color rgb="FFFCFCFF"/>
        <color rgb="FFF8696B"/>
      </colorScale>
    </cfRule>
  </conditionalFormatting>
  <conditionalFormatting sqref="V585:V1048576">
    <cfRule type="colorScale" priority="1">
      <colorScale>
        <cfvo type="num" val="1"/>
        <cfvo type="num" val="2"/>
        <color rgb="FFFCFCFF"/>
        <color rgb="FFF8696B"/>
      </colorScale>
    </cfRule>
  </conditionalFormatting>
  <conditionalFormatting sqref="X2:X1048576">
    <cfRule type="iconSet" priority="43">
      <iconSet iconSet="3Symbols2">
        <cfvo type="percent" val="0"/>
        <cfvo type="num" val="1"/>
        <cfvo type="num" val="2"/>
      </iconSet>
    </cfRule>
  </conditionalFormatting>
  <conditionalFormatting sqref="X45">
    <cfRule type="iconSet" priority="37">
      <iconSet iconSet="3Symbols2">
        <cfvo type="percent" val="0"/>
        <cfvo type="num" val="1"/>
        <cfvo type="num" val="2"/>
      </iconSet>
    </cfRule>
  </conditionalFormatting>
  <conditionalFormatting sqref="X446">
    <cfRule type="iconSet" priority="26">
      <iconSet iconSet="3Symbols2">
        <cfvo type="percent" val="0"/>
        <cfvo type="num" val="1"/>
        <cfvo type="num" val="2"/>
      </iconSet>
    </cfRule>
    <cfRule type="iconSet" priority="27">
      <iconSet iconSet="3Symbols2">
        <cfvo type="percent" val="0"/>
        <cfvo type="num" val="1"/>
        <cfvo type="num" val="2"/>
      </iconSet>
    </cfRule>
  </conditionalFormatting>
  <conditionalFormatting sqref="X461">
    <cfRule type="iconSet" priority="25">
      <iconSet iconSet="3Symbols2">
        <cfvo type="percent" val="0"/>
        <cfvo type="num" val="1"/>
        <cfvo type="num" val="2"/>
      </iconSet>
    </cfRule>
  </conditionalFormatting>
  <conditionalFormatting sqref="X468">
    <cfRule type="iconSet" priority="19">
      <iconSet iconSet="3Symbols2">
        <cfvo type="percent" val="0"/>
        <cfvo type="num" val="1"/>
        <cfvo type="num" val="2"/>
      </iconSet>
    </cfRule>
  </conditionalFormatting>
  <conditionalFormatting sqref="X471">
    <cfRule type="iconSet" priority="14">
      <iconSet iconSet="3Symbols2">
        <cfvo type="percent" val="0"/>
        <cfvo type="num" val="1"/>
        <cfvo type="num" val="2"/>
      </iconSet>
    </cfRule>
  </conditionalFormatting>
  <conditionalFormatting sqref="X472">
    <cfRule type="iconSet" priority="11">
      <iconSet iconSet="3Symbols2">
        <cfvo type="percent" val="0"/>
        <cfvo type="num" val="1"/>
        <cfvo type="num" val="2"/>
      </iconSet>
    </cfRule>
  </conditionalFormatting>
  <conditionalFormatting sqref="X474:X476">
    <cfRule type="iconSet" priority="8">
      <iconSet iconSet="3Symbols2">
        <cfvo type="percent" val="0"/>
        <cfvo type="num" val="1"/>
        <cfvo type="num" val="2"/>
      </iconSet>
    </cfRule>
  </conditionalFormatting>
  <conditionalFormatting sqref="X479">
    <cfRule type="iconSet" priority="17">
      <iconSet iconSet="3Symbols2">
        <cfvo type="percent" val="0"/>
        <cfvo type="num" val="1"/>
        <cfvo type="num" val="2"/>
      </iconSet>
    </cfRule>
  </conditionalFormatting>
  <conditionalFormatting sqref="X490">
    <cfRule type="iconSet" priority="29">
      <iconSet iconSet="3Symbols2">
        <cfvo type="percent" val="0"/>
        <cfvo type="num" val="1"/>
        <cfvo type="num" val="2"/>
      </iconSet>
    </cfRule>
    <cfRule type="iconSet" priority="30">
      <iconSet iconSet="3Symbols2">
        <cfvo type="percent" val="0"/>
        <cfvo type="num" val="1"/>
        <cfvo type="num" val="2"/>
      </iconSet>
    </cfRule>
  </conditionalFormatting>
  <conditionalFormatting sqref="X491">
    <cfRule type="iconSet" priority="48">
      <iconSet iconSet="3Symbols2">
        <cfvo type="percent" val="0"/>
        <cfvo type="num" val="1"/>
        <cfvo type="num" val="2"/>
      </iconSet>
    </cfRule>
  </conditionalFormatting>
  <conditionalFormatting sqref="X496 X492 X503 X510 X517 X524 X531 X538 X545 X552 X559 X566 X573 X580">
    <cfRule type="iconSet" priority="35">
      <iconSet iconSet="3Symbols2">
        <cfvo type="percent" val="0"/>
        <cfvo type="num" val="1"/>
        <cfvo type="num" val="2"/>
      </iconSet>
    </cfRule>
    <cfRule type="iconSet" priority="36">
      <iconSet iconSet="3Symbols2">
        <cfvo type="percent" val="0"/>
        <cfvo type="num" val="1"/>
        <cfvo type="num" val="2"/>
      </iconSet>
    </cfRule>
  </conditionalFormatting>
  <conditionalFormatting sqref="X497 X493 X448:X450 X452 X463 X477 X469 X454:X456 X480:X489 X504 X511 X518 X525 X532 X539 X546 X553 X560 X567 X574 X581 X501 X508 X515 X522 X529 X536 X543 X550 X557 X564 X571 X578 X46:X445">
    <cfRule type="iconSet" priority="44">
      <iconSet iconSet="3Symbols2">
        <cfvo type="percent" val="0"/>
        <cfvo type="num" val="1"/>
        <cfvo type="num" val="2"/>
      </iconSet>
    </cfRule>
  </conditionalFormatting>
  <conditionalFormatting sqref="X498 X505 X512 X519 X526 X533 X540 X547 X554 X561 X568 X575 X582">
    <cfRule type="iconSet" priority="32">
      <iconSet iconSet="3Symbols2">
        <cfvo type="percent" val="0"/>
        <cfvo type="num" val="1"/>
        <cfvo type="num" val="2"/>
      </iconSet>
    </cfRule>
    <cfRule type="iconSet" priority="33">
      <iconSet iconSet="3Symbols2">
        <cfvo type="percent" val="0"/>
        <cfvo type="num" val="1"/>
        <cfvo type="num" val="2"/>
      </iconSet>
    </cfRule>
  </conditionalFormatting>
  <dataValidations count="3">
    <dataValidation type="list" allowBlank="1" showInputMessage="1" showErrorMessage="1" sqref="T589:T590" xr:uid="{5C871E2F-4972-4C86-A223-5A5340157B93}">
      <formula1>$D$51:$D$59</formula1>
    </dataValidation>
    <dataValidation type="custom" allowBlank="1" showInputMessage="1" showErrorMessage="1" sqref="G534 G510:G512" xr:uid="{3FCBB7C1-347D-482D-8961-9F64D9DC2BCD}">
      <formula1>10</formula1>
    </dataValidation>
    <dataValidation type="whole" allowBlank="1" showInputMessage="1" showErrorMessage="1" sqref="G594:G1048576 G592 G588 G563 F1 G581 G576 G572:G573 G570 G567" xr:uid="{8B9E765B-B5EE-4BF8-A8CF-CD959B1B452E}">
      <formula1>10</formula1>
      <formula2>10000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FCF89C1-31DD-4808-992B-8FE950F1BD21}">
          <x14:formula1>
            <xm:f>Datos!$J$2:$J$20</xm:f>
          </x14:formula1>
          <xm:sqref>R34 R39 R86 R248:R265 R76:R83 R234:R238 R185:R194 R320:R336 R60:R70 R92:R103 R115:R131 R154:R155 R159 R164:R165 R196:R221 R276:R310</xm:sqref>
        </x14:dataValidation>
        <x14:dataValidation type="list" allowBlank="1" showInputMessage="1" showErrorMessage="1" xr:uid="{DC5A1FC3-7029-406E-87F2-5D1358E3E68E}">
          <x14:formula1>
            <xm:f>Datos!$J$2:$J$19</xm:f>
          </x14:formula1>
          <xm:sqref>R195 R266:R275 R71:R75 R84:R85 R239:R247 R311:R319 R137:R153 R222:R233 R337:R538 R104:R114 R2:R4 R8:R9 R13:R33 R40:R59 R35:R38 R87:R91 R132 R166:R176 R181:R184</xm:sqref>
        </x14:dataValidation>
        <x14:dataValidation type="list" allowBlank="1" showInputMessage="1" showErrorMessage="1" xr:uid="{D6622A1C-C84C-4378-9EB1-87BE9D61EF1F}">
          <x14:formula1>
            <xm:f>Datos!$J$2:$J$18</xm:f>
          </x14:formula1>
          <xm:sqref>R539:R767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E2978-2DF0-45BC-B536-769A9B0FD88B}">
  <dimension ref="A1:T4092"/>
  <sheetViews>
    <sheetView topLeftCell="A4081" workbookViewId="0">
      <selection activeCell="O240" sqref="O240"/>
    </sheetView>
  </sheetViews>
  <sheetFormatPr baseColWidth="10" defaultRowHeight="14.5" x14ac:dyDescent="0.35"/>
  <cols>
    <col min="10" max="10" width="32.453125" bestFit="1" customWidth="1"/>
    <col min="16" max="16" width="33.7265625" bestFit="1" customWidth="1"/>
    <col min="18" max="18" width="11.81640625" customWidth="1"/>
  </cols>
  <sheetData>
    <row r="1" spans="1:20" ht="29" x14ac:dyDescent="0.35">
      <c r="A1" s="81" t="s">
        <v>380</v>
      </c>
      <c r="B1" s="81" t="s">
        <v>381</v>
      </c>
      <c r="C1" s="81" t="s">
        <v>382</v>
      </c>
      <c r="F1" s="82" t="s">
        <v>383</v>
      </c>
      <c r="G1" s="82" t="s">
        <v>384</v>
      </c>
      <c r="H1" s="82" t="s">
        <v>383</v>
      </c>
      <c r="I1" s="83" t="s">
        <v>385</v>
      </c>
      <c r="J1" s="3" t="s">
        <v>17</v>
      </c>
      <c r="K1" s="3" t="s">
        <v>386</v>
      </c>
      <c r="L1" s="3" t="s">
        <v>387</v>
      </c>
      <c r="M1" s="3" t="s">
        <v>388</v>
      </c>
      <c r="N1" s="3" t="s">
        <v>389</v>
      </c>
      <c r="O1" s="83" t="s">
        <v>390</v>
      </c>
      <c r="P1" s="3" t="s">
        <v>17</v>
      </c>
      <c r="Q1" s="3" t="s">
        <v>386</v>
      </c>
      <c r="R1" s="3" t="s">
        <v>387</v>
      </c>
      <c r="S1" s="3" t="s">
        <v>388</v>
      </c>
      <c r="T1" s="3" t="s">
        <v>389</v>
      </c>
    </row>
    <row r="2" spans="1:20" x14ac:dyDescent="0.35">
      <c r="A2" s="84">
        <v>14</v>
      </c>
      <c r="B2" s="85" t="s">
        <v>391</v>
      </c>
      <c r="C2" s="85" t="s">
        <v>392</v>
      </c>
      <c r="F2" s="70">
        <v>314692</v>
      </c>
      <c r="G2" s="86" t="s">
        <v>393</v>
      </c>
      <c r="H2" s="70">
        <v>0</v>
      </c>
      <c r="J2" t="s">
        <v>26</v>
      </c>
      <c r="K2" s="87">
        <v>816</v>
      </c>
      <c r="L2" s="87">
        <f>+K2*2</f>
        <v>1632</v>
      </c>
      <c r="M2" s="87">
        <f>+K2*3</f>
        <v>2448</v>
      </c>
      <c r="N2" s="87">
        <f>+K2*4</f>
        <v>3264</v>
      </c>
      <c r="P2" t="s">
        <v>26</v>
      </c>
      <c r="Q2" s="87">
        <v>888</v>
      </c>
      <c r="R2" s="87">
        <f>+Q2*2</f>
        <v>1776</v>
      </c>
      <c r="S2" s="87">
        <f>+Q2*3</f>
        <v>2664</v>
      </c>
      <c r="T2" s="87">
        <f>+Q2*4</f>
        <v>3552</v>
      </c>
    </row>
    <row r="3" spans="1:20" x14ac:dyDescent="0.35">
      <c r="A3" s="84">
        <v>53</v>
      </c>
      <c r="B3" s="85" t="s">
        <v>394</v>
      </c>
      <c r="C3" s="85" t="s">
        <v>392</v>
      </c>
      <c r="F3" s="70">
        <v>313537</v>
      </c>
      <c r="G3" s="86" t="s">
        <v>395</v>
      </c>
      <c r="H3" s="70">
        <v>0</v>
      </c>
      <c r="J3" t="s">
        <v>88</v>
      </c>
      <c r="K3" s="87">
        <v>2472</v>
      </c>
      <c r="L3" s="87">
        <f t="shared" ref="L3:L18" si="0">+K3*2</f>
        <v>4944</v>
      </c>
      <c r="M3" s="87">
        <f t="shared" ref="M3:M18" si="1">+K3*3</f>
        <v>7416</v>
      </c>
      <c r="N3" s="87">
        <f t="shared" ref="N3:N19" si="2">+K3*4</f>
        <v>9888</v>
      </c>
      <c r="P3" t="s">
        <v>88</v>
      </c>
      <c r="Q3" s="87">
        <v>2676</v>
      </c>
      <c r="R3" s="87">
        <f t="shared" ref="R3:R19" si="3">+Q3*2</f>
        <v>5352</v>
      </c>
      <c r="S3" s="87">
        <f t="shared" ref="S3:S19" si="4">+Q3*3</f>
        <v>8028</v>
      </c>
      <c r="T3" s="87">
        <f t="shared" ref="T3:T19" si="5">+Q3*4</f>
        <v>10704</v>
      </c>
    </row>
    <row r="4" spans="1:20" x14ac:dyDescent="0.35">
      <c r="A4" s="84">
        <v>54</v>
      </c>
      <c r="B4" s="85" t="s">
        <v>396</v>
      </c>
      <c r="C4" s="85" t="s">
        <v>392</v>
      </c>
      <c r="F4" s="70">
        <v>314163</v>
      </c>
      <c r="G4" s="86" t="s">
        <v>397</v>
      </c>
      <c r="H4" s="70">
        <v>0</v>
      </c>
      <c r="J4" t="s">
        <v>36</v>
      </c>
      <c r="K4" s="87">
        <v>1428</v>
      </c>
      <c r="L4" s="87">
        <f t="shared" si="0"/>
        <v>2856</v>
      </c>
      <c r="M4" s="87">
        <f t="shared" si="1"/>
        <v>4284</v>
      </c>
      <c r="N4" s="87">
        <f t="shared" si="2"/>
        <v>5712</v>
      </c>
      <c r="P4" t="s">
        <v>36</v>
      </c>
      <c r="Q4" s="87">
        <v>1548</v>
      </c>
      <c r="R4" s="87">
        <f t="shared" si="3"/>
        <v>3096</v>
      </c>
      <c r="S4" s="87">
        <f t="shared" si="4"/>
        <v>4644</v>
      </c>
      <c r="T4" s="87">
        <f t="shared" si="5"/>
        <v>6192</v>
      </c>
    </row>
    <row r="5" spans="1:20" x14ac:dyDescent="0.35">
      <c r="A5" s="84">
        <v>58</v>
      </c>
      <c r="B5" s="85" t="s">
        <v>398</v>
      </c>
      <c r="C5" s="85" t="s">
        <v>392</v>
      </c>
      <c r="F5" s="70">
        <v>300544</v>
      </c>
      <c r="G5" s="86" t="s">
        <v>399</v>
      </c>
      <c r="H5" s="70">
        <v>0</v>
      </c>
      <c r="J5" t="s">
        <v>85</v>
      </c>
      <c r="K5" s="87">
        <v>1908</v>
      </c>
      <c r="L5" s="87">
        <f t="shared" si="0"/>
        <v>3816</v>
      </c>
      <c r="M5" s="87">
        <f t="shared" si="1"/>
        <v>5724</v>
      </c>
      <c r="N5" s="87">
        <f t="shared" si="2"/>
        <v>7632</v>
      </c>
      <c r="P5" t="s">
        <v>85</v>
      </c>
      <c r="Q5" s="87">
        <v>2064</v>
      </c>
      <c r="R5" s="87">
        <f t="shared" si="3"/>
        <v>4128</v>
      </c>
      <c r="S5" s="87">
        <f t="shared" si="4"/>
        <v>6192</v>
      </c>
      <c r="T5" s="87">
        <f t="shared" si="5"/>
        <v>8256</v>
      </c>
    </row>
    <row r="6" spans="1:20" x14ac:dyDescent="0.35">
      <c r="A6" s="84">
        <v>71</v>
      </c>
      <c r="B6" s="85" t="s">
        <v>400</v>
      </c>
      <c r="C6" s="85" t="s">
        <v>392</v>
      </c>
      <c r="F6" s="70">
        <v>315208</v>
      </c>
      <c r="G6" s="86" t="s">
        <v>401</v>
      </c>
      <c r="H6" s="70">
        <v>0</v>
      </c>
      <c r="J6" t="s">
        <v>184</v>
      </c>
      <c r="K6" s="87">
        <v>1704</v>
      </c>
      <c r="L6" s="87">
        <f t="shared" si="0"/>
        <v>3408</v>
      </c>
      <c r="M6" s="87">
        <f t="shared" si="1"/>
        <v>5112</v>
      </c>
      <c r="N6" s="87">
        <f t="shared" si="2"/>
        <v>6816</v>
      </c>
      <c r="P6" t="s">
        <v>184</v>
      </c>
      <c r="Q6" s="87">
        <v>1848</v>
      </c>
      <c r="R6" s="87">
        <f t="shared" si="3"/>
        <v>3696</v>
      </c>
      <c r="S6" s="87">
        <f t="shared" si="4"/>
        <v>5544</v>
      </c>
      <c r="T6" s="87">
        <f t="shared" si="5"/>
        <v>7392</v>
      </c>
    </row>
    <row r="7" spans="1:20" x14ac:dyDescent="0.35">
      <c r="A7" s="84">
        <v>90</v>
      </c>
      <c r="B7" s="85" t="s">
        <v>402</v>
      </c>
      <c r="C7" s="85" t="s">
        <v>392</v>
      </c>
      <c r="F7" s="70">
        <v>315069</v>
      </c>
      <c r="G7" s="86" t="s">
        <v>403</v>
      </c>
      <c r="H7" s="70">
        <v>0</v>
      </c>
      <c r="J7" t="s">
        <v>404</v>
      </c>
      <c r="K7" s="87">
        <v>1332</v>
      </c>
      <c r="L7" s="87">
        <f t="shared" si="0"/>
        <v>2664</v>
      </c>
      <c r="M7" s="87">
        <f t="shared" si="1"/>
        <v>3996</v>
      </c>
      <c r="N7" s="87">
        <f t="shared" si="2"/>
        <v>5328</v>
      </c>
      <c r="P7" t="s">
        <v>404</v>
      </c>
      <c r="Q7" s="87">
        <v>1440</v>
      </c>
      <c r="R7" s="87">
        <f t="shared" si="3"/>
        <v>2880</v>
      </c>
      <c r="S7" s="87">
        <f t="shared" si="4"/>
        <v>4320</v>
      </c>
      <c r="T7" s="87">
        <f t="shared" si="5"/>
        <v>5760</v>
      </c>
    </row>
    <row r="8" spans="1:20" x14ac:dyDescent="0.35">
      <c r="A8" s="84">
        <v>92</v>
      </c>
      <c r="B8" s="85" t="s">
        <v>405</v>
      </c>
      <c r="C8" s="85" t="s">
        <v>392</v>
      </c>
      <c r="F8" s="70">
        <v>310864</v>
      </c>
      <c r="G8" s="86" t="s">
        <v>406</v>
      </c>
      <c r="H8" s="70">
        <v>0</v>
      </c>
      <c r="J8" t="s">
        <v>101</v>
      </c>
      <c r="K8" s="87">
        <v>1008</v>
      </c>
      <c r="L8" s="87">
        <f t="shared" si="0"/>
        <v>2016</v>
      </c>
      <c r="M8" s="87">
        <f t="shared" si="1"/>
        <v>3024</v>
      </c>
      <c r="N8" s="87">
        <f t="shared" si="2"/>
        <v>4032</v>
      </c>
      <c r="P8" t="s">
        <v>101</v>
      </c>
      <c r="Q8" s="87">
        <v>1092</v>
      </c>
      <c r="R8" s="87">
        <f t="shared" si="3"/>
        <v>2184</v>
      </c>
      <c r="S8" s="87">
        <f t="shared" si="4"/>
        <v>3276</v>
      </c>
      <c r="T8" s="87">
        <f t="shared" si="5"/>
        <v>4368</v>
      </c>
    </row>
    <row r="9" spans="1:20" x14ac:dyDescent="0.35">
      <c r="A9" s="84">
        <v>224</v>
      </c>
      <c r="B9" s="85" t="s">
        <v>407</v>
      </c>
      <c r="C9" s="85" t="s">
        <v>392</v>
      </c>
      <c r="F9" s="70">
        <v>314604</v>
      </c>
      <c r="G9" s="86" t="s">
        <v>408</v>
      </c>
      <c r="H9" s="70">
        <v>0</v>
      </c>
      <c r="J9" t="s">
        <v>409</v>
      </c>
      <c r="K9" s="87">
        <v>1308</v>
      </c>
      <c r="L9" s="87">
        <f t="shared" si="0"/>
        <v>2616</v>
      </c>
      <c r="M9" s="87">
        <f t="shared" si="1"/>
        <v>3924</v>
      </c>
      <c r="N9" s="87">
        <f t="shared" si="2"/>
        <v>5232</v>
      </c>
      <c r="P9" t="s">
        <v>409</v>
      </c>
      <c r="Q9" s="87">
        <v>1417</v>
      </c>
      <c r="R9" s="87">
        <f t="shared" si="3"/>
        <v>2834</v>
      </c>
      <c r="S9" s="87">
        <f t="shared" si="4"/>
        <v>4251</v>
      </c>
      <c r="T9" s="87">
        <f t="shared" si="5"/>
        <v>5668</v>
      </c>
    </row>
    <row r="10" spans="1:20" x14ac:dyDescent="0.35">
      <c r="A10" s="84">
        <v>226</v>
      </c>
      <c r="B10" s="85" t="s">
        <v>410</v>
      </c>
      <c r="C10" s="85" t="s">
        <v>392</v>
      </c>
      <c r="F10" s="70">
        <v>311687</v>
      </c>
      <c r="G10" s="86" t="s">
        <v>411</v>
      </c>
      <c r="H10" s="70">
        <v>0</v>
      </c>
      <c r="J10" s="88" t="s">
        <v>57</v>
      </c>
      <c r="K10" s="87">
        <v>1092</v>
      </c>
      <c r="L10" s="87">
        <f t="shared" si="0"/>
        <v>2184</v>
      </c>
      <c r="M10" s="87">
        <f t="shared" si="1"/>
        <v>3276</v>
      </c>
      <c r="N10" s="87">
        <f t="shared" si="2"/>
        <v>4368</v>
      </c>
      <c r="P10" s="88" t="s">
        <v>57</v>
      </c>
      <c r="Q10" s="87">
        <v>1200</v>
      </c>
      <c r="R10" s="87">
        <f>+Q10*2</f>
        <v>2400</v>
      </c>
      <c r="S10" s="87">
        <f>+Q10*3</f>
        <v>3600</v>
      </c>
      <c r="T10" s="87">
        <f>+Q10*4</f>
        <v>4800</v>
      </c>
    </row>
    <row r="11" spans="1:20" x14ac:dyDescent="0.35">
      <c r="A11" s="84">
        <v>231</v>
      </c>
      <c r="B11" s="85" t="s">
        <v>412</v>
      </c>
      <c r="C11" s="85" t="s">
        <v>392</v>
      </c>
      <c r="F11" s="70">
        <v>315221</v>
      </c>
      <c r="G11" s="86" t="s">
        <v>413</v>
      </c>
      <c r="H11" s="70">
        <v>0</v>
      </c>
      <c r="J11" t="s">
        <v>45</v>
      </c>
      <c r="K11" s="87">
        <v>1308</v>
      </c>
      <c r="L11" s="87">
        <f t="shared" si="0"/>
        <v>2616</v>
      </c>
      <c r="M11" s="87">
        <f t="shared" si="1"/>
        <v>3924</v>
      </c>
      <c r="N11" s="87">
        <f t="shared" si="2"/>
        <v>5232</v>
      </c>
      <c r="P11" t="s">
        <v>45</v>
      </c>
      <c r="Q11" s="87">
        <v>1416</v>
      </c>
      <c r="R11" s="87">
        <f t="shared" si="3"/>
        <v>2832</v>
      </c>
      <c r="S11" s="87">
        <f t="shared" si="4"/>
        <v>4248</v>
      </c>
      <c r="T11" s="87">
        <f t="shared" si="5"/>
        <v>5664</v>
      </c>
    </row>
    <row r="12" spans="1:20" x14ac:dyDescent="0.35">
      <c r="A12" s="84">
        <v>278</v>
      </c>
      <c r="B12" s="85" t="s">
        <v>414</v>
      </c>
      <c r="C12" s="85" t="s">
        <v>392</v>
      </c>
      <c r="F12" s="70">
        <v>311950</v>
      </c>
      <c r="G12" s="86" t="s">
        <v>415</v>
      </c>
      <c r="H12" s="70">
        <v>0</v>
      </c>
      <c r="J12" t="s">
        <v>54</v>
      </c>
      <c r="K12" s="87">
        <v>2004</v>
      </c>
      <c r="L12" s="87">
        <f t="shared" si="0"/>
        <v>4008</v>
      </c>
      <c r="M12" s="87">
        <f t="shared" si="1"/>
        <v>6012</v>
      </c>
      <c r="N12" s="87">
        <f t="shared" si="2"/>
        <v>8016</v>
      </c>
      <c r="P12" t="s">
        <v>54</v>
      </c>
      <c r="Q12" s="87">
        <v>2172</v>
      </c>
      <c r="R12" s="87">
        <f t="shared" si="3"/>
        <v>4344</v>
      </c>
      <c r="S12" s="87">
        <f t="shared" si="4"/>
        <v>6516</v>
      </c>
      <c r="T12" s="87">
        <f t="shared" si="5"/>
        <v>8688</v>
      </c>
    </row>
    <row r="13" spans="1:20" x14ac:dyDescent="0.35">
      <c r="A13" s="84">
        <v>294</v>
      </c>
      <c r="B13" s="85" t="s">
        <v>416</v>
      </c>
      <c r="C13" s="85" t="s">
        <v>392</v>
      </c>
      <c r="F13" s="70">
        <v>313765</v>
      </c>
      <c r="G13" s="86" t="s">
        <v>417</v>
      </c>
      <c r="H13" s="70">
        <v>0</v>
      </c>
      <c r="J13" t="s">
        <v>418</v>
      </c>
      <c r="K13" s="87">
        <v>1788</v>
      </c>
      <c r="L13" s="87">
        <f t="shared" si="0"/>
        <v>3576</v>
      </c>
      <c r="M13" s="87">
        <f t="shared" si="1"/>
        <v>5364</v>
      </c>
      <c r="N13" s="87">
        <f t="shared" si="2"/>
        <v>7152</v>
      </c>
      <c r="P13" t="s">
        <v>418</v>
      </c>
      <c r="Q13" s="87">
        <v>1937</v>
      </c>
      <c r="R13" s="87">
        <f t="shared" si="3"/>
        <v>3874</v>
      </c>
      <c r="S13" s="87">
        <f t="shared" si="4"/>
        <v>5811</v>
      </c>
      <c r="T13" s="87">
        <f t="shared" si="5"/>
        <v>7748</v>
      </c>
    </row>
    <row r="14" spans="1:20" x14ac:dyDescent="0.35">
      <c r="A14" s="84">
        <v>306</v>
      </c>
      <c r="B14" s="85" t="s">
        <v>419</v>
      </c>
      <c r="C14" s="85" t="s">
        <v>392</v>
      </c>
      <c r="F14" s="70">
        <v>312686</v>
      </c>
      <c r="G14" s="86" t="s">
        <v>420</v>
      </c>
      <c r="H14" s="70">
        <v>0</v>
      </c>
      <c r="J14" t="s">
        <v>48</v>
      </c>
      <c r="K14" s="87">
        <v>1368</v>
      </c>
      <c r="L14" s="87">
        <f t="shared" si="0"/>
        <v>2736</v>
      </c>
      <c r="M14" s="87">
        <f t="shared" si="1"/>
        <v>4104</v>
      </c>
      <c r="N14" s="87">
        <f t="shared" si="2"/>
        <v>5472</v>
      </c>
      <c r="P14" t="s">
        <v>48</v>
      </c>
      <c r="Q14" s="87">
        <v>1488</v>
      </c>
      <c r="R14" s="87">
        <f t="shared" si="3"/>
        <v>2976</v>
      </c>
      <c r="S14" s="87">
        <f t="shared" si="4"/>
        <v>4464</v>
      </c>
      <c r="T14" s="87">
        <f t="shared" si="5"/>
        <v>5952</v>
      </c>
    </row>
    <row r="15" spans="1:20" x14ac:dyDescent="0.35">
      <c r="A15" s="84">
        <v>338</v>
      </c>
      <c r="B15" s="85" t="s">
        <v>421</v>
      </c>
      <c r="C15" s="85" t="s">
        <v>392</v>
      </c>
      <c r="F15" s="70">
        <v>313531</v>
      </c>
      <c r="G15" s="86" t="s">
        <v>422</v>
      </c>
      <c r="H15" s="70">
        <v>0</v>
      </c>
      <c r="J15" t="s">
        <v>156</v>
      </c>
      <c r="K15" s="87">
        <v>2736</v>
      </c>
      <c r="L15" s="87">
        <f t="shared" si="0"/>
        <v>5472</v>
      </c>
      <c r="M15" s="87">
        <f t="shared" si="1"/>
        <v>8208</v>
      </c>
      <c r="N15" s="87">
        <f t="shared" si="2"/>
        <v>10944</v>
      </c>
      <c r="P15" t="s">
        <v>156</v>
      </c>
      <c r="Q15" s="87">
        <v>2964</v>
      </c>
      <c r="R15" s="87">
        <f t="shared" si="3"/>
        <v>5928</v>
      </c>
      <c r="S15" s="87">
        <f t="shared" si="4"/>
        <v>8892</v>
      </c>
      <c r="T15" s="87">
        <f t="shared" si="5"/>
        <v>11856</v>
      </c>
    </row>
    <row r="16" spans="1:20" x14ac:dyDescent="0.35">
      <c r="A16" s="89">
        <v>1000</v>
      </c>
      <c r="B16" s="85" t="s">
        <v>423</v>
      </c>
      <c r="C16" s="85" t="s">
        <v>392</v>
      </c>
      <c r="F16" s="70">
        <v>313714</v>
      </c>
      <c r="G16" s="86" t="s">
        <v>424</v>
      </c>
      <c r="H16" s="70">
        <v>0</v>
      </c>
      <c r="J16" t="s">
        <v>135</v>
      </c>
      <c r="K16" s="87">
        <v>4104</v>
      </c>
      <c r="L16" s="87">
        <f t="shared" si="0"/>
        <v>8208</v>
      </c>
      <c r="M16" s="87">
        <f t="shared" si="1"/>
        <v>12312</v>
      </c>
      <c r="N16" s="87">
        <f t="shared" si="2"/>
        <v>16416</v>
      </c>
      <c r="P16" t="s">
        <v>135</v>
      </c>
      <c r="Q16" s="87">
        <v>4452</v>
      </c>
      <c r="R16" s="87">
        <f t="shared" si="3"/>
        <v>8904</v>
      </c>
      <c r="S16" s="87">
        <f t="shared" si="4"/>
        <v>13356</v>
      </c>
      <c r="T16" s="87">
        <f t="shared" si="5"/>
        <v>17808</v>
      </c>
    </row>
    <row r="17" spans="1:20" x14ac:dyDescent="0.35">
      <c r="A17" s="84">
        <v>1</v>
      </c>
      <c r="B17" s="85" t="s">
        <v>425</v>
      </c>
      <c r="C17" s="85" t="s">
        <v>426</v>
      </c>
      <c r="F17" s="70">
        <v>313994</v>
      </c>
      <c r="G17" s="86" t="s">
        <v>427</v>
      </c>
      <c r="H17" s="70">
        <v>0</v>
      </c>
      <c r="J17" t="s">
        <v>428</v>
      </c>
      <c r="K17" s="87">
        <v>5460</v>
      </c>
      <c r="L17" s="87">
        <f t="shared" si="0"/>
        <v>10920</v>
      </c>
      <c r="M17" s="87">
        <f t="shared" si="1"/>
        <v>16380</v>
      </c>
      <c r="N17" s="87">
        <f t="shared" si="2"/>
        <v>21840</v>
      </c>
      <c r="P17" t="s">
        <v>428</v>
      </c>
      <c r="Q17" s="87">
        <v>5916</v>
      </c>
      <c r="R17" s="87">
        <f t="shared" si="3"/>
        <v>11832</v>
      </c>
      <c r="S17" s="87">
        <f t="shared" si="4"/>
        <v>17748</v>
      </c>
      <c r="T17" s="87">
        <f t="shared" si="5"/>
        <v>23664</v>
      </c>
    </row>
    <row r="18" spans="1:20" x14ac:dyDescent="0.35">
      <c r="A18" s="84">
        <v>2</v>
      </c>
      <c r="B18" s="85" t="s">
        <v>429</v>
      </c>
      <c r="C18" s="85" t="s">
        <v>426</v>
      </c>
      <c r="F18" s="70">
        <v>314849</v>
      </c>
      <c r="G18" s="86" t="s">
        <v>430</v>
      </c>
      <c r="H18" s="70">
        <v>0</v>
      </c>
      <c r="J18" t="s">
        <v>431</v>
      </c>
      <c r="K18" s="87">
        <v>6828</v>
      </c>
      <c r="L18" s="87">
        <f t="shared" si="0"/>
        <v>13656</v>
      </c>
      <c r="M18" s="87">
        <f t="shared" si="1"/>
        <v>20484</v>
      </c>
      <c r="N18" s="87">
        <f t="shared" si="2"/>
        <v>27312</v>
      </c>
      <c r="P18" t="s">
        <v>431</v>
      </c>
      <c r="Q18" s="87">
        <v>7392</v>
      </c>
      <c r="R18" s="87">
        <f t="shared" si="3"/>
        <v>14784</v>
      </c>
      <c r="S18" s="87">
        <f t="shared" si="4"/>
        <v>22176</v>
      </c>
      <c r="T18" s="87">
        <f t="shared" si="5"/>
        <v>29568</v>
      </c>
    </row>
    <row r="19" spans="1:20" x14ac:dyDescent="0.35">
      <c r="A19" s="84">
        <v>12</v>
      </c>
      <c r="B19" s="85" t="s">
        <v>432</v>
      </c>
      <c r="C19" s="85" t="s">
        <v>426</v>
      </c>
      <c r="F19" s="70">
        <v>315220</v>
      </c>
      <c r="G19" s="86" t="s">
        <v>433</v>
      </c>
      <c r="H19" s="70">
        <v>0</v>
      </c>
      <c r="J19" t="s">
        <v>434</v>
      </c>
      <c r="K19" s="87">
        <v>1380</v>
      </c>
      <c r="L19" s="87">
        <f>+K19*2</f>
        <v>2760</v>
      </c>
      <c r="M19" s="87">
        <f>+K19*3</f>
        <v>4140</v>
      </c>
      <c r="N19" s="87">
        <f t="shared" si="2"/>
        <v>5520</v>
      </c>
      <c r="P19" t="s">
        <v>434</v>
      </c>
      <c r="Q19" s="87">
        <v>1500</v>
      </c>
      <c r="R19" s="87">
        <f t="shared" si="3"/>
        <v>3000</v>
      </c>
      <c r="S19" s="87">
        <f t="shared" si="4"/>
        <v>4500</v>
      </c>
      <c r="T19" s="87">
        <f t="shared" si="5"/>
        <v>6000</v>
      </c>
    </row>
    <row r="20" spans="1:20" x14ac:dyDescent="0.35">
      <c r="A20" s="84">
        <v>13</v>
      </c>
      <c r="B20" s="85" t="s">
        <v>435</v>
      </c>
      <c r="C20" s="85" t="s">
        <v>426</v>
      </c>
      <c r="F20" s="70">
        <v>311810</v>
      </c>
      <c r="G20" s="86" t="s">
        <v>436</v>
      </c>
      <c r="H20" s="70">
        <v>0</v>
      </c>
      <c r="J20" t="s">
        <v>127</v>
      </c>
      <c r="K20" s="87">
        <v>1500</v>
      </c>
      <c r="L20" s="87">
        <v>3000</v>
      </c>
      <c r="M20" s="87">
        <v>4500</v>
      </c>
      <c r="N20" s="87">
        <v>6000</v>
      </c>
      <c r="P20" t="s">
        <v>127</v>
      </c>
      <c r="Q20" s="87">
        <v>1620</v>
      </c>
      <c r="R20" s="87">
        <v>3240</v>
      </c>
      <c r="S20" s="87">
        <v>4860</v>
      </c>
      <c r="T20" s="87">
        <v>6480</v>
      </c>
    </row>
    <row r="21" spans="1:20" x14ac:dyDescent="0.35">
      <c r="A21" s="84">
        <v>19</v>
      </c>
      <c r="B21" s="85" t="s">
        <v>437</v>
      </c>
      <c r="C21" s="85" t="s">
        <v>426</v>
      </c>
      <c r="F21" s="70">
        <v>300907</v>
      </c>
      <c r="G21" s="86" t="s">
        <v>438</v>
      </c>
      <c r="H21" s="70">
        <v>0</v>
      </c>
    </row>
    <row r="22" spans="1:20" x14ac:dyDescent="0.35">
      <c r="A22" s="84">
        <v>37</v>
      </c>
      <c r="B22" s="85" t="s">
        <v>439</v>
      </c>
      <c r="C22" s="85" t="s">
        <v>440</v>
      </c>
      <c r="F22" s="70">
        <v>312962</v>
      </c>
      <c r="G22" s="86" t="s">
        <v>441</v>
      </c>
      <c r="H22" s="70">
        <v>0</v>
      </c>
    </row>
    <row r="23" spans="1:20" x14ac:dyDescent="0.35">
      <c r="A23" s="84">
        <v>61</v>
      </c>
      <c r="B23" s="85" t="s">
        <v>442</v>
      </c>
      <c r="C23" s="85" t="s">
        <v>426</v>
      </c>
      <c r="F23" s="70">
        <v>314671</v>
      </c>
      <c r="G23" s="86" t="s">
        <v>443</v>
      </c>
      <c r="H23" s="70">
        <v>0</v>
      </c>
    </row>
    <row r="24" spans="1:20" x14ac:dyDescent="0.35">
      <c r="A24" s="84">
        <v>81</v>
      </c>
      <c r="B24" s="85" t="s">
        <v>444</v>
      </c>
      <c r="C24" s="85" t="s">
        <v>426</v>
      </c>
      <c r="F24" s="70">
        <v>311103</v>
      </c>
      <c r="G24" s="86" t="s">
        <v>445</v>
      </c>
      <c r="H24" s="70">
        <v>0</v>
      </c>
    </row>
    <row r="25" spans="1:20" x14ac:dyDescent="0.35">
      <c r="A25" s="84">
        <v>83</v>
      </c>
      <c r="B25" s="85" t="s">
        <v>446</v>
      </c>
      <c r="C25" s="85" t="s">
        <v>426</v>
      </c>
      <c r="F25" s="70">
        <v>311576</v>
      </c>
      <c r="G25" s="86" t="s">
        <v>447</v>
      </c>
      <c r="H25" s="70">
        <v>0</v>
      </c>
    </row>
    <row r="26" spans="1:20" x14ac:dyDescent="0.35">
      <c r="A26" s="84">
        <v>87</v>
      </c>
      <c r="B26" s="85" t="s">
        <v>448</v>
      </c>
      <c r="C26" s="85" t="s">
        <v>426</v>
      </c>
      <c r="F26" s="70">
        <v>313014</v>
      </c>
      <c r="G26" s="86" t="s">
        <v>449</v>
      </c>
      <c r="H26" s="70">
        <v>0</v>
      </c>
    </row>
    <row r="27" spans="1:20" x14ac:dyDescent="0.35">
      <c r="A27" s="84">
        <v>98</v>
      </c>
      <c r="B27" s="85" t="s">
        <v>450</v>
      </c>
      <c r="C27" s="85" t="s">
        <v>426</v>
      </c>
      <c r="F27" s="70">
        <v>315223</v>
      </c>
      <c r="G27" s="86" t="s">
        <v>451</v>
      </c>
      <c r="H27" s="70">
        <v>0</v>
      </c>
    </row>
    <row r="28" spans="1:20" x14ac:dyDescent="0.35">
      <c r="A28" s="84">
        <v>103</v>
      </c>
      <c r="B28" s="85" t="s">
        <v>452</v>
      </c>
      <c r="C28" s="85" t="s">
        <v>426</v>
      </c>
      <c r="F28" s="70">
        <v>314035</v>
      </c>
      <c r="G28" s="86" t="s">
        <v>453</v>
      </c>
      <c r="H28" s="70">
        <v>0</v>
      </c>
    </row>
    <row r="29" spans="1:20" x14ac:dyDescent="0.35">
      <c r="A29" s="84">
        <v>113</v>
      </c>
      <c r="B29" s="85" t="s">
        <v>454</v>
      </c>
      <c r="C29" s="85" t="s">
        <v>426</v>
      </c>
      <c r="F29" s="70">
        <v>315214</v>
      </c>
      <c r="G29" s="86" t="s">
        <v>455</v>
      </c>
      <c r="H29" s="70">
        <v>0</v>
      </c>
    </row>
    <row r="30" spans="1:20" x14ac:dyDescent="0.35">
      <c r="A30" s="84">
        <v>166</v>
      </c>
      <c r="B30" s="85" t="s">
        <v>456</v>
      </c>
      <c r="C30" s="85" t="s">
        <v>426</v>
      </c>
      <c r="F30" s="70">
        <v>306902</v>
      </c>
      <c r="G30" s="86" t="s">
        <v>457</v>
      </c>
      <c r="H30" s="70">
        <v>0</v>
      </c>
    </row>
    <row r="31" spans="1:20" x14ac:dyDescent="0.35">
      <c r="A31" s="84">
        <v>296</v>
      </c>
      <c r="B31" s="85" t="s">
        <v>458</v>
      </c>
      <c r="C31" s="85" t="s">
        <v>426</v>
      </c>
      <c r="F31" s="70">
        <v>315434</v>
      </c>
      <c r="G31" s="86" t="s">
        <v>459</v>
      </c>
      <c r="H31" s="70">
        <v>0</v>
      </c>
    </row>
    <row r="32" spans="1:20" x14ac:dyDescent="0.35">
      <c r="A32" s="84">
        <v>302</v>
      </c>
      <c r="B32" s="85" t="s">
        <v>460</v>
      </c>
      <c r="C32" s="85" t="s">
        <v>426</v>
      </c>
      <c r="F32" s="70">
        <v>315280</v>
      </c>
      <c r="G32" s="86" t="s">
        <v>461</v>
      </c>
      <c r="H32" s="70">
        <v>0</v>
      </c>
    </row>
    <row r="33" spans="1:8" x14ac:dyDescent="0.35">
      <c r="A33" s="84">
        <v>21</v>
      </c>
      <c r="B33" s="85" t="s">
        <v>462</v>
      </c>
      <c r="C33" s="85" t="s">
        <v>463</v>
      </c>
      <c r="F33" s="70">
        <v>302247</v>
      </c>
      <c r="G33" s="86" t="s">
        <v>464</v>
      </c>
      <c r="H33" s="70">
        <v>0</v>
      </c>
    </row>
    <row r="34" spans="1:8" x14ac:dyDescent="0.35">
      <c r="A34" s="84">
        <v>24</v>
      </c>
      <c r="B34" s="85" t="s">
        <v>465</v>
      </c>
      <c r="C34" s="85" t="s">
        <v>463</v>
      </c>
      <c r="F34" s="70">
        <v>310433</v>
      </c>
      <c r="G34" s="86" t="s">
        <v>466</v>
      </c>
      <c r="H34" s="70">
        <v>0</v>
      </c>
    </row>
    <row r="35" spans="1:8" x14ac:dyDescent="0.35">
      <c r="A35" s="84">
        <v>30</v>
      </c>
      <c r="B35" s="85" t="s">
        <v>467</v>
      </c>
      <c r="C35" s="85" t="s">
        <v>463</v>
      </c>
      <c r="F35" s="70">
        <v>313286</v>
      </c>
      <c r="G35" s="86" t="s">
        <v>468</v>
      </c>
      <c r="H35" s="70">
        <v>0</v>
      </c>
    </row>
    <row r="36" spans="1:8" x14ac:dyDescent="0.35">
      <c r="A36" s="84">
        <v>34</v>
      </c>
      <c r="B36" s="85" t="s">
        <v>469</v>
      </c>
      <c r="C36" s="85" t="s">
        <v>463</v>
      </c>
      <c r="F36" s="70">
        <v>313119</v>
      </c>
      <c r="G36" s="86" t="s">
        <v>470</v>
      </c>
      <c r="H36" s="70">
        <v>0</v>
      </c>
    </row>
    <row r="37" spans="1:8" x14ac:dyDescent="0.35">
      <c r="A37" s="84">
        <v>72</v>
      </c>
      <c r="B37" s="85" t="s">
        <v>471</v>
      </c>
      <c r="C37" s="85" t="s">
        <v>463</v>
      </c>
      <c r="F37" s="70">
        <v>313528</v>
      </c>
      <c r="G37" s="86" t="s">
        <v>472</v>
      </c>
      <c r="H37" s="70">
        <v>0</v>
      </c>
    </row>
    <row r="38" spans="1:8" x14ac:dyDescent="0.35">
      <c r="A38" s="84">
        <v>73</v>
      </c>
      <c r="B38" s="85" t="s">
        <v>473</v>
      </c>
      <c r="C38" s="85" t="s">
        <v>463</v>
      </c>
      <c r="F38" s="70">
        <v>309338</v>
      </c>
      <c r="G38" s="86" t="s">
        <v>474</v>
      </c>
      <c r="H38" s="70">
        <v>0</v>
      </c>
    </row>
    <row r="39" spans="1:8" x14ac:dyDescent="0.35">
      <c r="A39" s="84">
        <v>160</v>
      </c>
      <c r="B39" s="85" t="s">
        <v>475</v>
      </c>
      <c r="C39" s="85" t="s">
        <v>463</v>
      </c>
      <c r="F39" s="70">
        <v>309664</v>
      </c>
      <c r="G39" s="86" t="s">
        <v>476</v>
      </c>
      <c r="H39" s="70">
        <v>0</v>
      </c>
    </row>
    <row r="40" spans="1:8" x14ac:dyDescent="0.35">
      <c r="A40" s="84">
        <v>171</v>
      </c>
      <c r="B40" s="85" t="s">
        <v>477</v>
      </c>
      <c r="C40" s="85" t="s">
        <v>463</v>
      </c>
      <c r="F40" s="70">
        <v>309337</v>
      </c>
      <c r="G40" s="86" t="s">
        <v>478</v>
      </c>
      <c r="H40" s="70">
        <v>0</v>
      </c>
    </row>
    <row r="41" spans="1:8" x14ac:dyDescent="0.35">
      <c r="A41" s="84">
        <v>172</v>
      </c>
      <c r="B41" s="85" t="s">
        <v>479</v>
      </c>
      <c r="C41" s="85" t="s">
        <v>463</v>
      </c>
      <c r="F41" s="70">
        <v>315553</v>
      </c>
      <c r="G41" s="86" t="s">
        <v>480</v>
      </c>
      <c r="H41" s="70">
        <v>0</v>
      </c>
    </row>
    <row r="42" spans="1:8" x14ac:dyDescent="0.35">
      <c r="A42" s="84">
        <v>191</v>
      </c>
      <c r="B42" s="85" t="s">
        <v>481</v>
      </c>
      <c r="C42" s="85" t="s">
        <v>463</v>
      </c>
      <c r="F42" s="70">
        <v>301503</v>
      </c>
      <c r="G42" s="86" t="s">
        <v>482</v>
      </c>
      <c r="H42" s="70">
        <v>0</v>
      </c>
    </row>
    <row r="43" spans="1:8" x14ac:dyDescent="0.35">
      <c r="A43" s="84">
        <v>212</v>
      </c>
      <c r="B43" s="85" t="s">
        <v>483</v>
      </c>
      <c r="C43" s="85" t="s">
        <v>463</v>
      </c>
      <c r="F43" s="70">
        <v>311055</v>
      </c>
      <c r="G43" s="86" t="s">
        <v>484</v>
      </c>
      <c r="H43" s="70">
        <v>0</v>
      </c>
    </row>
    <row r="44" spans="1:8" x14ac:dyDescent="0.35">
      <c r="A44" s="84">
        <v>216</v>
      </c>
      <c r="B44" s="85" t="s">
        <v>485</v>
      </c>
      <c r="C44" s="85" t="s">
        <v>463</v>
      </c>
      <c r="F44" s="70">
        <v>307790</v>
      </c>
      <c r="G44" s="86" t="s">
        <v>486</v>
      </c>
      <c r="H44" s="70">
        <v>0</v>
      </c>
    </row>
    <row r="45" spans="1:8" x14ac:dyDescent="0.35">
      <c r="A45" s="84">
        <v>217</v>
      </c>
      <c r="B45" s="85" t="s">
        <v>487</v>
      </c>
      <c r="C45" s="85" t="s">
        <v>463</v>
      </c>
      <c r="F45" s="70">
        <v>315044</v>
      </c>
      <c r="G45" s="86" t="s">
        <v>488</v>
      </c>
      <c r="H45" s="70">
        <v>0</v>
      </c>
    </row>
    <row r="46" spans="1:8" x14ac:dyDescent="0.35">
      <c r="A46" s="84">
        <v>253</v>
      </c>
      <c r="B46" s="85" t="s">
        <v>489</v>
      </c>
      <c r="C46" s="85" t="s">
        <v>463</v>
      </c>
      <c r="F46" s="70">
        <v>309527</v>
      </c>
      <c r="G46" s="86" t="s">
        <v>490</v>
      </c>
      <c r="H46" s="70">
        <v>0</v>
      </c>
    </row>
    <row r="47" spans="1:8" x14ac:dyDescent="0.35">
      <c r="A47" s="84">
        <v>292</v>
      </c>
      <c r="B47" s="85" t="s">
        <v>491</v>
      </c>
      <c r="C47" s="85" t="s">
        <v>463</v>
      </c>
      <c r="F47" s="70">
        <v>313217</v>
      </c>
      <c r="G47" s="86" t="s">
        <v>492</v>
      </c>
      <c r="H47" s="70">
        <v>0</v>
      </c>
    </row>
    <row r="48" spans="1:8" x14ac:dyDescent="0.35">
      <c r="A48" s="84">
        <v>22</v>
      </c>
      <c r="B48" s="85" t="s">
        <v>493</v>
      </c>
      <c r="C48" s="85" t="s">
        <v>494</v>
      </c>
      <c r="F48" s="70">
        <v>305932</v>
      </c>
      <c r="G48" s="86" t="s">
        <v>495</v>
      </c>
      <c r="H48" s="70">
        <v>0</v>
      </c>
    </row>
    <row r="49" spans="1:8" x14ac:dyDescent="0.35">
      <c r="A49" s="84">
        <v>38</v>
      </c>
      <c r="B49" s="85" t="s">
        <v>496</v>
      </c>
      <c r="C49" s="85" t="s">
        <v>494</v>
      </c>
      <c r="F49" s="70">
        <v>314984</v>
      </c>
      <c r="G49" s="86" t="s">
        <v>497</v>
      </c>
      <c r="H49" s="70">
        <v>0</v>
      </c>
    </row>
    <row r="50" spans="1:8" x14ac:dyDescent="0.35">
      <c r="A50" s="84">
        <v>80</v>
      </c>
      <c r="B50" s="85" t="s">
        <v>498</v>
      </c>
      <c r="C50" s="85" t="s">
        <v>494</v>
      </c>
      <c r="F50" s="70">
        <v>307751</v>
      </c>
      <c r="G50" s="86" t="s">
        <v>499</v>
      </c>
      <c r="H50" s="70">
        <v>0</v>
      </c>
    </row>
    <row r="51" spans="1:8" x14ac:dyDescent="0.35">
      <c r="A51" s="84">
        <v>146</v>
      </c>
      <c r="B51" s="85" t="s">
        <v>500</v>
      </c>
      <c r="C51" s="85" t="s">
        <v>494</v>
      </c>
      <c r="F51" s="70">
        <v>310329</v>
      </c>
      <c r="G51" s="86" t="s">
        <v>501</v>
      </c>
      <c r="H51" s="70">
        <v>0</v>
      </c>
    </row>
    <row r="52" spans="1:8" x14ac:dyDescent="0.35">
      <c r="A52" s="84">
        <v>162</v>
      </c>
      <c r="B52" s="85" t="s">
        <v>502</v>
      </c>
      <c r="C52" s="85" t="s">
        <v>494</v>
      </c>
      <c r="F52" s="70">
        <v>311761</v>
      </c>
      <c r="G52" s="86" t="s">
        <v>503</v>
      </c>
      <c r="H52" s="70">
        <v>0</v>
      </c>
    </row>
    <row r="53" spans="1:8" x14ac:dyDescent="0.35">
      <c r="A53" s="84">
        <v>163</v>
      </c>
      <c r="B53" s="85" t="s">
        <v>504</v>
      </c>
      <c r="C53" s="85" t="s">
        <v>494</v>
      </c>
      <c r="F53" s="70">
        <v>311111</v>
      </c>
      <c r="G53" s="86" t="s">
        <v>505</v>
      </c>
      <c r="H53" s="70">
        <v>0</v>
      </c>
    </row>
    <row r="54" spans="1:8" x14ac:dyDescent="0.35">
      <c r="A54" s="84">
        <v>188</v>
      </c>
      <c r="B54" s="85" t="s">
        <v>506</v>
      </c>
      <c r="C54" s="85" t="s">
        <v>494</v>
      </c>
      <c r="F54" s="70">
        <v>313991</v>
      </c>
      <c r="G54" s="86" t="s">
        <v>507</v>
      </c>
      <c r="H54" s="70">
        <v>0</v>
      </c>
    </row>
    <row r="55" spans="1:8" x14ac:dyDescent="0.35">
      <c r="A55" s="84">
        <v>194</v>
      </c>
      <c r="B55" s="85" t="s">
        <v>508</v>
      </c>
      <c r="C55" s="85" t="s">
        <v>494</v>
      </c>
      <c r="F55" s="70">
        <v>307442</v>
      </c>
      <c r="G55" s="86" t="s">
        <v>509</v>
      </c>
      <c r="H55" s="70">
        <v>0</v>
      </c>
    </row>
    <row r="56" spans="1:8" x14ac:dyDescent="0.35">
      <c r="A56" s="84">
        <v>195</v>
      </c>
      <c r="B56" s="85" t="s">
        <v>510</v>
      </c>
      <c r="C56" s="85" t="s">
        <v>494</v>
      </c>
      <c r="F56" s="70">
        <v>306767</v>
      </c>
      <c r="G56" s="86" t="s">
        <v>511</v>
      </c>
      <c r="H56" s="70">
        <v>0</v>
      </c>
    </row>
    <row r="57" spans="1:8" x14ac:dyDescent="0.35">
      <c r="A57" s="84">
        <v>203</v>
      </c>
      <c r="B57" s="85" t="s">
        <v>512</v>
      </c>
      <c r="C57" s="85" t="s">
        <v>494</v>
      </c>
      <c r="F57" s="70">
        <v>312249</v>
      </c>
      <c r="G57" s="86" t="s">
        <v>513</v>
      </c>
      <c r="H57" s="70">
        <v>0</v>
      </c>
    </row>
    <row r="58" spans="1:8" x14ac:dyDescent="0.35">
      <c r="A58" s="84">
        <v>205</v>
      </c>
      <c r="B58" s="85" t="s">
        <v>514</v>
      </c>
      <c r="C58" s="85" t="s">
        <v>494</v>
      </c>
      <c r="F58" s="70">
        <v>202795</v>
      </c>
      <c r="G58" s="86" t="s">
        <v>515</v>
      </c>
      <c r="H58" s="70">
        <v>0</v>
      </c>
    </row>
    <row r="59" spans="1:8" x14ac:dyDescent="0.35">
      <c r="A59" s="84">
        <v>215</v>
      </c>
      <c r="B59" s="85" t="s">
        <v>516</v>
      </c>
      <c r="C59" s="85" t="s">
        <v>494</v>
      </c>
      <c r="F59" s="70">
        <v>315474</v>
      </c>
      <c r="G59" s="86" t="s">
        <v>517</v>
      </c>
      <c r="H59" s="70">
        <v>0</v>
      </c>
    </row>
    <row r="60" spans="1:8" x14ac:dyDescent="0.35">
      <c r="A60" s="84">
        <v>240</v>
      </c>
      <c r="B60" s="85" t="s">
        <v>518</v>
      </c>
      <c r="C60" s="85" t="s">
        <v>494</v>
      </c>
      <c r="F60" s="70">
        <v>308129</v>
      </c>
      <c r="G60" s="86" t="s">
        <v>519</v>
      </c>
      <c r="H60" s="70">
        <v>0</v>
      </c>
    </row>
    <row r="61" spans="1:8" x14ac:dyDescent="0.35">
      <c r="A61" s="84">
        <v>334</v>
      </c>
      <c r="B61" s="85" t="s">
        <v>520</v>
      </c>
      <c r="C61" s="85" t="s">
        <v>494</v>
      </c>
      <c r="F61" s="70">
        <v>314191</v>
      </c>
      <c r="G61" s="86" t="s">
        <v>521</v>
      </c>
      <c r="H61" s="70">
        <v>0</v>
      </c>
    </row>
    <row r="62" spans="1:8" x14ac:dyDescent="0.35">
      <c r="A62" s="84">
        <v>28</v>
      </c>
      <c r="B62" s="85" t="s">
        <v>522</v>
      </c>
      <c r="C62" s="85" t="s">
        <v>523</v>
      </c>
      <c r="F62" s="70">
        <v>310191</v>
      </c>
      <c r="G62" s="86" t="s">
        <v>524</v>
      </c>
      <c r="H62" s="70">
        <v>0</v>
      </c>
    </row>
    <row r="63" spans="1:8" x14ac:dyDescent="0.35">
      <c r="A63" s="84">
        <v>29</v>
      </c>
      <c r="B63" s="85" t="s">
        <v>525</v>
      </c>
      <c r="C63" s="85" t="s">
        <v>523</v>
      </c>
      <c r="F63" s="70">
        <v>310728</v>
      </c>
      <c r="G63" s="86" t="s">
        <v>526</v>
      </c>
      <c r="H63" s="70">
        <v>0</v>
      </c>
    </row>
    <row r="64" spans="1:8" x14ac:dyDescent="0.35">
      <c r="A64" s="84">
        <v>33</v>
      </c>
      <c r="B64" s="85" t="s">
        <v>527</v>
      </c>
      <c r="C64" s="85" t="s">
        <v>523</v>
      </c>
      <c r="F64" s="70">
        <v>314469</v>
      </c>
      <c r="G64" s="86" t="s">
        <v>528</v>
      </c>
      <c r="H64" s="70">
        <v>0</v>
      </c>
    </row>
    <row r="65" spans="1:8" x14ac:dyDescent="0.35">
      <c r="A65" s="84">
        <v>55</v>
      </c>
      <c r="B65" s="85" t="s">
        <v>529</v>
      </c>
      <c r="C65" s="85" t="s">
        <v>523</v>
      </c>
      <c r="F65" s="70">
        <v>312945</v>
      </c>
      <c r="G65" s="86" t="s">
        <v>530</v>
      </c>
      <c r="H65" s="70">
        <v>0</v>
      </c>
    </row>
    <row r="66" spans="1:8" x14ac:dyDescent="0.35">
      <c r="A66" s="84">
        <v>56</v>
      </c>
      <c r="B66" s="85" t="s">
        <v>531</v>
      </c>
      <c r="C66" s="85" t="s">
        <v>523</v>
      </c>
      <c r="F66" s="70">
        <v>314019</v>
      </c>
      <c r="G66" s="86" t="s">
        <v>532</v>
      </c>
      <c r="H66" s="70">
        <v>0</v>
      </c>
    </row>
    <row r="67" spans="1:8" x14ac:dyDescent="0.35">
      <c r="A67" s="84">
        <v>65</v>
      </c>
      <c r="B67" s="85" t="s">
        <v>533</v>
      </c>
      <c r="C67" s="85" t="s">
        <v>523</v>
      </c>
      <c r="F67" s="70">
        <v>315372</v>
      </c>
      <c r="G67" s="86" t="s">
        <v>534</v>
      </c>
      <c r="H67" s="70">
        <v>0</v>
      </c>
    </row>
    <row r="68" spans="1:8" x14ac:dyDescent="0.35">
      <c r="A68" s="84">
        <v>126</v>
      </c>
      <c r="B68" s="85" t="s">
        <v>535</v>
      </c>
      <c r="C68" s="85" t="s">
        <v>523</v>
      </c>
      <c r="F68" s="70">
        <v>311505</v>
      </c>
      <c r="G68" s="86" t="s">
        <v>536</v>
      </c>
      <c r="H68" s="70">
        <v>0</v>
      </c>
    </row>
    <row r="69" spans="1:8" x14ac:dyDescent="0.35">
      <c r="A69" s="84">
        <v>127</v>
      </c>
      <c r="B69" s="85" t="s">
        <v>537</v>
      </c>
      <c r="C69" s="85" t="s">
        <v>523</v>
      </c>
      <c r="F69" s="70">
        <v>315215</v>
      </c>
      <c r="G69" s="86" t="s">
        <v>538</v>
      </c>
      <c r="H69" s="70">
        <v>0</v>
      </c>
    </row>
    <row r="70" spans="1:8" x14ac:dyDescent="0.35">
      <c r="A70" s="84">
        <v>135</v>
      </c>
      <c r="B70" s="85" t="s">
        <v>539</v>
      </c>
      <c r="C70" s="85" t="s">
        <v>523</v>
      </c>
      <c r="F70" s="70">
        <v>311380</v>
      </c>
      <c r="G70" s="86" t="s">
        <v>540</v>
      </c>
      <c r="H70" s="70">
        <v>0</v>
      </c>
    </row>
    <row r="71" spans="1:8" x14ac:dyDescent="0.35">
      <c r="A71" s="84">
        <v>150</v>
      </c>
      <c r="B71" s="85" t="s">
        <v>541</v>
      </c>
      <c r="C71" s="85" t="s">
        <v>523</v>
      </c>
      <c r="F71" s="70">
        <v>311137</v>
      </c>
      <c r="G71" s="86" t="s">
        <v>542</v>
      </c>
      <c r="H71" s="70">
        <v>0</v>
      </c>
    </row>
    <row r="72" spans="1:8" x14ac:dyDescent="0.35">
      <c r="A72" s="84">
        <v>155</v>
      </c>
      <c r="B72" s="85" t="s">
        <v>543</v>
      </c>
      <c r="C72" s="85" t="s">
        <v>523</v>
      </c>
      <c r="F72" s="70">
        <v>303012</v>
      </c>
      <c r="G72" s="86" t="s">
        <v>544</v>
      </c>
      <c r="H72" s="70">
        <v>0</v>
      </c>
    </row>
    <row r="73" spans="1:8" x14ac:dyDescent="0.35">
      <c r="A73" s="84">
        <v>157</v>
      </c>
      <c r="B73" s="85" t="s">
        <v>545</v>
      </c>
      <c r="C73" s="85" t="s">
        <v>523</v>
      </c>
      <c r="F73" s="70">
        <v>315264</v>
      </c>
      <c r="G73" s="86" t="s">
        <v>546</v>
      </c>
      <c r="H73" s="70">
        <v>0</v>
      </c>
    </row>
    <row r="74" spans="1:8" x14ac:dyDescent="0.35">
      <c r="A74" s="84">
        <v>202</v>
      </c>
      <c r="B74" s="85" t="s">
        <v>547</v>
      </c>
      <c r="C74" s="85" t="s">
        <v>523</v>
      </c>
      <c r="F74" s="70">
        <v>302630</v>
      </c>
      <c r="G74" s="86" t="s">
        <v>548</v>
      </c>
      <c r="H74" s="70">
        <v>0</v>
      </c>
    </row>
    <row r="75" spans="1:8" x14ac:dyDescent="0.35">
      <c r="A75" s="84">
        <v>209</v>
      </c>
      <c r="B75" s="85" t="s">
        <v>549</v>
      </c>
      <c r="C75" s="85" t="s">
        <v>523</v>
      </c>
      <c r="F75" s="70">
        <v>314057</v>
      </c>
      <c r="G75" s="86" t="s">
        <v>550</v>
      </c>
      <c r="H75" s="70">
        <v>0</v>
      </c>
    </row>
    <row r="76" spans="1:8" x14ac:dyDescent="0.35">
      <c r="A76" s="84">
        <v>243</v>
      </c>
      <c r="B76" s="85" t="s">
        <v>551</v>
      </c>
      <c r="C76" s="85" t="s">
        <v>523</v>
      </c>
      <c r="F76" s="70">
        <v>312310</v>
      </c>
      <c r="G76" s="86" t="s">
        <v>552</v>
      </c>
      <c r="H76" s="70">
        <v>0</v>
      </c>
    </row>
    <row r="77" spans="1:8" x14ac:dyDescent="0.35">
      <c r="A77" s="84">
        <v>246</v>
      </c>
      <c r="B77" s="85" t="s">
        <v>553</v>
      </c>
      <c r="C77" s="85" t="s">
        <v>523</v>
      </c>
      <c r="F77" s="70">
        <v>311079</v>
      </c>
      <c r="G77" s="86" t="s">
        <v>554</v>
      </c>
      <c r="H77" s="70">
        <v>0</v>
      </c>
    </row>
    <row r="78" spans="1:8" x14ac:dyDescent="0.35">
      <c r="A78" s="84">
        <v>339</v>
      </c>
      <c r="B78" s="85" t="s">
        <v>555</v>
      </c>
      <c r="C78" s="85" t="s">
        <v>523</v>
      </c>
      <c r="F78" s="70">
        <v>311759</v>
      </c>
      <c r="G78" s="86" t="s">
        <v>556</v>
      </c>
      <c r="H78" s="70">
        <v>0</v>
      </c>
    </row>
    <row r="79" spans="1:8" x14ac:dyDescent="0.35">
      <c r="A79" s="84">
        <v>41</v>
      </c>
      <c r="B79" s="85" t="s">
        <v>557</v>
      </c>
      <c r="C79" s="85" t="s">
        <v>558</v>
      </c>
      <c r="F79" s="70">
        <v>313301</v>
      </c>
      <c r="G79" s="86" t="s">
        <v>559</v>
      </c>
      <c r="H79" s="70">
        <v>0</v>
      </c>
    </row>
    <row r="80" spans="1:8" x14ac:dyDescent="0.35">
      <c r="A80" s="84">
        <v>42</v>
      </c>
      <c r="B80" s="85" t="s">
        <v>560</v>
      </c>
      <c r="C80" s="85" t="s">
        <v>558</v>
      </c>
      <c r="F80" s="70">
        <v>315450</v>
      </c>
      <c r="G80" s="86" t="s">
        <v>561</v>
      </c>
      <c r="H80" s="70">
        <v>0</v>
      </c>
    </row>
    <row r="81" spans="1:8" x14ac:dyDescent="0.35">
      <c r="A81" s="84">
        <v>77</v>
      </c>
      <c r="B81" s="85" t="s">
        <v>562</v>
      </c>
      <c r="C81" s="85" t="s">
        <v>558</v>
      </c>
      <c r="F81" s="70">
        <v>314933</v>
      </c>
      <c r="G81" s="86" t="s">
        <v>563</v>
      </c>
      <c r="H81" s="70">
        <v>0</v>
      </c>
    </row>
    <row r="82" spans="1:8" x14ac:dyDescent="0.35">
      <c r="A82" s="84">
        <v>122</v>
      </c>
      <c r="B82" s="85" t="s">
        <v>564</v>
      </c>
      <c r="C82" s="85" t="s">
        <v>558</v>
      </c>
      <c r="F82" s="70">
        <v>306471</v>
      </c>
      <c r="G82" s="86" t="s">
        <v>565</v>
      </c>
      <c r="H82" s="70">
        <v>0</v>
      </c>
    </row>
    <row r="83" spans="1:8" x14ac:dyDescent="0.35">
      <c r="A83" s="84">
        <v>128</v>
      </c>
      <c r="B83" s="85" t="s">
        <v>566</v>
      </c>
      <c r="C83" s="85" t="s">
        <v>558</v>
      </c>
      <c r="F83" s="70">
        <v>309415</v>
      </c>
      <c r="G83" s="86" t="s">
        <v>567</v>
      </c>
      <c r="H83" s="70">
        <v>0</v>
      </c>
    </row>
    <row r="84" spans="1:8" x14ac:dyDescent="0.35">
      <c r="A84" s="84">
        <v>132</v>
      </c>
      <c r="B84" s="85" t="s">
        <v>568</v>
      </c>
      <c r="C84" s="85" t="s">
        <v>558</v>
      </c>
      <c r="F84" s="70">
        <v>315312</v>
      </c>
      <c r="G84" s="86" t="s">
        <v>569</v>
      </c>
      <c r="H84" s="70">
        <v>0</v>
      </c>
    </row>
    <row r="85" spans="1:8" x14ac:dyDescent="0.35">
      <c r="A85" s="84">
        <v>134</v>
      </c>
      <c r="B85" s="85" t="s">
        <v>570</v>
      </c>
      <c r="C85" s="85" t="s">
        <v>558</v>
      </c>
      <c r="F85" s="70">
        <v>305814</v>
      </c>
      <c r="G85" s="86" t="s">
        <v>571</v>
      </c>
      <c r="H85" s="70">
        <v>0</v>
      </c>
    </row>
    <row r="86" spans="1:8" x14ac:dyDescent="0.35">
      <c r="A86" s="84">
        <v>144</v>
      </c>
      <c r="B86" s="85" t="s">
        <v>572</v>
      </c>
      <c r="C86" s="85" t="s">
        <v>558</v>
      </c>
      <c r="F86" s="70">
        <v>314564</v>
      </c>
      <c r="G86" s="86" t="s">
        <v>573</v>
      </c>
      <c r="H86" s="70">
        <v>0</v>
      </c>
    </row>
    <row r="87" spans="1:8" x14ac:dyDescent="0.35">
      <c r="A87" s="84">
        <v>148</v>
      </c>
      <c r="B87" s="85" t="s">
        <v>574</v>
      </c>
      <c r="C87" s="85" t="s">
        <v>558</v>
      </c>
      <c r="F87" s="70">
        <v>312055</v>
      </c>
      <c r="G87" s="86" t="s">
        <v>575</v>
      </c>
      <c r="H87" s="70">
        <v>0</v>
      </c>
    </row>
    <row r="88" spans="1:8" x14ac:dyDescent="0.35">
      <c r="A88" s="84">
        <v>156</v>
      </c>
      <c r="B88" s="85" t="s">
        <v>576</v>
      </c>
      <c r="C88" s="85" t="s">
        <v>558</v>
      </c>
      <c r="F88" s="70">
        <v>311086</v>
      </c>
      <c r="G88" s="86" t="s">
        <v>577</v>
      </c>
      <c r="H88" s="70">
        <v>0</v>
      </c>
    </row>
    <row r="89" spans="1:8" x14ac:dyDescent="0.35">
      <c r="A89" s="84">
        <v>159</v>
      </c>
      <c r="B89" s="85" t="s">
        <v>578</v>
      </c>
      <c r="C89" s="85" t="s">
        <v>558</v>
      </c>
      <c r="F89" s="70">
        <v>309859</v>
      </c>
      <c r="G89" s="86" t="s">
        <v>579</v>
      </c>
      <c r="H89" s="70">
        <v>0</v>
      </c>
    </row>
    <row r="90" spans="1:8" x14ac:dyDescent="0.35">
      <c r="A90" s="84">
        <v>179</v>
      </c>
      <c r="B90" s="85" t="s">
        <v>580</v>
      </c>
      <c r="C90" s="85" t="s">
        <v>558</v>
      </c>
      <c r="F90" s="70">
        <v>315026</v>
      </c>
      <c r="G90" s="86" t="s">
        <v>581</v>
      </c>
      <c r="H90" s="70">
        <v>0</v>
      </c>
    </row>
    <row r="91" spans="1:8" x14ac:dyDescent="0.35">
      <c r="A91" s="84">
        <v>180</v>
      </c>
      <c r="B91" s="85" t="s">
        <v>582</v>
      </c>
      <c r="C91" s="85" t="s">
        <v>558</v>
      </c>
      <c r="F91" s="70">
        <v>314696</v>
      </c>
      <c r="G91" s="86" t="s">
        <v>583</v>
      </c>
      <c r="H91" s="70">
        <v>0</v>
      </c>
    </row>
    <row r="92" spans="1:8" x14ac:dyDescent="0.35">
      <c r="A92" s="84">
        <v>181</v>
      </c>
      <c r="B92" s="85" t="s">
        <v>584</v>
      </c>
      <c r="C92" s="85" t="s">
        <v>558</v>
      </c>
      <c r="F92" s="70">
        <v>311699</v>
      </c>
      <c r="G92" s="86" t="s">
        <v>585</v>
      </c>
      <c r="H92" s="70">
        <v>0</v>
      </c>
    </row>
    <row r="93" spans="1:8" x14ac:dyDescent="0.35">
      <c r="A93" s="84">
        <v>182</v>
      </c>
      <c r="B93" s="85" t="s">
        <v>586</v>
      </c>
      <c r="C93" s="85" t="s">
        <v>558</v>
      </c>
      <c r="F93" s="70">
        <v>315556</v>
      </c>
      <c r="G93" s="86" t="s">
        <v>587</v>
      </c>
      <c r="H93" s="70">
        <v>0</v>
      </c>
    </row>
    <row r="94" spans="1:8" x14ac:dyDescent="0.35">
      <c r="A94" s="84">
        <v>228</v>
      </c>
      <c r="B94" s="85" t="s">
        <v>588</v>
      </c>
      <c r="C94" s="85" t="s">
        <v>558</v>
      </c>
      <c r="F94" s="70">
        <v>315121</v>
      </c>
      <c r="G94" s="86" t="s">
        <v>589</v>
      </c>
      <c r="H94" s="70">
        <v>0</v>
      </c>
    </row>
    <row r="95" spans="1:8" x14ac:dyDescent="0.35">
      <c r="A95" s="84">
        <v>325</v>
      </c>
      <c r="B95" s="85" t="s">
        <v>590</v>
      </c>
      <c r="C95" s="85" t="s">
        <v>558</v>
      </c>
      <c r="F95" s="70">
        <v>311557</v>
      </c>
      <c r="G95" s="86" t="s">
        <v>591</v>
      </c>
      <c r="H95" s="70">
        <v>0</v>
      </c>
    </row>
    <row r="96" spans="1:8" x14ac:dyDescent="0.35">
      <c r="A96" s="84">
        <v>7</v>
      </c>
      <c r="B96" s="85" t="s">
        <v>592</v>
      </c>
      <c r="C96" s="85" t="s">
        <v>426</v>
      </c>
      <c r="F96" s="70">
        <v>102256</v>
      </c>
      <c r="G96" s="86" t="s">
        <v>593</v>
      </c>
      <c r="H96" s="70">
        <v>0</v>
      </c>
    </row>
    <row r="97" spans="1:8" x14ac:dyDescent="0.35">
      <c r="A97" s="84">
        <v>11</v>
      </c>
      <c r="B97" s="85" t="s">
        <v>594</v>
      </c>
      <c r="C97" s="85" t="s">
        <v>594</v>
      </c>
      <c r="F97" s="70">
        <v>315150</v>
      </c>
      <c r="G97" s="86" t="s">
        <v>595</v>
      </c>
      <c r="H97" s="70">
        <v>0</v>
      </c>
    </row>
    <row r="98" spans="1:8" x14ac:dyDescent="0.35">
      <c r="A98" s="84">
        <v>51</v>
      </c>
      <c r="B98" s="85" t="s">
        <v>596</v>
      </c>
      <c r="C98" s="85" t="s">
        <v>594</v>
      </c>
      <c r="F98" s="70">
        <v>309908</v>
      </c>
      <c r="G98" s="86" t="s">
        <v>597</v>
      </c>
      <c r="H98" s="70">
        <v>0</v>
      </c>
    </row>
    <row r="99" spans="1:8" x14ac:dyDescent="0.35">
      <c r="A99" s="84">
        <v>57</v>
      </c>
      <c r="B99" s="85" t="s">
        <v>598</v>
      </c>
      <c r="C99" s="85" t="s">
        <v>594</v>
      </c>
      <c r="F99" s="70">
        <v>315532</v>
      </c>
      <c r="G99" s="86" t="s">
        <v>599</v>
      </c>
      <c r="H99" s="70">
        <v>0</v>
      </c>
    </row>
    <row r="100" spans="1:8" x14ac:dyDescent="0.35">
      <c r="A100" s="84">
        <v>67</v>
      </c>
      <c r="B100" s="85" t="s">
        <v>600</v>
      </c>
      <c r="C100" s="85" t="s">
        <v>594</v>
      </c>
      <c r="F100" s="70">
        <v>315493</v>
      </c>
      <c r="G100" s="86" t="s">
        <v>601</v>
      </c>
      <c r="H100" s="70">
        <v>0</v>
      </c>
    </row>
    <row r="101" spans="1:8" x14ac:dyDescent="0.35">
      <c r="A101" s="84">
        <v>86</v>
      </c>
      <c r="B101" s="85" t="s">
        <v>602</v>
      </c>
      <c r="C101" s="85" t="s">
        <v>594</v>
      </c>
      <c r="F101" s="70">
        <v>310020</v>
      </c>
      <c r="G101" s="86" t="s">
        <v>603</v>
      </c>
      <c r="H101" s="70">
        <v>0</v>
      </c>
    </row>
    <row r="102" spans="1:8" x14ac:dyDescent="0.35">
      <c r="A102" s="84">
        <v>88</v>
      </c>
      <c r="B102" s="85" t="s">
        <v>604</v>
      </c>
      <c r="C102" s="85" t="s">
        <v>594</v>
      </c>
      <c r="F102" s="70">
        <v>315277</v>
      </c>
      <c r="G102" s="86" t="s">
        <v>605</v>
      </c>
      <c r="H102" s="70">
        <v>0</v>
      </c>
    </row>
    <row r="103" spans="1:8" x14ac:dyDescent="0.35">
      <c r="A103" s="84">
        <v>94</v>
      </c>
      <c r="B103" s="85" t="s">
        <v>606</v>
      </c>
      <c r="C103" s="85" t="s">
        <v>594</v>
      </c>
      <c r="F103" s="70">
        <v>310483</v>
      </c>
      <c r="G103" s="86" t="s">
        <v>607</v>
      </c>
      <c r="H103" s="70">
        <v>0</v>
      </c>
    </row>
    <row r="104" spans="1:8" x14ac:dyDescent="0.35">
      <c r="A104" s="84">
        <v>95</v>
      </c>
      <c r="B104" s="85" t="s">
        <v>608</v>
      </c>
      <c r="C104" s="85" t="s">
        <v>594</v>
      </c>
      <c r="F104" s="70">
        <v>309804</v>
      </c>
      <c r="G104" s="86" t="s">
        <v>609</v>
      </c>
      <c r="H104" s="70">
        <v>0</v>
      </c>
    </row>
    <row r="105" spans="1:8" x14ac:dyDescent="0.35">
      <c r="A105" s="84">
        <v>112</v>
      </c>
      <c r="B105" s="85" t="s">
        <v>610</v>
      </c>
      <c r="C105" s="85" t="s">
        <v>594</v>
      </c>
      <c r="F105" s="70">
        <v>312146</v>
      </c>
      <c r="G105" s="86" t="s">
        <v>611</v>
      </c>
      <c r="H105" s="70">
        <v>0</v>
      </c>
    </row>
    <row r="106" spans="1:8" x14ac:dyDescent="0.35">
      <c r="A106" s="84">
        <v>119</v>
      </c>
      <c r="B106" s="85" t="s">
        <v>612</v>
      </c>
      <c r="C106" s="85" t="s">
        <v>594</v>
      </c>
      <c r="F106" s="70">
        <v>310967</v>
      </c>
      <c r="G106" s="86" t="s">
        <v>613</v>
      </c>
      <c r="H106" s="70">
        <v>0</v>
      </c>
    </row>
    <row r="107" spans="1:8" x14ac:dyDescent="0.35">
      <c r="A107" s="84">
        <v>120</v>
      </c>
      <c r="B107" s="85" t="s">
        <v>614</v>
      </c>
      <c r="C107" s="85" t="s">
        <v>594</v>
      </c>
      <c r="F107" s="70">
        <v>311328</v>
      </c>
      <c r="G107" s="86" t="s">
        <v>615</v>
      </c>
      <c r="H107" s="70">
        <v>0</v>
      </c>
    </row>
    <row r="108" spans="1:8" x14ac:dyDescent="0.35">
      <c r="A108" s="84">
        <v>213</v>
      </c>
      <c r="B108" s="85" t="s">
        <v>616</v>
      </c>
      <c r="C108" s="85" t="s">
        <v>594</v>
      </c>
      <c r="F108" s="70">
        <v>314277</v>
      </c>
      <c r="G108" s="86" t="s">
        <v>617</v>
      </c>
      <c r="H108" s="70">
        <v>0</v>
      </c>
    </row>
    <row r="109" spans="1:8" x14ac:dyDescent="0.35">
      <c r="A109" s="84">
        <v>223</v>
      </c>
      <c r="B109" s="85" t="s">
        <v>618</v>
      </c>
      <c r="C109" s="85" t="s">
        <v>594</v>
      </c>
      <c r="F109" s="70">
        <v>202265</v>
      </c>
      <c r="G109" s="86" t="s">
        <v>619</v>
      </c>
      <c r="H109" s="70">
        <v>0</v>
      </c>
    </row>
    <row r="110" spans="1:8" x14ac:dyDescent="0.35">
      <c r="A110" s="84">
        <v>250</v>
      </c>
      <c r="B110" s="85" t="s">
        <v>620</v>
      </c>
      <c r="C110" s="85" t="s">
        <v>594</v>
      </c>
      <c r="F110" s="70">
        <v>314986</v>
      </c>
      <c r="G110" s="86" t="s">
        <v>621</v>
      </c>
      <c r="H110" s="70">
        <v>0</v>
      </c>
    </row>
    <row r="111" spans="1:8" x14ac:dyDescent="0.35">
      <c r="A111" s="84">
        <v>290</v>
      </c>
      <c r="B111" s="85" t="s">
        <v>622</v>
      </c>
      <c r="C111" s="85" t="s">
        <v>594</v>
      </c>
      <c r="F111" s="70">
        <v>314350</v>
      </c>
      <c r="G111" s="86" t="s">
        <v>623</v>
      </c>
      <c r="H111" s="70">
        <v>0</v>
      </c>
    </row>
    <row r="112" spans="1:8" x14ac:dyDescent="0.35">
      <c r="A112" s="84">
        <v>295</v>
      </c>
      <c r="B112" s="85" t="s">
        <v>624</v>
      </c>
      <c r="C112" s="85" t="s">
        <v>594</v>
      </c>
      <c r="F112" s="70">
        <v>313666</v>
      </c>
      <c r="G112" s="86" t="s">
        <v>625</v>
      </c>
      <c r="H112" s="70">
        <v>0</v>
      </c>
    </row>
    <row r="113" spans="1:8" x14ac:dyDescent="0.35">
      <c r="A113" s="84">
        <v>340</v>
      </c>
      <c r="B113" s="85" t="s">
        <v>626</v>
      </c>
      <c r="C113" s="85" t="s">
        <v>594</v>
      </c>
      <c r="F113" s="70">
        <v>315388</v>
      </c>
      <c r="G113" s="86" t="s">
        <v>627</v>
      </c>
      <c r="H113" s="70">
        <v>0</v>
      </c>
    </row>
    <row r="114" spans="1:8" x14ac:dyDescent="0.35">
      <c r="A114" s="84">
        <v>3</v>
      </c>
      <c r="B114" s="85" t="s">
        <v>628</v>
      </c>
      <c r="C114" s="85" t="s">
        <v>629</v>
      </c>
      <c r="F114" s="70">
        <v>314730</v>
      </c>
      <c r="G114" s="86" t="s">
        <v>630</v>
      </c>
      <c r="H114" s="70">
        <v>0</v>
      </c>
    </row>
    <row r="115" spans="1:8" x14ac:dyDescent="0.35">
      <c r="A115" s="84">
        <v>4</v>
      </c>
      <c r="B115" s="85" t="s">
        <v>631</v>
      </c>
      <c r="C115" s="85" t="s">
        <v>629</v>
      </c>
      <c r="F115" s="70">
        <v>315271</v>
      </c>
      <c r="G115" s="86" t="s">
        <v>632</v>
      </c>
      <c r="H115" s="70">
        <v>0</v>
      </c>
    </row>
    <row r="116" spans="1:8" x14ac:dyDescent="0.35">
      <c r="A116" s="84">
        <v>6</v>
      </c>
      <c r="B116" s="85" t="s">
        <v>633</v>
      </c>
      <c r="C116" s="85" t="s">
        <v>629</v>
      </c>
      <c r="F116" s="70">
        <v>308798</v>
      </c>
      <c r="G116" s="86" t="s">
        <v>634</v>
      </c>
      <c r="H116" s="70">
        <v>0</v>
      </c>
    </row>
    <row r="117" spans="1:8" x14ac:dyDescent="0.35">
      <c r="A117" s="84">
        <v>8</v>
      </c>
      <c r="B117" s="85" t="s">
        <v>629</v>
      </c>
      <c r="C117" s="85" t="s">
        <v>629</v>
      </c>
      <c r="F117" s="70">
        <v>307068</v>
      </c>
      <c r="G117" s="86" t="s">
        <v>635</v>
      </c>
      <c r="H117" s="70">
        <v>0</v>
      </c>
    </row>
    <row r="118" spans="1:8" x14ac:dyDescent="0.35">
      <c r="A118" s="84">
        <v>10</v>
      </c>
      <c r="B118" s="85" t="s">
        <v>636</v>
      </c>
      <c r="C118" s="85" t="s">
        <v>629</v>
      </c>
      <c r="F118" s="70">
        <v>313706</v>
      </c>
      <c r="G118" s="86" t="s">
        <v>637</v>
      </c>
      <c r="H118" s="70">
        <v>0</v>
      </c>
    </row>
    <row r="119" spans="1:8" x14ac:dyDescent="0.35">
      <c r="A119" s="84">
        <v>15</v>
      </c>
      <c r="B119" s="85" t="s">
        <v>638</v>
      </c>
      <c r="C119" s="85" t="s">
        <v>629</v>
      </c>
      <c r="F119" s="70">
        <v>311943</v>
      </c>
      <c r="G119" s="86" t="s">
        <v>639</v>
      </c>
      <c r="H119" s="70">
        <v>0</v>
      </c>
    </row>
    <row r="120" spans="1:8" x14ac:dyDescent="0.35">
      <c r="A120" s="84">
        <v>16</v>
      </c>
      <c r="B120" s="85" t="s">
        <v>640</v>
      </c>
      <c r="C120" s="85" t="s">
        <v>629</v>
      </c>
      <c r="F120" s="70">
        <v>311141</v>
      </c>
      <c r="G120" s="86" t="s">
        <v>641</v>
      </c>
      <c r="H120" s="70">
        <v>0</v>
      </c>
    </row>
    <row r="121" spans="1:8" x14ac:dyDescent="0.35">
      <c r="A121" s="84">
        <v>18</v>
      </c>
      <c r="B121" s="85" t="s">
        <v>642</v>
      </c>
      <c r="C121" s="85" t="s">
        <v>629</v>
      </c>
      <c r="F121" s="70">
        <v>312544</v>
      </c>
      <c r="G121" s="86" t="s">
        <v>643</v>
      </c>
      <c r="H121" s="70">
        <v>0</v>
      </c>
    </row>
    <row r="122" spans="1:8" x14ac:dyDescent="0.35">
      <c r="A122" s="84">
        <v>62</v>
      </c>
      <c r="B122" s="85" t="s">
        <v>644</v>
      </c>
      <c r="C122" s="85" t="s">
        <v>629</v>
      </c>
      <c r="F122" s="70">
        <v>309965</v>
      </c>
      <c r="G122" s="86" t="s">
        <v>645</v>
      </c>
      <c r="H122" s="70">
        <v>0</v>
      </c>
    </row>
    <row r="123" spans="1:8" x14ac:dyDescent="0.35">
      <c r="A123" s="84">
        <v>106</v>
      </c>
      <c r="B123" s="85" t="s">
        <v>646</v>
      </c>
      <c r="C123" s="85" t="s">
        <v>629</v>
      </c>
      <c r="F123" s="70">
        <v>313675</v>
      </c>
      <c r="G123" s="86" t="s">
        <v>647</v>
      </c>
      <c r="H123" s="70">
        <v>0</v>
      </c>
    </row>
    <row r="124" spans="1:8" x14ac:dyDescent="0.35">
      <c r="A124" s="84">
        <v>199</v>
      </c>
      <c r="B124" s="85" t="s">
        <v>648</v>
      </c>
      <c r="C124" s="85" t="s">
        <v>629</v>
      </c>
      <c r="F124" s="70">
        <v>311623</v>
      </c>
      <c r="G124" s="86" t="s">
        <v>649</v>
      </c>
      <c r="H124" s="70">
        <v>0</v>
      </c>
    </row>
    <row r="125" spans="1:8" x14ac:dyDescent="0.35">
      <c r="A125" s="84">
        <v>282</v>
      </c>
      <c r="B125" s="85" t="s">
        <v>650</v>
      </c>
      <c r="C125" s="85" t="s">
        <v>629</v>
      </c>
      <c r="F125" s="70">
        <v>314219</v>
      </c>
      <c r="G125" s="86" t="s">
        <v>651</v>
      </c>
      <c r="H125" s="70">
        <v>0</v>
      </c>
    </row>
    <row r="126" spans="1:8" x14ac:dyDescent="0.35">
      <c r="A126" s="84">
        <v>317</v>
      </c>
      <c r="B126" s="85" t="s">
        <v>652</v>
      </c>
      <c r="C126" s="85" t="s">
        <v>629</v>
      </c>
      <c r="F126" s="70">
        <v>314495</v>
      </c>
      <c r="G126" s="86" t="s">
        <v>653</v>
      </c>
      <c r="H126" s="70">
        <v>0</v>
      </c>
    </row>
    <row r="127" spans="1:8" x14ac:dyDescent="0.35">
      <c r="A127" s="84">
        <v>323</v>
      </c>
      <c r="B127" s="85" t="s">
        <v>654</v>
      </c>
      <c r="C127" s="85" t="s">
        <v>629</v>
      </c>
      <c r="F127" s="70">
        <v>310116</v>
      </c>
      <c r="G127" s="86" t="s">
        <v>655</v>
      </c>
      <c r="H127" s="70">
        <v>0</v>
      </c>
    </row>
    <row r="128" spans="1:8" x14ac:dyDescent="0.35">
      <c r="A128" s="84">
        <v>324</v>
      </c>
      <c r="B128" s="85" t="s">
        <v>656</v>
      </c>
      <c r="C128" s="85" t="s">
        <v>629</v>
      </c>
      <c r="F128" s="70">
        <v>312164</v>
      </c>
      <c r="G128" s="86" t="s">
        <v>657</v>
      </c>
      <c r="H128" s="70">
        <v>0</v>
      </c>
    </row>
    <row r="129" spans="1:8" x14ac:dyDescent="0.35">
      <c r="A129" s="84">
        <v>9</v>
      </c>
      <c r="B129" s="85" t="s">
        <v>440</v>
      </c>
      <c r="C129" s="85" t="s">
        <v>440</v>
      </c>
      <c r="F129" s="70">
        <v>314695</v>
      </c>
      <c r="G129" s="86" t="s">
        <v>658</v>
      </c>
      <c r="H129" s="70">
        <v>0</v>
      </c>
    </row>
    <row r="130" spans="1:8" x14ac:dyDescent="0.35">
      <c r="A130" s="84">
        <v>26</v>
      </c>
      <c r="B130" s="85" t="s">
        <v>659</v>
      </c>
      <c r="C130" s="85" t="s">
        <v>440</v>
      </c>
      <c r="F130" s="70">
        <v>305070</v>
      </c>
      <c r="G130" s="86" t="s">
        <v>660</v>
      </c>
      <c r="H130" s="70">
        <v>0</v>
      </c>
    </row>
    <row r="131" spans="1:8" x14ac:dyDescent="0.35">
      <c r="A131" s="84">
        <v>32</v>
      </c>
      <c r="B131" s="85" t="s">
        <v>661</v>
      </c>
      <c r="C131" s="85" t="s">
        <v>440</v>
      </c>
      <c r="F131" s="70">
        <v>314496</v>
      </c>
      <c r="G131" s="86" t="s">
        <v>662</v>
      </c>
      <c r="H131" s="70">
        <v>0</v>
      </c>
    </row>
    <row r="132" spans="1:8" x14ac:dyDescent="0.35">
      <c r="A132" s="84">
        <v>52</v>
      </c>
      <c r="B132" s="85" t="s">
        <v>663</v>
      </c>
      <c r="C132" s="85" t="s">
        <v>440</v>
      </c>
      <c r="F132" s="70">
        <v>310463</v>
      </c>
      <c r="G132" s="86" t="s">
        <v>664</v>
      </c>
      <c r="H132" s="70">
        <v>0</v>
      </c>
    </row>
    <row r="133" spans="1:8" x14ac:dyDescent="0.35">
      <c r="A133" s="84">
        <v>60</v>
      </c>
      <c r="B133" s="85" t="s">
        <v>665</v>
      </c>
      <c r="C133" s="85" t="s">
        <v>440</v>
      </c>
      <c r="F133" s="70">
        <v>315542</v>
      </c>
      <c r="G133" s="86" t="s">
        <v>666</v>
      </c>
      <c r="H133" s="70">
        <v>0</v>
      </c>
    </row>
    <row r="134" spans="1:8" x14ac:dyDescent="0.35">
      <c r="A134" s="84">
        <v>69</v>
      </c>
      <c r="B134" s="85" t="s">
        <v>667</v>
      </c>
      <c r="C134" s="85" t="s">
        <v>440</v>
      </c>
      <c r="F134" s="70">
        <v>313655</v>
      </c>
      <c r="G134" s="86" t="s">
        <v>668</v>
      </c>
      <c r="H134" s="70">
        <v>0</v>
      </c>
    </row>
    <row r="135" spans="1:8" x14ac:dyDescent="0.35">
      <c r="A135" s="84">
        <v>74</v>
      </c>
      <c r="B135" s="85" t="s">
        <v>669</v>
      </c>
      <c r="C135" s="85" t="s">
        <v>440</v>
      </c>
      <c r="F135" s="70">
        <v>311035</v>
      </c>
      <c r="G135" s="86" t="s">
        <v>670</v>
      </c>
      <c r="H135" s="70">
        <v>0</v>
      </c>
    </row>
    <row r="136" spans="1:8" x14ac:dyDescent="0.35">
      <c r="A136" s="84">
        <v>200</v>
      </c>
      <c r="B136" s="85" t="s">
        <v>671</v>
      </c>
      <c r="C136" s="85" t="s">
        <v>440</v>
      </c>
      <c r="F136" s="70">
        <v>315227</v>
      </c>
      <c r="G136" s="86" t="s">
        <v>672</v>
      </c>
      <c r="H136" s="70">
        <v>0</v>
      </c>
    </row>
    <row r="137" spans="1:8" x14ac:dyDescent="0.35">
      <c r="A137" s="84">
        <v>220</v>
      </c>
      <c r="B137" s="85" t="s">
        <v>673</v>
      </c>
      <c r="C137" s="85" t="s">
        <v>440</v>
      </c>
      <c r="F137" s="70">
        <v>311689</v>
      </c>
      <c r="G137" s="86" t="s">
        <v>674</v>
      </c>
      <c r="H137" s="70">
        <v>0</v>
      </c>
    </row>
    <row r="138" spans="1:8" x14ac:dyDescent="0.35">
      <c r="A138" s="84">
        <v>252</v>
      </c>
      <c r="B138" s="85" t="s">
        <v>675</v>
      </c>
      <c r="C138" s="85" t="s">
        <v>440</v>
      </c>
      <c r="F138" s="70">
        <v>314853</v>
      </c>
      <c r="G138" s="86" t="s">
        <v>676</v>
      </c>
      <c r="H138" s="70">
        <v>0</v>
      </c>
    </row>
    <row r="139" spans="1:8" x14ac:dyDescent="0.35">
      <c r="A139" s="84">
        <v>260</v>
      </c>
      <c r="B139" s="85" t="s">
        <v>677</v>
      </c>
      <c r="C139" s="85" t="s">
        <v>440</v>
      </c>
      <c r="F139" s="70">
        <v>310812</v>
      </c>
      <c r="G139" s="86" t="s">
        <v>678</v>
      </c>
      <c r="H139" s="70">
        <v>0</v>
      </c>
    </row>
    <row r="140" spans="1:8" x14ac:dyDescent="0.35">
      <c r="A140" s="84">
        <v>273</v>
      </c>
      <c r="B140" s="85" t="s">
        <v>679</v>
      </c>
      <c r="C140" s="85" t="s">
        <v>440</v>
      </c>
      <c r="F140" s="70">
        <v>308857</v>
      </c>
      <c r="G140" s="86" t="s">
        <v>680</v>
      </c>
      <c r="H140" s="70">
        <v>0</v>
      </c>
    </row>
    <row r="141" spans="1:8" x14ac:dyDescent="0.35">
      <c r="A141" s="84">
        <v>280</v>
      </c>
      <c r="B141" s="85" t="s">
        <v>681</v>
      </c>
      <c r="C141" s="85" t="s">
        <v>440</v>
      </c>
      <c r="F141" s="70">
        <v>305633</v>
      </c>
      <c r="G141" s="86" t="s">
        <v>682</v>
      </c>
      <c r="H141" s="70">
        <v>0</v>
      </c>
    </row>
    <row r="142" spans="1:8" x14ac:dyDescent="0.35">
      <c r="A142" s="84">
        <v>91</v>
      </c>
      <c r="B142" s="85" t="s">
        <v>683</v>
      </c>
      <c r="C142" s="85" t="s">
        <v>684</v>
      </c>
      <c r="F142" s="70">
        <v>311220</v>
      </c>
      <c r="G142" s="86" t="s">
        <v>685</v>
      </c>
      <c r="H142" s="70">
        <v>0</v>
      </c>
    </row>
    <row r="143" spans="1:8" x14ac:dyDescent="0.35">
      <c r="A143" s="84">
        <v>285</v>
      </c>
      <c r="B143" s="85" t="s">
        <v>686</v>
      </c>
      <c r="C143" s="85" t="s">
        <v>684</v>
      </c>
      <c r="F143" s="70">
        <v>314642</v>
      </c>
      <c r="G143" s="86" t="s">
        <v>687</v>
      </c>
      <c r="H143" s="70">
        <v>0</v>
      </c>
    </row>
    <row r="144" spans="1:8" x14ac:dyDescent="0.35">
      <c r="A144" s="84">
        <v>291</v>
      </c>
      <c r="B144" s="85" t="s">
        <v>688</v>
      </c>
      <c r="C144" s="85" t="s">
        <v>684</v>
      </c>
      <c r="F144" s="70">
        <v>304427</v>
      </c>
      <c r="G144" s="86" t="s">
        <v>689</v>
      </c>
      <c r="H144" s="70">
        <v>0</v>
      </c>
    </row>
    <row r="145" spans="1:8" x14ac:dyDescent="0.35">
      <c r="A145" s="84">
        <v>293</v>
      </c>
      <c r="B145" s="85" t="s">
        <v>690</v>
      </c>
      <c r="C145" s="85" t="s">
        <v>684</v>
      </c>
      <c r="F145" s="70">
        <v>315536</v>
      </c>
      <c r="G145" s="86" t="s">
        <v>691</v>
      </c>
      <c r="H145" s="70">
        <v>0</v>
      </c>
    </row>
    <row r="146" spans="1:8" x14ac:dyDescent="0.35">
      <c r="A146" s="84">
        <v>307</v>
      </c>
      <c r="B146" s="85" t="s">
        <v>692</v>
      </c>
      <c r="C146" s="85" t="s">
        <v>684</v>
      </c>
      <c r="F146" s="70">
        <v>310019</v>
      </c>
      <c r="G146" s="86" t="s">
        <v>693</v>
      </c>
      <c r="H146" s="70">
        <v>0</v>
      </c>
    </row>
    <row r="147" spans="1:8" x14ac:dyDescent="0.35">
      <c r="A147" s="84">
        <v>315</v>
      </c>
      <c r="B147" s="85" t="s">
        <v>694</v>
      </c>
      <c r="C147" s="85" t="s">
        <v>684</v>
      </c>
      <c r="F147" s="70">
        <v>301074</v>
      </c>
      <c r="G147" s="86" t="s">
        <v>695</v>
      </c>
      <c r="H147" s="70">
        <v>0</v>
      </c>
    </row>
    <row r="148" spans="1:8" x14ac:dyDescent="0.35">
      <c r="A148" s="84">
        <v>316</v>
      </c>
      <c r="B148" s="85" t="s">
        <v>696</v>
      </c>
      <c r="C148" s="85" t="s">
        <v>684</v>
      </c>
      <c r="F148" s="70">
        <v>313843</v>
      </c>
      <c r="G148" s="86" t="s">
        <v>697</v>
      </c>
      <c r="H148" s="70">
        <v>0</v>
      </c>
    </row>
    <row r="149" spans="1:8" x14ac:dyDescent="0.35">
      <c r="A149" s="84">
        <v>20</v>
      </c>
      <c r="B149" s="85" t="s">
        <v>698</v>
      </c>
      <c r="C149" s="85" t="s">
        <v>699</v>
      </c>
      <c r="F149" s="70">
        <v>309042</v>
      </c>
      <c r="G149" s="86" t="s">
        <v>700</v>
      </c>
      <c r="H149" s="70">
        <v>0</v>
      </c>
    </row>
    <row r="150" spans="1:8" x14ac:dyDescent="0.35">
      <c r="A150" s="84">
        <v>25</v>
      </c>
      <c r="B150" s="85" t="s">
        <v>701</v>
      </c>
      <c r="C150" s="85" t="s">
        <v>699</v>
      </c>
      <c r="F150" s="70">
        <v>306259</v>
      </c>
      <c r="G150" s="86" t="s">
        <v>702</v>
      </c>
      <c r="H150" s="70">
        <v>0</v>
      </c>
    </row>
    <row r="151" spans="1:8" x14ac:dyDescent="0.35">
      <c r="A151" s="84">
        <v>31</v>
      </c>
      <c r="B151" s="85" t="s">
        <v>703</v>
      </c>
      <c r="C151" s="85" t="s">
        <v>699</v>
      </c>
      <c r="F151" s="70">
        <v>315398</v>
      </c>
      <c r="G151" s="86" t="s">
        <v>704</v>
      </c>
      <c r="H151" s="70">
        <v>0</v>
      </c>
    </row>
    <row r="152" spans="1:8" x14ac:dyDescent="0.35">
      <c r="A152" s="84">
        <v>43</v>
      </c>
      <c r="B152" s="85" t="s">
        <v>705</v>
      </c>
      <c r="C152" s="85" t="s">
        <v>699</v>
      </c>
      <c r="F152" s="70">
        <v>313436</v>
      </c>
      <c r="G152" s="86" t="s">
        <v>706</v>
      </c>
      <c r="H152" s="70">
        <v>0</v>
      </c>
    </row>
    <row r="153" spans="1:8" x14ac:dyDescent="0.35">
      <c r="A153" s="84">
        <v>48</v>
      </c>
      <c r="B153" s="85" t="s">
        <v>707</v>
      </c>
      <c r="C153" s="85" t="s">
        <v>699</v>
      </c>
      <c r="F153" s="70">
        <v>310691</v>
      </c>
      <c r="G153" s="86" t="s">
        <v>708</v>
      </c>
      <c r="H153" s="70">
        <v>0</v>
      </c>
    </row>
    <row r="154" spans="1:8" x14ac:dyDescent="0.35">
      <c r="A154" s="84">
        <v>63</v>
      </c>
      <c r="B154" s="85" t="s">
        <v>709</v>
      </c>
      <c r="C154" s="85" t="s">
        <v>699</v>
      </c>
      <c r="F154" s="70">
        <v>314290</v>
      </c>
      <c r="G154" s="86" t="s">
        <v>710</v>
      </c>
      <c r="H154" s="70">
        <v>0</v>
      </c>
    </row>
    <row r="155" spans="1:8" x14ac:dyDescent="0.35">
      <c r="A155" s="84">
        <v>89</v>
      </c>
      <c r="B155" s="85" t="s">
        <v>711</v>
      </c>
      <c r="C155" s="85" t="s">
        <v>699</v>
      </c>
      <c r="F155" s="70">
        <v>315133</v>
      </c>
      <c r="G155" s="86" t="s">
        <v>712</v>
      </c>
      <c r="H155" s="70">
        <v>0</v>
      </c>
    </row>
    <row r="156" spans="1:8" x14ac:dyDescent="0.35">
      <c r="A156" s="84">
        <v>130</v>
      </c>
      <c r="B156" s="85" t="s">
        <v>713</v>
      </c>
      <c r="C156" s="85" t="s">
        <v>699</v>
      </c>
      <c r="F156" s="70">
        <v>307335</v>
      </c>
      <c r="G156" s="86" t="s">
        <v>714</v>
      </c>
      <c r="H156" s="70">
        <v>0</v>
      </c>
    </row>
    <row r="157" spans="1:8" x14ac:dyDescent="0.35">
      <c r="A157" s="84">
        <v>143</v>
      </c>
      <c r="B157" s="85" t="s">
        <v>715</v>
      </c>
      <c r="C157" s="85" t="s">
        <v>699</v>
      </c>
      <c r="F157" s="70">
        <v>314864</v>
      </c>
      <c r="G157" s="86" t="s">
        <v>716</v>
      </c>
      <c r="H157" s="70">
        <v>0</v>
      </c>
    </row>
    <row r="158" spans="1:8" x14ac:dyDescent="0.35">
      <c r="A158" s="84">
        <v>176</v>
      </c>
      <c r="B158" s="85" t="s">
        <v>717</v>
      </c>
      <c r="C158" s="85" t="s">
        <v>699</v>
      </c>
      <c r="F158" s="70">
        <v>313648</v>
      </c>
      <c r="G158" s="86" t="s">
        <v>718</v>
      </c>
      <c r="H158" s="70">
        <v>0</v>
      </c>
    </row>
    <row r="159" spans="1:8" x14ac:dyDescent="0.35">
      <c r="A159" s="84">
        <v>178</v>
      </c>
      <c r="B159" s="85" t="s">
        <v>719</v>
      </c>
      <c r="C159" s="85" t="s">
        <v>699</v>
      </c>
      <c r="F159" s="70">
        <v>303766</v>
      </c>
      <c r="G159" s="86" t="s">
        <v>720</v>
      </c>
      <c r="H159" s="70">
        <v>0</v>
      </c>
    </row>
    <row r="160" spans="1:8" x14ac:dyDescent="0.35">
      <c r="A160" s="84">
        <v>227</v>
      </c>
      <c r="B160" s="85" t="s">
        <v>721</v>
      </c>
      <c r="C160" s="85" t="s">
        <v>699</v>
      </c>
      <c r="F160" s="70">
        <v>313985</v>
      </c>
      <c r="G160" s="86" t="s">
        <v>722</v>
      </c>
      <c r="H160" s="70">
        <v>0</v>
      </c>
    </row>
    <row r="161" spans="1:8" x14ac:dyDescent="0.35">
      <c r="A161" s="84">
        <v>236</v>
      </c>
      <c r="B161" s="85" t="s">
        <v>723</v>
      </c>
      <c r="C161" s="85" t="s">
        <v>699</v>
      </c>
      <c r="F161" s="70">
        <v>315267</v>
      </c>
      <c r="G161" s="86" t="s">
        <v>724</v>
      </c>
      <c r="H161" s="70">
        <v>0</v>
      </c>
    </row>
    <row r="162" spans="1:8" x14ac:dyDescent="0.35">
      <c r="A162" s="84">
        <v>257</v>
      </c>
      <c r="B162" s="85" t="s">
        <v>725</v>
      </c>
      <c r="C162" s="85" t="s">
        <v>699</v>
      </c>
      <c r="F162" s="70">
        <v>314451</v>
      </c>
      <c r="G162" s="86" t="s">
        <v>726</v>
      </c>
      <c r="H162" s="70">
        <v>0</v>
      </c>
    </row>
    <row r="163" spans="1:8" x14ac:dyDescent="0.35">
      <c r="A163" s="84">
        <v>297</v>
      </c>
      <c r="B163" s="85" t="s">
        <v>727</v>
      </c>
      <c r="C163" s="85" t="s">
        <v>699</v>
      </c>
      <c r="F163" s="70">
        <v>312153</v>
      </c>
      <c r="G163" s="86" t="s">
        <v>728</v>
      </c>
      <c r="H163" s="70">
        <v>0</v>
      </c>
    </row>
    <row r="164" spans="1:8" x14ac:dyDescent="0.35">
      <c r="A164" s="90">
        <v>400</v>
      </c>
      <c r="B164" s="91" t="s">
        <v>729</v>
      </c>
      <c r="C164" s="91" t="s">
        <v>392</v>
      </c>
      <c r="F164" s="70">
        <v>315125</v>
      </c>
      <c r="G164" s="86" t="s">
        <v>730</v>
      </c>
      <c r="H164" s="70">
        <v>0</v>
      </c>
    </row>
    <row r="165" spans="1:8" x14ac:dyDescent="0.35">
      <c r="A165" s="90">
        <v>93</v>
      </c>
      <c r="B165" s="91" t="s">
        <v>731</v>
      </c>
      <c r="C165" s="91" t="s">
        <v>731</v>
      </c>
      <c r="F165" s="70">
        <v>314135</v>
      </c>
      <c r="G165" s="86" t="s">
        <v>732</v>
      </c>
      <c r="H165" s="70">
        <v>0</v>
      </c>
    </row>
    <row r="166" spans="1:8" x14ac:dyDescent="0.35">
      <c r="A166" s="90">
        <v>345</v>
      </c>
      <c r="B166" s="90" t="s">
        <v>733</v>
      </c>
      <c r="C166" s="91" t="s">
        <v>699</v>
      </c>
      <c r="F166" s="70">
        <v>315051</v>
      </c>
      <c r="G166" s="86" t="s">
        <v>734</v>
      </c>
      <c r="H166" s="70">
        <v>0</v>
      </c>
    </row>
    <row r="167" spans="1:8" x14ac:dyDescent="0.35">
      <c r="A167" s="90">
        <v>354</v>
      </c>
      <c r="B167" s="90" t="s">
        <v>735</v>
      </c>
      <c r="C167" s="91" t="s">
        <v>463</v>
      </c>
      <c r="F167" s="70">
        <v>309822</v>
      </c>
      <c r="G167" s="86" t="s">
        <v>736</v>
      </c>
      <c r="H167" s="70">
        <v>0</v>
      </c>
    </row>
    <row r="168" spans="1:8" x14ac:dyDescent="0.35">
      <c r="A168" s="90">
        <v>301</v>
      </c>
      <c r="B168" s="91" t="s">
        <v>737</v>
      </c>
      <c r="C168" s="91" t="s">
        <v>392</v>
      </c>
      <c r="F168" s="70">
        <v>302371</v>
      </c>
      <c r="G168" s="86" t="s">
        <v>738</v>
      </c>
      <c r="H168" s="70">
        <v>0</v>
      </c>
    </row>
    <row r="169" spans="1:8" x14ac:dyDescent="0.35">
      <c r="A169" s="90">
        <v>351</v>
      </c>
      <c r="B169" s="91" t="s">
        <v>739</v>
      </c>
      <c r="C169" s="91" t="s">
        <v>440</v>
      </c>
      <c r="F169" s="70">
        <v>314738</v>
      </c>
      <c r="G169" s="86" t="s">
        <v>740</v>
      </c>
      <c r="H169" s="70">
        <v>0</v>
      </c>
    </row>
    <row r="170" spans="1:8" x14ac:dyDescent="0.35">
      <c r="A170" s="90">
        <v>355</v>
      </c>
      <c r="B170" s="91" t="s">
        <v>741</v>
      </c>
      <c r="C170" s="91" t="s">
        <v>463</v>
      </c>
      <c r="F170" s="70">
        <v>315158</v>
      </c>
      <c r="G170" s="86" t="s">
        <v>742</v>
      </c>
      <c r="H170" s="70">
        <v>0</v>
      </c>
    </row>
    <row r="171" spans="1:8" x14ac:dyDescent="0.35">
      <c r="F171" s="70">
        <v>312533</v>
      </c>
      <c r="G171" s="86" t="s">
        <v>743</v>
      </c>
      <c r="H171" s="70">
        <v>0</v>
      </c>
    </row>
    <row r="172" spans="1:8" x14ac:dyDescent="0.35">
      <c r="F172" s="70">
        <v>314773</v>
      </c>
      <c r="G172" s="86" t="s">
        <v>744</v>
      </c>
      <c r="H172" s="70">
        <v>0</v>
      </c>
    </row>
    <row r="173" spans="1:8" x14ac:dyDescent="0.35">
      <c r="F173" s="70">
        <v>313303</v>
      </c>
      <c r="G173" s="86" t="s">
        <v>745</v>
      </c>
      <c r="H173" s="70">
        <v>0</v>
      </c>
    </row>
    <row r="174" spans="1:8" x14ac:dyDescent="0.35">
      <c r="F174" s="70">
        <v>314841</v>
      </c>
      <c r="G174" s="86" t="s">
        <v>746</v>
      </c>
      <c r="H174" s="70">
        <v>0</v>
      </c>
    </row>
    <row r="175" spans="1:8" x14ac:dyDescent="0.35">
      <c r="F175" s="70">
        <v>308075</v>
      </c>
      <c r="G175" s="86" t="s">
        <v>747</v>
      </c>
      <c r="H175" s="70">
        <v>0</v>
      </c>
    </row>
    <row r="176" spans="1:8" x14ac:dyDescent="0.35">
      <c r="F176" s="70">
        <v>314441</v>
      </c>
      <c r="G176" s="86" t="s">
        <v>748</v>
      </c>
      <c r="H176" s="70">
        <v>0</v>
      </c>
    </row>
    <row r="177" spans="6:8" x14ac:dyDescent="0.35">
      <c r="F177" s="70">
        <v>202153</v>
      </c>
      <c r="G177" s="86" t="s">
        <v>749</v>
      </c>
      <c r="H177" s="70">
        <v>0</v>
      </c>
    </row>
    <row r="178" spans="6:8" x14ac:dyDescent="0.35">
      <c r="F178" s="70">
        <v>313324</v>
      </c>
      <c r="G178" s="86" t="s">
        <v>750</v>
      </c>
      <c r="H178" s="70">
        <v>0</v>
      </c>
    </row>
    <row r="179" spans="6:8" x14ac:dyDescent="0.35">
      <c r="F179" s="70">
        <v>310535</v>
      </c>
      <c r="G179" s="86" t="s">
        <v>751</v>
      </c>
      <c r="H179" s="70">
        <v>0</v>
      </c>
    </row>
    <row r="180" spans="6:8" x14ac:dyDescent="0.35">
      <c r="F180" s="70">
        <v>315501</v>
      </c>
      <c r="G180" s="86" t="s">
        <v>752</v>
      </c>
      <c r="H180" s="70">
        <v>0</v>
      </c>
    </row>
    <row r="181" spans="6:8" x14ac:dyDescent="0.35">
      <c r="F181" s="70">
        <v>313844</v>
      </c>
      <c r="G181" s="86" t="s">
        <v>753</v>
      </c>
      <c r="H181" s="70">
        <v>0</v>
      </c>
    </row>
    <row r="182" spans="6:8" x14ac:dyDescent="0.35">
      <c r="F182" s="70">
        <v>315111</v>
      </c>
      <c r="G182" s="86" t="s">
        <v>754</v>
      </c>
      <c r="H182" s="70">
        <v>0</v>
      </c>
    </row>
    <row r="183" spans="6:8" x14ac:dyDescent="0.35">
      <c r="F183" s="70">
        <v>304522</v>
      </c>
      <c r="G183" s="86" t="s">
        <v>755</v>
      </c>
      <c r="H183" s="70">
        <v>0</v>
      </c>
    </row>
    <row r="184" spans="6:8" x14ac:dyDescent="0.35">
      <c r="F184" s="70">
        <v>315182</v>
      </c>
      <c r="G184" s="86" t="s">
        <v>756</v>
      </c>
      <c r="H184" s="70">
        <v>0</v>
      </c>
    </row>
    <row r="185" spans="6:8" x14ac:dyDescent="0.35">
      <c r="F185" s="70">
        <v>311800</v>
      </c>
      <c r="G185" s="86" t="s">
        <v>757</v>
      </c>
      <c r="H185" s="70">
        <v>0</v>
      </c>
    </row>
    <row r="186" spans="6:8" x14ac:dyDescent="0.35">
      <c r="F186" s="70">
        <v>312849</v>
      </c>
      <c r="G186" s="86" t="s">
        <v>758</v>
      </c>
      <c r="H186" s="70">
        <v>0</v>
      </c>
    </row>
    <row r="187" spans="6:8" x14ac:dyDescent="0.35">
      <c r="F187" s="70">
        <v>315498</v>
      </c>
      <c r="G187" s="86" t="s">
        <v>759</v>
      </c>
      <c r="H187" s="70">
        <v>0</v>
      </c>
    </row>
    <row r="188" spans="6:8" x14ac:dyDescent="0.35">
      <c r="F188" s="70">
        <v>312692</v>
      </c>
      <c r="G188" s="86" t="s">
        <v>760</v>
      </c>
      <c r="H188" s="70">
        <v>0</v>
      </c>
    </row>
    <row r="189" spans="6:8" x14ac:dyDescent="0.35">
      <c r="F189" s="70">
        <v>314287</v>
      </c>
      <c r="G189" s="86" t="s">
        <v>761</v>
      </c>
      <c r="H189" s="70">
        <v>0</v>
      </c>
    </row>
    <row r="190" spans="6:8" x14ac:dyDescent="0.35">
      <c r="F190" s="70">
        <v>313662</v>
      </c>
      <c r="G190" s="86" t="s">
        <v>762</v>
      </c>
      <c r="H190" s="70">
        <v>0</v>
      </c>
    </row>
    <row r="191" spans="6:8" x14ac:dyDescent="0.35">
      <c r="F191" s="70">
        <v>307766</v>
      </c>
      <c r="G191" s="86" t="s">
        <v>763</v>
      </c>
      <c r="H191" s="70">
        <v>0</v>
      </c>
    </row>
    <row r="192" spans="6:8" x14ac:dyDescent="0.35">
      <c r="F192" s="70">
        <v>311730</v>
      </c>
      <c r="G192" s="86" t="s">
        <v>764</v>
      </c>
      <c r="H192" s="70">
        <v>0</v>
      </c>
    </row>
    <row r="193" spans="6:9" x14ac:dyDescent="0.35">
      <c r="F193" s="70">
        <v>314955</v>
      </c>
      <c r="G193" s="86" t="s">
        <v>765</v>
      </c>
      <c r="H193" s="70">
        <v>0</v>
      </c>
      <c r="I193" s="92"/>
    </row>
    <row r="194" spans="6:9" x14ac:dyDescent="0.35">
      <c r="F194" s="70">
        <v>310950</v>
      </c>
      <c r="G194" s="86" t="s">
        <v>766</v>
      </c>
      <c r="H194" s="70">
        <v>0</v>
      </c>
      <c r="I194" s="92"/>
    </row>
    <row r="195" spans="6:9" x14ac:dyDescent="0.35">
      <c r="F195" s="70">
        <v>314640</v>
      </c>
      <c r="G195" s="86" t="s">
        <v>767</v>
      </c>
      <c r="H195" s="70">
        <v>0</v>
      </c>
    </row>
    <row r="196" spans="6:9" x14ac:dyDescent="0.35">
      <c r="F196" s="70">
        <v>300192</v>
      </c>
      <c r="G196" s="86" t="s">
        <v>768</v>
      </c>
      <c r="H196" s="70">
        <v>0</v>
      </c>
    </row>
    <row r="197" spans="6:9" x14ac:dyDescent="0.35">
      <c r="F197" s="70">
        <v>313484</v>
      </c>
      <c r="G197" s="86" t="s">
        <v>769</v>
      </c>
      <c r="H197" s="70">
        <v>0</v>
      </c>
    </row>
    <row r="198" spans="6:9" x14ac:dyDescent="0.35">
      <c r="F198" s="70">
        <v>303330</v>
      </c>
      <c r="G198" s="86" t="s">
        <v>770</v>
      </c>
      <c r="H198" s="70">
        <v>0</v>
      </c>
    </row>
    <row r="199" spans="6:9" x14ac:dyDescent="0.35">
      <c r="F199" s="70">
        <v>314446</v>
      </c>
      <c r="G199" s="86" t="s">
        <v>771</v>
      </c>
      <c r="H199" s="70">
        <v>0</v>
      </c>
    </row>
    <row r="200" spans="6:9" x14ac:dyDescent="0.35">
      <c r="F200" s="70">
        <v>314900</v>
      </c>
      <c r="G200" s="86" t="s">
        <v>772</v>
      </c>
      <c r="H200" s="70">
        <v>0</v>
      </c>
    </row>
    <row r="201" spans="6:9" x14ac:dyDescent="0.35">
      <c r="F201" s="70">
        <v>311692</v>
      </c>
      <c r="G201" s="86" t="s">
        <v>773</v>
      </c>
      <c r="H201" s="70">
        <v>0</v>
      </c>
    </row>
    <row r="202" spans="6:9" x14ac:dyDescent="0.35">
      <c r="F202" s="70">
        <v>315401</v>
      </c>
      <c r="G202" s="86" t="s">
        <v>774</v>
      </c>
      <c r="H202" s="70">
        <v>0</v>
      </c>
    </row>
    <row r="203" spans="6:9" x14ac:dyDescent="0.35">
      <c r="F203" s="70">
        <v>315509</v>
      </c>
      <c r="G203" s="86" t="s">
        <v>775</v>
      </c>
      <c r="H203" s="70">
        <v>0</v>
      </c>
    </row>
    <row r="204" spans="6:9" x14ac:dyDescent="0.35">
      <c r="F204" s="70">
        <v>310362</v>
      </c>
      <c r="G204" s="86" t="s">
        <v>776</v>
      </c>
      <c r="H204" s="70">
        <v>0</v>
      </c>
    </row>
    <row r="205" spans="6:9" x14ac:dyDescent="0.35">
      <c r="F205" s="70">
        <v>315525</v>
      </c>
      <c r="G205" s="86" t="s">
        <v>777</v>
      </c>
      <c r="H205" s="70">
        <v>0</v>
      </c>
    </row>
    <row r="206" spans="6:9" x14ac:dyDescent="0.35">
      <c r="F206" s="70">
        <v>314565</v>
      </c>
      <c r="G206" s="86" t="s">
        <v>778</v>
      </c>
      <c r="H206" s="70">
        <v>0</v>
      </c>
    </row>
    <row r="207" spans="6:9" x14ac:dyDescent="0.35">
      <c r="F207" s="70">
        <v>309907</v>
      </c>
      <c r="G207" s="86" t="s">
        <v>779</v>
      </c>
      <c r="H207" s="70">
        <v>0</v>
      </c>
    </row>
    <row r="208" spans="6:9" x14ac:dyDescent="0.35">
      <c r="F208" s="70">
        <v>312703</v>
      </c>
      <c r="G208" s="86" t="s">
        <v>780</v>
      </c>
      <c r="H208" s="70">
        <v>0</v>
      </c>
    </row>
    <row r="209" spans="6:8" x14ac:dyDescent="0.35">
      <c r="F209" s="70">
        <v>307760</v>
      </c>
      <c r="G209" s="86" t="s">
        <v>781</v>
      </c>
      <c r="H209" s="70">
        <v>0</v>
      </c>
    </row>
    <row r="210" spans="6:8" x14ac:dyDescent="0.35">
      <c r="F210" s="70">
        <v>312950</v>
      </c>
      <c r="G210" s="86" t="s">
        <v>782</v>
      </c>
      <c r="H210" s="70">
        <v>0</v>
      </c>
    </row>
    <row r="211" spans="6:8" x14ac:dyDescent="0.35">
      <c r="F211" s="70">
        <v>312302</v>
      </c>
      <c r="G211" s="86" t="s">
        <v>783</v>
      </c>
      <c r="H211" s="70">
        <v>0</v>
      </c>
    </row>
    <row r="212" spans="6:8" x14ac:dyDescent="0.35">
      <c r="F212" s="70">
        <v>315484</v>
      </c>
      <c r="G212" s="86" t="s">
        <v>784</v>
      </c>
      <c r="H212" s="70">
        <v>0</v>
      </c>
    </row>
    <row r="213" spans="6:8" x14ac:dyDescent="0.35">
      <c r="F213" s="70">
        <v>312872</v>
      </c>
      <c r="G213" s="86" t="s">
        <v>785</v>
      </c>
      <c r="H213" s="70">
        <v>0</v>
      </c>
    </row>
    <row r="214" spans="6:8" x14ac:dyDescent="0.35">
      <c r="F214" s="70">
        <v>312532</v>
      </c>
      <c r="G214" s="86" t="s">
        <v>786</v>
      </c>
      <c r="H214" s="70">
        <v>0</v>
      </c>
    </row>
    <row r="215" spans="6:8" x14ac:dyDescent="0.35">
      <c r="F215" s="70">
        <v>314028</v>
      </c>
      <c r="G215" s="86" t="s">
        <v>787</v>
      </c>
      <c r="H215" s="70">
        <v>0</v>
      </c>
    </row>
    <row r="216" spans="6:8" x14ac:dyDescent="0.35">
      <c r="F216" s="70">
        <v>314689</v>
      </c>
      <c r="G216" s="86" t="s">
        <v>788</v>
      </c>
      <c r="H216" s="70">
        <v>0</v>
      </c>
    </row>
    <row r="217" spans="6:8" x14ac:dyDescent="0.35">
      <c r="F217" s="70">
        <v>314409</v>
      </c>
      <c r="G217" s="86" t="s">
        <v>789</v>
      </c>
      <c r="H217" s="70">
        <v>0</v>
      </c>
    </row>
    <row r="218" spans="6:8" x14ac:dyDescent="0.35">
      <c r="F218" s="70">
        <v>310946</v>
      </c>
      <c r="G218" s="86" t="s">
        <v>790</v>
      </c>
      <c r="H218" s="70">
        <v>0</v>
      </c>
    </row>
    <row r="219" spans="6:8" x14ac:dyDescent="0.35">
      <c r="F219" s="70">
        <v>312831</v>
      </c>
      <c r="G219" s="86" t="s">
        <v>791</v>
      </c>
      <c r="H219" s="70">
        <v>0</v>
      </c>
    </row>
    <row r="220" spans="6:8" x14ac:dyDescent="0.35">
      <c r="F220" s="70">
        <v>312181</v>
      </c>
      <c r="G220" s="86" t="s">
        <v>792</v>
      </c>
      <c r="H220" s="70">
        <v>0</v>
      </c>
    </row>
    <row r="221" spans="6:8" x14ac:dyDescent="0.35">
      <c r="F221" s="70">
        <v>310768</v>
      </c>
      <c r="G221" s="86" t="s">
        <v>793</v>
      </c>
      <c r="H221" s="70">
        <v>0</v>
      </c>
    </row>
    <row r="222" spans="6:8" x14ac:dyDescent="0.35">
      <c r="F222" s="70">
        <v>315453</v>
      </c>
      <c r="G222" s="86" t="s">
        <v>794</v>
      </c>
      <c r="H222" s="70">
        <v>0</v>
      </c>
    </row>
    <row r="223" spans="6:8" x14ac:dyDescent="0.35">
      <c r="F223" s="70">
        <v>306444</v>
      </c>
      <c r="G223" s="86" t="s">
        <v>795</v>
      </c>
      <c r="H223" s="70">
        <v>0</v>
      </c>
    </row>
    <row r="224" spans="6:8" x14ac:dyDescent="0.35">
      <c r="F224" s="70">
        <v>301809</v>
      </c>
      <c r="G224" s="86" t="s">
        <v>796</v>
      </c>
      <c r="H224" s="70">
        <v>0</v>
      </c>
    </row>
    <row r="225" spans="6:8" x14ac:dyDescent="0.35">
      <c r="F225" s="70">
        <v>311808</v>
      </c>
      <c r="G225" s="86" t="s">
        <v>797</v>
      </c>
      <c r="H225" s="70">
        <v>0</v>
      </c>
    </row>
    <row r="226" spans="6:8" x14ac:dyDescent="0.35">
      <c r="F226" s="70">
        <v>314574</v>
      </c>
      <c r="G226" s="86" t="s">
        <v>798</v>
      </c>
      <c r="H226" s="70">
        <v>0</v>
      </c>
    </row>
    <row r="227" spans="6:8" x14ac:dyDescent="0.35">
      <c r="F227" s="70">
        <v>313613</v>
      </c>
      <c r="G227" s="86" t="s">
        <v>799</v>
      </c>
      <c r="H227" s="70">
        <v>0</v>
      </c>
    </row>
    <row r="228" spans="6:8" x14ac:dyDescent="0.35">
      <c r="F228" s="70">
        <v>306569</v>
      </c>
      <c r="G228" s="86" t="s">
        <v>800</v>
      </c>
      <c r="H228" s="70">
        <v>0</v>
      </c>
    </row>
    <row r="229" spans="6:8" x14ac:dyDescent="0.35">
      <c r="F229" s="70">
        <v>311441</v>
      </c>
      <c r="G229" s="86" t="s">
        <v>801</v>
      </c>
      <c r="H229" s="70">
        <v>0</v>
      </c>
    </row>
    <row r="230" spans="6:8" x14ac:dyDescent="0.35">
      <c r="F230" s="70">
        <v>303265</v>
      </c>
      <c r="G230" s="86" t="s">
        <v>802</v>
      </c>
      <c r="H230" s="70">
        <v>0</v>
      </c>
    </row>
    <row r="231" spans="6:8" x14ac:dyDescent="0.35">
      <c r="F231" s="70">
        <v>313318</v>
      </c>
      <c r="G231" s="86" t="s">
        <v>803</v>
      </c>
      <c r="H231" s="70">
        <v>0</v>
      </c>
    </row>
    <row r="232" spans="6:8" x14ac:dyDescent="0.35">
      <c r="F232" s="70">
        <v>309535</v>
      </c>
      <c r="G232" s="86" t="s">
        <v>804</v>
      </c>
      <c r="H232" s="70">
        <v>0</v>
      </c>
    </row>
    <row r="233" spans="6:8" x14ac:dyDescent="0.35">
      <c r="F233" s="70">
        <v>310711</v>
      </c>
      <c r="G233" s="86" t="s">
        <v>805</v>
      </c>
      <c r="H233" s="70">
        <v>0</v>
      </c>
    </row>
    <row r="234" spans="6:8" x14ac:dyDescent="0.35">
      <c r="F234" s="70">
        <v>312995</v>
      </c>
      <c r="G234" s="86" t="s">
        <v>806</v>
      </c>
      <c r="H234" s="70">
        <v>0</v>
      </c>
    </row>
    <row r="235" spans="6:8" x14ac:dyDescent="0.35">
      <c r="F235" s="70">
        <v>314701</v>
      </c>
      <c r="G235" s="86" t="s">
        <v>807</v>
      </c>
      <c r="H235" s="70">
        <v>0</v>
      </c>
    </row>
    <row r="236" spans="6:8" x14ac:dyDescent="0.35">
      <c r="F236" s="70">
        <v>314612</v>
      </c>
      <c r="G236" s="86" t="s">
        <v>808</v>
      </c>
      <c r="H236" s="70">
        <v>0</v>
      </c>
    </row>
    <row r="237" spans="6:8" x14ac:dyDescent="0.35">
      <c r="F237" s="70">
        <v>314468</v>
      </c>
      <c r="G237" s="86" t="s">
        <v>809</v>
      </c>
      <c r="H237" s="70">
        <v>0</v>
      </c>
    </row>
    <row r="238" spans="6:8" x14ac:dyDescent="0.35">
      <c r="F238" s="70">
        <v>314670</v>
      </c>
      <c r="G238" s="86" t="s">
        <v>810</v>
      </c>
      <c r="H238" s="70">
        <v>0</v>
      </c>
    </row>
    <row r="239" spans="6:8" x14ac:dyDescent="0.35">
      <c r="F239" s="70">
        <v>315578</v>
      </c>
      <c r="G239" s="86" t="s">
        <v>811</v>
      </c>
      <c r="H239" s="70">
        <v>0</v>
      </c>
    </row>
    <row r="240" spans="6:8" x14ac:dyDescent="0.35">
      <c r="F240" s="70">
        <v>307449</v>
      </c>
      <c r="G240" s="86" t="s">
        <v>812</v>
      </c>
      <c r="H240" s="70">
        <v>0</v>
      </c>
    </row>
    <row r="241" spans="6:8" x14ac:dyDescent="0.35">
      <c r="F241" s="70">
        <v>306823</v>
      </c>
      <c r="G241" s="86" t="s">
        <v>813</v>
      </c>
      <c r="H241" s="70">
        <v>0</v>
      </c>
    </row>
    <row r="242" spans="6:8" x14ac:dyDescent="0.35">
      <c r="F242" s="70">
        <v>313589</v>
      </c>
      <c r="G242" s="86" t="s">
        <v>814</v>
      </c>
      <c r="H242" s="70">
        <v>0</v>
      </c>
    </row>
    <row r="243" spans="6:8" x14ac:dyDescent="0.35">
      <c r="F243" s="70">
        <v>310386</v>
      </c>
      <c r="G243" s="86" t="s">
        <v>815</v>
      </c>
      <c r="H243" s="70">
        <v>0</v>
      </c>
    </row>
    <row r="244" spans="6:8" x14ac:dyDescent="0.35">
      <c r="F244" s="70">
        <v>314883</v>
      </c>
      <c r="G244" s="86" t="s">
        <v>816</v>
      </c>
      <c r="H244" s="70">
        <v>0</v>
      </c>
    </row>
    <row r="245" spans="6:8" x14ac:dyDescent="0.35">
      <c r="F245" s="70">
        <v>313709</v>
      </c>
      <c r="G245" s="86" t="s">
        <v>817</v>
      </c>
      <c r="H245" s="70">
        <v>0</v>
      </c>
    </row>
    <row r="246" spans="6:8" x14ac:dyDescent="0.35">
      <c r="F246" s="70">
        <v>314097</v>
      </c>
      <c r="G246" s="86" t="s">
        <v>818</v>
      </c>
      <c r="H246" s="70">
        <v>0</v>
      </c>
    </row>
    <row r="247" spans="6:8" x14ac:dyDescent="0.35">
      <c r="F247" s="70">
        <v>314981</v>
      </c>
      <c r="G247" s="86" t="s">
        <v>819</v>
      </c>
      <c r="H247" s="70">
        <v>0</v>
      </c>
    </row>
    <row r="248" spans="6:8" x14ac:dyDescent="0.35">
      <c r="F248" s="70">
        <v>308765</v>
      </c>
      <c r="G248" s="86" t="s">
        <v>820</v>
      </c>
      <c r="H248" s="70">
        <v>0</v>
      </c>
    </row>
    <row r="249" spans="6:8" x14ac:dyDescent="0.35">
      <c r="F249" s="70">
        <v>315256</v>
      </c>
      <c r="G249" s="86" t="s">
        <v>821</v>
      </c>
      <c r="H249" s="70">
        <v>0</v>
      </c>
    </row>
    <row r="250" spans="6:8" x14ac:dyDescent="0.35">
      <c r="F250" s="70">
        <v>312949</v>
      </c>
      <c r="G250" s="86" t="s">
        <v>822</v>
      </c>
      <c r="H250" s="70">
        <v>0</v>
      </c>
    </row>
    <row r="251" spans="6:8" x14ac:dyDescent="0.35">
      <c r="F251" s="70">
        <v>314411</v>
      </c>
      <c r="G251" s="86" t="s">
        <v>823</v>
      </c>
      <c r="H251" s="70">
        <v>0</v>
      </c>
    </row>
    <row r="252" spans="6:8" x14ac:dyDescent="0.35">
      <c r="F252" s="70">
        <v>314179</v>
      </c>
      <c r="G252" s="86" t="s">
        <v>824</v>
      </c>
      <c r="H252" s="70">
        <v>0</v>
      </c>
    </row>
    <row r="253" spans="6:8" x14ac:dyDescent="0.35">
      <c r="F253" s="70">
        <v>314276</v>
      </c>
      <c r="G253" s="86" t="s">
        <v>825</v>
      </c>
      <c r="H253" s="70">
        <v>0</v>
      </c>
    </row>
    <row r="254" spans="6:8" x14ac:dyDescent="0.35">
      <c r="F254" s="70">
        <v>313514</v>
      </c>
      <c r="G254" s="86" t="s">
        <v>826</v>
      </c>
      <c r="H254" s="70">
        <v>0</v>
      </c>
    </row>
    <row r="255" spans="6:8" x14ac:dyDescent="0.35">
      <c r="F255" s="70">
        <v>313868</v>
      </c>
      <c r="G255" s="86" t="s">
        <v>827</v>
      </c>
      <c r="H255" s="70">
        <v>0</v>
      </c>
    </row>
    <row r="256" spans="6:8" x14ac:dyDescent="0.35">
      <c r="F256" s="70">
        <v>315480</v>
      </c>
      <c r="G256" s="86" t="s">
        <v>828</v>
      </c>
      <c r="H256" s="70">
        <v>0</v>
      </c>
    </row>
    <row r="257" spans="6:8" x14ac:dyDescent="0.35">
      <c r="F257" s="70">
        <v>314406</v>
      </c>
      <c r="G257" s="86" t="s">
        <v>829</v>
      </c>
      <c r="H257" s="70">
        <v>0</v>
      </c>
    </row>
    <row r="258" spans="6:8" x14ac:dyDescent="0.35">
      <c r="F258" s="70">
        <v>314646</v>
      </c>
      <c r="G258" s="86" t="s">
        <v>830</v>
      </c>
      <c r="H258" s="70">
        <v>0</v>
      </c>
    </row>
    <row r="259" spans="6:8" x14ac:dyDescent="0.35">
      <c r="F259" s="70">
        <v>305521</v>
      </c>
      <c r="G259" s="86" t="s">
        <v>831</v>
      </c>
      <c r="H259" s="70">
        <v>0</v>
      </c>
    </row>
    <row r="260" spans="6:8" x14ac:dyDescent="0.35">
      <c r="F260" s="70">
        <v>315568</v>
      </c>
      <c r="G260" s="86" t="s">
        <v>832</v>
      </c>
      <c r="H260" s="70">
        <v>0</v>
      </c>
    </row>
    <row r="261" spans="6:8" x14ac:dyDescent="0.35">
      <c r="F261" s="70">
        <v>310374</v>
      </c>
      <c r="G261" s="86" t="s">
        <v>833</v>
      </c>
      <c r="H261" s="70">
        <v>0</v>
      </c>
    </row>
    <row r="262" spans="6:8" x14ac:dyDescent="0.35">
      <c r="F262" s="70">
        <v>315104</v>
      </c>
      <c r="G262" s="86" t="s">
        <v>834</v>
      </c>
      <c r="H262" s="70">
        <v>0</v>
      </c>
    </row>
    <row r="263" spans="6:8" x14ac:dyDescent="0.35">
      <c r="F263" s="70">
        <v>314807</v>
      </c>
      <c r="G263" s="86" t="s">
        <v>835</v>
      </c>
      <c r="H263" s="70">
        <v>0</v>
      </c>
    </row>
    <row r="264" spans="6:8" x14ac:dyDescent="0.35">
      <c r="F264" s="70">
        <v>312391</v>
      </c>
      <c r="G264" s="86" t="s">
        <v>836</v>
      </c>
      <c r="H264" s="70">
        <v>0</v>
      </c>
    </row>
    <row r="265" spans="6:8" x14ac:dyDescent="0.35">
      <c r="F265" s="70">
        <v>312172</v>
      </c>
      <c r="G265" s="86" t="s">
        <v>837</v>
      </c>
      <c r="H265" s="70">
        <v>0</v>
      </c>
    </row>
    <row r="266" spans="6:8" x14ac:dyDescent="0.35">
      <c r="F266" s="70">
        <v>314845</v>
      </c>
      <c r="G266" s="86" t="s">
        <v>838</v>
      </c>
      <c r="H266" s="70">
        <v>0</v>
      </c>
    </row>
    <row r="267" spans="6:8" x14ac:dyDescent="0.35">
      <c r="F267" s="70">
        <v>312419</v>
      </c>
      <c r="G267" s="86" t="s">
        <v>839</v>
      </c>
      <c r="H267" s="70">
        <v>0</v>
      </c>
    </row>
    <row r="268" spans="6:8" x14ac:dyDescent="0.35">
      <c r="F268" s="70">
        <v>312836</v>
      </c>
      <c r="G268" s="86" t="s">
        <v>840</v>
      </c>
      <c r="H268" s="70">
        <v>0</v>
      </c>
    </row>
    <row r="269" spans="6:8" x14ac:dyDescent="0.35">
      <c r="F269" s="70">
        <v>312077</v>
      </c>
      <c r="G269" s="86" t="s">
        <v>841</v>
      </c>
      <c r="H269" s="70">
        <v>0</v>
      </c>
    </row>
    <row r="270" spans="6:8" x14ac:dyDescent="0.35">
      <c r="F270" s="70">
        <v>314775</v>
      </c>
      <c r="G270" s="86" t="s">
        <v>842</v>
      </c>
      <c r="H270" s="70">
        <v>0</v>
      </c>
    </row>
    <row r="271" spans="6:8" x14ac:dyDescent="0.35">
      <c r="F271" s="70">
        <v>312223</v>
      </c>
      <c r="G271" s="86" t="s">
        <v>843</v>
      </c>
      <c r="H271" s="70">
        <v>0</v>
      </c>
    </row>
    <row r="272" spans="6:8" x14ac:dyDescent="0.35">
      <c r="F272" s="70">
        <v>309926</v>
      </c>
      <c r="G272" s="86" t="s">
        <v>844</v>
      </c>
      <c r="H272" s="70">
        <v>0</v>
      </c>
    </row>
    <row r="273" spans="6:8" x14ac:dyDescent="0.35">
      <c r="F273" s="70">
        <v>315167</v>
      </c>
      <c r="G273" s="86" t="s">
        <v>845</v>
      </c>
      <c r="H273" s="70">
        <v>0</v>
      </c>
    </row>
    <row r="274" spans="6:8" x14ac:dyDescent="0.35">
      <c r="F274" s="70">
        <v>310390</v>
      </c>
      <c r="G274" s="86" t="s">
        <v>846</v>
      </c>
      <c r="H274" s="70">
        <v>0</v>
      </c>
    </row>
    <row r="275" spans="6:8" x14ac:dyDescent="0.35">
      <c r="F275" s="70">
        <v>202076</v>
      </c>
      <c r="G275" s="86" t="s">
        <v>847</v>
      </c>
      <c r="H275" s="70">
        <v>0</v>
      </c>
    </row>
    <row r="276" spans="6:8" x14ac:dyDescent="0.35">
      <c r="F276" s="70">
        <v>314891</v>
      </c>
      <c r="G276" s="86" t="s">
        <v>848</v>
      </c>
      <c r="H276" s="70">
        <v>0</v>
      </c>
    </row>
    <row r="277" spans="6:8" x14ac:dyDescent="0.35">
      <c r="F277" s="70">
        <v>309831</v>
      </c>
      <c r="G277" s="86" t="s">
        <v>849</v>
      </c>
      <c r="H277" s="70">
        <v>0</v>
      </c>
    </row>
    <row r="278" spans="6:8" x14ac:dyDescent="0.35">
      <c r="F278" s="70">
        <v>315533</v>
      </c>
      <c r="G278" s="86" t="s">
        <v>850</v>
      </c>
      <c r="H278" s="70">
        <v>0</v>
      </c>
    </row>
    <row r="279" spans="6:8" x14ac:dyDescent="0.35">
      <c r="F279" s="70">
        <v>314017</v>
      </c>
      <c r="G279" s="86" t="s">
        <v>851</v>
      </c>
      <c r="H279" s="70">
        <v>0</v>
      </c>
    </row>
    <row r="280" spans="6:8" x14ac:dyDescent="0.35">
      <c r="F280" s="70">
        <v>314852</v>
      </c>
      <c r="G280" s="86" t="s">
        <v>852</v>
      </c>
      <c r="H280" s="70">
        <v>0</v>
      </c>
    </row>
    <row r="281" spans="6:8" x14ac:dyDescent="0.35">
      <c r="F281" s="70">
        <v>313408</v>
      </c>
      <c r="G281" s="86" t="s">
        <v>853</v>
      </c>
      <c r="H281" s="70">
        <v>0</v>
      </c>
    </row>
    <row r="282" spans="6:8" x14ac:dyDescent="0.35">
      <c r="F282" s="70">
        <v>315552</v>
      </c>
      <c r="G282" s="86" t="s">
        <v>854</v>
      </c>
      <c r="H282" s="70">
        <v>0</v>
      </c>
    </row>
    <row r="283" spans="6:8" x14ac:dyDescent="0.35">
      <c r="F283" s="70">
        <v>313629</v>
      </c>
      <c r="G283" s="86" t="s">
        <v>855</v>
      </c>
      <c r="H283" s="70">
        <v>0</v>
      </c>
    </row>
    <row r="284" spans="6:8" x14ac:dyDescent="0.35">
      <c r="F284" s="70">
        <v>315270</v>
      </c>
      <c r="G284" s="86" t="s">
        <v>856</v>
      </c>
      <c r="H284" s="70">
        <v>0</v>
      </c>
    </row>
    <row r="285" spans="6:8" x14ac:dyDescent="0.35">
      <c r="F285" s="70">
        <v>314353</v>
      </c>
      <c r="G285" s="86" t="s">
        <v>857</v>
      </c>
      <c r="H285" s="70">
        <v>0</v>
      </c>
    </row>
    <row r="286" spans="6:8" x14ac:dyDescent="0.35">
      <c r="F286" s="70">
        <v>302751</v>
      </c>
      <c r="G286" s="86" t="s">
        <v>858</v>
      </c>
      <c r="H286" s="70">
        <v>0</v>
      </c>
    </row>
    <row r="287" spans="6:8" x14ac:dyDescent="0.35">
      <c r="F287" s="70">
        <v>201031</v>
      </c>
      <c r="G287" s="86" t="s">
        <v>859</v>
      </c>
      <c r="H287" s="70">
        <v>0</v>
      </c>
    </row>
    <row r="288" spans="6:8" x14ac:dyDescent="0.35">
      <c r="F288" s="70">
        <v>311758</v>
      </c>
      <c r="G288" s="86" t="s">
        <v>860</v>
      </c>
      <c r="H288" s="70">
        <v>0</v>
      </c>
    </row>
    <row r="289" spans="6:8" x14ac:dyDescent="0.35">
      <c r="F289" s="70">
        <v>307870</v>
      </c>
      <c r="G289" s="86" t="s">
        <v>861</v>
      </c>
      <c r="H289" s="70">
        <v>0</v>
      </c>
    </row>
    <row r="290" spans="6:8" x14ac:dyDescent="0.35">
      <c r="F290" s="70">
        <v>314901</v>
      </c>
      <c r="G290" s="86" t="s">
        <v>862</v>
      </c>
      <c r="H290" s="70">
        <v>0</v>
      </c>
    </row>
    <row r="291" spans="6:8" x14ac:dyDescent="0.35">
      <c r="F291" s="70">
        <v>306256</v>
      </c>
      <c r="G291" s="86" t="s">
        <v>863</v>
      </c>
      <c r="H291" s="70">
        <v>0</v>
      </c>
    </row>
    <row r="292" spans="6:8" x14ac:dyDescent="0.35">
      <c r="F292" s="70">
        <v>314540</v>
      </c>
      <c r="G292" s="86" t="s">
        <v>864</v>
      </c>
      <c r="H292" s="70">
        <v>0</v>
      </c>
    </row>
    <row r="293" spans="6:8" x14ac:dyDescent="0.35">
      <c r="F293" s="70">
        <v>312158</v>
      </c>
      <c r="G293" s="86" t="s">
        <v>865</v>
      </c>
      <c r="H293" s="70">
        <v>0</v>
      </c>
    </row>
    <row r="294" spans="6:8" x14ac:dyDescent="0.35">
      <c r="F294" s="70">
        <v>315437</v>
      </c>
      <c r="G294" s="86" t="s">
        <v>866</v>
      </c>
      <c r="H294" s="70">
        <v>0</v>
      </c>
    </row>
    <row r="295" spans="6:8" x14ac:dyDescent="0.35">
      <c r="F295" s="70">
        <v>309692</v>
      </c>
      <c r="G295" s="86" t="s">
        <v>867</v>
      </c>
      <c r="H295" s="70">
        <v>0</v>
      </c>
    </row>
    <row r="296" spans="6:8" x14ac:dyDescent="0.35">
      <c r="F296" s="70">
        <v>309418</v>
      </c>
      <c r="G296" s="86" t="s">
        <v>868</v>
      </c>
      <c r="H296" s="70">
        <v>0</v>
      </c>
    </row>
    <row r="297" spans="6:8" x14ac:dyDescent="0.35">
      <c r="F297" s="70">
        <v>313797</v>
      </c>
      <c r="G297" s="86" t="s">
        <v>869</v>
      </c>
      <c r="H297" s="70">
        <v>0</v>
      </c>
    </row>
    <row r="298" spans="6:8" x14ac:dyDescent="0.35">
      <c r="F298" s="70">
        <v>312166</v>
      </c>
      <c r="G298" s="86" t="s">
        <v>870</v>
      </c>
      <c r="H298" s="70">
        <v>0</v>
      </c>
    </row>
    <row r="299" spans="6:8" x14ac:dyDescent="0.35">
      <c r="F299" s="70">
        <v>313856</v>
      </c>
      <c r="G299" s="86" t="s">
        <v>871</v>
      </c>
      <c r="H299" s="70">
        <v>0</v>
      </c>
    </row>
    <row r="300" spans="6:8" x14ac:dyDescent="0.35">
      <c r="F300" s="70">
        <v>310411</v>
      </c>
      <c r="G300" s="86" t="s">
        <v>872</v>
      </c>
      <c r="H300" s="70">
        <v>0</v>
      </c>
    </row>
    <row r="301" spans="6:8" x14ac:dyDescent="0.35">
      <c r="F301" s="70">
        <v>315070</v>
      </c>
      <c r="G301" s="86" t="s">
        <v>873</v>
      </c>
      <c r="H301" s="70">
        <v>0</v>
      </c>
    </row>
    <row r="302" spans="6:8" x14ac:dyDescent="0.35">
      <c r="F302" s="70">
        <v>315089</v>
      </c>
      <c r="G302" s="86" t="s">
        <v>874</v>
      </c>
      <c r="H302" s="70">
        <v>0</v>
      </c>
    </row>
    <row r="303" spans="6:8" x14ac:dyDescent="0.35">
      <c r="F303" s="70">
        <v>315209</v>
      </c>
      <c r="G303" s="86" t="s">
        <v>875</v>
      </c>
      <c r="H303" s="70">
        <v>0</v>
      </c>
    </row>
    <row r="304" spans="6:8" x14ac:dyDescent="0.35">
      <c r="F304" s="70">
        <v>314964</v>
      </c>
      <c r="G304" s="86" t="s">
        <v>876</v>
      </c>
      <c r="H304" s="70">
        <v>0</v>
      </c>
    </row>
    <row r="305" spans="6:8" x14ac:dyDescent="0.35">
      <c r="F305" s="70">
        <v>315545</v>
      </c>
      <c r="G305" s="86" t="s">
        <v>877</v>
      </c>
      <c r="H305" s="70">
        <v>0</v>
      </c>
    </row>
    <row r="306" spans="6:8" x14ac:dyDescent="0.35">
      <c r="F306" s="70">
        <v>314603</v>
      </c>
      <c r="G306" s="86" t="s">
        <v>878</v>
      </c>
      <c r="H306" s="70">
        <v>0</v>
      </c>
    </row>
    <row r="307" spans="6:8" x14ac:dyDescent="0.35">
      <c r="F307" s="70">
        <v>314912</v>
      </c>
      <c r="G307" s="86" t="s">
        <v>879</v>
      </c>
      <c r="H307" s="70">
        <v>0</v>
      </c>
    </row>
    <row r="308" spans="6:8" x14ac:dyDescent="0.35">
      <c r="F308" s="70">
        <v>314021</v>
      </c>
      <c r="G308" s="86" t="s">
        <v>880</v>
      </c>
      <c r="H308" s="70">
        <v>0</v>
      </c>
    </row>
    <row r="309" spans="6:8" x14ac:dyDescent="0.35">
      <c r="F309" s="70">
        <v>314609</v>
      </c>
      <c r="G309" s="86" t="s">
        <v>881</v>
      </c>
      <c r="H309" s="70">
        <v>0</v>
      </c>
    </row>
    <row r="310" spans="6:8" x14ac:dyDescent="0.35">
      <c r="F310" s="70">
        <v>315393</v>
      </c>
      <c r="G310" s="86" t="s">
        <v>882</v>
      </c>
      <c r="H310" s="70">
        <v>0</v>
      </c>
    </row>
    <row r="311" spans="6:8" x14ac:dyDescent="0.35">
      <c r="F311" s="70">
        <v>301534</v>
      </c>
      <c r="G311" s="86" t="s">
        <v>883</v>
      </c>
      <c r="H311" s="70">
        <v>0</v>
      </c>
    </row>
    <row r="312" spans="6:8" x14ac:dyDescent="0.35">
      <c r="F312" s="70">
        <v>314070</v>
      </c>
      <c r="G312" s="86" t="s">
        <v>884</v>
      </c>
      <c r="H312" s="70">
        <v>0</v>
      </c>
    </row>
    <row r="313" spans="6:8" x14ac:dyDescent="0.35">
      <c r="F313" s="70">
        <v>313316</v>
      </c>
      <c r="G313" s="86" t="s">
        <v>885</v>
      </c>
      <c r="H313" s="70">
        <v>0</v>
      </c>
    </row>
    <row r="314" spans="6:8" x14ac:dyDescent="0.35">
      <c r="F314" s="70">
        <v>308707</v>
      </c>
      <c r="G314" s="86" t="s">
        <v>886</v>
      </c>
      <c r="H314" s="70">
        <v>0</v>
      </c>
    </row>
    <row r="315" spans="6:8" x14ac:dyDescent="0.35">
      <c r="F315" s="70">
        <v>308921</v>
      </c>
      <c r="G315" s="86" t="s">
        <v>887</v>
      </c>
      <c r="H315" s="70">
        <v>0</v>
      </c>
    </row>
    <row r="316" spans="6:8" x14ac:dyDescent="0.35">
      <c r="F316" s="70">
        <v>315057</v>
      </c>
      <c r="G316" s="86" t="s">
        <v>888</v>
      </c>
      <c r="H316" s="70">
        <v>0</v>
      </c>
    </row>
    <row r="317" spans="6:8" x14ac:dyDescent="0.35">
      <c r="F317" s="70">
        <v>312651</v>
      </c>
      <c r="G317" s="86" t="s">
        <v>889</v>
      </c>
      <c r="H317" s="70">
        <v>0</v>
      </c>
    </row>
    <row r="318" spans="6:8" x14ac:dyDescent="0.35">
      <c r="F318" s="70">
        <v>314635</v>
      </c>
      <c r="G318" s="86" t="s">
        <v>890</v>
      </c>
      <c r="H318" s="70">
        <v>0</v>
      </c>
    </row>
    <row r="319" spans="6:8" x14ac:dyDescent="0.35">
      <c r="F319" s="70">
        <v>313351</v>
      </c>
      <c r="G319" s="86" t="s">
        <v>891</v>
      </c>
      <c r="H319" s="70">
        <v>0</v>
      </c>
    </row>
    <row r="320" spans="6:8" x14ac:dyDescent="0.35">
      <c r="F320" s="70">
        <v>309154</v>
      </c>
      <c r="G320" s="86" t="s">
        <v>892</v>
      </c>
      <c r="H320" s="70">
        <v>0</v>
      </c>
    </row>
    <row r="321" spans="6:8" x14ac:dyDescent="0.35">
      <c r="F321" s="70">
        <v>310593</v>
      </c>
      <c r="G321" s="86" t="s">
        <v>893</v>
      </c>
      <c r="H321" s="70">
        <v>0</v>
      </c>
    </row>
    <row r="322" spans="6:8" x14ac:dyDescent="0.35">
      <c r="F322" s="70">
        <v>312578</v>
      </c>
      <c r="G322" s="86" t="s">
        <v>894</v>
      </c>
      <c r="H322" s="70">
        <v>0</v>
      </c>
    </row>
    <row r="323" spans="6:8" x14ac:dyDescent="0.35">
      <c r="F323" s="70">
        <v>314977</v>
      </c>
      <c r="G323" s="86" t="s">
        <v>895</v>
      </c>
      <c r="H323" s="70">
        <v>0</v>
      </c>
    </row>
    <row r="324" spans="6:8" x14ac:dyDescent="0.35">
      <c r="F324" s="70">
        <v>315028</v>
      </c>
      <c r="G324" s="86" t="s">
        <v>896</v>
      </c>
      <c r="H324" s="70">
        <v>0</v>
      </c>
    </row>
    <row r="325" spans="6:8" x14ac:dyDescent="0.35">
      <c r="F325" s="70">
        <v>314016</v>
      </c>
      <c r="G325" s="86" t="s">
        <v>897</v>
      </c>
      <c r="H325" s="70">
        <v>0</v>
      </c>
    </row>
    <row r="326" spans="6:8" x14ac:dyDescent="0.35">
      <c r="F326" s="70">
        <v>314338</v>
      </c>
      <c r="G326" s="86" t="s">
        <v>898</v>
      </c>
      <c r="H326" s="70">
        <v>0</v>
      </c>
    </row>
    <row r="327" spans="6:8" x14ac:dyDescent="0.35">
      <c r="F327" s="70">
        <v>301052</v>
      </c>
      <c r="G327" s="86" t="s">
        <v>899</v>
      </c>
      <c r="H327" s="70">
        <v>0</v>
      </c>
    </row>
    <row r="328" spans="6:8" x14ac:dyDescent="0.35">
      <c r="F328" s="70">
        <v>313406</v>
      </c>
      <c r="G328" s="86" t="s">
        <v>900</v>
      </c>
      <c r="H328" s="70">
        <v>0</v>
      </c>
    </row>
    <row r="329" spans="6:8" x14ac:dyDescent="0.35">
      <c r="F329" s="70">
        <v>315551</v>
      </c>
      <c r="G329" s="86" t="s">
        <v>901</v>
      </c>
      <c r="H329" s="70">
        <v>0</v>
      </c>
    </row>
    <row r="330" spans="6:8" x14ac:dyDescent="0.35">
      <c r="F330" s="70">
        <v>301579</v>
      </c>
      <c r="G330" s="86" t="s">
        <v>902</v>
      </c>
      <c r="H330" s="70">
        <v>0</v>
      </c>
    </row>
    <row r="331" spans="6:8" x14ac:dyDescent="0.35">
      <c r="F331" s="70">
        <v>314077</v>
      </c>
      <c r="G331" s="86" t="s">
        <v>903</v>
      </c>
      <c r="H331" s="70">
        <v>0</v>
      </c>
    </row>
    <row r="332" spans="6:8" x14ac:dyDescent="0.35">
      <c r="F332" s="70">
        <v>304630</v>
      </c>
      <c r="G332" s="86" t="s">
        <v>904</v>
      </c>
      <c r="H332" s="70">
        <v>0</v>
      </c>
    </row>
    <row r="333" spans="6:8" x14ac:dyDescent="0.35">
      <c r="F333" s="70">
        <v>315163</v>
      </c>
      <c r="G333" s="86" t="s">
        <v>905</v>
      </c>
      <c r="H333" s="70">
        <v>0</v>
      </c>
    </row>
    <row r="334" spans="6:8" x14ac:dyDescent="0.35">
      <c r="F334" s="70">
        <v>314231</v>
      </c>
      <c r="G334" s="86" t="s">
        <v>906</v>
      </c>
      <c r="H334" s="70">
        <v>0</v>
      </c>
    </row>
    <row r="335" spans="6:8" x14ac:dyDescent="0.35">
      <c r="F335" s="70">
        <v>312910</v>
      </c>
      <c r="G335" s="86" t="s">
        <v>907</v>
      </c>
      <c r="H335" s="70">
        <v>0</v>
      </c>
    </row>
    <row r="336" spans="6:8" x14ac:dyDescent="0.35">
      <c r="F336" s="70">
        <v>314531</v>
      </c>
      <c r="G336" s="86" t="s">
        <v>908</v>
      </c>
      <c r="H336" s="70">
        <v>0</v>
      </c>
    </row>
    <row r="337" spans="6:8" x14ac:dyDescent="0.35">
      <c r="F337" s="70">
        <v>309428</v>
      </c>
      <c r="G337" s="86" t="s">
        <v>909</v>
      </c>
      <c r="H337" s="70">
        <v>0</v>
      </c>
    </row>
    <row r="338" spans="6:8" x14ac:dyDescent="0.35">
      <c r="F338" s="70">
        <v>313559</v>
      </c>
      <c r="G338" s="86" t="s">
        <v>910</v>
      </c>
      <c r="H338" s="70">
        <v>0</v>
      </c>
    </row>
    <row r="339" spans="6:8" x14ac:dyDescent="0.35">
      <c r="F339" s="70">
        <v>314916</v>
      </c>
      <c r="G339" s="86" t="s">
        <v>911</v>
      </c>
      <c r="H339" s="70">
        <v>0</v>
      </c>
    </row>
    <row r="340" spans="6:8" x14ac:dyDescent="0.35">
      <c r="F340" s="70">
        <v>313861</v>
      </c>
      <c r="G340" s="86" t="s">
        <v>912</v>
      </c>
      <c r="H340" s="70">
        <v>0</v>
      </c>
    </row>
    <row r="341" spans="6:8" x14ac:dyDescent="0.35">
      <c r="F341" s="70">
        <v>304240</v>
      </c>
      <c r="G341" s="86" t="s">
        <v>913</v>
      </c>
      <c r="H341" s="70">
        <v>0</v>
      </c>
    </row>
    <row r="342" spans="6:8" x14ac:dyDescent="0.35">
      <c r="F342" s="70">
        <v>313770</v>
      </c>
      <c r="G342" s="86" t="s">
        <v>914</v>
      </c>
      <c r="H342" s="70">
        <v>0</v>
      </c>
    </row>
    <row r="343" spans="6:8" x14ac:dyDescent="0.35">
      <c r="F343" s="70">
        <v>308533</v>
      </c>
      <c r="G343" s="86" t="s">
        <v>915</v>
      </c>
      <c r="H343" s="70">
        <v>0</v>
      </c>
    </row>
    <row r="344" spans="6:8" x14ac:dyDescent="0.35">
      <c r="F344" s="70">
        <v>315502</v>
      </c>
      <c r="G344" s="86" t="s">
        <v>916</v>
      </c>
      <c r="H344" s="70">
        <v>0</v>
      </c>
    </row>
    <row r="345" spans="6:8" x14ac:dyDescent="0.35">
      <c r="F345" s="70">
        <v>315483</v>
      </c>
      <c r="G345" s="86" t="s">
        <v>917</v>
      </c>
      <c r="H345" s="70">
        <v>0</v>
      </c>
    </row>
    <row r="346" spans="6:8" x14ac:dyDescent="0.35">
      <c r="F346" s="70">
        <v>306695</v>
      </c>
      <c r="G346" s="86" t="s">
        <v>918</v>
      </c>
      <c r="H346" s="70">
        <v>0</v>
      </c>
    </row>
    <row r="347" spans="6:8" x14ac:dyDescent="0.35">
      <c r="F347" s="70">
        <v>313804</v>
      </c>
      <c r="G347" s="86" t="s">
        <v>919</v>
      </c>
      <c r="H347" s="70">
        <v>0</v>
      </c>
    </row>
    <row r="348" spans="6:8" x14ac:dyDescent="0.35">
      <c r="F348" s="70">
        <v>305736</v>
      </c>
      <c r="G348" s="86" t="s">
        <v>920</v>
      </c>
      <c r="H348" s="70">
        <v>0</v>
      </c>
    </row>
    <row r="349" spans="6:8" x14ac:dyDescent="0.35">
      <c r="F349" s="70">
        <v>313327</v>
      </c>
      <c r="G349" s="86" t="s">
        <v>921</v>
      </c>
      <c r="H349" s="70">
        <v>0</v>
      </c>
    </row>
    <row r="350" spans="6:8" x14ac:dyDescent="0.35">
      <c r="F350" s="70">
        <v>309209</v>
      </c>
      <c r="G350" s="86" t="s">
        <v>922</v>
      </c>
      <c r="H350" s="70">
        <v>0</v>
      </c>
    </row>
    <row r="351" spans="6:8" x14ac:dyDescent="0.35">
      <c r="F351" s="70">
        <v>311219</v>
      </c>
      <c r="G351" s="86" t="s">
        <v>923</v>
      </c>
      <c r="H351" s="70">
        <v>0</v>
      </c>
    </row>
    <row r="352" spans="6:8" x14ac:dyDescent="0.35">
      <c r="F352" s="70">
        <v>315174</v>
      </c>
      <c r="G352" s="86" t="s">
        <v>924</v>
      </c>
      <c r="H352" s="70">
        <v>0</v>
      </c>
    </row>
    <row r="353" spans="6:8" x14ac:dyDescent="0.35">
      <c r="F353" s="70">
        <v>312540</v>
      </c>
      <c r="G353" s="86" t="s">
        <v>925</v>
      </c>
      <c r="H353" s="70">
        <v>0</v>
      </c>
    </row>
    <row r="354" spans="6:8" x14ac:dyDescent="0.35">
      <c r="F354" s="70">
        <v>313701</v>
      </c>
      <c r="G354" s="86" t="s">
        <v>926</v>
      </c>
      <c r="H354" s="70">
        <v>0</v>
      </c>
    </row>
    <row r="355" spans="6:8" x14ac:dyDescent="0.35">
      <c r="F355" s="70">
        <v>312557</v>
      </c>
      <c r="G355" s="86" t="s">
        <v>927</v>
      </c>
      <c r="H355" s="70">
        <v>0</v>
      </c>
    </row>
    <row r="356" spans="6:8" x14ac:dyDescent="0.35">
      <c r="F356" s="70">
        <v>311167</v>
      </c>
      <c r="G356" s="86" t="s">
        <v>928</v>
      </c>
      <c r="H356" s="70">
        <v>0</v>
      </c>
    </row>
    <row r="357" spans="6:8" x14ac:dyDescent="0.35">
      <c r="F357" s="70">
        <v>312542</v>
      </c>
      <c r="G357" s="86" t="s">
        <v>929</v>
      </c>
      <c r="H357" s="70">
        <v>0</v>
      </c>
    </row>
    <row r="358" spans="6:8" x14ac:dyDescent="0.35">
      <c r="F358" s="70">
        <v>303412</v>
      </c>
      <c r="G358" s="86" t="s">
        <v>930</v>
      </c>
      <c r="H358" s="70">
        <v>0</v>
      </c>
    </row>
    <row r="359" spans="6:8" x14ac:dyDescent="0.35">
      <c r="F359" s="70">
        <v>315436</v>
      </c>
      <c r="G359" s="86" t="s">
        <v>931</v>
      </c>
      <c r="H359" s="70">
        <v>0</v>
      </c>
    </row>
    <row r="360" spans="6:8" x14ac:dyDescent="0.35">
      <c r="F360" s="70">
        <v>311891</v>
      </c>
      <c r="G360" s="86" t="s">
        <v>932</v>
      </c>
      <c r="H360" s="70">
        <v>0</v>
      </c>
    </row>
    <row r="361" spans="6:8" x14ac:dyDescent="0.35">
      <c r="F361" s="70">
        <v>309812</v>
      </c>
      <c r="G361" s="86" t="s">
        <v>933</v>
      </c>
      <c r="H361" s="70">
        <v>0</v>
      </c>
    </row>
    <row r="362" spans="6:8" x14ac:dyDescent="0.35">
      <c r="F362" s="70">
        <v>314275</v>
      </c>
      <c r="G362" s="86" t="s">
        <v>934</v>
      </c>
      <c r="H362" s="70">
        <v>0</v>
      </c>
    </row>
    <row r="363" spans="6:8" x14ac:dyDescent="0.35">
      <c r="F363" s="70">
        <v>307588</v>
      </c>
      <c r="G363" s="86" t="s">
        <v>935</v>
      </c>
      <c r="H363" s="70">
        <v>0</v>
      </c>
    </row>
    <row r="364" spans="6:8" x14ac:dyDescent="0.35">
      <c r="F364" s="70">
        <v>315463</v>
      </c>
      <c r="G364" s="86" t="s">
        <v>936</v>
      </c>
      <c r="H364" s="70">
        <v>0</v>
      </c>
    </row>
    <row r="365" spans="6:8" x14ac:dyDescent="0.35">
      <c r="F365" s="70">
        <v>310755</v>
      </c>
      <c r="G365" s="86" t="s">
        <v>937</v>
      </c>
      <c r="H365" s="70">
        <v>0</v>
      </c>
    </row>
    <row r="366" spans="6:8" x14ac:dyDescent="0.35">
      <c r="F366" s="70">
        <v>314466</v>
      </c>
      <c r="G366" s="86" t="s">
        <v>938</v>
      </c>
      <c r="H366" s="70">
        <v>0</v>
      </c>
    </row>
    <row r="367" spans="6:8" x14ac:dyDescent="0.35">
      <c r="F367" s="70">
        <v>310043</v>
      </c>
      <c r="G367" s="86" t="s">
        <v>939</v>
      </c>
      <c r="H367" s="70">
        <v>0</v>
      </c>
    </row>
    <row r="368" spans="6:8" x14ac:dyDescent="0.35">
      <c r="F368" s="70">
        <v>314443</v>
      </c>
      <c r="G368" s="86" t="s">
        <v>940</v>
      </c>
      <c r="H368" s="70">
        <v>0</v>
      </c>
    </row>
    <row r="369" spans="6:8" x14ac:dyDescent="0.35">
      <c r="F369" s="70">
        <v>314763</v>
      </c>
      <c r="G369" s="86" t="s">
        <v>941</v>
      </c>
      <c r="H369" s="70">
        <v>0</v>
      </c>
    </row>
    <row r="370" spans="6:8" x14ac:dyDescent="0.35">
      <c r="F370" s="70">
        <v>311227</v>
      </c>
      <c r="G370" s="86" t="s">
        <v>942</v>
      </c>
      <c r="H370" s="70">
        <v>0</v>
      </c>
    </row>
    <row r="371" spans="6:8" x14ac:dyDescent="0.35">
      <c r="F371" s="70">
        <v>308968</v>
      </c>
      <c r="G371" s="86" t="s">
        <v>943</v>
      </c>
      <c r="H371" s="70">
        <v>0</v>
      </c>
    </row>
    <row r="372" spans="6:8" x14ac:dyDescent="0.35">
      <c r="F372" s="70">
        <v>314871</v>
      </c>
      <c r="G372" s="86" t="s">
        <v>944</v>
      </c>
      <c r="H372" s="70">
        <v>0</v>
      </c>
    </row>
    <row r="373" spans="6:8" x14ac:dyDescent="0.35">
      <c r="F373" s="70">
        <v>313368</v>
      </c>
      <c r="G373" s="86" t="s">
        <v>945</v>
      </c>
      <c r="H373" s="70">
        <v>0</v>
      </c>
    </row>
    <row r="374" spans="6:8" x14ac:dyDescent="0.35">
      <c r="F374" s="70">
        <v>314342</v>
      </c>
      <c r="G374" s="86" t="s">
        <v>946</v>
      </c>
      <c r="H374" s="70">
        <v>0</v>
      </c>
    </row>
    <row r="375" spans="6:8" x14ac:dyDescent="0.35">
      <c r="F375" s="70">
        <v>312736</v>
      </c>
      <c r="G375" s="86" t="s">
        <v>947</v>
      </c>
      <c r="H375" s="70">
        <v>0</v>
      </c>
    </row>
    <row r="376" spans="6:8" x14ac:dyDescent="0.35">
      <c r="F376" s="70">
        <v>312762</v>
      </c>
      <c r="G376" s="86" t="s">
        <v>948</v>
      </c>
      <c r="H376" s="70">
        <v>0</v>
      </c>
    </row>
    <row r="377" spans="6:8" x14ac:dyDescent="0.35">
      <c r="F377" s="70">
        <v>303591</v>
      </c>
      <c r="G377" s="86" t="s">
        <v>949</v>
      </c>
      <c r="H377" s="70">
        <v>0</v>
      </c>
    </row>
    <row r="378" spans="6:8" x14ac:dyDescent="0.35">
      <c r="F378" s="70">
        <v>312165</v>
      </c>
      <c r="G378" s="86" t="s">
        <v>950</v>
      </c>
      <c r="H378" s="70">
        <v>0</v>
      </c>
    </row>
    <row r="379" spans="6:8" x14ac:dyDescent="0.35">
      <c r="F379" s="70">
        <v>313560</v>
      </c>
      <c r="G379" s="86" t="s">
        <v>951</v>
      </c>
      <c r="H379" s="70">
        <v>0</v>
      </c>
    </row>
    <row r="380" spans="6:8" x14ac:dyDescent="0.35">
      <c r="F380" s="70">
        <v>315047</v>
      </c>
      <c r="G380" s="86" t="s">
        <v>952</v>
      </c>
      <c r="H380" s="70">
        <v>0</v>
      </c>
    </row>
    <row r="381" spans="6:8" x14ac:dyDescent="0.35">
      <c r="F381" s="70">
        <v>311598</v>
      </c>
      <c r="G381" s="86" t="s">
        <v>953</v>
      </c>
      <c r="H381" s="70">
        <v>0</v>
      </c>
    </row>
    <row r="382" spans="6:8" x14ac:dyDescent="0.35">
      <c r="F382" s="70">
        <v>311742</v>
      </c>
      <c r="G382" s="86" t="s">
        <v>954</v>
      </c>
      <c r="H382" s="70">
        <v>0</v>
      </c>
    </row>
    <row r="383" spans="6:8" x14ac:dyDescent="0.35">
      <c r="F383" s="70">
        <v>308758</v>
      </c>
      <c r="G383" s="86" t="s">
        <v>955</v>
      </c>
      <c r="H383" s="70">
        <v>0</v>
      </c>
    </row>
    <row r="384" spans="6:8" x14ac:dyDescent="0.35">
      <c r="F384" s="70">
        <v>314371</v>
      </c>
      <c r="G384" s="86" t="s">
        <v>956</v>
      </c>
      <c r="H384" s="70">
        <v>0</v>
      </c>
    </row>
    <row r="385" spans="6:8" x14ac:dyDescent="0.35">
      <c r="F385" s="70">
        <v>314095</v>
      </c>
      <c r="G385" s="86" t="s">
        <v>957</v>
      </c>
      <c r="H385" s="70">
        <v>0</v>
      </c>
    </row>
    <row r="386" spans="6:8" x14ac:dyDescent="0.35">
      <c r="F386" s="70">
        <v>314408</v>
      </c>
      <c r="G386" s="86" t="s">
        <v>958</v>
      </c>
      <c r="H386" s="70">
        <v>0</v>
      </c>
    </row>
    <row r="387" spans="6:8" x14ac:dyDescent="0.35">
      <c r="F387" s="70">
        <v>312434</v>
      </c>
      <c r="G387" s="86" t="s">
        <v>959</v>
      </c>
      <c r="H387" s="70">
        <v>0</v>
      </c>
    </row>
    <row r="388" spans="6:8" x14ac:dyDescent="0.35">
      <c r="F388" s="70">
        <v>202410</v>
      </c>
      <c r="G388" s="86" t="s">
        <v>960</v>
      </c>
      <c r="H388" s="70">
        <v>0</v>
      </c>
    </row>
    <row r="389" spans="6:8" x14ac:dyDescent="0.35">
      <c r="F389" s="70">
        <v>310750</v>
      </c>
      <c r="G389" s="86" t="s">
        <v>961</v>
      </c>
      <c r="H389" s="70">
        <v>0</v>
      </c>
    </row>
    <row r="390" spans="6:8" x14ac:dyDescent="0.35">
      <c r="F390" s="70">
        <v>304557</v>
      </c>
      <c r="G390" s="86" t="s">
        <v>962</v>
      </c>
      <c r="H390" s="70">
        <v>0</v>
      </c>
    </row>
    <row r="391" spans="6:8" x14ac:dyDescent="0.35">
      <c r="F391" s="70">
        <v>308593</v>
      </c>
      <c r="G391" s="86" t="s">
        <v>963</v>
      </c>
      <c r="H391" s="70">
        <v>0</v>
      </c>
    </row>
    <row r="392" spans="6:8" x14ac:dyDescent="0.35">
      <c r="F392" s="70">
        <v>310893</v>
      </c>
      <c r="G392" s="86" t="s">
        <v>964</v>
      </c>
      <c r="H392" s="70">
        <v>0</v>
      </c>
    </row>
    <row r="393" spans="6:8" x14ac:dyDescent="0.35">
      <c r="F393" s="70">
        <v>310845</v>
      </c>
      <c r="G393" s="86" t="s">
        <v>965</v>
      </c>
      <c r="H393" s="70">
        <v>0</v>
      </c>
    </row>
    <row r="394" spans="6:8" x14ac:dyDescent="0.35">
      <c r="F394" s="70">
        <v>313654</v>
      </c>
      <c r="G394" s="86" t="s">
        <v>966</v>
      </c>
      <c r="H394" s="70">
        <v>0</v>
      </c>
    </row>
    <row r="395" spans="6:8" x14ac:dyDescent="0.35">
      <c r="F395" s="70">
        <v>308152</v>
      </c>
      <c r="G395" s="86" t="s">
        <v>967</v>
      </c>
      <c r="H395" s="70">
        <v>0</v>
      </c>
    </row>
    <row r="396" spans="6:8" x14ac:dyDescent="0.35">
      <c r="F396" s="70">
        <v>313812</v>
      </c>
      <c r="G396" s="86" t="s">
        <v>968</v>
      </c>
      <c r="H396" s="70">
        <v>0</v>
      </c>
    </row>
    <row r="397" spans="6:8" x14ac:dyDescent="0.35">
      <c r="F397" s="70">
        <v>303616</v>
      </c>
      <c r="G397" s="86" t="s">
        <v>969</v>
      </c>
      <c r="H397" s="70">
        <v>0</v>
      </c>
    </row>
    <row r="398" spans="6:8" x14ac:dyDescent="0.35">
      <c r="F398" s="70">
        <v>310011</v>
      </c>
      <c r="G398" s="86" t="s">
        <v>970</v>
      </c>
      <c r="H398" s="70">
        <v>0</v>
      </c>
    </row>
    <row r="399" spans="6:8" x14ac:dyDescent="0.35">
      <c r="F399" s="70">
        <v>314808</v>
      </c>
      <c r="G399" s="86" t="s">
        <v>971</v>
      </c>
      <c r="H399" s="70">
        <v>0</v>
      </c>
    </row>
    <row r="400" spans="6:8" x14ac:dyDescent="0.35">
      <c r="F400" s="70">
        <v>306497</v>
      </c>
      <c r="G400" s="86" t="s">
        <v>972</v>
      </c>
      <c r="H400" s="70">
        <v>0</v>
      </c>
    </row>
    <row r="401" spans="6:11" x14ac:dyDescent="0.35">
      <c r="F401" s="70">
        <v>314703</v>
      </c>
      <c r="G401" s="86" t="s">
        <v>973</v>
      </c>
      <c r="H401" s="70">
        <v>0</v>
      </c>
    </row>
    <row r="402" spans="6:11" x14ac:dyDescent="0.35">
      <c r="F402" s="70">
        <v>315535</v>
      </c>
      <c r="G402" s="86" t="s">
        <v>974</v>
      </c>
      <c r="H402" s="70">
        <v>0</v>
      </c>
    </row>
    <row r="403" spans="6:11" x14ac:dyDescent="0.35">
      <c r="F403" s="70">
        <v>313727</v>
      </c>
      <c r="G403" s="86" t="s">
        <v>975</v>
      </c>
      <c r="H403" s="70">
        <v>0</v>
      </c>
      <c r="K403" t="s">
        <v>976</v>
      </c>
    </row>
    <row r="404" spans="6:11" x14ac:dyDescent="0.35">
      <c r="F404" s="70">
        <v>315123</v>
      </c>
      <c r="G404" s="86" t="s">
        <v>977</v>
      </c>
      <c r="H404" s="70">
        <v>0</v>
      </c>
      <c r="K404" t="s">
        <v>976</v>
      </c>
    </row>
    <row r="405" spans="6:11" x14ac:dyDescent="0.35">
      <c r="F405" s="70">
        <v>315491</v>
      </c>
      <c r="G405" s="86" t="s">
        <v>978</v>
      </c>
      <c r="H405" s="70">
        <v>0</v>
      </c>
      <c r="K405" t="s">
        <v>976</v>
      </c>
    </row>
    <row r="406" spans="6:11" x14ac:dyDescent="0.35">
      <c r="F406" s="70">
        <v>314068</v>
      </c>
      <c r="G406" s="86" t="s">
        <v>979</v>
      </c>
      <c r="H406" s="70">
        <v>0</v>
      </c>
      <c r="K406" t="s">
        <v>976</v>
      </c>
    </row>
    <row r="407" spans="6:11" x14ac:dyDescent="0.35">
      <c r="F407" s="70">
        <v>313871</v>
      </c>
      <c r="G407" s="86" t="s">
        <v>980</v>
      </c>
      <c r="H407" s="70">
        <v>0</v>
      </c>
      <c r="K407" t="s">
        <v>976</v>
      </c>
    </row>
    <row r="408" spans="6:11" x14ac:dyDescent="0.35">
      <c r="F408" s="70">
        <v>312554</v>
      </c>
      <c r="G408" s="86" t="s">
        <v>981</v>
      </c>
      <c r="H408" s="70">
        <v>0</v>
      </c>
      <c r="K408" t="s">
        <v>976</v>
      </c>
    </row>
    <row r="409" spans="6:11" x14ac:dyDescent="0.35">
      <c r="F409" s="70">
        <v>315510</v>
      </c>
      <c r="G409" s="86" t="s">
        <v>982</v>
      </c>
      <c r="H409" s="70">
        <v>0</v>
      </c>
      <c r="K409" t="s">
        <v>976</v>
      </c>
    </row>
    <row r="410" spans="6:11" x14ac:dyDescent="0.35">
      <c r="F410" s="70">
        <v>313644</v>
      </c>
      <c r="G410" s="86" t="s">
        <v>983</v>
      </c>
      <c r="H410" s="70">
        <v>0</v>
      </c>
      <c r="K410" t="s">
        <v>976</v>
      </c>
    </row>
    <row r="411" spans="6:11" x14ac:dyDescent="0.35">
      <c r="F411" s="70">
        <v>312323</v>
      </c>
      <c r="G411" s="86" t="s">
        <v>984</v>
      </c>
      <c r="H411" s="70">
        <v>0</v>
      </c>
      <c r="K411" t="s">
        <v>976</v>
      </c>
    </row>
    <row r="412" spans="6:11" x14ac:dyDescent="0.35">
      <c r="F412" s="70">
        <v>313428</v>
      </c>
      <c r="G412" s="86" t="s">
        <v>985</v>
      </c>
      <c r="H412" s="70">
        <v>0</v>
      </c>
      <c r="K412" t="s">
        <v>976</v>
      </c>
    </row>
    <row r="413" spans="6:11" x14ac:dyDescent="0.35">
      <c r="F413" s="70">
        <v>311094</v>
      </c>
      <c r="G413" s="86" t="s">
        <v>986</v>
      </c>
      <c r="H413" s="70">
        <v>0</v>
      </c>
    </row>
    <row r="414" spans="6:11" x14ac:dyDescent="0.35">
      <c r="F414" s="70">
        <v>313151</v>
      </c>
      <c r="G414" s="86" t="s">
        <v>987</v>
      </c>
      <c r="H414" s="70">
        <v>0</v>
      </c>
    </row>
    <row r="415" spans="6:11" x14ac:dyDescent="0.35">
      <c r="F415" s="70">
        <v>308702</v>
      </c>
      <c r="G415" s="86" t="s">
        <v>988</v>
      </c>
      <c r="H415" s="70">
        <v>0</v>
      </c>
    </row>
    <row r="416" spans="6:11" x14ac:dyDescent="0.35">
      <c r="F416" s="70">
        <v>315564</v>
      </c>
      <c r="G416" s="86" t="s">
        <v>989</v>
      </c>
      <c r="H416" s="70">
        <v>0</v>
      </c>
    </row>
    <row r="417" spans="6:8" x14ac:dyDescent="0.35">
      <c r="F417" s="70">
        <v>314285</v>
      </c>
      <c r="G417" s="86" t="s">
        <v>990</v>
      </c>
      <c r="H417" s="70">
        <v>0</v>
      </c>
    </row>
    <row r="418" spans="6:8" x14ac:dyDescent="0.35">
      <c r="F418" s="70">
        <v>311882</v>
      </c>
      <c r="G418" s="86" t="s">
        <v>991</v>
      </c>
      <c r="H418" s="70">
        <v>0</v>
      </c>
    </row>
    <row r="419" spans="6:8" x14ac:dyDescent="0.35">
      <c r="F419" s="70">
        <v>315041</v>
      </c>
      <c r="G419" s="86" t="s">
        <v>992</v>
      </c>
      <c r="H419" s="70">
        <v>0</v>
      </c>
    </row>
    <row r="420" spans="6:8" x14ac:dyDescent="0.35">
      <c r="F420" s="70">
        <v>313219</v>
      </c>
      <c r="G420" s="86" t="s">
        <v>993</v>
      </c>
      <c r="H420" s="70">
        <v>0</v>
      </c>
    </row>
    <row r="421" spans="6:8" x14ac:dyDescent="0.35">
      <c r="F421" s="70">
        <v>314553</v>
      </c>
      <c r="G421" s="86" t="s">
        <v>994</v>
      </c>
      <c r="H421" s="70">
        <v>0</v>
      </c>
    </row>
    <row r="422" spans="6:8" x14ac:dyDescent="0.35">
      <c r="F422" s="70">
        <v>313803</v>
      </c>
      <c r="G422" s="86" t="s">
        <v>995</v>
      </c>
      <c r="H422" s="70">
        <v>0</v>
      </c>
    </row>
    <row r="423" spans="6:8" x14ac:dyDescent="0.35">
      <c r="F423" s="70">
        <v>314445</v>
      </c>
      <c r="G423" s="86" t="s">
        <v>996</v>
      </c>
      <c r="H423" s="70">
        <v>0</v>
      </c>
    </row>
    <row r="424" spans="6:8" x14ac:dyDescent="0.35">
      <c r="F424" s="70">
        <v>314320</v>
      </c>
      <c r="G424" s="86" t="s">
        <v>997</v>
      </c>
      <c r="H424" s="70">
        <v>0</v>
      </c>
    </row>
    <row r="425" spans="6:8" x14ac:dyDescent="0.35">
      <c r="F425" s="70">
        <v>313699</v>
      </c>
      <c r="G425" s="86" t="s">
        <v>998</v>
      </c>
      <c r="H425" s="70">
        <v>0</v>
      </c>
    </row>
    <row r="426" spans="6:8" x14ac:dyDescent="0.35">
      <c r="F426" s="70">
        <v>307498</v>
      </c>
      <c r="G426" s="86" t="s">
        <v>999</v>
      </c>
      <c r="H426" s="70">
        <v>0</v>
      </c>
    </row>
    <row r="427" spans="6:8" x14ac:dyDescent="0.35">
      <c r="F427" s="70">
        <v>312811</v>
      </c>
      <c r="G427" s="86" t="s">
        <v>1000</v>
      </c>
      <c r="H427" s="70">
        <v>0</v>
      </c>
    </row>
    <row r="428" spans="6:8" x14ac:dyDescent="0.35">
      <c r="F428" s="70">
        <v>313353</v>
      </c>
      <c r="G428" s="86" t="s">
        <v>1001</v>
      </c>
      <c r="H428" s="70">
        <v>0</v>
      </c>
    </row>
    <row r="429" spans="6:8" x14ac:dyDescent="0.35">
      <c r="F429" s="70">
        <v>313264</v>
      </c>
      <c r="G429" s="86" t="s">
        <v>1002</v>
      </c>
      <c r="H429" s="70">
        <v>0</v>
      </c>
    </row>
    <row r="430" spans="6:8" x14ac:dyDescent="0.35">
      <c r="F430" s="70">
        <v>314528</v>
      </c>
      <c r="G430" s="86" t="s">
        <v>1003</v>
      </c>
      <c r="H430" s="70">
        <v>0</v>
      </c>
    </row>
    <row r="431" spans="6:8" x14ac:dyDescent="0.35">
      <c r="F431" s="70">
        <v>311933</v>
      </c>
      <c r="G431" s="86" t="s">
        <v>1004</v>
      </c>
      <c r="H431" s="70">
        <v>0</v>
      </c>
    </row>
    <row r="432" spans="6:8" x14ac:dyDescent="0.35">
      <c r="F432" s="70">
        <v>315213</v>
      </c>
      <c r="G432" s="86" t="s">
        <v>1005</v>
      </c>
      <c r="H432" s="70">
        <v>0</v>
      </c>
    </row>
    <row r="433" spans="6:8" x14ac:dyDescent="0.35">
      <c r="F433" s="70">
        <v>311721</v>
      </c>
      <c r="G433" s="86" t="s">
        <v>1006</v>
      </c>
      <c r="H433" s="70">
        <v>0</v>
      </c>
    </row>
    <row r="434" spans="6:8" x14ac:dyDescent="0.35">
      <c r="F434" s="70">
        <v>313016</v>
      </c>
      <c r="G434" s="86" t="s">
        <v>1007</v>
      </c>
      <c r="H434" s="70">
        <v>0</v>
      </c>
    </row>
    <row r="435" spans="6:8" x14ac:dyDescent="0.35">
      <c r="F435" s="70">
        <v>313552</v>
      </c>
      <c r="G435" s="86" t="s">
        <v>1008</v>
      </c>
      <c r="H435" s="70">
        <v>0</v>
      </c>
    </row>
    <row r="436" spans="6:8" x14ac:dyDescent="0.35">
      <c r="F436" s="70">
        <v>313091</v>
      </c>
      <c r="G436" s="86" t="s">
        <v>1009</v>
      </c>
      <c r="H436" s="70">
        <v>0</v>
      </c>
    </row>
    <row r="437" spans="6:8" x14ac:dyDescent="0.35">
      <c r="F437" s="70">
        <v>312169</v>
      </c>
      <c r="G437" s="86" t="s">
        <v>1010</v>
      </c>
      <c r="H437" s="70">
        <v>0</v>
      </c>
    </row>
    <row r="438" spans="6:8" x14ac:dyDescent="0.35">
      <c r="F438" s="70">
        <v>308284</v>
      </c>
      <c r="G438" s="86" t="s">
        <v>1011</v>
      </c>
      <c r="H438" s="70">
        <v>0</v>
      </c>
    </row>
    <row r="439" spans="6:8" x14ac:dyDescent="0.35">
      <c r="F439" s="70">
        <v>312293</v>
      </c>
      <c r="G439" s="86" t="s">
        <v>1012</v>
      </c>
      <c r="H439" s="70">
        <v>0</v>
      </c>
    </row>
    <row r="440" spans="6:8" x14ac:dyDescent="0.35">
      <c r="F440" s="70">
        <v>315582</v>
      </c>
      <c r="G440" s="86" t="s">
        <v>1013</v>
      </c>
      <c r="H440" s="70">
        <v>0</v>
      </c>
    </row>
    <row r="441" spans="6:8" x14ac:dyDescent="0.35">
      <c r="F441" s="70">
        <v>314263</v>
      </c>
      <c r="G441" s="86" t="s">
        <v>1014</v>
      </c>
      <c r="H441" s="70">
        <v>0</v>
      </c>
    </row>
    <row r="442" spans="6:8" x14ac:dyDescent="0.35">
      <c r="F442" s="70">
        <v>314012</v>
      </c>
      <c r="G442" s="86" t="s">
        <v>1015</v>
      </c>
      <c r="H442" s="70">
        <v>0</v>
      </c>
    </row>
    <row r="443" spans="6:8" x14ac:dyDescent="0.35">
      <c r="F443" s="70">
        <v>314349</v>
      </c>
      <c r="G443" s="86" t="s">
        <v>1016</v>
      </c>
      <c r="H443" s="70">
        <v>0</v>
      </c>
    </row>
    <row r="444" spans="6:8" x14ac:dyDescent="0.35">
      <c r="F444" s="70">
        <v>312409</v>
      </c>
      <c r="G444" s="86" t="s">
        <v>1017</v>
      </c>
      <c r="H444" s="70">
        <v>0</v>
      </c>
    </row>
    <row r="445" spans="6:8" x14ac:dyDescent="0.35">
      <c r="F445" s="70">
        <v>314934</v>
      </c>
      <c r="G445" s="86" t="s">
        <v>1018</v>
      </c>
      <c r="H445" s="70">
        <v>0</v>
      </c>
    </row>
    <row r="446" spans="6:8" x14ac:dyDescent="0.35">
      <c r="F446" s="70">
        <v>315303</v>
      </c>
      <c r="G446" s="86" t="s">
        <v>1019</v>
      </c>
      <c r="H446" s="70">
        <v>0</v>
      </c>
    </row>
    <row r="447" spans="6:8" x14ac:dyDescent="0.35">
      <c r="F447" s="70">
        <v>315309</v>
      </c>
      <c r="G447" s="86" t="s">
        <v>1020</v>
      </c>
      <c r="H447" s="70">
        <v>0</v>
      </c>
    </row>
    <row r="448" spans="6:8" x14ac:dyDescent="0.35">
      <c r="F448" s="70">
        <v>307917</v>
      </c>
      <c r="G448" s="86" t="s">
        <v>1021</v>
      </c>
      <c r="H448" s="70">
        <v>0</v>
      </c>
    </row>
    <row r="449" spans="6:8" x14ac:dyDescent="0.35">
      <c r="F449" s="70">
        <v>315038</v>
      </c>
      <c r="G449" s="86" t="s">
        <v>1022</v>
      </c>
      <c r="H449" s="70">
        <v>0</v>
      </c>
    </row>
    <row r="450" spans="6:8" x14ac:dyDescent="0.35">
      <c r="F450" s="70">
        <v>101729</v>
      </c>
      <c r="G450" s="86" t="s">
        <v>1023</v>
      </c>
      <c r="H450" s="70">
        <v>0</v>
      </c>
    </row>
    <row r="451" spans="6:8" x14ac:dyDescent="0.35">
      <c r="F451" s="70">
        <v>314230</v>
      </c>
      <c r="G451" s="86" t="s">
        <v>1024</v>
      </c>
      <c r="H451" s="70">
        <v>0</v>
      </c>
    </row>
    <row r="452" spans="6:8" x14ac:dyDescent="0.35">
      <c r="F452" s="70">
        <v>314093</v>
      </c>
      <c r="G452" s="86" t="s">
        <v>1025</v>
      </c>
      <c r="H452" s="70">
        <v>0</v>
      </c>
    </row>
    <row r="453" spans="6:8" x14ac:dyDescent="0.35">
      <c r="F453" s="70">
        <v>312717</v>
      </c>
      <c r="G453" s="86" t="s">
        <v>1026</v>
      </c>
      <c r="H453" s="70">
        <v>0</v>
      </c>
    </row>
    <row r="454" spans="6:8" x14ac:dyDescent="0.35">
      <c r="F454" s="70">
        <v>314785</v>
      </c>
      <c r="G454" s="86" t="s">
        <v>1027</v>
      </c>
      <c r="H454" s="70">
        <v>0</v>
      </c>
    </row>
    <row r="455" spans="6:8" x14ac:dyDescent="0.35">
      <c r="F455" s="70">
        <v>310144</v>
      </c>
      <c r="G455" s="86" t="s">
        <v>1028</v>
      </c>
      <c r="H455" s="70">
        <v>0</v>
      </c>
    </row>
    <row r="456" spans="6:8" x14ac:dyDescent="0.35">
      <c r="F456" s="70">
        <v>315457</v>
      </c>
      <c r="G456" s="86" t="s">
        <v>1029</v>
      </c>
      <c r="H456" s="70">
        <v>0</v>
      </c>
    </row>
    <row r="457" spans="6:8" x14ac:dyDescent="0.35">
      <c r="F457" s="70">
        <v>311612</v>
      </c>
      <c r="G457" s="86" t="s">
        <v>1030</v>
      </c>
      <c r="H457" s="70">
        <v>0</v>
      </c>
    </row>
    <row r="458" spans="6:8" x14ac:dyDescent="0.35">
      <c r="F458" s="70">
        <v>315204</v>
      </c>
      <c r="G458" s="86" t="s">
        <v>1031</v>
      </c>
      <c r="H458" s="70">
        <v>0</v>
      </c>
    </row>
    <row r="459" spans="6:8" x14ac:dyDescent="0.35">
      <c r="F459" s="70">
        <v>311548</v>
      </c>
      <c r="G459" s="86" t="s">
        <v>1032</v>
      </c>
      <c r="H459" s="70">
        <v>0</v>
      </c>
    </row>
    <row r="460" spans="6:8" x14ac:dyDescent="0.35">
      <c r="F460" s="70">
        <v>306667</v>
      </c>
      <c r="G460" s="86" t="s">
        <v>1033</v>
      </c>
      <c r="H460" s="70">
        <v>0</v>
      </c>
    </row>
    <row r="461" spans="6:8" x14ac:dyDescent="0.35">
      <c r="F461" s="70">
        <v>314533</v>
      </c>
      <c r="G461" s="86" t="s">
        <v>1034</v>
      </c>
      <c r="H461" s="70">
        <v>0</v>
      </c>
    </row>
    <row r="462" spans="6:8" x14ac:dyDescent="0.35">
      <c r="F462" s="70">
        <v>311817</v>
      </c>
      <c r="G462" s="86" t="s">
        <v>1035</v>
      </c>
      <c r="H462" s="70">
        <v>0</v>
      </c>
    </row>
    <row r="463" spans="6:8" x14ac:dyDescent="0.35">
      <c r="F463" s="70">
        <v>301309</v>
      </c>
      <c r="G463" s="86" t="s">
        <v>1036</v>
      </c>
      <c r="H463" s="70">
        <v>0</v>
      </c>
    </row>
    <row r="464" spans="6:8" x14ac:dyDescent="0.35">
      <c r="F464" s="70">
        <v>315530</v>
      </c>
      <c r="G464" s="86" t="s">
        <v>1037</v>
      </c>
      <c r="H464" s="70">
        <v>0</v>
      </c>
    </row>
    <row r="465" spans="6:8" x14ac:dyDescent="0.35">
      <c r="F465" s="70">
        <v>315343</v>
      </c>
      <c r="G465" s="86" t="s">
        <v>1038</v>
      </c>
      <c r="H465" s="70">
        <v>0</v>
      </c>
    </row>
    <row r="466" spans="6:8" x14ac:dyDescent="0.35">
      <c r="F466" s="70">
        <v>309911</v>
      </c>
      <c r="G466" s="86" t="s">
        <v>1039</v>
      </c>
      <c r="H466" s="70">
        <v>0</v>
      </c>
    </row>
    <row r="467" spans="6:8" x14ac:dyDescent="0.35">
      <c r="F467" s="70">
        <v>315485</v>
      </c>
      <c r="G467" s="86" t="s">
        <v>1040</v>
      </c>
      <c r="H467" s="70">
        <v>0</v>
      </c>
    </row>
    <row r="468" spans="6:8" x14ac:dyDescent="0.35">
      <c r="F468" s="70">
        <v>307104</v>
      </c>
      <c r="G468" s="86" t="s">
        <v>1041</v>
      </c>
      <c r="H468" s="70">
        <v>0</v>
      </c>
    </row>
    <row r="469" spans="6:8" x14ac:dyDescent="0.35">
      <c r="F469" s="70">
        <v>312975</v>
      </c>
      <c r="G469" s="86" t="s">
        <v>1042</v>
      </c>
      <c r="H469" s="70">
        <v>0</v>
      </c>
    </row>
    <row r="470" spans="6:8" x14ac:dyDescent="0.35">
      <c r="F470" s="70">
        <v>306654</v>
      </c>
      <c r="G470" s="86" t="s">
        <v>1043</v>
      </c>
      <c r="H470" s="70">
        <v>0</v>
      </c>
    </row>
    <row r="471" spans="6:8" x14ac:dyDescent="0.35">
      <c r="F471" s="70">
        <v>315035</v>
      </c>
      <c r="G471" s="86" t="s">
        <v>1044</v>
      </c>
      <c r="H471" s="70">
        <v>0</v>
      </c>
    </row>
    <row r="472" spans="6:8" x14ac:dyDescent="0.35">
      <c r="F472" s="70">
        <v>315255</v>
      </c>
      <c r="G472" s="86" t="s">
        <v>1045</v>
      </c>
      <c r="H472" s="70">
        <v>0</v>
      </c>
    </row>
    <row r="473" spans="6:8" x14ac:dyDescent="0.35">
      <c r="F473" s="70">
        <v>313730</v>
      </c>
      <c r="G473" s="86" t="s">
        <v>1046</v>
      </c>
      <c r="H473" s="70">
        <v>0</v>
      </c>
    </row>
    <row r="474" spans="6:8" x14ac:dyDescent="0.35">
      <c r="F474" s="70">
        <v>315273</v>
      </c>
      <c r="G474" s="86" t="s">
        <v>1047</v>
      </c>
      <c r="H474" s="70">
        <v>0</v>
      </c>
    </row>
    <row r="475" spans="6:8" x14ac:dyDescent="0.35">
      <c r="F475" s="70">
        <v>309429</v>
      </c>
      <c r="G475" s="86" t="s">
        <v>1048</v>
      </c>
      <c r="H475" s="70">
        <v>0</v>
      </c>
    </row>
    <row r="476" spans="6:8" x14ac:dyDescent="0.35">
      <c r="F476" s="70">
        <v>315265</v>
      </c>
      <c r="G476" s="86" t="s">
        <v>1049</v>
      </c>
      <c r="H476" s="70">
        <v>0</v>
      </c>
    </row>
    <row r="477" spans="6:8" x14ac:dyDescent="0.35">
      <c r="F477" s="70">
        <v>301514</v>
      </c>
      <c r="G477" s="86" t="s">
        <v>1050</v>
      </c>
      <c r="H477" s="70">
        <v>0</v>
      </c>
    </row>
    <row r="478" spans="6:8" x14ac:dyDescent="0.35">
      <c r="F478" s="70">
        <v>309950</v>
      </c>
      <c r="G478" s="86" t="s">
        <v>1051</v>
      </c>
      <c r="H478" s="70">
        <v>0</v>
      </c>
    </row>
    <row r="479" spans="6:8" x14ac:dyDescent="0.35">
      <c r="F479" s="70">
        <v>315349</v>
      </c>
      <c r="G479" s="86" t="s">
        <v>1052</v>
      </c>
      <c r="H479" s="70">
        <v>0</v>
      </c>
    </row>
    <row r="480" spans="6:8" x14ac:dyDescent="0.35">
      <c r="F480" s="70">
        <v>306248</v>
      </c>
      <c r="G480" s="86" t="s">
        <v>1053</v>
      </c>
      <c r="H480" s="70">
        <v>0</v>
      </c>
    </row>
    <row r="481" spans="6:8" x14ac:dyDescent="0.35">
      <c r="F481" s="70">
        <v>310719</v>
      </c>
      <c r="G481" s="86" t="s">
        <v>1054</v>
      </c>
      <c r="H481" s="70">
        <v>0</v>
      </c>
    </row>
    <row r="482" spans="6:8" x14ac:dyDescent="0.35">
      <c r="F482" s="70">
        <v>309945</v>
      </c>
      <c r="G482" s="86" t="s">
        <v>1055</v>
      </c>
      <c r="H482" s="70">
        <v>0</v>
      </c>
    </row>
    <row r="483" spans="6:8" x14ac:dyDescent="0.35">
      <c r="F483" s="70">
        <v>314619</v>
      </c>
      <c r="G483" s="86" t="s">
        <v>1056</v>
      </c>
      <c r="H483" s="70">
        <v>0</v>
      </c>
    </row>
    <row r="484" spans="6:8" x14ac:dyDescent="0.35">
      <c r="F484" s="70">
        <v>315263</v>
      </c>
      <c r="G484" s="86" t="s">
        <v>1057</v>
      </c>
      <c r="H484" s="70">
        <v>0</v>
      </c>
    </row>
    <row r="485" spans="6:8" x14ac:dyDescent="0.35">
      <c r="F485" s="70">
        <v>312140</v>
      </c>
      <c r="G485" s="86" t="s">
        <v>1058</v>
      </c>
      <c r="H485" s="70">
        <v>0</v>
      </c>
    </row>
    <row r="486" spans="6:8" x14ac:dyDescent="0.35">
      <c r="F486" s="70">
        <v>304949</v>
      </c>
      <c r="G486" s="86" t="s">
        <v>1059</v>
      </c>
      <c r="H486" s="70">
        <v>0</v>
      </c>
    </row>
    <row r="487" spans="6:8" x14ac:dyDescent="0.35">
      <c r="F487" s="70">
        <v>314189</v>
      </c>
      <c r="G487" s="86" t="s">
        <v>1060</v>
      </c>
      <c r="H487" s="70">
        <v>0</v>
      </c>
    </row>
    <row r="488" spans="6:8" x14ac:dyDescent="0.35">
      <c r="F488" s="70">
        <v>304943</v>
      </c>
      <c r="G488" s="86" t="s">
        <v>1061</v>
      </c>
      <c r="H488" s="70">
        <v>0</v>
      </c>
    </row>
    <row r="489" spans="6:8" x14ac:dyDescent="0.35">
      <c r="F489" s="70">
        <v>314569</v>
      </c>
      <c r="G489" s="86" t="s">
        <v>1062</v>
      </c>
      <c r="H489" s="70">
        <v>0</v>
      </c>
    </row>
    <row r="490" spans="6:8" x14ac:dyDescent="0.35">
      <c r="F490" s="70">
        <v>310114</v>
      </c>
      <c r="G490" s="86" t="s">
        <v>1063</v>
      </c>
      <c r="H490" s="70">
        <v>0</v>
      </c>
    </row>
    <row r="491" spans="6:8" x14ac:dyDescent="0.35">
      <c r="F491" s="70">
        <v>313710</v>
      </c>
      <c r="G491" s="86" t="s">
        <v>1064</v>
      </c>
      <c r="H491" s="70">
        <v>0</v>
      </c>
    </row>
    <row r="492" spans="6:8" x14ac:dyDescent="0.35">
      <c r="F492" s="70">
        <v>314863</v>
      </c>
      <c r="G492" s="86" t="s">
        <v>1065</v>
      </c>
      <c r="H492" s="70">
        <v>0</v>
      </c>
    </row>
    <row r="493" spans="6:8" x14ac:dyDescent="0.35">
      <c r="F493" s="70">
        <v>315412</v>
      </c>
      <c r="G493" s="86" t="s">
        <v>1066</v>
      </c>
      <c r="H493" s="70">
        <v>0</v>
      </c>
    </row>
    <row r="494" spans="6:8" x14ac:dyDescent="0.35">
      <c r="F494" s="70">
        <v>311419</v>
      </c>
      <c r="G494" s="86" t="s">
        <v>1067</v>
      </c>
      <c r="H494" s="70">
        <v>0</v>
      </c>
    </row>
    <row r="495" spans="6:8" x14ac:dyDescent="0.35">
      <c r="F495" s="70">
        <v>312961</v>
      </c>
      <c r="G495" s="86" t="s">
        <v>1068</v>
      </c>
      <c r="H495" s="70">
        <v>0</v>
      </c>
    </row>
    <row r="496" spans="6:8" x14ac:dyDescent="0.35">
      <c r="F496" s="70">
        <v>315569</v>
      </c>
      <c r="G496" s="86" t="s">
        <v>1069</v>
      </c>
      <c r="H496" s="70">
        <v>0</v>
      </c>
    </row>
    <row r="497" spans="6:8" x14ac:dyDescent="0.35">
      <c r="F497" s="70">
        <v>315175</v>
      </c>
      <c r="G497" s="86" t="s">
        <v>1070</v>
      </c>
      <c r="H497" s="70">
        <v>0</v>
      </c>
    </row>
    <row r="498" spans="6:8" x14ac:dyDescent="0.35">
      <c r="F498" s="70">
        <v>315576</v>
      </c>
      <c r="G498" s="86" t="s">
        <v>1071</v>
      </c>
      <c r="H498" s="70">
        <v>0</v>
      </c>
    </row>
    <row r="499" spans="6:8" x14ac:dyDescent="0.35">
      <c r="F499" s="70">
        <v>315154</v>
      </c>
      <c r="G499" s="86" t="s">
        <v>1072</v>
      </c>
      <c r="H499" s="70">
        <v>0</v>
      </c>
    </row>
    <row r="500" spans="6:8" x14ac:dyDescent="0.35">
      <c r="F500" s="70">
        <v>312588</v>
      </c>
      <c r="G500" s="86" t="s">
        <v>1073</v>
      </c>
      <c r="H500" s="70" t="s">
        <v>1074</v>
      </c>
    </row>
    <row r="501" spans="6:8" x14ac:dyDescent="0.35">
      <c r="F501" s="70">
        <v>309925</v>
      </c>
      <c r="G501" s="86" t="s">
        <v>1075</v>
      </c>
      <c r="H501" s="70">
        <v>0</v>
      </c>
    </row>
    <row r="502" spans="6:8" x14ac:dyDescent="0.35">
      <c r="F502" s="70">
        <v>312114</v>
      </c>
      <c r="G502" s="86" t="s">
        <v>1076</v>
      </c>
      <c r="H502" s="70">
        <v>0</v>
      </c>
    </row>
    <row r="503" spans="6:8" x14ac:dyDescent="0.35">
      <c r="F503" s="70">
        <v>310694</v>
      </c>
      <c r="G503" s="86" t="s">
        <v>1077</v>
      </c>
      <c r="H503" s="70">
        <v>0</v>
      </c>
    </row>
    <row r="504" spans="6:8" x14ac:dyDescent="0.35">
      <c r="F504" s="70">
        <v>315300</v>
      </c>
      <c r="G504" s="86" t="s">
        <v>1078</v>
      </c>
      <c r="H504" s="70">
        <v>0</v>
      </c>
    </row>
    <row r="505" spans="6:8" x14ac:dyDescent="0.35">
      <c r="F505" s="70">
        <v>314029</v>
      </c>
      <c r="G505" s="86" t="s">
        <v>1079</v>
      </c>
      <c r="H505" s="70">
        <v>0</v>
      </c>
    </row>
    <row r="506" spans="6:8" x14ac:dyDescent="0.35">
      <c r="F506" s="70">
        <v>313510</v>
      </c>
      <c r="G506" s="86" t="s">
        <v>1080</v>
      </c>
      <c r="H506" s="70">
        <v>0</v>
      </c>
    </row>
    <row r="507" spans="6:8" x14ac:dyDescent="0.35">
      <c r="F507" s="70">
        <v>308951</v>
      </c>
      <c r="G507" s="86" t="s">
        <v>1081</v>
      </c>
      <c r="H507" s="70">
        <v>0</v>
      </c>
    </row>
    <row r="508" spans="6:8" x14ac:dyDescent="0.35">
      <c r="F508" s="70">
        <v>301847</v>
      </c>
      <c r="G508" s="86" t="s">
        <v>1082</v>
      </c>
      <c r="H508" s="70">
        <v>0</v>
      </c>
    </row>
    <row r="509" spans="6:8" x14ac:dyDescent="0.35">
      <c r="F509" s="70">
        <v>314009</v>
      </c>
      <c r="G509" s="86" t="s">
        <v>1083</v>
      </c>
      <c r="H509" s="70">
        <v>0</v>
      </c>
    </row>
    <row r="510" spans="6:8" x14ac:dyDescent="0.35">
      <c r="F510" s="70">
        <v>303959</v>
      </c>
      <c r="G510" s="86" t="s">
        <v>1084</v>
      </c>
      <c r="H510" s="70">
        <v>0</v>
      </c>
    </row>
    <row r="511" spans="6:8" x14ac:dyDescent="0.35">
      <c r="F511" s="70">
        <v>308028</v>
      </c>
      <c r="G511" s="86" t="s">
        <v>1085</v>
      </c>
      <c r="H511" s="70">
        <v>0</v>
      </c>
    </row>
    <row r="512" spans="6:8" x14ac:dyDescent="0.35">
      <c r="F512" s="70">
        <v>302479</v>
      </c>
      <c r="G512" s="86" t="s">
        <v>1086</v>
      </c>
      <c r="H512" s="70">
        <v>0</v>
      </c>
    </row>
    <row r="513" spans="6:8" x14ac:dyDescent="0.35">
      <c r="F513" s="70">
        <v>313041</v>
      </c>
      <c r="G513" s="86" t="s">
        <v>1087</v>
      </c>
      <c r="H513" s="70">
        <v>0</v>
      </c>
    </row>
    <row r="514" spans="6:8" x14ac:dyDescent="0.35">
      <c r="F514" s="70">
        <v>313729</v>
      </c>
      <c r="G514" s="86" t="s">
        <v>1088</v>
      </c>
      <c r="H514" s="70">
        <v>0</v>
      </c>
    </row>
    <row r="515" spans="6:8" x14ac:dyDescent="0.35">
      <c r="F515" s="70">
        <v>307713</v>
      </c>
      <c r="G515" s="86" t="s">
        <v>1089</v>
      </c>
      <c r="H515" s="70">
        <v>0</v>
      </c>
    </row>
    <row r="516" spans="6:8" x14ac:dyDescent="0.35">
      <c r="F516" s="70">
        <v>315304</v>
      </c>
      <c r="G516" s="86" t="s">
        <v>1090</v>
      </c>
      <c r="H516" s="70">
        <v>0</v>
      </c>
    </row>
    <row r="517" spans="6:8" x14ac:dyDescent="0.35">
      <c r="F517" s="70">
        <v>314630</v>
      </c>
      <c r="G517" s="86" t="s">
        <v>1091</v>
      </c>
      <c r="H517" s="70">
        <v>0</v>
      </c>
    </row>
    <row r="518" spans="6:8" x14ac:dyDescent="0.35">
      <c r="F518" s="70">
        <v>312139</v>
      </c>
      <c r="G518" s="86" t="s">
        <v>1092</v>
      </c>
      <c r="H518" s="70">
        <v>0</v>
      </c>
    </row>
    <row r="519" spans="6:8" x14ac:dyDescent="0.35">
      <c r="F519" s="70">
        <v>310725</v>
      </c>
      <c r="G519" s="86" t="s">
        <v>1093</v>
      </c>
      <c r="H519" s="70">
        <v>0</v>
      </c>
    </row>
    <row r="520" spans="6:8" x14ac:dyDescent="0.35">
      <c r="F520" s="70">
        <v>309034</v>
      </c>
      <c r="G520" s="86" t="s">
        <v>1094</v>
      </c>
      <c r="H520" s="70">
        <v>0</v>
      </c>
    </row>
    <row r="521" spans="6:8" x14ac:dyDescent="0.35">
      <c r="F521" s="70">
        <v>315218</v>
      </c>
      <c r="G521" s="86" t="s">
        <v>1095</v>
      </c>
      <c r="H521" s="70">
        <v>0</v>
      </c>
    </row>
    <row r="522" spans="6:8" x14ac:dyDescent="0.35">
      <c r="F522" s="70">
        <v>315050</v>
      </c>
      <c r="G522" s="86" t="s">
        <v>1096</v>
      </c>
      <c r="H522" s="70">
        <v>0</v>
      </c>
    </row>
    <row r="523" spans="6:8" x14ac:dyDescent="0.35">
      <c r="F523" s="70">
        <v>312377</v>
      </c>
      <c r="G523" s="86" t="s">
        <v>1097</v>
      </c>
      <c r="H523" s="70">
        <v>0</v>
      </c>
    </row>
    <row r="524" spans="6:8" x14ac:dyDescent="0.35">
      <c r="F524" s="70">
        <v>315495</v>
      </c>
      <c r="G524" s="86" t="s">
        <v>1098</v>
      </c>
      <c r="H524" s="70">
        <v>0</v>
      </c>
    </row>
    <row r="525" spans="6:8" x14ac:dyDescent="0.35">
      <c r="F525" s="70">
        <v>302285</v>
      </c>
      <c r="G525" s="86" t="s">
        <v>1099</v>
      </c>
      <c r="H525" s="70">
        <v>0</v>
      </c>
    </row>
    <row r="526" spans="6:8" x14ac:dyDescent="0.35">
      <c r="F526" s="70">
        <v>309528</v>
      </c>
      <c r="G526" s="86" t="s">
        <v>1100</v>
      </c>
      <c r="H526" s="70">
        <v>0</v>
      </c>
    </row>
    <row r="527" spans="6:8" x14ac:dyDescent="0.35">
      <c r="F527" s="70">
        <v>310612</v>
      </c>
      <c r="G527" s="86" t="s">
        <v>1101</v>
      </c>
      <c r="H527" s="70">
        <v>0</v>
      </c>
    </row>
    <row r="528" spans="6:8" x14ac:dyDescent="0.35">
      <c r="F528" s="70">
        <v>301649</v>
      </c>
      <c r="G528" s="86" t="s">
        <v>1102</v>
      </c>
      <c r="H528" s="70">
        <v>0</v>
      </c>
    </row>
    <row r="529" spans="6:8" x14ac:dyDescent="0.35">
      <c r="F529" s="70">
        <v>306404</v>
      </c>
      <c r="G529" s="86" t="s">
        <v>1103</v>
      </c>
      <c r="H529" s="70">
        <v>0</v>
      </c>
    </row>
    <row r="530" spans="6:8" x14ac:dyDescent="0.35">
      <c r="F530" s="70">
        <v>313743</v>
      </c>
      <c r="G530" s="86" t="s">
        <v>1104</v>
      </c>
      <c r="H530" s="70">
        <v>0</v>
      </c>
    </row>
    <row r="531" spans="6:8" x14ac:dyDescent="0.35">
      <c r="F531" s="70">
        <v>310888</v>
      </c>
      <c r="G531" s="86" t="s">
        <v>1105</v>
      </c>
      <c r="H531" s="70">
        <v>0</v>
      </c>
    </row>
    <row r="532" spans="6:8" x14ac:dyDescent="0.35">
      <c r="F532" s="70">
        <v>302261</v>
      </c>
      <c r="G532" s="86" t="s">
        <v>1106</v>
      </c>
      <c r="H532" s="70">
        <v>0</v>
      </c>
    </row>
    <row r="533" spans="6:8" x14ac:dyDescent="0.35">
      <c r="F533" s="70">
        <v>304392</v>
      </c>
      <c r="G533" s="86" t="s">
        <v>1107</v>
      </c>
      <c r="H533" s="70">
        <v>0</v>
      </c>
    </row>
    <row r="534" spans="6:8" x14ac:dyDescent="0.35">
      <c r="F534" s="70">
        <v>313703</v>
      </c>
      <c r="G534" s="86" t="s">
        <v>1108</v>
      </c>
      <c r="H534" s="70">
        <v>0</v>
      </c>
    </row>
    <row r="535" spans="6:8" x14ac:dyDescent="0.35">
      <c r="F535" s="70">
        <v>310432</v>
      </c>
      <c r="G535" s="86" t="s">
        <v>1109</v>
      </c>
      <c r="H535" s="70">
        <v>0</v>
      </c>
    </row>
    <row r="536" spans="6:8" x14ac:dyDescent="0.35">
      <c r="F536" s="70">
        <v>309389</v>
      </c>
      <c r="G536" s="86" t="s">
        <v>1110</v>
      </c>
      <c r="H536" s="70">
        <v>0</v>
      </c>
    </row>
    <row r="537" spans="6:8" x14ac:dyDescent="0.35">
      <c r="F537" s="70">
        <v>303674</v>
      </c>
      <c r="G537" s="86" t="s">
        <v>1111</v>
      </c>
      <c r="H537" s="70">
        <v>0</v>
      </c>
    </row>
    <row r="538" spans="6:8" x14ac:dyDescent="0.35">
      <c r="F538" s="70">
        <v>301644</v>
      </c>
      <c r="G538" s="86" t="s">
        <v>1112</v>
      </c>
      <c r="H538" s="70">
        <v>0</v>
      </c>
    </row>
    <row r="539" spans="6:8" x14ac:dyDescent="0.35">
      <c r="F539" s="70">
        <v>307030</v>
      </c>
      <c r="G539" s="86" t="s">
        <v>1113</v>
      </c>
      <c r="H539" s="70">
        <v>0</v>
      </c>
    </row>
    <row r="540" spans="6:8" x14ac:dyDescent="0.35">
      <c r="F540" s="70">
        <v>315503</v>
      </c>
      <c r="G540" s="86" t="s">
        <v>1114</v>
      </c>
      <c r="H540" s="70">
        <v>0</v>
      </c>
    </row>
    <row r="541" spans="6:8" x14ac:dyDescent="0.35">
      <c r="F541" s="70">
        <v>312398</v>
      </c>
      <c r="G541" s="86" t="s">
        <v>1115</v>
      </c>
      <c r="H541" s="70">
        <v>0</v>
      </c>
    </row>
    <row r="542" spans="6:8" x14ac:dyDescent="0.35">
      <c r="F542" s="70">
        <v>301199</v>
      </c>
      <c r="G542" s="86" t="s">
        <v>1116</v>
      </c>
      <c r="H542" s="70">
        <v>0</v>
      </c>
    </row>
    <row r="543" spans="6:8" x14ac:dyDescent="0.35">
      <c r="F543" s="70">
        <v>304317</v>
      </c>
      <c r="G543" s="86" t="s">
        <v>1117</v>
      </c>
      <c r="H543" s="70">
        <v>0</v>
      </c>
    </row>
    <row r="544" spans="6:8" x14ac:dyDescent="0.35">
      <c r="F544" s="70">
        <v>311286</v>
      </c>
      <c r="G544" s="86" t="s">
        <v>1118</v>
      </c>
      <c r="H544" s="70">
        <v>0</v>
      </c>
    </row>
    <row r="545" spans="6:8" x14ac:dyDescent="0.35">
      <c r="F545" s="70">
        <v>311133</v>
      </c>
      <c r="G545" s="86" t="s">
        <v>1119</v>
      </c>
      <c r="H545" s="70">
        <v>0</v>
      </c>
    </row>
    <row r="546" spans="6:8" x14ac:dyDescent="0.35">
      <c r="F546" s="70">
        <v>313304</v>
      </c>
      <c r="G546" s="86" t="s">
        <v>1120</v>
      </c>
      <c r="H546" s="70">
        <v>0</v>
      </c>
    </row>
    <row r="547" spans="6:8" x14ac:dyDescent="0.35">
      <c r="F547" s="70">
        <v>311997</v>
      </c>
      <c r="G547" s="86" t="s">
        <v>1121</v>
      </c>
      <c r="H547" s="70">
        <v>0</v>
      </c>
    </row>
    <row r="548" spans="6:8" x14ac:dyDescent="0.35">
      <c r="F548" s="70">
        <v>313128</v>
      </c>
      <c r="G548" s="86" t="s">
        <v>1122</v>
      </c>
      <c r="H548" s="70">
        <v>0</v>
      </c>
    </row>
    <row r="549" spans="6:8" x14ac:dyDescent="0.35">
      <c r="F549" s="70">
        <v>314232</v>
      </c>
      <c r="G549" s="86" t="s">
        <v>1123</v>
      </c>
      <c r="H549" s="70">
        <v>0</v>
      </c>
    </row>
    <row r="550" spans="6:8" x14ac:dyDescent="0.35">
      <c r="F550" s="70">
        <v>312920</v>
      </c>
      <c r="G550" s="86" t="s">
        <v>1124</v>
      </c>
      <c r="H550" s="70">
        <v>0</v>
      </c>
    </row>
    <row r="551" spans="6:8" x14ac:dyDescent="0.35">
      <c r="F551" s="70">
        <v>314336</v>
      </c>
      <c r="G551" s="86" t="s">
        <v>1125</v>
      </c>
      <c r="H551" s="70">
        <v>0</v>
      </c>
    </row>
    <row r="552" spans="6:8" x14ac:dyDescent="0.35">
      <c r="F552" s="70">
        <v>315186</v>
      </c>
      <c r="G552" s="86" t="s">
        <v>1126</v>
      </c>
      <c r="H552" s="70">
        <v>0</v>
      </c>
    </row>
    <row r="553" spans="6:8" x14ac:dyDescent="0.35">
      <c r="F553" s="70">
        <v>311913</v>
      </c>
      <c r="G553" s="86" t="s">
        <v>1127</v>
      </c>
      <c r="H553" s="70">
        <v>0</v>
      </c>
    </row>
    <row r="554" spans="6:8" x14ac:dyDescent="0.35">
      <c r="F554" s="70">
        <v>315302</v>
      </c>
      <c r="G554" s="86" t="s">
        <v>1128</v>
      </c>
      <c r="H554" s="70">
        <v>0</v>
      </c>
    </row>
    <row r="555" spans="6:8" x14ac:dyDescent="0.35">
      <c r="F555" s="70">
        <v>314983</v>
      </c>
      <c r="G555" s="86" t="s">
        <v>1129</v>
      </c>
      <c r="H555" s="70">
        <v>0</v>
      </c>
    </row>
    <row r="556" spans="6:8" x14ac:dyDescent="0.35">
      <c r="F556" s="70">
        <v>313569</v>
      </c>
      <c r="G556" s="86" t="s">
        <v>1130</v>
      </c>
      <c r="H556" s="70">
        <v>0</v>
      </c>
    </row>
    <row r="557" spans="6:8" x14ac:dyDescent="0.35">
      <c r="F557" s="70">
        <v>315034</v>
      </c>
      <c r="G557" s="86" t="s">
        <v>1131</v>
      </c>
      <c r="H557" s="70">
        <v>0</v>
      </c>
    </row>
    <row r="558" spans="6:8" x14ac:dyDescent="0.35">
      <c r="F558" s="70">
        <v>315352</v>
      </c>
      <c r="G558" s="86" t="s">
        <v>1132</v>
      </c>
      <c r="H558" s="70">
        <v>0</v>
      </c>
    </row>
    <row r="559" spans="6:8" x14ac:dyDescent="0.35">
      <c r="F559" s="70">
        <v>100717</v>
      </c>
      <c r="G559" s="86" t="s">
        <v>1133</v>
      </c>
      <c r="H559" s="70">
        <v>0</v>
      </c>
    </row>
    <row r="560" spans="6:8" x14ac:dyDescent="0.35">
      <c r="F560" s="70">
        <v>313656</v>
      </c>
      <c r="G560" s="86" t="s">
        <v>1134</v>
      </c>
      <c r="H560" s="70">
        <v>0</v>
      </c>
    </row>
    <row r="561" spans="6:8" x14ac:dyDescent="0.35">
      <c r="F561" s="70">
        <v>312255</v>
      </c>
      <c r="G561" s="86" t="s">
        <v>1135</v>
      </c>
      <c r="H561" s="70">
        <v>0</v>
      </c>
    </row>
    <row r="562" spans="6:8" x14ac:dyDescent="0.35">
      <c r="F562" s="70">
        <v>314780</v>
      </c>
      <c r="G562" s="86" t="s">
        <v>1136</v>
      </c>
      <c r="H562" s="70">
        <v>0</v>
      </c>
    </row>
    <row r="563" spans="6:8" x14ac:dyDescent="0.35">
      <c r="F563" s="70">
        <v>301265</v>
      </c>
      <c r="G563" s="86" t="s">
        <v>1137</v>
      </c>
      <c r="H563" s="70">
        <v>0</v>
      </c>
    </row>
    <row r="564" spans="6:8" x14ac:dyDescent="0.35">
      <c r="F564" s="70">
        <v>314552</v>
      </c>
      <c r="G564" s="86" t="s">
        <v>1138</v>
      </c>
      <c r="H564" s="70">
        <v>0</v>
      </c>
    </row>
    <row r="565" spans="6:8" x14ac:dyDescent="0.35">
      <c r="F565" s="70">
        <v>301608</v>
      </c>
      <c r="G565" s="86" t="s">
        <v>1139</v>
      </c>
      <c r="H565" s="70">
        <v>0</v>
      </c>
    </row>
    <row r="566" spans="6:8" x14ac:dyDescent="0.35">
      <c r="F566" s="70">
        <v>314866</v>
      </c>
      <c r="G566" s="86" t="s">
        <v>1140</v>
      </c>
      <c r="H566" s="70">
        <v>0</v>
      </c>
    </row>
    <row r="567" spans="6:8" x14ac:dyDescent="0.35">
      <c r="F567" s="70">
        <v>314935</v>
      </c>
      <c r="G567" s="86" t="s">
        <v>1141</v>
      </c>
      <c r="H567" s="70">
        <v>0</v>
      </c>
    </row>
    <row r="568" spans="6:8" x14ac:dyDescent="0.35">
      <c r="F568" s="70">
        <v>313086</v>
      </c>
      <c r="G568" s="86" t="s">
        <v>1142</v>
      </c>
      <c r="H568" s="70">
        <v>0</v>
      </c>
    </row>
    <row r="569" spans="6:8" x14ac:dyDescent="0.35">
      <c r="F569" s="70">
        <v>314146</v>
      </c>
      <c r="G569" s="86" t="s">
        <v>1143</v>
      </c>
      <c r="H569" s="70">
        <v>0</v>
      </c>
    </row>
    <row r="570" spans="6:8" x14ac:dyDescent="0.35">
      <c r="F570" s="70">
        <v>315130</v>
      </c>
      <c r="G570" s="86" t="s">
        <v>1144</v>
      </c>
      <c r="H570" s="70">
        <v>0</v>
      </c>
    </row>
    <row r="571" spans="6:8" x14ac:dyDescent="0.35">
      <c r="F571" s="70">
        <v>315546</v>
      </c>
      <c r="G571" s="86" t="s">
        <v>1145</v>
      </c>
      <c r="H571" s="70">
        <v>0</v>
      </c>
    </row>
    <row r="572" spans="6:8" x14ac:dyDescent="0.35">
      <c r="F572" s="70">
        <v>314261</v>
      </c>
      <c r="G572" s="86" t="s">
        <v>1146</v>
      </c>
      <c r="H572" s="70">
        <v>0</v>
      </c>
    </row>
    <row r="573" spans="6:8" x14ac:dyDescent="0.35">
      <c r="F573" s="70">
        <v>313187</v>
      </c>
      <c r="G573" s="86" t="s">
        <v>1147</v>
      </c>
      <c r="H573" s="70">
        <v>0</v>
      </c>
    </row>
    <row r="574" spans="6:8" x14ac:dyDescent="0.35">
      <c r="F574" s="70">
        <v>308525</v>
      </c>
      <c r="G574" s="86" t="s">
        <v>1148</v>
      </c>
      <c r="H574" s="70">
        <v>0</v>
      </c>
    </row>
    <row r="575" spans="6:8" x14ac:dyDescent="0.35">
      <c r="F575" s="70">
        <v>308189</v>
      </c>
      <c r="G575" s="86" t="s">
        <v>1149</v>
      </c>
      <c r="H575" s="70">
        <v>0</v>
      </c>
    </row>
    <row r="576" spans="6:8" x14ac:dyDescent="0.35">
      <c r="F576" s="70">
        <v>312758</v>
      </c>
      <c r="G576" s="86" t="s">
        <v>1150</v>
      </c>
      <c r="H576" s="70">
        <v>0</v>
      </c>
    </row>
    <row r="577" spans="6:8" x14ac:dyDescent="0.35">
      <c r="F577" s="70">
        <v>301462</v>
      </c>
      <c r="G577" s="86" t="s">
        <v>1151</v>
      </c>
      <c r="H577" s="70">
        <v>0</v>
      </c>
    </row>
    <row r="578" spans="6:8" x14ac:dyDescent="0.35">
      <c r="F578" s="70">
        <v>310027</v>
      </c>
      <c r="G578" s="86" t="s">
        <v>1152</v>
      </c>
      <c r="H578" s="70">
        <v>0</v>
      </c>
    </row>
    <row r="579" spans="6:8" x14ac:dyDescent="0.35">
      <c r="F579" s="70">
        <v>313663</v>
      </c>
      <c r="G579" s="86" t="s">
        <v>1153</v>
      </c>
      <c r="H579" s="70">
        <v>0</v>
      </c>
    </row>
    <row r="580" spans="6:8" x14ac:dyDescent="0.35">
      <c r="F580" s="70">
        <v>314697</v>
      </c>
      <c r="G580" s="86" t="s">
        <v>1154</v>
      </c>
      <c r="H580" s="70">
        <v>0</v>
      </c>
    </row>
    <row r="581" spans="6:8" x14ac:dyDescent="0.35">
      <c r="F581" s="70">
        <v>314526</v>
      </c>
      <c r="G581" s="86" t="s">
        <v>1155</v>
      </c>
      <c r="H581" s="70">
        <v>0</v>
      </c>
    </row>
    <row r="582" spans="6:8" x14ac:dyDescent="0.35">
      <c r="F582" s="70">
        <v>314952</v>
      </c>
      <c r="G582" s="86" t="s">
        <v>1156</v>
      </c>
      <c r="H582" s="70">
        <v>0</v>
      </c>
    </row>
    <row r="583" spans="6:8" x14ac:dyDescent="0.35">
      <c r="F583" s="70">
        <v>315467</v>
      </c>
      <c r="G583" s="86" t="s">
        <v>1157</v>
      </c>
      <c r="H583" s="70">
        <v>0</v>
      </c>
    </row>
    <row r="584" spans="6:8" x14ac:dyDescent="0.35">
      <c r="F584" s="70">
        <v>314066</v>
      </c>
      <c r="G584" s="86" t="s">
        <v>1158</v>
      </c>
      <c r="H584" s="70">
        <v>0</v>
      </c>
    </row>
    <row r="585" spans="6:8" x14ac:dyDescent="0.35">
      <c r="F585" s="70">
        <v>314639</v>
      </c>
      <c r="G585" s="86" t="s">
        <v>1159</v>
      </c>
      <c r="H585" s="70">
        <v>0</v>
      </c>
    </row>
    <row r="586" spans="6:8" x14ac:dyDescent="0.35">
      <c r="F586" s="70">
        <v>311320</v>
      </c>
      <c r="G586" s="86" t="s">
        <v>1160</v>
      </c>
      <c r="H586" s="70">
        <v>0</v>
      </c>
    </row>
    <row r="587" spans="6:8" x14ac:dyDescent="0.35">
      <c r="F587" s="70">
        <v>304531</v>
      </c>
      <c r="G587" s="86" t="s">
        <v>1161</v>
      </c>
      <c r="H587" s="70">
        <v>0</v>
      </c>
    </row>
    <row r="588" spans="6:8" x14ac:dyDescent="0.35">
      <c r="F588" s="70">
        <v>315500</v>
      </c>
      <c r="G588" s="86" t="s">
        <v>1162</v>
      </c>
      <c r="H588" s="70">
        <v>0</v>
      </c>
    </row>
    <row r="589" spans="6:8" x14ac:dyDescent="0.35">
      <c r="F589" s="70">
        <v>315383</v>
      </c>
      <c r="G589" s="86" t="s">
        <v>1163</v>
      </c>
      <c r="H589" s="70">
        <v>0</v>
      </c>
    </row>
    <row r="590" spans="6:8" x14ac:dyDescent="0.35">
      <c r="F590" s="70">
        <v>307598</v>
      </c>
      <c r="G590" s="86" t="s">
        <v>1164</v>
      </c>
      <c r="H590" s="70">
        <v>0</v>
      </c>
    </row>
    <row r="591" spans="6:8" x14ac:dyDescent="0.35">
      <c r="F591" s="70">
        <v>312743</v>
      </c>
      <c r="G591" s="86" t="s">
        <v>1165</v>
      </c>
      <c r="H591" s="70">
        <v>0</v>
      </c>
    </row>
    <row r="592" spans="6:8" x14ac:dyDescent="0.35">
      <c r="F592" s="70">
        <v>313435</v>
      </c>
      <c r="G592" s="86" t="s">
        <v>1166</v>
      </c>
      <c r="H592" s="70">
        <v>0</v>
      </c>
    </row>
    <row r="593" spans="6:8" x14ac:dyDescent="0.35">
      <c r="F593" s="70">
        <v>310987</v>
      </c>
      <c r="G593" s="86" t="s">
        <v>1167</v>
      </c>
      <c r="H593" s="70">
        <v>0</v>
      </c>
    </row>
    <row r="594" spans="6:8" x14ac:dyDescent="0.35">
      <c r="F594" s="70">
        <v>315307</v>
      </c>
      <c r="G594" s="86" t="s">
        <v>1168</v>
      </c>
      <c r="H594" s="70">
        <v>0</v>
      </c>
    </row>
    <row r="595" spans="6:8" x14ac:dyDescent="0.35">
      <c r="F595" s="70">
        <v>313167</v>
      </c>
      <c r="G595" s="86" t="s">
        <v>1169</v>
      </c>
      <c r="H595" s="70">
        <v>0</v>
      </c>
    </row>
    <row r="596" spans="6:8" x14ac:dyDescent="0.35">
      <c r="F596" s="70">
        <v>309592</v>
      </c>
      <c r="G596" s="86" t="s">
        <v>1170</v>
      </c>
      <c r="H596" s="70">
        <v>0</v>
      </c>
    </row>
    <row r="597" spans="6:8" x14ac:dyDescent="0.35">
      <c r="F597" s="70">
        <v>308871</v>
      </c>
      <c r="G597" s="86" t="s">
        <v>1171</v>
      </c>
      <c r="H597" s="70">
        <v>0</v>
      </c>
    </row>
    <row r="598" spans="6:8" x14ac:dyDescent="0.35">
      <c r="F598" s="70">
        <v>310744</v>
      </c>
      <c r="G598" s="86" t="s">
        <v>1172</v>
      </c>
      <c r="H598" s="70">
        <v>0</v>
      </c>
    </row>
    <row r="599" spans="6:8" x14ac:dyDescent="0.35">
      <c r="F599" s="70">
        <v>312022</v>
      </c>
      <c r="G599" s="86" t="s">
        <v>1173</v>
      </c>
      <c r="H599" s="70">
        <v>0</v>
      </c>
    </row>
    <row r="600" spans="6:8" x14ac:dyDescent="0.35">
      <c r="F600" s="70">
        <v>311998</v>
      </c>
      <c r="G600" s="86" t="s">
        <v>1174</v>
      </c>
      <c r="H600" s="70">
        <v>0</v>
      </c>
    </row>
    <row r="601" spans="6:8" x14ac:dyDescent="0.35">
      <c r="F601" s="70">
        <v>314393</v>
      </c>
      <c r="G601" s="86" t="s">
        <v>1175</v>
      </c>
      <c r="H601" s="70">
        <v>0</v>
      </c>
    </row>
    <row r="602" spans="6:8" x14ac:dyDescent="0.35">
      <c r="F602" s="70">
        <v>312144</v>
      </c>
      <c r="G602" s="86" t="s">
        <v>1176</v>
      </c>
      <c r="H602" s="70">
        <v>0</v>
      </c>
    </row>
    <row r="603" spans="6:8" x14ac:dyDescent="0.35">
      <c r="F603" s="70">
        <v>310751</v>
      </c>
      <c r="G603" s="86" t="s">
        <v>1177</v>
      </c>
      <c r="H603" s="70">
        <v>0</v>
      </c>
    </row>
    <row r="604" spans="6:8" x14ac:dyDescent="0.35">
      <c r="F604" s="70">
        <v>311804</v>
      </c>
      <c r="G604" s="86" t="s">
        <v>1178</v>
      </c>
      <c r="H604" s="70">
        <v>0</v>
      </c>
    </row>
    <row r="605" spans="6:8" x14ac:dyDescent="0.35">
      <c r="F605" s="70">
        <v>315185</v>
      </c>
      <c r="G605" s="86" t="s">
        <v>1179</v>
      </c>
      <c r="H605" s="70">
        <v>0</v>
      </c>
    </row>
    <row r="606" spans="6:8" x14ac:dyDescent="0.35">
      <c r="F606" s="70">
        <v>313611</v>
      </c>
      <c r="G606" s="86" t="s">
        <v>1180</v>
      </c>
      <c r="H606" s="70">
        <v>0</v>
      </c>
    </row>
    <row r="607" spans="6:8" x14ac:dyDescent="0.35">
      <c r="F607" s="70">
        <v>314306</v>
      </c>
      <c r="G607" s="86" t="s">
        <v>1181</v>
      </c>
      <c r="H607" s="70">
        <v>0</v>
      </c>
    </row>
    <row r="608" spans="6:8" x14ac:dyDescent="0.35">
      <c r="F608" s="70">
        <v>312876</v>
      </c>
      <c r="G608" s="86" t="s">
        <v>1182</v>
      </c>
      <c r="H608" s="70">
        <v>0</v>
      </c>
    </row>
    <row r="609" spans="6:8" x14ac:dyDescent="0.35">
      <c r="F609" s="70">
        <v>311421</v>
      </c>
      <c r="G609" s="86" t="s">
        <v>1183</v>
      </c>
      <c r="H609" s="70">
        <v>0</v>
      </c>
    </row>
    <row r="610" spans="6:8" x14ac:dyDescent="0.35">
      <c r="F610" s="70">
        <v>312270</v>
      </c>
      <c r="G610" s="86" t="s">
        <v>1184</v>
      </c>
      <c r="H610" s="70">
        <v>0</v>
      </c>
    </row>
    <row r="611" spans="6:8" x14ac:dyDescent="0.35">
      <c r="F611" s="70">
        <v>313387</v>
      </c>
      <c r="G611" s="86" t="s">
        <v>1185</v>
      </c>
      <c r="H611" s="70">
        <v>0</v>
      </c>
    </row>
    <row r="612" spans="6:8" x14ac:dyDescent="0.35">
      <c r="F612" s="70">
        <v>312117</v>
      </c>
      <c r="G612" s="86" t="s">
        <v>1186</v>
      </c>
      <c r="H612" s="70">
        <v>0</v>
      </c>
    </row>
    <row r="613" spans="6:8" x14ac:dyDescent="0.35">
      <c r="F613" s="70">
        <v>310238</v>
      </c>
      <c r="G613" s="86" t="s">
        <v>1187</v>
      </c>
      <c r="H613" s="70">
        <v>0</v>
      </c>
    </row>
    <row r="614" spans="6:8" x14ac:dyDescent="0.35">
      <c r="F614" s="70">
        <v>312732</v>
      </c>
      <c r="G614" s="86" t="s">
        <v>1188</v>
      </c>
      <c r="H614" s="70">
        <v>0</v>
      </c>
    </row>
    <row r="615" spans="6:8" x14ac:dyDescent="0.35">
      <c r="F615" s="70">
        <v>314962</v>
      </c>
      <c r="G615" s="86" t="s">
        <v>1189</v>
      </c>
      <c r="H615" s="70">
        <v>0</v>
      </c>
    </row>
    <row r="616" spans="6:8" x14ac:dyDescent="0.35">
      <c r="F616" s="70">
        <v>314100</v>
      </c>
      <c r="G616" s="86" t="s">
        <v>1190</v>
      </c>
      <c r="H616" s="70">
        <v>0</v>
      </c>
    </row>
    <row r="617" spans="6:8" x14ac:dyDescent="0.35">
      <c r="F617" s="70">
        <v>311601</v>
      </c>
      <c r="G617" s="86" t="s">
        <v>1191</v>
      </c>
      <c r="H617" s="70">
        <v>0</v>
      </c>
    </row>
    <row r="618" spans="6:8" x14ac:dyDescent="0.35">
      <c r="F618" s="70">
        <v>314620</v>
      </c>
      <c r="G618" s="86" t="s">
        <v>1192</v>
      </c>
      <c r="H618" s="70">
        <v>0</v>
      </c>
    </row>
    <row r="619" spans="6:8" x14ac:dyDescent="0.35">
      <c r="F619" s="70">
        <v>302841</v>
      </c>
      <c r="G619" s="86" t="s">
        <v>1193</v>
      </c>
      <c r="H619" s="70">
        <v>0</v>
      </c>
    </row>
    <row r="620" spans="6:8" x14ac:dyDescent="0.35">
      <c r="F620" s="70">
        <v>306420</v>
      </c>
      <c r="G620" s="86" t="s">
        <v>1194</v>
      </c>
      <c r="H620" s="70">
        <v>0</v>
      </c>
    </row>
    <row r="621" spans="6:8" x14ac:dyDescent="0.35">
      <c r="F621" s="70">
        <v>313826</v>
      </c>
      <c r="G621" s="86" t="s">
        <v>1195</v>
      </c>
      <c r="H621" s="70">
        <v>0</v>
      </c>
    </row>
    <row r="622" spans="6:8" x14ac:dyDescent="0.35">
      <c r="F622" s="70">
        <v>314641</v>
      </c>
      <c r="G622" s="86" t="s">
        <v>1196</v>
      </c>
      <c r="H622" s="70">
        <v>0</v>
      </c>
    </row>
    <row r="623" spans="6:8" x14ac:dyDescent="0.35">
      <c r="F623" s="70">
        <v>314554</v>
      </c>
      <c r="G623" s="86" t="s">
        <v>1197</v>
      </c>
      <c r="H623" s="70">
        <v>0</v>
      </c>
    </row>
    <row r="624" spans="6:8" x14ac:dyDescent="0.35">
      <c r="F624" s="70">
        <v>309115</v>
      </c>
      <c r="G624" s="86" t="s">
        <v>1198</v>
      </c>
      <c r="H624" s="70">
        <v>0</v>
      </c>
    </row>
    <row r="625" spans="6:8" x14ac:dyDescent="0.35">
      <c r="F625" s="70">
        <v>311171</v>
      </c>
      <c r="G625" s="86" t="s">
        <v>1199</v>
      </c>
      <c r="H625" s="70">
        <v>0</v>
      </c>
    </row>
    <row r="626" spans="6:8" x14ac:dyDescent="0.35">
      <c r="F626" s="70">
        <v>311987</v>
      </c>
      <c r="G626" s="86" t="s">
        <v>1200</v>
      </c>
      <c r="H626" s="70">
        <v>0</v>
      </c>
    </row>
    <row r="627" spans="6:8" x14ac:dyDescent="0.35">
      <c r="F627" s="70">
        <v>315116</v>
      </c>
      <c r="G627" s="86" t="s">
        <v>1201</v>
      </c>
      <c r="H627" s="70">
        <v>0</v>
      </c>
    </row>
    <row r="628" spans="6:8" x14ac:dyDescent="0.35">
      <c r="F628" s="70">
        <v>314644</v>
      </c>
      <c r="G628" s="86" t="s">
        <v>1202</v>
      </c>
      <c r="H628" s="70">
        <v>0</v>
      </c>
    </row>
    <row r="629" spans="6:8" x14ac:dyDescent="0.35">
      <c r="F629" s="70">
        <v>314368</v>
      </c>
      <c r="G629" s="86" t="s">
        <v>1203</v>
      </c>
      <c r="H629" s="70">
        <v>0</v>
      </c>
    </row>
    <row r="630" spans="6:8" x14ac:dyDescent="0.35">
      <c r="F630" s="70">
        <v>314339</v>
      </c>
      <c r="G630" s="86" t="s">
        <v>1204</v>
      </c>
      <c r="H630" s="70">
        <v>0</v>
      </c>
    </row>
    <row r="631" spans="6:8" x14ac:dyDescent="0.35">
      <c r="F631" s="70">
        <v>313157</v>
      </c>
      <c r="G631" s="86" t="s">
        <v>1205</v>
      </c>
      <c r="H631" s="70">
        <v>0</v>
      </c>
    </row>
    <row r="632" spans="6:8" x14ac:dyDescent="0.35">
      <c r="F632" s="70">
        <v>315492</v>
      </c>
      <c r="G632" s="86" t="s">
        <v>1206</v>
      </c>
      <c r="H632" s="70">
        <v>0</v>
      </c>
    </row>
    <row r="633" spans="6:8" x14ac:dyDescent="0.35">
      <c r="F633" s="70">
        <v>315156</v>
      </c>
      <c r="G633" s="86" t="s">
        <v>1207</v>
      </c>
      <c r="H633" s="70">
        <v>0</v>
      </c>
    </row>
    <row r="634" spans="6:8" x14ac:dyDescent="0.35">
      <c r="F634" s="70">
        <v>315451</v>
      </c>
      <c r="G634" s="86" t="s">
        <v>1208</v>
      </c>
      <c r="H634" s="70">
        <v>0</v>
      </c>
    </row>
    <row r="635" spans="6:8" x14ac:dyDescent="0.35">
      <c r="F635" s="70">
        <v>314228</v>
      </c>
      <c r="G635" s="86" t="s">
        <v>1209</v>
      </c>
      <c r="H635" s="70">
        <v>0</v>
      </c>
    </row>
    <row r="636" spans="6:8" x14ac:dyDescent="0.35">
      <c r="F636" s="70">
        <v>305955</v>
      </c>
      <c r="G636" s="86" t="s">
        <v>1210</v>
      </c>
      <c r="H636" s="70">
        <v>0</v>
      </c>
    </row>
    <row r="637" spans="6:8" x14ac:dyDescent="0.35">
      <c r="F637" s="70">
        <v>309695</v>
      </c>
      <c r="G637" s="86" t="s">
        <v>1211</v>
      </c>
      <c r="H637" s="70">
        <v>0</v>
      </c>
    </row>
    <row r="638" spans="6:8" x14ac:dyDescent="0.35">
      <c r="F638" s="70">
        <v>310641</v>
      </c>
      <c r="G638" s="86" t="s">
        <v>1212</v>
      </c>
      <c r="H638" s="70">
        <v>0</v>
      </c>
    </row>
    <row r="639" spans="6:8" x14ac:dyDescent="0.35">
      <c r="F639" s="70">
        <v>300150</v>
      </c>
      <c r="G639" s="86" t="s">
        <v>1213</v>
      </c>
      <c r="H639" s="70">
        <v>0</v>
      </c>
    </row>
    <row r="640" spans="6:8" x14ac:dyDescent="0.35">
      <c r="F640" s="70">
        <v>315114</v>
      </c>
      <c r="G640" s="86" t="s">
        <v>1214</v>
      </c>
      <c r="H640" s="70">
        <v>0</v>
      </c>
    </row>
    <row r="641" spans="6:8" x14ac:dyDescent="0.35">
      <c r="F641" s="70">
        <v>300590</v>
      </c>
      <c r="G641" s="86" t="s">
        <v>1215</v>
      </c>
      <c r="H641" s="70">
        <v>0</v>
      </c>
    </row>
    <row r="642" spans="6:8" x14ac:dyDescent="0.35">
      <c r="F642" s="70">
        <v>315173</v>
      </c>
      <c r="G642" s="86" t="s">
        <v>1216</v>
      </c>
      <c r="H642" s="70">
        <v>0</v>
      </c>
    </row>
    <row r="643" spans="6:8" x14ac:dyDescent="0.35">
      <c r="F643" s="70">
        <v>315067</v>
      </c>
      <c r="G643" s="86" t="s">
        <v>1217</v>
      </c>
      <c r="H643" s="70">
        <v>0</v>
      </c>
    </row>
    <row r="644" spans="6:8" x14ac:dyDescent="0.35">
      <c r="F644" s="70">
        <v>309498</v>
      </c>
      <c r="G644" s="86" t="s">
        <v>1218</v>
      </c>
      <c r="H644" s="70">
        <v>0</v>
      </c>
    </row>
    <row r="645" spans="6:8" x14ac:dyDescent="0.35">
      <c r="F645" s="70">
        <v>313405</v>
      </c>
      <c r="G645" s="86" t="s">
        <v>1219</v>
      </c>
      <c r="H645" s="70">
        <v>0</v>
      </c>
    </row>
    <row r="646" spans="6:8" x14ac:dyDescent="0.35">
      <c r="F646" s="70">
        <v>315268</v>
      </c>
      <c r="G646" s="86" t="s">
        <v>1220</v>
      </c>
      <c r="H646" s="70">
        <v>0</v>
      </c>
    </row>
    <row r="647" spans="6:8" x14ac:dyDescent="0.35">
      <c r="F647" s="70">
        <v>312319</v>
      </c>
      <c r="G647" s="86" t="s">
        <v>1221</v>
      </c>
      <c r="H647" s="70">
        <v>0</v>
      </c>
    </row>
    <row r="648" spans="6:8" x14ac:dyDescent="0.35">
      <c r="F648" s="70">
        <v>315039</v>
      </c>
      <c r="G648" s="86" t="s">
        <v>1222</v>
      </c>
      <c r="H648" s="70">
        <v>0</v>
      </c>
    </row>
    <row r="649" spans="6:8" x14ac:dyDescent="0.35">
      <c r="F649" s="70">
        <v>310674</v>
      </c>
      <c r="G649" s="86" t="s">
        <v>1223</v>
      </c>
      <c r="H649" s="70">
        <v>0</v>
      </c>
    </row>
    <row r="650" spans="6:8" x14ac:dyDescent="0.35">
      <c r="F650" s="70">
        <v>313612</v>
      </c>
      <c r="G650" s="86" t="s">
        <v>1224</v>
      </c>
      <c r="H650" s="70">
        <v>0</v>
      </c>
    </row>
    <row r="651" spans="6:8" x14ac:dyDescent="0.35">
      <c r="F651" s="70">
        <v>314216</v>
      </c>
      <c r="G651" s="86" t="s">
        <v>1225</v>
      </c>
      <c r="H651" s="70">
        <v>0</v>
      </c>
    </row>
    <row r="652" spans="6:8" x14ac:dyDescent="0.35">
      <c r="F652" s="70">
        <v>314504</v>
      </c>
      <c r="G652" s="86" t="s">
        <v>1226</v>
      </c>
      <c r="H652" s="70">
        <v>0</v>
      </c>
    </row>
    <row r="653" spans="6:8" x14ac:dyDescent="0.35">
      <c r="F653" s="70">
        <v>310673</v>
      </c>
      <c r="G653" s="86" t="s">
        <v>1227</v>
      </c>
      <c r="H653" s="70">
        <v>0</v>
      </c>
    </row>
    <row r="654" spans="6:8" x14ac:dyDescent="0.35">
      <c r="F654" s="70">
        <v>308982</v>
      </c>
      <c r="G654" s="86" t="s">
        <v>1228</v>
      </c>
      <c r="H654" s="70">
        <v>0</v>
      </c>
    </row>
    <row r="655" spans="6:8" x14ac:dyDescent="0.35">
      <c r="F655" s="70">
        <v>314510</v>
      </c>
      <c r="G655" s="86" t="s">
        <v>1229</v>
      </c>
      <c r="H655" s="70">
        <v>0</v>
      </c>
    </row>
    <row r="656" spans="6:8" x14ac:dyDescent="0.35">
      <c r="F656" s="70">
        <v>315261</v>
      </c>
      <c r="G656" s="86" t="s">
        <v>1230</v>
      </c>
      <c r="H656" s="70">
        <v>0</v>
      </c>
    </row>
    <row r="657" spans="6:8" x14ac:dyDescent="0.35">
      <c r="F657" s="70">
        <v>313766</v>
      </c>
      <c r="G657" s="86" t="s">
        <v>1231</v>
      </c>
      <c r="H657" s="70">
        <v>0</v>
      </c>
    </row>
    <row r="658" spans="6:8" x14ac:dyDescent="0.35">
      <c r="F658" s="70">
        <v>315415</v>
      </c>
      <c r="G658" s="86" t="s">
        <v>1232</v>
      </c>
      <c r="H658" s="70">
        <v>0</v>
      </c>
    </row>
    <row r="659" spans="6:8" x14ac:dyDescent="0.35">
      <c r="F659" s="70">
        <v>306915</v>
      </c>
      <c r="G659" s="86" t="s">
        <v>1233</v>
      </c>
      <c r="H659" s="70">
        <v>0</v>
      </c>
    </row>
    <row r="660" spans="6:8" x14ac:dyDescent="0.35">
      <c r="F660" s="70">
        <v>309765</v>
      </c>
      <c r="G660" s="86" t="s">
        <v>1234</v>
      </c>
      <c r="H660" s="70">
        <v>0</v>
      </c>
    </row>
    <row r="661" spans="6:8" x14ac:dyDescent="0.35">
      <c r="F661" s="70">
        <v>314262</v>
      </c>
      <c r="G661" s="86" t="s">
        <v>1235</v>
      </c>
      <c r="H661" s="70">
        <v>0</v>
      </c>
    </row>
    <row r="662" spans="6:8" x14ac:dyDescent="0.35">
      <c r="F662" s="70">
        <v>315487</v>
      </c>
      <c r="G662" s="86" t="s">
        <v>1236</v>
      </c>
      <c r="H662" s="70">
        <v>0</v>
      </c>
    </row>
    <row r="663" spans="6:8" x14ac:dyDescent="0.35">
      <c r="F663" s="70">
        <v>304892</v>
      </c>
      <c r="G663" s="86" t="s">
        <v>1237</v>
      </c>
      <c r="H663" s="70">
        <v>0</v>
      </c>
    </row>
    <row r="664" spans="6:8" x14ac:dyDescent="0.35">
      <c r="F664" s="70">
        <v>313023</v>
      </c>
      <c r="G664" s="86" t="s">
        <v>1238</v>
      </c>
      <c r="H664" s="70">
        <v>0</v>
      </c>
    </row>
    <row r="665" spans="6:8" x14ac:dyDescent="0.35">
      <c r="F665" s="70">
        <v>312573</v>
      </c>
      <c r="G665" s="86" t="s">
        <v>1239</v>
      </c>
      <c r="H665" s="70">
        <v>0</v>
      </c>
    </row>
    <row r="666" spans="6:8" x14ac:dyDescent="0.35">
      <c r="F666" s="70">
        <v>311802</v>
      </c>
      <c r="G666" s="86" t="s">
        <v>1240</v>
      </c>
      <c r="H666" s="70">
        <v>0</v>
      </c>
    </row>
    <row r="667" spans="6:8" x14ac:dyDescent="0.35">
      <c r="F667" s="70">
        <v>314614</v>
      </c>
      <c r="G667" s="86" t="s">
        <v>1241</v>
      </c>
      <c r="H667" s="70">
        <v>0</v>
      </c>
    </row>
    <row r="668" spans="6:8" x14ac:dyDescent="0.35">
      <c r="F668" s="70">
        <v>314729</v>
      </c>
      <c r="G668" s="86" t="s">
        <v>1242</v>
      </c>
      <c r="H668" s="70">
        <v>0</v>
      </c>
    </row>
    <row r="669" spans="6:8" x14ac:dyDescent="0.35">
      <c r="F669" s="70">
        <v>315496</v>
      </c>
      <c r="G669" s="86" t="s">
        <v>1243</v>
      </c>
      <c r="H669" s="70">
        <v>0</v>
      </c>
    </row>
    <row r="670" spans="6:8" x14ac:dyDescent="0.35">
      <c r="F670" s="70">
        <v>310302</v>
      </c>
      <c r="G670" s="86" t="s">
        <v>1244</v>
      </c>
      <c r="H670" s="70">
        <v>0</v>
      </c>
    </row>
    <row r="671" spans="6:8" x14ac:dyDescent="0.35">
      <c r="F671" s="70">
        <v>315573</v>
      </c>
      <c r="G671" s="86" t="s">
        <v>1245</v>
      </c>
      <c r="H671" s="70">
        <v>0</v>
      </c>
    </row>
    <row r="672" spans="6:8" x14ac:dyDescent="0.35">
      <c r="F672" s="70">
        <v>313361</v>
      </c>
      <c r="G672" s="86" t="s">
        <v>1246</v>
      </c>
      <c r="H672" s="70">
        <v>0</v>
      </c>
    </row>
    <row r="673" spans="6:8" x14ac:dyDescent="0.35">
      <c r="F673" s="70">
        <v>309870</v>
      </c>
      <c r="G673" s="86" t="s">
        <v>1247</v>
      </c>
      <c r="H673" s="70">
        <v>0</v>
      </c>
    </row>
    <row r="674" spans="6:8" x14ac:dyDescent="0.35">
      <c r="F674" s="70">
        <v>311407</v>
      </c>
      <c r="G674" s="86" t="s">
        <v>1248</v>
      </c>
      <c r="H674" s="70">
        <v>0</v>
      </c>
    </row>
    <row r="675" spans="6:8" x14ac:dyDescent="0.35">
      <c r="F675" s="70">
        <v>315066</v>
      </c>
      <c r="G675" s="86" t="s">
        <v>1249</v>
      </c>
      <c r="H675" s="70">
        <v>0</v>
      </c>
    </row>
    <row r="676" spans="6:8" x14ac:dyDescent="0.35">
      <c r="F676" s="70">
        <v>314433</v>
      </c>
      <c r="G676" s="86" t="s">
        <v>1250</v>
      </c>
      <c r="H676" s="70">
        <v>0</v>
      </c>
    </row>
    <row r="677" spans="6:8" x14ac:dyDescent="0.35">
      <c r="F677" s="70">
        <v>315560</v>
      </c>
      <c r="G677" s="86" t="s">
        <v>1251</v>
      </c>
      <c r="H677" s="70">
        <v>0</v>
      </c>
    </row>
    <row r="678" spans="6:8" x14ac:dyDescent="0.35">
      <c r="F678" s="70">
        <v>314268</v>
      </c>
      <c r="G678" s="86" t="s">
        <v>1252</v>
      </c>
      <c r="H678" s="70">
        <v>0</v>
      </c>
    </row>
    <row r="679" spans="6:8" x14ac:dyDescent="0.35">
      <c r="F679" s="70">
        <v>313034</v>
      </c>
      <c r="G679" s="86" t="s">
        <v>1253</v>
      </c>
      <c r="H679" s="70">
        <v>0</v>
      </c>
    </row>
    <row r="680" spans="6:8" x14ac:dyDescent="0.35">
      <c r="F680" s="70">
        <v>314989</v>
      </c>
      <c r="G680" s="86" t="s">
        <v>1254</v>
      </c>
      <c r="H680" s="70">
        <v>0</v>
      </c>
    </row>
    <row r="681" spans="6:8" x14ac:dyDescent="0.35">
      <c r="F681" s="70">
        <v>308461</v>
      </c>
      <c r="G681" s="86" t="s">
        <v>1255</v>
      </c>
      <c r="H681" s="70">
        <v>0</v>
      </c>
    </row>
    <row r="682" spans="6:8" x14ac:dyDescent="0.35">
      <c r="F682" s="70">
        <v>315155</v>
      </c>
      <c r="G682" s="86" t="s">
        <v>1256</v>
      </c>
      <c r="H682" s="70">
        <v>0</v>
      </c>
    </row>
    <row r="683" spans="6:8" x14ac:dyDescent="0.35">
      <c r="F683" s="70">
        <v>315011</v>
      </c>
      <c r="G683" s="86" t="s">
        <v>1257</v>
      </c>
      <c r="H683" s="70">
        <v>0</v>
      </c>
    </row>
    <row r="684" spans="6:8" x14ac:dyDescent="0.35">
      <c r="F684" s="70">
        <v>313389</v>
      </c>
      <c r="G684" s="86" t="s">
        <v>1258</v>
      </c>
      <c r="H684" s="70">
        <v>0</v>
      </c>
    </row>
    <row r="685" spans="6:8" x14ac:dyDescent="0.35">
      <c r="F685" s="70">
        <v>301059</v>
      </c>
      <c r="G685" s="86" t="s">
        <v>1259</v>
      </c>
      <c r="H685" s="70">
        <v>0</v>
      </c>
    </row>
    <row r="686" spans="6:8" x14ac:dyDescent="0.35">
      <c r="F686" s="70">
        <v>314492</v>
      </c>
      <c r="G686" s="86" t="s">
        <v>1260</v>
      </c>
      <c r="H686" s="70">
        <v>0</v>
      </c>
    </row>
    <row r="687" spans="6:8" x14ac:dyDescent="0.35">
      <c r="F687" s="70">
        <v>313594</v>
      </c>
      <c r="G687" s="86" t="s">
        <v>1261</v>
      </c>
      <c r="H687" s="70">
        <v>0</v>
      </c>
    </row>
    <row r="688" spans="6:8" x14ac:dyDescent="0.35">
      <c r="F688" s="70">
        <v>314452</v>
      </c>
      <c r="G688" s="86" t="s">
        <v>1262</v>
      </c>
      <c r="H688" s="70">
        <v>0</v>
      </c>
    </row>
    <row r="689" spans="6:8" x14ac:dyDescent="0.35">
      <c r="F689" s="70">
        <v>307279</v>
      </c>
      <c r="G689" s="86" t="s">
        <v>1263</v>
      </c>
      <c r="H689" s="70">
        <v>0</v>
      </c>
    </row>
    <row r="690" spans="6:8" x14ac:dyDescent="0.35">
      <c r="F690" s="70">
        <v>315455</v>
      </c>
      <c r="G690" s="86" t="s">
        <v>1264</v>
      </c>
      <c r="H690" s="70">
        <v>0</v>
      </c>
    </row>
    <row r="691" spans="6:8" x14ac:dyDescent="0.35">
      <c r="F691" s="70">
        <v>312318</v>
      </c>
      <c r="G691" s="86" t="s">
        <v>1265</v>
      </c>
      <c r="H691" s="70">
        <v>0</v>
      </c>
    </row>
    <row r="692" spans="6:8" x14ac:dyDescent="0.35">
      <c r="F692" s="70">
        <v>314669</v>
      </c>
      <c r="G692" s="86" t="s">
        <v>1266</v>
      </c>
      <c r="H692" s="70">
        <v>0</v>
      </c>
    </row>
    <row r="693" spans="6:8" x14ac:dyDescent="0.35">
      <c r="F693" s="70">
        <v>311223</v>
      </c>
      <c r="G693" s="86" t="s">
        <v>1267</v>
      </c>
      <c r="H693" s="70">
        <v>0</v>
      </c>
    </row>
    <row r="694" spans="6:8" x14ac:dyDescent="0.35">
      <c r="F694" s="70">
        <v>313343</v>
      </c>
      <c r="G694" s="86" t="s">
        <v>1268</v>
      </c>
      <c r="H694" s="70">
        <v>0</v>
      </c>
    </row>
    <row r="695" spans="6:8" x14ac:dyDescent="0.35">
      <c r="F695" s="70">
        <v>300401</v>
      </c>
      <c r="G695" s="86" t="s">
        <v>1269</v>
      </c>
      <c r="H695" s="70">
        <v>0</v>
      </c>
    </row>
    <row r="696" spans="6:8" x14ac:dyDescent="0.35">
      <c r="F696" s="70">
        <v>313617</v>
      </c>
      <c r="G696" s="86" t="s">
        <v>1270</v>
      </c>
      <c r="H696" s="70">
        <v>0</v>
      </c>
    </row>
    <row r="697" spans="6:8" x14ac:dyDescent="0.35">
      <c r="F697" s="70">
        <v>314961</v>
      </c>
      <c r="G697" s="86" t="s">
        <v>1271</v>
      </c>
      <c r="H697" s="70">
        <v>0</v>
      </c>
    </row>
    <row r="698" spans="6:8" x14ac:dyDescent="0.35">
      <c r="F698" s="70">
        <v>300919</v>
      </c>
      <c r="G698" s="86" t="s">
        <v>1272</v>
      </c>
      <c r="H698" s="70">
        <v>0</v>
      </c>
    </row>
    <row r="699" spans="6:8" x14ac:dyDescent="0.35">
      <c r="F699" s="70">
        <v>313044</v>
      </c>
      <c r="G699" s="86" t="s">
        <v>1273</v>
      </c>
      <c r="H699" s="70">
        <v>0</v>
      </c>
    </row>
    <row r="700" spans="6:8" x14ac:dyDescent="0.35">
      <c r="F700" s="70">
        <v>314665</v>
      </c>
      <c r="G700" s="86" t="s">
        <v>1274</v>
      </c>
      <c r="H700" s="70">
        <v>0</v>
      </c>
    </row>
    <row r="701" spans="6:8" x14ac:dyDescent="0.35">
      <c r="F701" s="70">
        <v>315275</v>
      </c>
      <c r="G701" s="86" t="s">
        <v>1275</v>
      </c>
      <c r="H701" s="70">
        <v>0</v>
      </c>
    </row>
    <row r="702" spans="6:8" x14ac:dyDescent="0.35">
      <c r="F702" s="70">
        <v>314557</v>
      </c>
      <c r="G702" s="86" t="s">
        <v>1276</v>
      </c>
      <c r="H702" s="70">
        <v>0</v>
      </c>
    </row>
    <row r="703" spans="6:8" x14ac:dyDescent="0.35">
      <c r="F703" s="70">
        <v>313604</v>
      </c>
      <c r="G703" s="86" t="s">
        <v>1277</v>
      </c>
      <c r="H703" s="70">
        <v>0</v>
      </c>
    </row>
    <row r="704" spans="6:8" x14ac:dyDescent="0.35">
      <c r="F704" s="70">
        <v>315411</v>
      </c>
      <c r="G704" s="86" t="s">
        <v>1278</v>
      </c>
      <c r="H704" s="70">
        <v>0</v>
      </c>
    </row>
    <row r="705" spans="6:8" x14ac:dyDescent="0.35">
      <c r="F705" s="70">
        <v>306242</v>
      </c>
      <c r="G705" s="86" t="s">
        <v>1279</v>
      </c>
      <c r="H705" s="70">
        <v>0</v>
      </c>
    </row>
    <row r="706" spans="6:8" x14ac:dyDescent="0.35">
      <c r="F706" s="70">
        <v>310693</v>
      </c>
      <c r="G706" s="86" t="s">
        <v>1280</v>
      </c>
      <c r="H706" s="70">
        <v>0</v>
      </c>
    </row>
    <row r="707" spans="6:8" x14ac:dyDescent="0.35">
      <c r="F707" s="70">
        <v>302559</v>
      </c>
      <c r="G707" s="86" t="s">
        <v>1281</v>
      </c>
      <c r="H707" s="70">
        <v>0</v>
      </c>
    </row>
    <row r="708" spans="6:8" x14ac:dyDescent="0.35">
      <c r="F708" s="70">
        <v>314740</v>
      </c>
      <c r="G708" s="86" t="s">
        <v>1282</v>
      </c>
      <c r="H708" s="70">
        <v>0</v>
      </c>
    </row>
    <row r="709" spans="6:8" x14ac:dyDescent="0.35">
      <c r="F709" s="70">
        <v>308266</v>
      </c>
      <c r="G709" s="86" t="s">
        <v>1283</v>
      </c>
      <c r="H709" s="70">
        <v>0</v>
      </c>
    </row>
    <row r="710" spans="6:8" x14ac:dyDescent="0.35">
      <c r="F710" s="70">
        <v>311388</v>
      </c>
      <c r="G710" s="86" t="s">
        <v>1284</v>
      </c>
      <c r="H710" s="70">
        <v>0</v>
      </c>
    </row>
    <row r="711" spans="6:8" x14ac:dyDescent="0.35">
      <c r="F711" s="70">
        <v>313493</v>
      </c>
      <c r="G711" s="86" t="s">
        <v>1285</v>
      </c>
      <c r="H711" s="70">
        <v>0</v>
      </c>
    </row>
    <row r="712" spans="6:8" x14ac:dyDescent="0.35">
      <c r="F712" s="70">
        <v>314194</v>
      </c>
      <c r="G712" s="86" t="s">
        <v>1286</v>
      </c>
      <c r="H712" s="70">
        <v>0</v>
      </c>
    </row>
    <row r="713" spans="6:8" x14ac:dyDescent="0.35">
      <c r="F713" s="70">
        <v>308411</v>
      </c>
      <c r="G713" s="86" t="s">
        <v>1287</v>
      </c>
      <c r="H713" s="70">
        <v>0</v>
      </c>
    </row>
    <row r="714" spans="6:8" x14ac:dyDescent="0.35">
      <c r="F714" s="70">
        <v>313225</v>
      </c>
      <c r="G714" s="86" t="s">
        <v>1288</v>
      </c>
      <c r="H714" s="70">
        <v>0</v>
      </c>
    </row>
    <row r="715" spans="6:8" x14ac:dyDescent="0.35">
      <c r="F715" s="70">
        <v>311553</v>
      </c>
      <c r="G715" s="86" t="s">
        <v>1289</v>
      </c>
      <c r="H715" s="70">
        <v>0</v>
      </c>
    </row>
    <row r="716" spans="6:8" x14ac:dyDescent="0.35">
      <c r="F716" s="70">
        <v>312029</v>
      </c>
      <c r="G716" s="86" t="s">
        <v>1290</v>
      </c>
      <c r="H716" s="70">
        <v>0</v>
      </c>
    </row>
    <row r="717" spans="6:8" x14ac:dyDescent="0.35">
      <c r="F717" s="70">
        <v>314954</v>
      </c>
      <c r="G717" s="86" t="s">
        <v>1291</v>
      </c>
      <c r="H717" s="70">
        <v>0</v>
      </c>
    </row>
    <row r="718" spans="6:8" x14ac:dyDescent="0.35">
      <c r="F718" s="70">
        <v>305618</v>
      </c>
      <c r="G718" s="86" t="s">
        <v>1292</v>
      </c>
      <c r="H718" s="70">
        <v>0</v>
      </c>
    </row>
    <row r="719" spans="6:8" x14ac:dyDescent="0.35">
      <c r="F719" s="70">
        <v>308561</v>
      </c>
      <c r="G719" s="86" t="s">
        <v>1293</v>
      </c>
      <c r="H719" s="70">
        <v>0</v>
      </c>
    </row>
    <row r="720" spans="6:8" x14ac:dyDescent="0.35">
      <c r="F720" s="70">
        <v>313722</v>
      </c>
      <c r="G720" s="86" t="s">
        <v>1294</v>
      </c>
      <c r="H720" s="70">
        <v>0</v>
      </c>
    </row>
    <row r="721" spans="6:8" x14ac:dyDescent="0.35">
      <c r="F721" s="70">
        <v>315110</v>
      </c>
      <c r="G721" s="86" t="s">
        <v>1295</v>
      </c>
      <c r="H721" s="70">
        <v>0</v>
      </c>
    </row>
    <row r="722" spans="6:8" x14ac:dyDescent="0.35">
      <c r="F722" s="70">
        <v>311616</v>
      </c>
      <c r="G722" s="86" t="s">
        <v>1296</v>
      </c>
      <c r="H722" s="70">
        <v>0</v>
      </c>
    </row>
    <row r="723" spans="6:8" x14ac:dyDescent="0.35">
      <c r="F723" s="70">
        <v>309014</v>
      </c>
      <c r="G723" s="86" t="s">
        <v>1297</v>
      </c>
      <c r="H723" s="70">
        <v>0</v>
      </c>
    </row>
    <row r="724" spans="6:8" x14ac:dyDescent="0.35">
      <c r="F724" s="70">
        <v>314217</v>
      </c>
      <c r="G724" s="86" t="s">
        <v>1298</v>
      </c>
      <c r="H724" s="70">
        <v>0</v>
      </c>
    </row>
    <row r="725" spans="6:8" x14ac:dyDescent="0.35">
      <c r="F725" s="70">
        <v>315274</v>
      </c>
      <c r="G725" s="86" t="s">
        <v>1299</v>
      </c>
      <c r="H725" s="70">
        <v>0</v>
      </c>
    </row>
    <row r="726" spans="6:8" x14ac:dyDescent="0.35">
      <c r="F726" s="70">
        <v>308426</v>
      </c>
      <c r="G726" s="86" t="s">
        <v>1300</v>
      </c>
      <c r="H726" s="70">
        <v>0</v>
      </c>
    </row>
    <row r="727" spans="6:8" x14ac:dyDescent="0.35">
      <c r="F727" s="70">
        <v>311722</v>
      </c>
      <c r="G727" s="86" t="s">
        <v>1301</v>
      </c>
      <c r="H727" s="70">
        <v>0</v>
      </c>
    </row>
    <row r="728" spans="6:8" x14ac:dyDescent="0.35">
      <c r="F728" s="70">
        <v>308244</v>
      </c>
      <c r="G728" s="86" t="s">
        <v>1302</v>
      </c>
      <c r="H728" s="70">
        <v>0</v>
      </c>
    </row>
    <row r="729" spans="6:8" x14ac:dyDescent="0.35">
      <c r="F729" s="70">
        <v>312215</v>
      </c>
      <c r="G729" s="86" t="s">
        <v>1303</v>
      </c>
      <c r="H729" s="70">
        <v>0</v>
      </c>
    </row>
    <row r="730" spans="6:8" x14ac:dyDescent="0.35">
      <c r="F730" s="70">
        <v>301583</v>
      </c>
      <c r="G730" s="86" t="s">
        <v>1304</v>
      </c>
      <c r="H730" s="70">
        <v>0</v>
      </c>
    </row>
    <row r="731" spans="6:8" x14ac:dyDescent="0.35">
      <c r="F731" s="70">
        <v>313918</v>
      </c>
      <c r="G731" s="86" t="s">
        <v>1305</v>
      </c>
      <c r="H731" s="70">
        <v>0</v>
      </c>
    </row>
    <row r="732" spans="6:8" x14ac:dyDescent="0.35">
      <c r="F732" s="70">
        <v>312403</v>
      </c>
      <c r="G732" s="86" t="s">
        <v>1306</v>
      </c>
      <c r="H732" s="70">
        <v>0</v>
      </c>
    </row>
    <row r="733" spans="6:8" x14ac:dyDescent="0.35">
      <c r="F733" s="70">
        <v>304664</v>
      </c>
      <c r="G733" s="86" t="s">
        <v>1307</v>
      </c>
      <c r="H733" s="70">
        <v>0</v>
      </c>
    </row>
    <row r="734" spans="6:8" x14ac:dyDescent="0.35">
      <c r="F734" s="70">
        <v>315490</v>
      </c>
      <c r="G734" s="86" t="s">
        <v>1308</v>
      </c>
      <c r="H734" s="70">
        <v>0</v>
      </c>
    </row>
    <row r="735" spans="6:8" x14ac:dyDescent="0.35">
      <c r="F735" s="70">
        <v>314673</v>
      </c>
      <c r="G735" s="86" t="s">
        <v>1309</v>
      </c>
      <c r="H735" s="70">
        <v>0</v>
      </c>
    </row>
    <row r="736" spans="6:8" x14ac:dyDescent="0.35">
      <c r="F736" s="70">
        <v>313079</v>
      </c>
      <c r="G736" s="86" t="s">
        <v>1310</v>
      </c>
      <c r="H736" s="70">
        <v>0</v>
      </c>
    </row>
    <row r="737" spans="6:8" x14ac:dyDescent="0.35">
      <c r="F737" s="70">
        <v>314464</v>
      </c>
      <c r="G737" s="86" t="s">
        <v>1311</v>
      </c>
      <c r="H737" s="70">
        <v>0</v>
      </c>
    </row>
    <row r="738" spans="6:8" x14ac:dyDescent="0.35">
      <c r="F738" s="70">
        <v>314206</v>
      </c>
      <c r="G738" s="86" t="s">
        <v>1312</v>
      </c>
      <c r="H738" s="70">
        <v>0</v>
      </c>
    </row>
    <row r="739" spans="6:8" x14ac:dyDescent="0.35">
      <c r="F739" s="70">
        <v>314831</v>
      </c>
      <c r="G739" s="86" t="s">
        <v>1313</v>
      </c>
      <c r="H739" s="70">
        <v>0</v>
      </c>
    </row>
    <row r="740" spans="6:8" x14ac:dyDescent="0.35">
      <c r="F740" s="70">
        <v>309957</v>
      </c>
      <c r="G740" s="86" t="s">
        <v>1314</v>
      </c>
      <c r="H740" s="70">
        <v>0</v>
      </c>
    </row>
    <row r="741" spans="6:8" x14ac:dyDescent="0.35">
      <c r="F741" s="70">
        <v>310487</v>
      </c>
      <c r="G741" s="86" t="s">
        <v>1315</v>
      </c>
      <c r="H741" s="70">
        <v>0</v>
      </c>
    </row>
    <row r="742" spans="6:8" x14ac:dyDescent="0.35">
      <c r="F742" s="70">
        <v>314444</v>
      </c>
      <c r="G742" s="86" t="s">
        <v>1316</v>
      </c>
      <c r="H742" s="70">
        <v>0</v>
      </c>
    </row>
    <row r="743" spans="6:8" x14ac:dyDescent="0.35">
      <c r="F743" s="70">
        <v>305608</v>
      </c>
      <c r="G743" s="86" t="s">
        <v>1317</v>
      </c>
      <c r="H743" s="70">
        <v>0</v>
      </c>
    </row>
    <row r="744" spans="6:8" x14ac:dyDescent="0.35">
      <c r="F744" s="70">
        <v>312982</v>
      </c>
      <c r="G744" s="86" t="s">
        <v>1318</v>
      </c>
      <c r="H744" s="70">
        <v>0</v>
      </c>
    </row>
    <row r="745" spans="6:8" x14ac:dyDescent="0.35">
      <c r="F745" s="70">
        <v>314044</v>
      </c>
      <c r="G745" s="86" t="s">
        <v>1319</v>
      </c>
      <c r="H745" s="70">
        <v>0</v>
      </c>
    </row>
    <row r="746" spans="6:8" x14ac:dyDescent="0.35">
      <c r="F746" s="70">
        <v>311039</v>
      </c>
      <c r="G746" s="86" t="s">
        <v>1320</v>
      </c>
      <c r="H746" s="70">
        <v>0</v>
      </c>
    </row>
    <row r="747" spans="6:8" x14ac:dyDescent="0.35">
      <c r="F747" s="70">
        <v>309255</v>
      </c>
      <c r="G747" s="86" t="s">
        <v>1321</v>
      </c>
      <c r="H747" s="70">
        <v>0</v>
      </c>
    </row>
    <row r="748" spans="6:8" x14ac:dyDescent="0.35">
      <c r="F748" s="70">
        <v>308909</v>
      </c>
      <c r="G748" s="86" t="s">
        <v>1322</v>
      </c>
      <c r="H748" s="70">
        <v>0</v>
      </c>
    </row>
    <row r="749" spans="6:8" x14ac:dyDescent="0.35">
      <c r="F749" s="70">
        <v>314344</v>
      </c>
      <c r="G749" s="86" t="s">
        <v>1323</v>
      </c>
      <c r="H749" s="70">
        <v>0</v>
      </c>
    </row>
    <row r="750" spans="6:8" x14ac:dyDescent="0.35">
      <c r="F750" s="70">
        <v>311930</v>
      </c>
      <c r="G750" s="86" t="s">
        <v>1324</v>
      </c>
      <c r="H750" s="70">
        <v>0</v>
      </c>
    </row>
    <row r="751" spans="6:8" x14ac:dyDescent="0.35">
      <c r="F751" s="70">
        <v>314987</v>
      </c>
      <c r="G751" s="86" t="s">
        <v>1325</v>
      </c>
      <c r="H751" s="70">
        <v>0</v>
      </c>
    </row>
    <row r="752" spans="6:8" x14ac:dyDescent="0.35">
      <c r="F752" s="70">
        <v>313018</v>
      </c>
      <c r="G752" s="86" t="s">
        <v>1326</v>
      </c>
      <c r="H752" s="70">
        <v>0</v>
      </c>
    </row>
    <row r="753" spans="6:8" x14ac:dyDescent="0.35">
      <c r="F753" s="70">
        <v>305303</v>
      </c>
      <c r="G753" s="86" t="s">
        <v>1327</v>
      </c>
      <c r="H753" s="70">
        <v>0</v>
      </c>
    </row>
    <row r="754" spans="6:8" x14ac:dyDescent="0.35">
      <c r="F754" s="70">
        <v>310764</v>
      </c>
      <c r="G754" s="86" t="s">
        <v>1328</v>
      </c>
      <c r="H754" s="70">
        <v>0</v>
      </c>
    </row>
    <row r="755" spans="6:8" x14ac:dyDescent="0.35">
      <c r="F755" s="70">
        <v>312313</v>
      </c>
      <c r="G755" s="86" t="s">
        <v>1329</v>
      </c>
      <c r="H755" s="70">
        <v>0</v>
      </c>
    </row>
    <row r="756" spans="6:8" x14ac:dyDescent="0.35">
      <c r="F756" s="70">
        <v>312966</v>
      </c>
      <c r="G756" s="86" t="s">
        <v>1330</v>
      </c>
      <c r="H756" s="70">
        <v>0</v>
      </c>
    </row>
    <row r="757" spans="6:8" x14ac:dyDescent="0.35">
      <c r="F757" s="70">
        <v>314949</v>
      </c>
      <c r="G757" s="86" t="s">
        <v>1331</v>
      </c>
      <c r="H757" s="70">
        <v>0</v>
      </c>
    </row>
    <row r="758" spans="6:8" x14ac:dyDescent="0.35">
      <c r="F758" s="70">
        <v>307014</v>
      </c>
      <c r="G758" s="86" t="s">
        <v>1332</v>
      </c>
      <c r="H758" s="70">
        <v>0</v>
      </c>
    </row>
    <row r="759" spans="6:8" x14ac:dyDescent="0.35">
      <c r="F759" s="70">
        <v>315508</v>
      </c>
      <c r="G759" s="86" t="s">
        <v>1333</v>
      </c>
      <c r="H759" s="70">
        <v>0</v>
      </c>
    </row>
    <row r="760" spans="6:8" x14ac:dyDescent="0.35">
      <c r="F760" s="70">
        <v>315062</v>
      </c>
      <c r="G760" s="86" t="s">
        <v>1334</v>
      </c>
      <c r="H760" s="70">
        <v>0</v>
      </c>
    </row>
    <row r="761" spans="6:8" x14ac:dyDescent="0.35">
      <c r="F761" s="70">
        <v>314165</v>
      </c>
      <c r="G761" s="86" t="s">
        <v>1335</v>
      </c>
      <c r="H761" s="70">
        <v>0</v>
      </c>
    </row>
    <row r="762" spans="6:8" x14ac:dyDescent="0.35">
      <c r="F762" s="70">
        <v>315570</v>
      </c>
      <c r="G762" s="86" t="s">
        <v>1336</v>
      </c>
      <c r="H762" s="70">
        <v>0</v>
      </c>
    </row>
    <row r="763" spans="6:8" x14ac:dyDescent="0.35">
      <c r="F763" s="70">
        <v>314804</v>
      </c>
      <c r="G763" s="86" t="s">
        <v>1337</v>
      </c>
      <c r="H763" s="70">
        <v>0</v>
      </c>
    </row>
    <row r="764" spans="6:8" x14ac:dyDescent="0.35">
      <c r="F764" s="70">
        <v>313433</v>
      </c>
      <c r="G764" s="86" t="s">
        <v>1338</v>
      </c>
      <c r="H764" s="70">
        <v>0</v>
      </c>
    </row>
    <row r="765" spans="6:8" x14ac:dyDescent="0.35">
      <c r="F765" s="70">
        <v>314991</v>
      </c>
      <c r="G765" s="86" t="s">
        <v>1339</v>
      </c>
      <c r="H765" s="70">
        <v>0</v>
      </c>
    </row>
    <row r="766" spans="6:8" x14ac:dyDescent="0.35">
      <c r="F766" s="70">
        <v>314026</v>
      </c>
      <c r="G766" s="86" t="s">
        <v>1340</v>
      </c>
      <c r="H766" s="70">
        <v>0</v>
      </c>
    </row>
    <row r="767" spans="6:8" x14ac:dyDescent="0.35">
      <c r="F767" s="70">
        <v>315246</v>
      </c>
      <c r="G767" s="86" t="s">
        <v>1341</v>
      </c>
      <c r="H767" s="70">
        <v>0</v>
      </c>
    </row>
    <row r="768" spans="6:8" x14ac:dyDescent="0.35">
      <c r="F768" s="70">
        <v>312218</v>
      </c>
      <c r="G768" s="86" t="s">
        <v>1342</v>
      </c>
      <c r="H768" s="70">
        <v>0</v>
      </c>
    </row>
    <row r="769" spans="6:8" x14ac:dyDescent="0.35">
      <c r="F769" s="70">
        <v>311369</v>
      </c>
      <c r="G769" s="86" t="s">
        <v>1343</v>
      </c>
      <c r="H769" s="70">
        <v>0</v>
      </c>
    </row>
    <row r="770" spans="6:8" x14ac:dyDescent="0.35">
      <c r="F770" s="70">
        <v>314627</v>
      </c>
      <c r="G770" s="86" t="s">
        <v>1344</v>
      </c>
      <c r="H770" s="70">
        <v>0</v>
      </c>
    </row>
    <row r="771" spans="6:8" x14ac:dyDescent="0.35">
      <c r="F771" s="70">
        <v>311228</v>
      </c>
      <c r="G771" s="86" t="s">
        <v>1345</v>
      </c>
      <c r="H771" s="70">
        <v>0</v>
      </c>
    </row>
    <row r="772" spans="6:8" x14ac:dyDescent="0.35">
      <c r="F772" s="70">
        <v>309148</v>
      </c>
      <c r="G772" s="86" t="s">
        <v>1346</v>
      </c>
      <c r="H772" s="70">
        <v>0</v>
      </c>
    </row>
    <row r="773" spans="6:8" x14ac:dyDescent="0.35">
      <c r="F773" s="70">
        <v>311643</v>
      </c>
      <c r="G773" s="86" t="s">
        <v>1347</v>
      </c>
      <c r="H773" s="70">
        <v>0</v>
      </c>
    </row>
    <row r="774" spans="6:8" x14ac:dyDescent="0.35">
      <c r="F774" s="70">
        <v>311034</v>
      </c>
      <c r="G774" s="86" t="s">
        <v>1348</v>
      </c>
      <c r="H774" s="70">
        <v>0</v>
      </c>
    </row>
    <row r="775" spans="6:8" x14ac:dyDescent="0.35">
      <c r="F775" s="70">
        <v>314011</v>
      </c>
      <c r="G775" s="86" t="s">
        <v>1349</v>
      </c>
      <c r="H775" s="70">
        <v>0</v>
      </c>
    </row>
    <row r="776" spans="6:8" x14ac:dyDescent="0.35">
      <c r="F776" s="70">
        <v>314743</v>
      </c>
      <c r="G776" s="86" t="s">
        <v>1350</v>
      </c>
      <c r="H776" s="70">
        <v>0</v>
      </c>
    </row>
    <row r="777" spans="6:8" x14ac:dyDescent="0.35">
      <c r="F777" s="70">
        <v>311639</v>
      </c>
      <c r="G777" s="86" t="s">
        <v>1351</v>
      </c>
      <c r="H777" s="70">
        <v>0</v>
      </c>
    </row>
    <row r="778" spans="6:8" x14ac:dyDescent="0.35">
      <c r="F778" s="70">
        <v>310538</v>
      </c>
      <c r="G778" s="86" t="s">
        <v>1352</v>
      </c>
      <c r="H778" s="70">
        <v>0</v>
      </c>
    </row>
    <row r="779" spans="6:8" x14ac:dyDescent="0.35">
      <c r="F779" s="70">
        <v>311932</v>
      </c>
      <c r="G779" s="86" t="s">
        <v>1353</v>
      </c>
      <c r="H779" s="70">
        <v>0</v>
      </c>
    </row>
    <row r="780" spans="6:8" x14ac:dyDescent="0.35">
      <c r="F780" s="70">
        <v>308269</v>
      </c>
      <c r="G780" s="86" t="s">
        <v>1354</v>
      </c>
      <c r="H780" s="70">
        <v>0</v>
      </c>
    </row>
    <row r="781" spans="6:8" x14ac:dyDescent="0.35">
      <c r="F781" s="70">
        <v>313566</v>
      </c>
      <c r="G781" s="86" t="s">
        <v>1355</v>
      </c>
      <c r="H781" s="70">
        <v>0</v>
      </c>
    </row>
    <row r="782" spans="6:8" x14ac:dyDescent="0.35">
      <c r="F782" s="70">
        <v>313520</v>
      </c>
      <c r="G782" s="86" t="s">
        <v>1356</v>
      </c>
      <c r="H782" s="70">
        <v>0</v>
      </c>
    </row>
    <row r="783" spans="6:8" x14ac:dyDescent="0.35">
      <c r="F783" s="70">
        <v>312178</v>
      </c>
      <c r="G783" s="86" t="s">
        <v>1357</v>
      </c>
      <c r="H783" s="70">
        <v>0</v>
      </c>
    </row>
    <row r="784" spans="6:8" x14ac:dyDescent="0.35">
      <c r="F784" s="70">
        <v>305666</v>
      </c>
      <c r="G784" s="86" t="s">
        <v>1358</v>
      </c>
      <c r="H784" s="70">
        <v>0</v>
      </c>
    </row>
    <row r="785" spans="6:8" x14ac:dyDescent="0.35">
      <c r="F785" s="70">
        <v>314754</v>
      </c>
      <c r="G785" s="86" t="s">
        <v>1359</v>
      </c>
      <c r="H785" s="70">
        <v>0</v>
      </c>
    </row>
    <row r="786" spans="6:8" x14ac:dyDescent="0.35">
      <c r="F786" s="70">
        <v>314051</v>
      </c>
      <c r="G786" s="86" t="s">
        <v>1360</v>
      </c>
      <c r="H786" s="70">
        <v>0</v>
      </c>
    </row>
    <row r="787" spans="6:8" x14ac:dyDescent="0.35">
      <c r="F787" s="70">
        <v>313302</v>
      </c>
      <c r="G787" s="86" t="s">
        <v>1361</v>
      </c>
      <c r="H787" s="70">
        <v>0</v>
      </c>
    </row>
    <row r="788" spans="6:8" x14ac:dyDescent="0.35">
      <c r="F788" s="70">
        <v>314218</v>
      </c>
      <c r="G788" s="86" t="s">
        <v>1362</v>
      </c>
      <c r="H788" s="70">
        <v>0</v>
      </c>
    </row>
    <row r="789" spans="6:8" x14ac:dyDescent="0.35">
      <c r="F789" s="70">
        <v>305285</v>
      </c>
      <c r="G789" s="86" t="s">
        <v>1363</v>
      </c>
      <c r="H789" s="70">
        <v>0</v>
      </c>
    </row>
    <row r="790" spans="6:8" x14ac:dyDescent="0.35">
      <c r="F790" s="70">
        <v>309753</v>
      </c>
      <c r="G790" s="86" t="s">
        <v>1364</v>
      </c>
      <c r="H790" s="70">
        <v>0</v>
      </c>
    </row>
    <row r="791" spans="6:8" x14ac:dyDescent="0.35">
      <c r="F791" s="70">
        <v>312174</v>
      </c>
      <c r="G791" s="86" t="s">
        <v>1365</v>
      </c>
      <c r="H791" s="70">
        <v>0</v>
      </c>
    </row>
    <row r="792" spans="6:8" x14ac:dyDescent="0.35">
      <c r="F792" s="70">
        <v>310926</v>
      </c>
      <c r="G792" s="86" t="s">
        <v>1366</v>
      </c>
      <c r="H792" s="70">
        <v>0</v>
      </c>
    </row>
    <row r="793" spans="6:8" x14ac:dyDescent="0.35">
      <c r="F793" s="70">
        <v>315095</v>
      </c>
      <c r="G793" s="86" t="s">
        <v>1367</v>
      </c>
      <c r="H793" s="70">
        <v>0</v>
      </c>
    </row>
    <row r="794" spans="6:8" x14ac:dyDescent="0.35">
      <c r="F794" s="70">
        <v>313601</v>
      </c>
      <c r="G794" s="86" t="s">
        <v>1368</v>
      </c>
      <c r="H794" s="70">
        <v>0</v>
      </c>
    </row>
    <row r="795" spans="6:8" x14ac:dyDescent="0.35">
      <c r="F795" s="70">
        <v>310820</v>
      </c>
      <c r="G795" s="86" t="s">
        <v>1369</v>
      </c>
      <c r="H795" s="70">
        <v>0</v>
      </c>
    </row>
    <row r="796" spans="6:8" x14ac:dyDescent="0.35">
      <c r="F796" s="70">
        <v>315345</v>
      </c>
      <c r="G796" s="86" t="s">
        <v>1370</v>
      </c>
      <c r="H796" s="70">
        <v>0</v>
      </c>
    </row>
    <row r="797" spans="6:8" x14ac:dyDescent="0.35">
      <c r="F797" s="70">
        <v>315369</v>
      </c>
      <c r="G797" s="86" t="s">
        <v>1371</v>
      </c>
      <c r="H797" s="70">
        <v>0</v>
      </c>
    </row>
    <row r="798" spans="6:8" x14ac:dyDescent="0.35">
      <c r="F798" s="70">
        <v>314417</v>
      </c>
      <c r="G798" s="86" t="s">
        <v>1372</v>
      </c>
      <c r="H798" s="70">
        <v>0</v>
      </c>
    </row>
    <row r="799" spans="6:8" x14ac:dyDescent="0.35">
      <c r="F799" s="70">
        <v>311096</v>
      </c>
      <c r="G799" s="86" t="s">
        <v>1373</v>
      </c>
      <c r="H799" s="70">
        <v>0</v>
      </c>
    </row>
    <row r="800" spans="6:8" x14ac:dyDescent="0.35">
      <c r="F800" s="70">
        <v>315400</v>
      </c>
      <c r="G800" s="86" t="s">
        <v>1374</v>
      </c>
      <c r="H800" s="70">
        <v>0</v>
      </c>
    </row>
    <row r="801" spans="6:8" x14ac:dyDescent="0.35">
      <c r="F801" s="70">
        <v>312722</v>
      </c>
      <c r="G801" s="86" t="s">
        <v>1375</v>
      </c>
      <c r="H801" s="70">
        <v>0</v>
      </c>
    </row>
    <row r="802" spans="6:8" x14ac:dyDescent="0.35">
      <c r="F802" s="70">
        <v>314274</v>
      </c>
      <c r="G802" s="86" t="s">
        <v>1376</v>
      </c>
      <c r="H802" s="70">
        <v>0</v>
      </c>
    </row>
    <row r="803" spans="6:8" x14ac:dyDescent="0.35">
      <c r="F803" s="70">
        <v>309643</v>
      </c>
      <c r="G803" s="86" t="s">
        <v>1377</v>
      </c>
      <c r="H803" s="70">
        <v>0</v>
      </c>
    </row>
    <row r="804" spans="6:8" x14ac:dyDescent="0.35">
      <c r="F804" s="70">
        <v>312253</v>
      </c>
      <c r="G804" s="86" t="s">
        <v>1378</v>
      </c>
      <c r="H804" s="70">
        <v>0</v>
      </c>
    </row>
    <row r="805" spans="6:8" x14ac:dyDescent="0.35">
      <c r="F805" s="70">
        <v>315183</v>
      </c>
      <c r="G805" s="86" t="s">
        <v>1379</v>
      </c>
      <c r="H805" s="70">
        <v>0</v>
      </c>
    </row>
    <row r="806" spans="6:8" x14ac:dyDescent="0.35">
      <c r="F806" s="70">
        <v>315144</v>
      </c>
      <c r="G806" s="86" t="s">
        <v>1380</v>
      </c>
      <c r="H806" s="70">
        <v>0</v>
      </c>
    </row>
    <row r="807" spans="6:8" x14ac:dyDescent="0.35">
      <c r="F807" s="70">
        <v>314220</v>
      </c>
      <c r="G807" s="86" t="s">
        <v>1381</v>
      </c>
      <c r="H807" s="70">
        <v>0</v>
      </c>
    </row>
    <row r="808" spans="6:8" x14ac:dyDescent="0.35">
      <c r="F808" s="70">
        <v>303284</v>
      </c>
      <c r="G808" s="86" t="s">
        <v>1382</v>
      </c>
      <c r="H808" s="70">
        <v>0</v>
      </c>
    </row>
    <row r="809" spans="6:8" x14ac:dyDescent="0.35">
      <c r="F809" s="70">
        <v>304200</v>
      </c>
      <c r="G809" s="86" t="s">
        <v>1383</v>
      </c>
      <c r="H809" s="70">
        <v>0</v>
      </c>
    </row>
    <row r="810" spans="6:8" x14ac:dyDescent="0.35">
      <c r="F810" s="70">
        <v>310692</v>
      </c>
      <c r="G810" s="86" t="s">
        <v>1384</v>
      </c>
      <c r="H810" s="70">
        <v>0</v>
      </c>
    </row>
    <row r="811" spans="6:8" x14ac:dyDescent="0.35">
      <c r="F811" s="70">
        <v>303971</v>
      </c>
      <c r="G811" s="86" t="s">
        <v>1385</v>
      </c>
      <c r="H811" s="70">
        <v>0</v>
      </c>
    </row>
    <row r="812" spans="6:8" x14ac:dyDescent="0.35">
      <c r="F812" s="70">
        <v>312969</v>
      </c>
      <c r="G812" s="86" t="s">
        <v>1386</v>
      </c>
      <c r="H812" s="70">
        <v>0</v>
      </c>
    </row>
    <row r="813" spans="6:8" x14ac:dyDescent="0.35">
      <c r="F813" s="70">
        <v>315278</v>
      </c>
      <c r="G813" s="86" t="s">
        <v>1387</v>
      </c>
      <c r="H813" s="70">
        <v>0</v>
      </c>
    </row>
    <row r="814" spans="6:8" x14ac:dyDescent="0.35">
      <c r="F814" s="70">
        <v>306895</v>
      </c>
      <c r="G814" s="86" t="s">
        <v>1388</v>
      </c>
      <c r="H814" s="70">
        <v>0</v>
      </c>
    </row>
    <row r="815" spans="6:8" x14ac:dyDescent="0.35">
      <c r="F815" s="70">
        <v>315257</v>
      </c>
      <c r="G815" s="86" t="s">
        <v>1389</v>
      </c>
      <c r="H815" s="70">
        <v>0</v>
      </c>
    </row>
    <row r="816" spans="6:8" x14ac:dyDescent="0.35">
      <c r="F816" s="70">
        <v>310605</v>
      </c>
      <c r="G816" s="86" t="s">
        <v>1390</v>
      </c>
      <c r="H816" s="70">
        <v>0</v>
      </c>
    </row>
    <row r="817" spans="6:8" x14ac:dyDescent="0.35">
      <c r="F817" s="70">
        <v>307367</v>
      </c>
      <c r="G817" s="86" t="s">
        <v>1391</v>
      </c>
      <c r="H817" s="70">
        <v>0</v>
      </c>
    </row>
    <row r="818" spans="6:8" x14ac:dyDescent="0.35">
      <c r="F818" s="70">
        <v>314870</v>
      </c>
      <c r="G818" s="86" t="s">
        <v>1392</v>
      </c>
      <c r="H818" s="70">
        <v>0</v>
      </c>
    </row>
    <row r="819" spans="6:8" x14ac:dyDescent="0.35">
      <c r="F819" s="70">
        <v>314382</v>
      </c>
      <c r="G819" s="86" t="s">
        <v>1393</v>
      </c>
      <c r="H819" s="70">
        <v>0</v>
      </c>
    </row>
    <row r="820" spans="6:8" x14ac:dyDescent="0.35">
      <c r="F820" s="70">
        <v>310067</v>
      </c>
      <c r="G820" s="86" t="s">
        <v>1394</v>
      </c>
      <c r="H820" s="70">
        <v>0</v>
      </c>
    </row>
    <row r="821" spans="6:8" x14ac:dyDescent="0.35">
      <c r="F821" s="70">
        <v>307352</v>
      </c>
      <c r="G821" s="86" t="s">
        <v>1395</v>
      </c>
      <c r="H821" s="70">
        <v>0</v>
      </c>
    </row>
    <row r="822" spans="6:8" x14ac:dyDescent="0.35">
      <c r="F822" s="70">
        <v>310143</v>
      </c>
      <c r="G822" s="86" t="s">
        <v>1396</v>
      </c>
      <c r="H822" s="70">
        <v>0</v>
      </c>
    </row>
    <row r="823" spans="6:8" x14ac:dyDescent="0.35">
      <c r="F823" s="70">
        <v>312833</v>
      </c>
      <c r="G823" s="86" t="s">
        <v>1397</v>
      </c>
      <c r="H823" s="70">
        <v>0</v>
      </c>
    </row>
    <row r="824" spans="6:8" x14ac:dyDescent="0.35">
      <c r="F824" s="70">
        <v>315132</v>
      </c>
      <c r="G824" s="86" t="s">
        <v>1398</v>
      </c>
      <c r="H824" s="70">
        <v>0</v>
      </c>
    </row>
    <row r="825" spans="6:8" x14ac:dyDescent="0.35">
      <c r="F825" s="70">
        <v>309366</v>
      </c>
      <c r="G825" s="86" t="s">
        <v>1399</v>
      </c>
      <c r="H825" s="70">
        <v>0</v>
      </c>
    </row>
    <row r="826" spans="6:8" x14ac:dyDescent="0.35">
      <c r="F826" s="70">
        <v>314328</v>
      </c>
      <c r="G826" s="86" t="s">
        <v>1400</v>
      </c>
      <c r="H826" s="70">
        <v>0</v>
      </c>
    </row>
    <row r="827" spans="6:8" x14ac:dyDescent="0.35">
      <c r="F827" s="70">
        <v>315317</v>
      </c>
      <c r="G827" s="86" t="s">
        <v>1401</v>
      </c>
      <c r="H827" s="70">
        <v>0</v>
      </c>
    </row>
    <row r="828" spans="6:8" x14ac:dyDescent="0.35">
      <c r="F828" s="70">
        <v>313889</v>
      </c>
      <c r="G828" s="86" t="s">
        <v>1402</v>
      </c>
      <c r="H828" s="70">
        <v>0</v>
      </c>
    </row>
    <row r="829" spans="6:8" x14ac:dyDescent="0.35">
      <c r="F829" s="70">
        <v>310261</v>
      </c>
      <c r="G829" s="86" t="s">
        <v>1403</v>
      </c>
      <c r="H829" s="70">
        <v>0</v>
      </c>
    </row>
    <row r="830" spans="6:8" x14ac:dyDescent="0.35">
      <c r="F830" s="70">
        <v>311985</v>
      </c>
      <c r="G830" s="86" t="s">
        <v>1404</v>
      </c>
      <c r="H830" s="70">
        <v>0</v>
      </c>
    </row>
    <row r="831" spans="6:8" x14ac:dyDescent="0.35">
      <c r="F831" s="70">
        <v>307718</v>
      </c>
      <c r="G831" s="86" t="s">
        <v>1405</v>
      </c>
      <c r="H831" s="70">
        <v>0</v>
      </c>
    </row>
    <row r="832" spans="6:8" x14ac:dyDescent="0.35">
      <c r="F832" s="70">
        <v>307269</v>
      </c>
      <c r="G832" s="86" t="s">
        <v>1406</v>
      </c>
      <c r="H832" s="70">
        <v>0</v>
      </c>
    </row>
    <row r="833" spans="6:8" x14ac:dyDescent="0.35">
      <c r="F833" s="70">
        <v>102070</v>
      </c>
      <c r="G833" s="86" t="s">
        <v>1407</v>
      </c>
      <c r="H833" s="70">
        <v>0</v>
      </c>
    </row>
    <row r="834" spans="6:8" x14ac:dyDescent="0.35">
      <c r="F834" s="70">
        <v>313030</v>
      </c>
      <c r="G834" s="86" t="s">
        <v>1408</v>
      </c>
      <c r="H834" s="70">
        <v>0</v>
      </c>
    </row>
    <row r="835" spans="6:8" x14ac:dyDescent="0.35">
      <c r="F835" s="70">
        <v>314628</v>
      </c>
      <c r="G835" s="86" t="s">
        <v>1409</v>
      </c>
      <c r="H835" s="70">
        <v>0</v>
      </c>
    </row>
    <row r="836" spans="6:8" x14ac:dyDescent="0.35">
      <c r="F836" s="70">
        <v>315074</v>
      </c>
      <c r="G836" s="86" t="s">
        <v>1410</v>
      </c>
      <c r="H836" s="70">
        <v>0</v>
      </c>
    </row>
    <row r="837" spans="6:8" x14ac:dyDescent="0.35">
      <c r="F837" s="70">
        <v>310347</v>
      </c>
      <c r="G837" s="86" t="s">
        <v>1411</v>
      </c>
      <c r="H837" s="70">
        <v>0</v>
      </c>
    </row>
    <row r="838" spans="6:8" x14ac:dyDescent="0.35">
      <c r="F838" s="70">
        <v>313802</v>
      </c>
      <c r="G838" s="86" t="s">
        <v>1412</v>
      </c>
      <c r="H838" s="70">
        <v>0</v>
      </c>
    </row>
    <row r="839" spans="6:8" x14ac:dyDescent="0.35">
      <c r="F839" s="70">
        <v>303594</v>
      </c>
      <c r="G839" s="86" t="s">
        <v>1413</v>
      </c>
      <c r="H839" s="70">
        <v>0</v>
      </c>
    </row>
    <row r="840" spans="6:8" x14ac:dyDescent="0.35">
      <c r="F840" s="70">
        <v>311440</v>
      </c>
      <c r="G840" s="86" t="s">
        <v>1414</v>
      </c>
      <c r="H840" s="70">
        <v>0</v>
      </c>
    </row>
    <row r="841" spans="6:8" x14ac:dyDescent="0.35">
      <c r="F841" s="70">
        <v>310148</v>
      </c>
      <c r="G841" s="86" t="s">
        <v>1415</v>
      </c>
      <c r="H841" s="70">
        <v>0</v>
      </c>
    </row>
    <row r="842" spans="6:8" x14ac:dyDescent="0.35">
      <c r="F842" s="70">
        <v>300280</v>
      </c>
      <c r="G842" s="86" t="s">
        <v>1416</v>
      </c>
      <c r="H842" s="70">
        <v>0</v>
      </c>
    </row>
    <row r="843" spans="6:8" x14ac:dyDescent="0.35">
      <c r="F843" s="70">
        <v>306962</v>
      </c>
      <c r="G843" s="86" t="s">
        <v>1417</v>
      </c>
      <c r="H843" s="70">
        <v>0</v>
      </c>
    </row>
    <row r="844" spans="6:8" x14ac:dyDescent="0.35">
      <c r="F844" s="70">
        <v>314279</v>
      </c>
      <c r="G844" s="86" t="s">
        <v>1418</v>
      </c>
      <c r="H844" s="70">
        <v>0</v>
      </c>
    </row>
    <row r="845" spans="6:8" x14ac:dyDescent="0.35">
      <c r="F845" s="70">
        <v>305035</v>
      </c>
      <c r="G845" s="86" t="s">
        <v>1419</v>
      </c>
      <c r="H845" s="70">
        <v>0</v>
      </c>
    </row>
    <row r="846" spans="6:8" x14ac:dyDescent="0.35">
      <c r="F846" s="70">
        <v>314899</v>
      </c>
      <c r="G846" s="86" t="s">
        <v>1420</v>
      </c>
      <c r="H846" s="70">
        <v>0</v>
      </c>
    </row>
    <row r="847" spans="6:8" x14ac:dyDescent="0.35">
      <c r="F847" s="70">
        <v>314728</v>
      </c>
      <c r="G847" s="86" t="s">
        <v>1421</v>
      </c>
      <c r="H847" s="70">
        <v>0</v>
      </c>
    </row>
    <row r="848" spans="6:8" x14ac:dyDescent="0.35">
      <c r="F848" s="70">
        <v>313768</v>
      </c>
      <c r="G848" s="86" t="s">
        <v>1422</v>
      </c>
      <c r="H848" s="70">
        <v>0</v>
      </c>
    </row>
    <row r="849" spans="6:8" x14ac:dyDescent="0.35">
      <c r="F849" s="70">
        <v>314091</v>
      </c>
      <c r="G849" s="86" t="s">
        <v>1423</v>
      </c>
      <c r="H849" s="70">
        <v>0</v>
      </c>
    </row>
    <row r="850" spans="6:8" x14ac:dyDescent="0.35">
      <c r="F850" s="70">
        <v>310198</v>
      </c>
      <c r="G850" s="86" t="s">
        <v>1424</v>
      </c>
      <c r="H850" s="70">
        <v>0</v>
      </c>
    </row>
    <row r="851" spans="6:8" x14ac:dyDescent="0.35">
      <c r="F851" s="70">
        <v>309262</v>
      </c>
      <c r="G851" s="86" t="s">
        <v>1425</v>
      </c>
      <c r="H851" s="70">
        <v>0</v>
      </c>
    </row>
    <row r="852" spans="6:8" x14ac:dyDescent="0.35">
      <c r="F852" s="70">
        <v>315486</v>
      </c>
      <c r="G852" s="86" t="s">
        <v>1426</v>
      </c>
      <c r="H852" s="70">
        <v>0</v>
      </c>
    </row>
    <row r="853" spans="6:8" x14ac:dyDescent="0.35">
      <c r="F853" s="70">
        <v>311492</v>
      </c>
      <c r="G853" s="86" t="s">
        <v>1427</v>
      </c>
      <c r="H853" s="70">
        <v>0</v>
      </c>
    </row>
    <row r="854" spans="6:8" x14ac:dyDescent="0.35">
      <c r="F854" s="70">
        <v>315403</v>
      </c>
      <c r="G854" s="86" t="s">
        <v>1428</v>
      </c>
      <c r="H854" s="70">
        <v>0</v>
      </c>
    </row>
    <row r="855" spans="6:8" x14ac:dyDescent="0.35">
      <c r="F855" s="70">
        <v>312792</v>
      </c>
      <c r="G855" s="86" t="s">
        <v>1429</v>
      </c>
      <c r="H855" s="70">
        <v>0</v>
      </c>
    </row>
    <row r="856" spans="6:8" x14ac:dyDescent="0.35">
      <c r="F856" s="70">
        <v>314774</v>
      </c>
      <c r="G856" s="86" t="s">
        <v>1430</v>
      </c>
      <c r="H856" s="70">
        <v>0</v>
      </c>
    </row>
    <row r="857" spans="6:8" x14ac:dyDescent="0.35">
      <c r="F857" s="70">
        <v>310872</v>
      </c>
      <c r="G857" s="86" t="s">
        <v>1431</v>
      </c>
      <c r="H857" s="70">
        <v>0</v>
      </c>
    </row>
    <row r="858" spans="6:8" x14ac:dyDescent="0.35">
      <c r="F858" s="70">
        <v>312765</v>
      </c>
      <c r="G858" s="86" t="s">
        <v>1432</v>
      </c>
      <c r="H858" s="70">
        <v>0</v>
      </c>
    </row>
    <row r="859" spans="6:8" x14ac:dyDescent="0.35">
      <c r="F859" s="70">
        <v>303967</v>
      </c>
      <c r="G859" s="86" t="s">
        <v>1433</v>
      </c>
      <c r="H859" s="70">
        <v>0</v>
      </c>
    </row>
    <row r="860" spans="6:8" x14ac:dyDescent="0.35">
      <c r="F860" s="70">
        <v>311367</v>
      </c>
      <c r="G860" s="86" t="s">
        <v>1434</v>
      </c>
      <c r="H860" s="70">
        <v>0</v>
      </c>
    </row>
    <row r="861" spans="6:8" x14ac:dyDescent="0.35">
      <c r="F861" s="70">
        <v>310502</v>
      </c>
      <c r="G861" s="86" t="s">
        <v>1435</v>
      </c>
      <c r="H861" s="70">
        <v>0</v>
      </c>
    </row>
    <row r="862" spans="6:8" x14ac:dyDescent="0.35">
      <c r="F862" s="70">
        <v>315124</v>
      </c>
      <c r="G862" s="86" t="s">
        <v>1436</v>
      </c>
      <c r="H862" s="70">
        <v>0</v>
      </c>
    </row>
    <row r="863" spans="6:8" x14ac:dyDescent="0.35">
      <c r="F863" s="70">
        <v>313529</v>
      </c>
      <c r="G863" s="86" t="s">
        <v>1437</v>
      </c>
      <c r="H863" s="70">
        <v>0</v>
      </c>
    </row>
    <row r="864" spans="6:8" x14ac:dyDescent="0.35">
      <c r="F864" s="70">
        <v>314022</v>
      </c>
      <c r="G864" s="86" t="s">
        <v>1438</v>
      </c>
      <c r="H864" s="70">
        <v>0</v>
      </c>
    </row>
    <row r="865" spans="6:13" x14ac:dyDescent="0.35">
      <c r="F865" s="70">
        <v>309747</v>
      </c>
      <c r="G865" s="86" t="s">
        <v>1439</v>
      </c>
      <c r="H865" s="70">
        <v>0</v>
      </c>
    </row>
    <row r="866" spans="6:13" x14ac:dyDescent="0.35">
      <c r="F866" s="70">
        <v>315489</v>
      </c>
      <c r="G866" s="86" t="s">
        <v>1440</v>
      </c>
      <c r="H866" s="70">
        <v>0</v>
      </c>
    </row>
    <row r="867" spans="6:13" x14ac:dyDescent="0.35">
      <c r="F867" s="70">
        <v>313595</v>
      </c>
      <c r="G867" s="86" t="s">
        <v>1441</v>
      </c>
      <c r="H867" s="70">
        <v>0</v>
      </c>
    </row>
    <row r="868" spans="6:13" x14ac:dyDescent="0.35">
      <c r="F868" s="70">
        <v>311207</v>
      </c>
      <c r="G868" s="86" t="s">
        <v>1442</v>
      </c>
      <c r="H868" s="70">
        <v>0</v>
      </c>
    </row>
    <row r="869" spans="6:13" x14ac:dyDescent="0.35">
      <c r="F869" s="70">
        <v>304473</v>
      </c>
      <c r="G869" s="86" t="s">
        <v>1443</v>
      </c>
      <c r="H869" s="70">
        <v>0</v>
      </c>
    </row>
    <row r="870" spans="6:13" x14ac:dyDescent="0.35">
      <c r="F870" s="70">
        <v>314202</v>
      </c>
      <c r="G870" s="86" t="s">
        <v>1444</v>
      </c>
      <c r="H870" s="70">
        <v>0</v>
      </c>
    </row>
    <row r="871" spans="6:13" x14ac:dyDescent="0.35">
      <c r="F871" s="70">
        <v>302484</v>
      </c>
      <c r="G871" s="86" t="s">
        <v>1445</v>
      </c>
      <c r="H871" s="70">
        <v>0</v>
      </c>
    </row>
    <row r="872" spans="6:13" x14ac:dyDescent="0.35">
      <c r="F872" s="70">
        <v>315385</v>
      </c>
      <c r="G872" s="86" t="s">
        <v>1446</v>
      </c>
      <c r="H872" s="70">
        <v>0</v>
      </c>
    </row>
    <row r="873" spans="6:13" x14ac:dyDescent="0.35">
      <c r="F873" s="70">
        <v>308614</v>
      </c>
      <c r="G873" s="86" t="s">
        <v>1447</v>
      </c>
      <c r="H873" s="70">
        <v>0</v>
      </c>
    </row>
    <row r="874" spans="6:13" x14ac:dyDescent="0.35">
      <c r="F874" s="70">
        <v>315222</v>
      </c>
      <c r="G874" s="86" t="s">
        <v>1448</v>
      </c>
      <c r="H874" s="70">
        <v>0</v>
      </c>
    </row>
    <row r="875" spans="6:13" x14ac:dyDescent="0.35">
      <c r="F875" s="70">
        <v>306213</v>
      </c>
      <c r="G875" s="86" t="s">
        <v>1449</v>
      </c>
      <c r="H875" s="70">
        <v>0</v>
      </c>
    </row>
    <row r="876" spans="6:13" x14ac:dyDescent="0.35">
      <c r="F876" s="70">
        <v>315363</v>
      </c>
      <c r="G876" s="86" t="s">
        <v>1450</v>
      </c>
      <c r="H876" s="70">
        <v>0</v>
      </c>
    </row>
    <row r="877" spans="6:13" x14ac:dyDescent="0.35">
      <c r="F877" s="70">
        <v>314162</v>
      </c>
      <c r="G877" s="86" t="s">
        <v>1451</v>
      </c>
      <c r="H877" s="70">
        <v>0</v>
      </c>
    </row>
    <row r="878" spans="6:13" x14ac:dyDescent="0.35">
      <c r="F878" s="70">
        <v>311975</v>
      </c>
      <c r="G878" s="86" t="s">
        <v>1452</v>
      </c>
      <c r="H878" s="70">
        <v>0</v>
      </c>
    </row>
    <row r="879" spans="6:13" x14ac:dyDescent="0.35">
      <c r="F879" s="70">
        <v>300922</v>
      </c>
      <c r="G879" s="86" t="s">
        <v>1453</v>
      </c>
      <c r="H879" s="70">
        <v>0</v>
      </c>
    </row>
    <row r="880" spans="6:13" x14ac:dyDescent="0.35">
      <c r="F880" s="70">
        <v>308519</v>
      </c>
      <c r="G880" s="86" t="s">
        <v>1454</v>
      </c>
      <c r="H880" s="70">
        <v>0</v>
      </c>
      <c r="L880" s="92"/>
      <c r="M880" s="92"/>
    </row>
    <row r="881" spans="6:8" x14ac:dyDescent="0.35">
      <c r="F881" s="70">
        <v>314812</v>
      </c>
      <c r="G881" s="86" t="s">
        <v>1455</v>
      </c>
      <c r="H881" s="70">
        <v>0</v>
      </c>
    </row>
    <row r="882" spans="6:8" x14ac:dyDescent="0.35">
      <c r="F882" s="70">
        <v>304509</v>
      </c>
      <c r="G882" s="86" t="s">
        <v>1456</v>
      </c>
      <c r="H882" s="70">
        <v>0</v>
      </c>
    </row>
    <row r="883" spans="6:8" x14ac:dyDescent="0.35">
      <c r="F883" s="93">
        <v>313479</v>
      </c>
      <c r="G883" s="86" t="s">
        <v>1457</v>
      </c>
      <c r="H883" s="70">
        <v>0</v>
      </c>
    </row>
    <row r="884" spans="6:8" x14ac:dyDescent="0.35">
      <c r="F884" s="70">
        <v>310923</v>
      </c>
      <c r="G884" s="86" t="s">
        <v>1457</v>
      </c>
      <c r="H884" s="70">
        <v>0</v>
      </c>
    </row>
    <row r="885" spans="6:8" x14ac:dyDescent="0.35">
      <c r="F885" s="70">
        <v>307904</v>
      </c>
      <c r="G885" s="86" t="s">
        <v>1458</v>
      </c>
      <c r="H885" s="70">
        <v>0</v>
      </c>
    </row>
    <row r="886" spans="6:8" x14ac:dyDescent="0.35">
      <c r="F886" s="70">
        <v>312303</v>
      </c>
      <c r="G886" s="86" t="s">
        <v>1459</v>
      </c>
      <c r="H886" s="70">
        <v>0</v>
      </c>
    </row>
    <row r="887" spans="6:8" x14ac:dyDescent="0.35">
      <c r="F887" s="70">
        <v>314124</v>
      </c>
      <c r="G887" s="86" t="s">
        <v>1460</v>
      </c>
      <c r="H887" s="70">
        <v>0</v>
      </c>
    </row>
    <row r="888" spans="6:8" x14ac:dyDescent="0.35">
      <c r="F888" s="70">
        <v>306713</v>
      </c>
      <c r="G888" s="86" t="s">
        <v>1461</v>
      </c>
      <c r="H888" s="70">
        <v>0</v>
      </c>
    </row>
    <row r="889" spans="6:8" x14ac:dyDescent="0.35">
      <c r="F889" s="70">
        <v>315342</v>
      </c>
      <c r="G889" s="86" t="s">
        <v>1462</v>
      </c>
      <c r="H889" s="70">
        <v>0</v>
      </c>
    </row>
    <row r="890" spans="6:8" x14ac:dyDescent="0.35">
      <c r="F890" s="70">
        <v>312257</v>
      </c>
      <c r="G890" s="86" t="s">
        <v>1463</v>
      </c>
      <c r="H890" s="70">
        <v>0</v>
      </c>
    </row>
    <row r="891" spans="6:8" x14ac:dyDescent="0.35">
      <c r="F891" s="70">
        <v>307113</v>
      </c>
      <c r="G891" s="86" t="s">
        <v>1464</v>
      </c>
      <c r="H891" s="70">
        <v>0</v>
      </c>
    </row>
    <row r="892" spans="6:8" x14ac:dyDescent="0.35">
      <c r="F892" s="70">
        <v>303961</v>
      </c>
      <c r="G892" s="86" t="s">
        <v>1465</v>
      </c>
      <c r="H892" s="70">
        <v>0</v>
      </c>
    </row>
    <row r="893" spans="6:8" x14ac:dyDescent="0.35">
      <c r="F893" s="70">
        <v>308796</v>
      </c>
      <c r="G893" s="86" t="s">
        <v>1466</v>
      </c>
      <c r="H893" s="70">
        <v>0</v>
      </c>
    </row>
    <row r="894" spans="6:8" x14ac:dyDescent="0.35">
      <c r="F894" s="70">
        <v>307862</v>
      </c>
      <c r="G894" s="86" t="s">
        <v>1467</v>
      </c>
      <c r="H894" s="70">
        <v>0</v>
      </c>
    </row>
    <row r="895" spans="6:8" x14ac:dyDescent="0.35">
      <c r="F895" s="70">
        <v>310734</v>
      </c>
      <c r="G895" s="86" t="s">
        <v>1468</v>
      </c>
      <c r="H895" s="70">
        <v>0</v>
      </c>
    </row>
    <row r="896" spans="6:8" x14ac:dyDescent="0.35">
      <c r="F896" s="70">
        <v>309761</v>
      </c>
      <c r="G896" s="86" t="s">
        <v>1469</v>
      </c>
      <c r="H896" s="70">
        <v>0</v>
      </c>
    </row>
    <row r="897" spans="6:8" x14ac:dyDescent="0.35">
      <c r="F897" s="70">
        <v>310867</v>
      </c>
      <c r="G897" s="86" t="s">
        <v>1470</v>
      </c>
      <c r="H897" s="70">
        <v>0</v>
      </c>
    </row>
    <row r="898" spans="6:8" x14ac:dyDescent="0.35">
      <c r="F898" s="70">
        <v>310796</v>
      </c>
      <c r="G898" s="86" t="s">
        <v>1471</v>
      </c>
      <c r="H898" s="70">
        <v>0</v>
      </c>
    </row>
    <row r="899" spans="6:8" x14ac:dyDescent="0.35">
      <c r="F899" s="70">
        <v>314563</v>
      </c>
      <c r="G899" s="86" t="s">
        <v>1472</v>
      </c>
      <c r="H899" s="70">
        <v>0</v>
      </c>
    </row>
    <row r="900" spans="6:8" x14ac:dyDescent="0.35">
      <c r="F900" s="70">
        <v>304658</v>
      </c>
      <c r="G900" s="86" t="s">
        <v>1473</v>
      </c>
      <c r="H900" s="70">
        <v>0</v>
      </c>
    </row>
    <row r="901" spans="6:8" x14ac:dyDescent="0.35">
      <c r="F901" s="70">
        <v>315181</v>
      </c>
      <c r="G901" s="86" t="s">
        <v>1474</v>
      </c>
      <c r="H901" s="70">
        <v>0</v>
      </c>
    </row>
    <row r="902" spans="6:8" x14ac:dyDescent="0.35">
      <c r="F902" s="70">
        <v>311615</v>
      </c>
      <c r="G902" s="86" t="s">
        <v>1475</v>
      </c>
      <c r="H902" s="70">
        <v>0</v>
      </c>
    </row>
    <row r="903" spans="6:8" x14ac:dyDescent="0.35">
      <c r="F903" s="70">
        <v>312044</v>
      </c>
      <c r="G903" s="86" t="s">
        <v>1476</v>
      </c>
      <c r="H903" s="70">
        <v>0</v>
      </c>
    </row>
    <row r="904" spans="6:8" x14ac:dyDescent="0.35">
      <c r="F904" s="70">
        <v>307582</v>
      </c>
      <c r="G904" s="86" t="s">
        <v>1477</v>
      </c>
      <c r="H904" s="70">
        <v>0</v>
      </c>
    </row>
    <row r="905" spans="6:8" x14ac:dyDescent="0.35">
      <c r="F905" s="70">
        <v>301669</v>
      </c>
      <c r="G905" s="86" t="s">
        <v>1478</v>
      </c>
      <c r="H905" s="70">
        <v>0</v>
      </c>
    </row>
    <row r="906" spans="6:8" x14ac:dyDescent="0.35">
      <c r="F906" s="70">
        <v>309811</v>
      </c>
      <c r="G906" s="86" t="s">
        <v>1479</v>
      </c>
      <c r="H906" s="70">
        <v>0</v>
      </c>
    </row>
    <row r="907" spans="6:8" x14ac:dyDescent="0.35">
      <c r="F907" s="70">
        <v>314136</v>
      </c>
      <c r="G907" s="86" t="s">
        <v>1480</v>
      </c>
      <c r="H907" s="70">
        <v>0</v>
      </c>
    </row>
    <row r="908" spans="6:8" x14ac:dyDescent="0.35">
      <c r="F908" s="70">
        <v>315094</v>
      </c>
      <c r="G908" s="86" t="s">
        <v>1481</v>
      </c>
      <c r="H908" s="70">
        <v>0</v>
      </c>
    </row>
    <row r="909" spans="6:8" x14ac:dyDescent="0.35">
      <c r="F909" s="70">
        <v>312835</v>
      </c>
      <c r="G909" s="86" t="s">
        <v>1482</v>
      </c>
      <c r="H909" s="70">
        <v>0</v>
      </c>
    </row>
    <row r="910" spans="6:8" x14ac:dyDescent="0.35">
      <c r="F910" s="70">
        <v>314608</v>
      </c>
      <c r="G910" s="86" t="s">
        <v>1483</v>
      </c>
      <c r="H910" s="70">
        <v>0</v>
      </c>
    </row>
    <row r="911" spans="6:8" x14ac:dyDescent="0.35">
      <c r="F911" s="70">
        <v>314041</v>
      </c>
      <c r="G911" s="86" t="s">
        <v>1484</v>
      </c>
      <c r="H911" s="70">
        <v>0</v>
      </c>
    </row>
    <row r="912" spans="6:8" x14ac:dyDescent="0.35">
      <c r="F912" s="70">
        <v>308478</v>
      </c>
      <c r="G912" s="86" t="s">
        <v>1485</v>
      </c>
      <c r="H912" s="70">
        <v>0</v>
      </c>
    </row>
    <row r="913" spans="6:8" x14ac:dyDescent="0.35">
      <c r="F913" s="70">
        <v>315216</v>
      </c>
      <c r="G913" s="86" t="s">
        <v>1486</v>
      </c>
      <c r="H913" s="70">
        <v>0</v>
      </c>
    </row>
    <row r="914" spans="6:8" x14ac:dyDescent="0.35">
      <c r="F914" s="70">
        <v>312919</v>
      </c>
      <c r="G914" s="86" t="s">
        <v>1487</v>
      </c>
      <c r="H914" s="70">
        <v>0</v>
      </c>
    </row>
    <row r="915" spans="6:8" x14ac:dyDescent="0.35">
      <c r="F915" s="70">
        <v>306192</v>
      </c>
      <c r="G915" s="86" t="s">
        <v>1488</v>
      </c>
      <c r="H915" s="70">
        <v>0</v>
      </c>
    </row>
    <row r="916" spans="6:8" x14ac:dyDescent="0.35">
      <c r="F916" s="70">
        <v>311597</v>
      </c>
      <c r="G916" s="86" t="s">
        <v>1489</v>
      </c>
      <c r="H916" s="70">
        <v>0</v>
      </c>
    </row>
    <row r="917" spans="6:8" x14ac:dyDescent="0.35">
      <c r="F917" s="70">
        <v>315488</v>
      </c>
      <c r="G917" s="86" t="s">
        <v>1490</v>
      </c>
      <c r="H917" s="70">
        <v>0</v>
      </c>
    </row>
    <row r="918" spans="6:8" x14ac:dyDescent="0.35">
      <c r="F918" s="70">
        <v>315414</v>
      </c>
      <c r="G918" s="86" t="s">
        <v>1491</v>
      </c>
      <c r="H918" s="70">
        <v>0</v>
      </c>
    </row>
    <row r="919" spans="6:8" x14ac:dyDescent="0.35">
      <c r="F919" s="70">
        <v>314383</v>
      </c>
      <c r="G919" s="86" t="s">
        <v>1492</v>
      </c>
      <c r="H919" s="70">
        <v>0</v>
      </c>
    </row>
    <row r="920" spans="6:8" x14ac:dyDescent="0.35">
      <c r="F920" s="70">
        <v>314419</v>
      </c>
      <c r="G920" s="86" t="s">
        <v>1493</v>
      </c>
      <c r="H920" s="70">
        <v>0</v>
      </c>
    </row>
    <row r="921" spans="6:8" x14ac:dyDescent="0.35">
      <c r="F921" s="70">
        <v>309455</v>
      </c>
      <c r="G921" s="86" t="s">
        <v>1494</v>
      </c>
      <c r="H921" s="70">
        <v>0</v>
      </c>
    </row>
    <row r="922" spans="6:8" x14ac:dyDescent="0.35">
      <c r="F922" s="70">
        <v>310240</v>
      </c>
      <c r="G922" s="86" t="s">
        <v>1495</v>
      </c>
      <c r="H922" s="70">
        <v>0</v>
      </c>
    </row>
    <row r="923" spans="6:8" x14ac:dyDescent="0.35">
      <c r="F923" s="70">
        <v>311583</v>
      </c>
      <c r="G923" s="86" t="s">
        <v>1496</v>
      </c>
      <c r="H923" s="70">
        <v>0</v>
      </c>
    </row>
    <row r="924" spans="6:8" x14ac:dyDescent="0.35">
      <c r="F924" s="70">
        <v>315128</v>
      </c>
      <c r="G924" s="86" t="s">
        <v>1497</v>
      </c>
      <c r="H924" s="70">
        <v>0</v>
      </c>
    </row>
    <row r="925" spans="6:8" x14ac:dyDescent="0.35">
      <c r="F925" s="70">
        <v>309571</v>
      </c>
      <c r="G925" s="86" t="s">
        <v>1498</v>
      </c>
      <c r="H925" s="70">
        <v>0</v>
      </c>
    </row>
    <row r="926" spans="6:8" x14ac:dyDescent="0.35">
      <c r="F926" s="70">
        <v>305630</v>
      </c>
      <c r="G926" s="86" t="s">
        <v>1499</v>
      </c>
      <c r="H926" s="70">
        <v>0</v>
      </c>
    </row>
    <row r="927" spans="6:8" x14ac:dyDescent="0.35">
      <c r="F927" s="70">
        <v>315325</v>
      </c>
      <c r="G927" s="86" t="s">
        <v>1500</v>
      </c>
      <c r="H927" s="70">
        <v>0</v>
      </c>
    </row>
    <row r="928" spans="6:8" x14ac:dyDescent="0.35">
      <c r="F928" s="70">
        <v>315310</v>
      </c>
      <c r="G928" s="86" t="s">
        <v>1501</v>
      </c>
      <c r="H928" s="70">
        <v>0</v>
      </c>
    </row>
    <row r="929" spans="6:8" x14ac:dyDescent="0.35">
      <c r="F929" s="70">
        <v>314265</v>
      </c>
      <c r="G929" s="86" t="s">
        <v>1502</v>
      </c>
      <c r="H929" s="70">
        <v>0</v>
      </c>
    </row>
    <row r="930" spans="6:8" x14ac:dyDescent="0.35">
      <c r="F930" s="70">
        <v>313724</v>
      </c>
      <c r="G930" s="86" t="s">
        <v>1503</v>
      </c>
      <c r="H930" s="70">
        <v>0</v>
      </c>
    </row>
    <row r="931" spans="6:8" x14ac:dyDescent="0.35">
      <c r="F931" s="70">
        <v>315252</v>
      </c>
      <c r="G931" s="86" t="s">
        <v>1504</v>
      </c>
      <c r="H931" s="70">
        <v>0</v>
      </c>
    </row>
    <row r="932" spans="6:8" x14ac:dyDescent="0.35">
      <c r="F932" s="70">
        <v>309515</v>
      </c>
      <c r="G932" s="86" t="s">
        <v>1505</v>
      </c>
      <c r="H932" s="70">
        <v>0</v>
      </c>
    </row>
    <row r="933" spans="6:8" x14ac:dyDescent="0.35">
      <c r="F933" s="70">
        <v>313732</v>
      </c>
      <c r="G933" s="86" t="s">
        <v>1506</v>
      </c>
      <c r="H933" s="70">
        <v>0</v>
      </c>
    </row>
    <row r="934" spans="6:8" x14ac:dyDescent="0.35">
      <c r="F934" s="70">
        <v>314027</v>
      </c>
      <c r="G934" s="86" t="s">
        <v>1507</v>
      </c>
      <c r="H934" s="70">
        <v>0</v>
      </c>
    </row>
    <row r="935" spans="6:8" x14ac:dyDescent="0.35">
      <c r="F935" s="70">
        <v>311474</v>
      </c>
      <c r="G935" s="86" t="s">
        <v>1508</v>
      </c>
      <c r="H935" s="70">
        <v>0</v>
      </c>
    </row>
    <row r="936" spans="6:8" x14ac:dyDescent="0.35">
      <c r="F936" s="70">
        <v>312356</v>
      </c>
      <c r="G936" s="86" t="s">
        <v>1509</v>
      </c>
      <c r="H936" s="70">
        <v>0</v>
      </c>
    </row>
    <row r="937" spans="6:8" x14ac:dyDescent="0.35">
      <c r="F937" s="70">
        <v>313800</v>
      </c>
      <c r="G937" s="86" t="s">
        <v>1510</v>
      </c>
      <c r="H937" s="70">
        <v>0</v>
      </c>
    </row>
    <row r="938" spans="6:8" x14ac:dyDescent="0.35">
      <c r="F938" s="70">
        <v>314566</v>
      </c>
      <c r="G938" s="86" t="s">
        <v>1511</v>
      </c>
      <c r="H938" s="70">
        <v>0</v>
      </c>
    </row>
    <row r="939" spans="6:8" x14ac:dyDescent="0.35">
      <c r="F939" s="70">
        <v>311569</v>
      </c>
      <c r="G939" s="86" t="s">
        <v>1512</v>
      </c>
      <c r="H939" s="70">
        <v>0</v>
      </c>
    </row>
    <row r="940" spans="6:8" x14ac:dyDescent="0.35">
      <c r="F940" s="70">
        <v>313095</v>
      </c>
      <c r="G940" s="86" t="s">
        <v>1513</v>
      </c>
      <c r="H940" s="70">
        <v>0</v>
      </c>
    </row>
    <row r="941" spans="6:8" x14ac:dyDescent="0.35">
      <c r="F941" s="70">
        <v>300191</v>
      </c>
      <c r="G941" s="86" t="s">
        <v>1514</v>
      </c>
      <c r="H941" s="70">
        <v>0</v>
      </c>
    </row>
    <row r="942" spans="6:8" x14ac:dyDescent="0.35">
      <c r="F942" s="70">
        <v>314226</v>
      </c>
      <c r="G942" s="86" t="s">
        <v>1515</v>
      </c>
      <c r="H942" s="70">
        <v>0</v>
      </c>
    </row>
    <row r="943" spans="6:8" x14ac:dyDescent="0.35">
      <c r="F943" s="70">
        <v>315362</v>
      </c>
      <c r="G943" s="86" t="s">
        <v>1516</v>
      </c>
      <c r="H943" s="70">
        <v>0</v>
      </c>
    </row>
    <row r="944" spans="6:8" x14ac:dyDescent="0.35">
      <c r="F944" s="70">
        <v>306697</v>
      </c>
      <c r="G944" s="86" t="s">
        <v>1517</v>
      </c>
      <c r="H944" s="70">
        <v>0</v>
      </c>
    </row>
    <row r="945" spans="6:8" x14ac:dyDescent="0.35">
      <c r="F945" s="70">
        <v>314180</v>
      </c>
      <c r="G945" s="86" t="s">
        <v>1518</v>
      </c>
      <c r="H945" s="70">
        <v>0</v>
      </c>
    </row>
    <row r="946" spans="6:8" x14ac:dyDescent="0.35">
      <c r="F946" s="70">
        <v>311686</v>
      </c>
      <c r="G946" s="86" t="s">
        <v>1519</v>
      </c>
      <c r="H946" s="70">
        <v>0</v>
      </c>
    </row>
    <row r="947" spans="6:8" x14ac:dyDescent="0.35">
      <c r="F947" s="70">
        <v>315351</v>
      </c>
      <c r="G947" s="86" t="s">
        <v>1520</v>
      </c>
      <c r="H947" s="70">
        <v>0</v>
      </c>
    </row>
    <row r="948" spans="6:8" x14ac:dyDescent="0.35">
      <c r="F948" s="70">
        <v>311755</v>
      </c>
      <c r="G948" s="86" t="s">
        <v>1521</v>
      </c>
      <c r="H948" s="70">
        <v>0</v>
      </c>
    </row>
    <row r="949" spans="6:8" x14ac:dyDescent="0.35">
      <c r="F949" s="70">
        <v>313660</v>
      </c>
      <c r="G949" s="86" t="s">
        <v>1522</v>
      </c>
      <c r="H949" s="70">
        <v>0</v>
      </c>
    </row>
    <row r="950" spans="6:8" x14ac:dyDescent="0.35">
      <c r="F950" s="70">
        <v>314169</v>
      </c>
      <c r="G950" s="86" t="s">
        <v>1523</v>
      </c>
      <c r="H950" s="70">
        <v>0</v>
      </c>
    </row>
    <row r="951" spans="6:8" x14ac:dyDescent="0.35">
      <c r="F951" s="70">
        <v>314341</v>
      </c>
      <c r="G951" s="86" t="s">
        <v>1524</v>
      </c>
      <c r="H951" s="70">
        <v>0</v>
      </c>
    </row>
    <row r="952" spans="6:8" x14ac:dyDescent="0.35">
      <c r="F952" s="70">
        <v>314050</v>
      </c>
      <c r="G952" s="86" t="s">
        <v>1525</v>
      </c>
      <c r="H952" s="70">
        <v>0</v>
      </c>
    </row>
    <row r="953" spans="6:8" x14ac:dyDescent="0.35">
      <c r="F953" s="70">
        <v>311273</v>
      </c>
      <c r="G953" s="86" t="s">
        <v>1526</v>
      </c>
      <c r="H953" s="70">
        <v>0</v>
      </c>
    </row>
    <row r="954" spans="6:8" x14ac:dyDescent="0.35">
      <c r="F954" s="70">
        <v>312576</v>
      </c>
      <c r="G954" s="86" t="s">
        <v>1527</v>
      </c>
      <c r="H954" s="70">
        <v>0</v>
      </c>
    </row>
    <row r="955" spans="6:8" x14ac:dyDescent="0.35">
      <c r="F955" s="70">
        <v>314530</v>
      </c>
      <c r="G955" s="86" t="s">
        <v>1528</v>
      </c>
      <c r="H955" s="70">
        <v>0</v>
      </c>
    </row>
    <row r="956" spans="6:8" x14ac:dyDescent="0.35">
      <c r="F956" s="70">
        <v>315099</v>
      </c>
      <c r="G956" s="86" t="s">
        <v>1529</v>
      </c>
      <c r="H956" s="70">
        <v>0</v>
      </c>
    </row>
    <row r="957" spans="6:8" x14ac:dyDescent="0.35">
      <c r="F957" s="70">
        <v>311405</v>
      </c>
      <c r="G957" s="86" t="s">
        <v>1530</v>
      </c>
      <c r="H957" s="70">
        <v>0</v>
      </c>
    </row>
    <row r="958" spans="6:8" x14ac:dyDescent="0.35">
      <c r="F958" s="70">
        <v>314803</v>
      </c>
      <c r="G958" s="86" t="s">
        <v>1531</v>
      </c>
      <c r="H958" s="70">
        <v>0</v>
      </c>
    </row>
    <row r="959" spans="6:8" x14ac:dyDescent="0.35">
      <c r="F959" s="70">
        <v>306487</v>
      </c>
      <c r="G959" s="86" t="s">
        <v>1532</v>
      </c>
      <c r="H959" s="70">
        <v>0</v>
      </c>
    </row>
    <row r="960" spans="6:8" x14ac:dyDescent="0.35">
      <c r="F960" s="70">
        <v>315445</v>
      </c>
      <c r="G960" s="86" t="s">
        <v>1533</v>
      </c>
      <c r="H960" s="70">
        <v>0</v>
      </c>
    </row>
    <row r="961" spans="6:8" x14ac:dyDescent="0.35">
      <c r="F961" s="70">
        <v>313107</v>
      </c>
      <c r="G961" s="86" t="s">
        <v>1534</v>
      </c>
      <c r="H961" s="70">
        <v>0</v>
      </c>
    </row>
    <row r="962" spans="6:8" x14ac:dyDescent="0.35">
      <c r="F962" s="70">
        <v>314737</v>
      </c>
      <c r="G962" s="86" t="s">
        <v>1535</v>
      </c>
      <c r="H962" s="70">
        <v>0</v>
      </c>
    </row>
    <row r="963" spans="6:8" x14ac:dyDescent="0.35">
      <c r="F963" s="70">
        <v>309842</v>
      </c>
      <c r="G963" s="86" t="s">
        <v>1536</v>
      </c>
      <c r="H963" s="70">
        <v>0</v>
      </c>
    </row>
    <row r="964" spans="6:8" x14ac:dyDescent="0.35">
      <c r="F964" s="70">
        <v>312996</v>
      </c>
      <c r="G964" s="86" t="s">
        <v>1537</v>
      </c>
      <c r="H964" s="70">
        <v>0</v>
      </c>
    </row>
    <row r="965" spans="6:8" x14ac:dyDescent="0.35">
      <c r="F965" s="70">
        <v>310203</v>
      </c>
      <c r="G965" s="86" t="s">
        <v>1538</v>
      </c>
      <c r="H965" s="70">
        <v>0</v>
      </c>
    </row>
    <row r="966" spans="6:8" x14ac:dyDescent="0.35">
      <c r="F966" s="70">
        <v>314089</v>
      </c>
      <c r="G966" s="86" t="s">
        <v>1539</v>
      </c>
      <c r="H966" s="70">
        <v>0</v>
      </c>
    </row>
    <row r="967" spans="6:8" x14ac:dyDescent="0.35">
      <c r="F967" s="70">
        <v>314054</v>
      </c>
      <c r="G967" s="86" t="s">
        <v>1540</v>
      </c>
      <c r="H967" s="70">
        <v>0</v>
      </c>
    </row>
    <row r="968" spans="6:8" x14ac:dyDescent="0.35">
      <c r="F968" s="70">
        <v>315505</v>
      </c>
      <c r="G968" s="86" t="s">
        <v>1541</v>
      </c>
      <c r="H968" s="70">
        <v>0</v>
      </c>
    </row>
    <row r="969" spans="6:8" x14ac:dyDescent="0.35">
      <c r="F969" s="70">
        <v>310727</v>
      </c>
      <c r="G969" s="86" t="s">
        <v>1542</v>
      </c>
      <c r="H969" s="70">
        <v>0</v>
      </c>
    </row>
    <row r="970" spans="6:8" x14ac:dyDescent="0.35">
      <c r="F970" s="70">
        <v>315341</v>
      </c>
      <c r="G970" s="86" t="s">
        <v>1543</v>
      </c>
      <c r="H970" s="70">
        <v>0</v>
      </c>
    </row>
    <row r="971" spans="6:8" x14ac:dyDescent="0.35">
      <c r="F971" s="70">
        <v>311604</v>
      </c>
      <c r="G971" s="86" t="s">
        <v>1544</v>
      </c>
      <c r="H971" s="70">
        <v>0</v>
      </c>
    </row>
    <row r="972" spans="6:8" x14ac:dyDescent="0.35">
      <c r="F972" s="70">
        <v>310466</v>
      </c>
      <c r="G972" s="86" t="s">
        <v>1545</v>
      </c>
      <c r="H972" s="70">
        <v>0</v>
      </c>
    </row>
    <row r="973" spans="6:8" x14ac:dyDescent="0.35">
      <c r="F973" s="70">
        <v>314611</v>
      </c>
      <c r="G973" s="86" t="s">
        <v>1546</v>
      </c>
      <c r="H973" s="70">
        <v>0</v>
      </c>
    </row>
    <row r="974" spans="6:8" x14ac:dyDescent="0.35">
      <c r="F974" s="70">
        <v>312109</v>
      </c>
      <c r="G974" s="86" t="s">
        <v>1547</v>
      </c>
      <c r="H974" s="70">
        <v>0</v>
      </c>
    </row>
    <row r="975" spans="6:8" x14ac:dyDescent="0.35">
      <c r="F975" s="70">
        <v>315103</v>
      </c>
      <c r="G975" s="86" t="s">
        <v>1548</v>
      </c>
      <c r="H975" s="70">
        <v>0</v>
      </c>
    </row>
    <row r="976" spans="6:8" x14ac:dyDescent="0.35">
      <c r="F976" s="70">
        <v>315481</v>
      </c>
      <c r="G976" s="86" t="s">
        <v>1549</v>
      </c>
      <c r="H976" s="70">
        <v>0</v>
      </c>
    </row>
    <row r="977" spans="6:8" x14ac:dyDescent="0.35">
      <c r="F977" s="70">
        <v>306655</v>
      </c>
      <c r="G977" s="86" t="s">
        <v>1550</v>
      </c>
      <c r="H977" s="70">
        <v>0</v>
      </c>
    </row>
    <row r="978" spans="6:8" x14ac:dyDescent="0.35">
      <c r="F978" s="70">
        <v>311176</v>
      </c>
      <c r="G978" s="86" t="s">
        <v>1551</v>
      </c>
      <c r="H978" s="70">
        <v>0</v>
      </c>
    </row>
    <row r="979" spans="6:8" x14ac:dyDescent="0.35">
      <c r="F979" s="70">
        <v>315475</v>
      </c>
      <c r="G979" s="86" t="s">
        <v>1552</v>
      </c>
      <c r="H979" s="70">
        <v>0</v>
      </c>
    </row>
    <row r="980" spans="6:8" x14ac:dyDescent="0.35">
      <c r="F980" s="70">
        <v>312374</v>
      </c>
      <c r="G980" s="86" t="s">
        <v>1553</v>
      </c>
      <c r="H980" s="70">
        <v>0</v>
      </c>
    </row>
    <row r="981" spans="6:8" x14ac:dyDescent="0.35">
      <c r="F981" s="70">
        <v>310680</v>
      </c>
      <c r="G981" s="86" t="s">
        <v>1554</v>
      </c>
      <c r="H981" s="70">
        <v>0</v>
      </c>
    </row>
    <row r="982" spans="6:8" x14ac:dyDescent="0.35">
      <c r="F982" s="70">
        <v>315460</v>
      </c>
      <c r="G982" s="86" t="s">
        <v>1555</v>
      </c>
      <c r="H982" s="70">
        <v>0</v>
      </c>
    </row>
    <row r="983" spans="6:8" x14ac:dyDescent="0.35">
      <c r="F983" s="70">
        <v>307409</v>
      </c>
      <c r="G983" s="86" t="s">
        <v>1556</v>
      </c>
      <c r="H983" s="70">
        <v>0</v>
      </c>
    </row>
    <row r="984" spans="6:8" x14ac:dyDescent="0.35">
      <c r="F984" s="70">
        <v>313194</v>
      </c>
      <c r="G984" s="86" t="s">
        <v>1557</v>
      </c>
      <c r="H984" s="70">
        <v>0</v>
      </c>
    </row>
    <row r="985" spans="6:8" x14ac:dyDescent="0.35">
      <c r="F985" s="70">
        <v>314092</v>
      </c>
      <c r="G985" s="86" t="s">
        <v>1558</v>
      </c>
      <c r="H985" s="70">
        <v>0</v>
      </c>
    </row>
    <row r="986" spans="6:8" x14ac:dyDescent="0.35">
      <c r="F986" s="70">
        <v>314207</v>
      </c>
      <c r="G986" s="86" t="s">
        <v>1559</v>
      </c>
      <c r="H986" s="70">
        <v>0</v>
      </c>
    </row>
    <row r="987" spans="6:8" x14ac:dyDescent="0.35">
      <c r="F987" s="70">
        <v>314618</v>
      </c>
      <c r="G987" s="86" t="s">
        <v>1560</v>
      </c>
      <c r="H987" s="70">
        <v>0</v>
      </c>
    </row>
    <row r="988" spans="6:8" x14ac:dyDescent="0.35">
      <c r="F988" s="70">
        <v>304166</v>
      </c>
      <c r="G988" s="86" t="s">
        <v>1561</v>
      </c>
      <c r="H988" s="70">
        <v>0</v>
      </c>
    </row>
    <row r="989" spans="6:8" x14ac:dyDescent="0.35">
      <c r="F989" s="70">
        <v>309285</v>
      </c>
      <c r="G989" s="86" t="s">
        <v>1562</v>
      </c>
      <c r="H989" s="70">
        <v>0</v>
      </c>
    </row>
    <row r="990" spans="6:8" x14ac:dyDescent="0.35">
      <c r="F990" s="70">
        <v>315042</v>
      </c>
      <c r="G990" s="86" t="s">
        <v>1563</v>
      </c>
      <c r="H990" s="70">
        <v>0</v>
      </c>
    </row>
    <row r="991" spans="6:8" x14ac:dyDescent="0.35">
      <c r="F991" s="70">
        <v>314691</v>
      </c>
      <c r="G991" s="86" t="s">
        <v>1564</v>
      </c>
      <c r="H991" s="70">
        <v>0</v>
      </c>
    </row>
    <row r="992" spans="6:8" x14ac:dyDescent="0.35">
      <c r="F992" s="70">
        <v>314857</v>
      </c>
      <c r="G992" s="86" t="s">
        <v>1565</v>
      </c>
      <c r="H992" s="70">
        <v>0</v>
      </c>
    </row>
    <row r="993" spans="6:8" x14ac:dyDescent="0.35">
      <c r="F993" s="70">
        <v>315320</v>
      </c>
      <c r="G993" s="86" t="s">
        <v>1566</v>
      </c>
      <c r="H993" s="70">
        <v>0</v>
      </c>
    </row>
    <row r="994" spans="6:8" x14ac:dyDescent="0.35">
      <c r="F994" s="70">
        <v>314784</v>
      </c>
      <c r="G994" s="86" t="s">
        <v>1567</v>
      </c>
      <c r="H994" s="70">
        <v>0</v>
      </c>
    </row>
    <row r="995" spans="6:8" x14ac:dyDescent="0.35">
      <c r="F995" s="70">
        <v>307616</v>
      </c>
      <c r="G995" s="86" t="s">
        <v>1568</v>
      </c>
      <c r="H995" s="70">
        <v>0</v>
      </c>
    </row>
    <row r="996" spans="6:8" x14ac:dyDescent="0.35">
      <c r="F996" s="70">
        <v>304234</v>
      </c>
      <c r="G996" s="86" t="s">
        <v>1569</v>
      </c>
      <c r="H996" s="70">
        <v>0</v>
      </c>
    </row>
    <row r="997" spans="6:8" x14ac:dyDescent="0.35">
      <c r="F997" s="70">
        <v>314324</v>
      </c>
      <c r="G997" s="86" t="s">
        <v>1570</v>
      </c>
      <c r="H997" s="70">
        <v>0</v>
      </c>
    </row>
    <row r="998" spans="6:8" x14ac:dyDescent="0.35">
      <c r="F998" s="70">
        <v>313096</v>
      </c>
      <c r="G998" s="86" t="s">
        <v>1571</v>
      </c>
      <c r="H998" s="70">
        <v>0</v>
      </c>
    </row>
    <row r="999" spans="6:8" x14ac:dyDescent="0.35">
      <c r="F999" s="70">
        <v>315528</v>
      </c>
      <c r="G999" s="86" t="s">
        <v>1572</v>
      </c>
      <c r="H999" s="70">
        <v>0</v>
      </c>
    </row>
    <row r="1000" spans="6:8" x14ac:dyDescent="0.35">
      <c r="F1000" s="70">
        <v>309903</v>
      </c>
      <c r="G1000" s="86" t="s">
        <v>1573</v>
      </c>
      <c r="H1000" s="70">
        <v>0</v>
      </c>
    </row>
    <row r="1001" spans="6:8" x14ac:dyDescent="0.35">
      <c r="F1001" s="70">
        <v>301165</v>
      </c>
      <c r="G1001" s="86" t="s">
        <v>1574</v>
      </c>
      <c r="H1001" s="70">
        <v>0</v>
      </c>
    </row>
    <row r="1002" spans="6:8" x14ac:dyDescent="0.35">
      <c r="F1002" s="70">
        <v>314782</v>
      </c>
      <c r="G1002" s="86" t="s">
        <v>1575</v>
      </c>
      <c r="H1002" s="70">
        <v>0</v>
      </c>
    </row>
    <row r="1003" spans="6:8" x14ac:dyDescent="0.35">
      <c r="F1003" s="70">
        <v>314053</v>
      </c>
      <c r="G1003" s="86" t="s">
        <v>1576</v>
      </c>
      <c r="H1003" s="70">
        <v>0</v>
      </c>
    </row>
    <row r="1004" spans="6:8" x14ac:dyDescent="0.35">
      <c r="F1004" s="70">
        <v>314777</v>
      </c>
      <c r="G1004" s="86" t="s">
        <v>1577</v>
      </c>
      <c r="H1004" s="70">
        <v>0</v>
      </c>
    </row>
    <row r="1005" spans="6:8" x14ac:dyDescent="0.35">
      <c r="F1005" s="70">
        <v>315452</v>
      </c>
      <c r="G1005" s="86" t="s">
        <v>1578</v>
      </c>
      <c r="H1005" s="70">
        <v>0</v>
      </c>
    </row>
    <row r="1006" spans="6:8" x14ac:dyDescent="0.35">
      <c r="F1006" s="70">
        <v>315416</v>
      </c>
      <c r="G1006" s="86" t="s">
        <v>1579</v>
      </c>
      <c r="H1006" s="70">
        <v>0</v>
      </c>
    </row>
    <row r="1007" spans="6:8" x14ac:dyDescent="0.35">
      <c r="F1007" s="70">
        <v>315107</v>
      </c>
      <c r="G1007" s="86" t="s">
        <v>1580</v>
      </c>
      <c r="H1007" s="70">
        <v>0</v>
      </c>
    </row>
    <row r="1008" spans="6:8" x14ac:dyDescent="0.35">
      <c r="F1008" s="70">
        <v>304528</v>
      </c>
      <c r="G1008" s="86" t="s">
        <v>1581</v>
      </c>
      <c r="H1008" s="70">
        <v>0</v>
      </c>
    </row>
    <row r="1009" spans="6:8" x14ac:dyDescent="0.35">
      <c r="F1009" s="70">
        <v>311310</v>
      </c>
      <c r="G1009" s="86" t="s">
        <v>1582</v>
      </c>
      <c r="H1009" s="70">
        <v>0</v>
      </c>
    </row>
    <row r="1010" spans="6:8" x14ac:dyDescent="0.35">
      <c r="F1010" s="70">
        <v>314447</v>
      </c>
      <c r="G1010" s="86" t="s">
        <v>1583</v>
      </c>
      <c r="H1010" s="70">
        <v>0</v>
      </c>
    </row>
    <row r="1011" spans="6:8" x14ac:dyDescent="0.35">
      <c r="F1011" s="70">
        <v>314610</v>
      </c>
      <c r="G1011" s="86" t="s">
        <v>1584</v>
      </c>
      <c r="H1011" s="70">
        <v>0</v>
      </c>
    </row>
    <row r="1012" spans="6:8" x14ac:dyDescent="0.35">
      <c r="F1012" s="70">
        <v>315402</v>
      </c>
      <c r="G1012" s="86" t="s">
        <v>1585</v>
      </c>
      <c r="H1012" s="70">
        <v>0</v>
      </c>
    </row>
    <row r="1013" spans="6:8" x14ac:dyDescent="0.35">
      <c r="F1013" s="70">
        <v>315499</v>
      </c>
      <c r="G1013" s="86" t="s">
        <v>1586</v>
      </c>
      <c r="H1013" s="70">
        <v>0</v>
      </c>
    </row>
    <row r="1014" spans="6:8" x14ac:dyDescent="0.35">
      <c r="F1014" s="70">
        <v>302368</v>
      </c>
      <c r="G1014" s="86" t="s">
        <v>1587</v>
      </c>
      <c r="H1014" s="70">
        <v>0</v>
      </c>
    </row>
    <row r="1015" spans="6:8" x14ac:dyDescent="0.35">
      <c r="F1015" s="70">
        <v>307315</v>
      </c>
      <c r="G1015" s="86" t="s">
        <v>1588</v>
      </c>
      <c r="H1015" s="70">
        <v>0</v>
      </c>
    </row>
    <row r="1016" spans="6:8" x14ac:dyDescent="0.35">
      <c r="F1016" s="70">
        <v>307063</v>
      </c>
      <c r="G1016" s="86" t="s">
        <v>1589</v>
      </c>
      <c r="H1016" s="70">
        <v>0</v>
      </c>
    </row>
    <row r="1017" spans="6:8" x14ac:dyDescent="0.35">
      <c r="F1017" s="70">
        <v>311165</v>
      </c>
      <c r="G1017" s="86" t="s">
        <v>1590</v>
      </c>
      <c r="H1017" s="70">
        <v>0</v>
      </c>
    </row>
    <row r="1018" spans="6:8" x14ac:dyDescent="0.35">
      <c r="F1018" s="70">
        <v>310954</v>
      </c>
      <c r="G1018" s="86" t="s">
        <v>1591</v>
      </c>
      <c r="H1018" s="70">
        <v>0</v>
      </c>
    </row>
    <row r="1019" spans="6:8" x14ac:dyDescent="0.35">
      <c r="F1019" s="70">
        <v>315346</v>
      </c>
      <c r="G1019" s="86" t="s">
        <v>1592</v>
      </c>
      <c r="H1019" s="70">
        <v>0</v>
      </c>
    </row>
    <row r="1020" spans="6:8" x14ac:dyDescent="0.35">
      <c r="F1020" s="70">
        <v>314330</v>
      </c>
      <c r="G1020" s="86" t="s">
        <v>1593</v>
      </c>
      <c r="H1020" s="70">
        <v>0</v>
      </c>
    </row>
    <row r="1021" spans="6:8" x14ac:dyDescent="0.35">
      <c r="F1021" s="70">
        <v>314985</v>
      </c>
      <c r="G1021" s="86" t="s">
        <v>1594</v>
      </c>
      <c r="H1021" s="70">
        <v>0</v>
      </c>
    </row>
    <row r="1022" spans="6:8" x14ac:dyDescent="0.35">
      <c r="F1022" s="70">
        <v>309503</v>
      </c>
      <c r="G1022" s="86" t="s">
        <v>1595</v>
      </c>
      <c r="H1022" s="70">
        <v>0</v>
      </c>
    </row>
    <row r="1023" spans="6:8" x14ac:dyDescent="0.35">
      <c r="F1023" s="70">
        <v>301826</v>
      </c>
      <c r="G1023" s="86" t="s">
        <v>1596</v>
      </c>
      <c r="H1023" s="70">
        <v>0</v>
      </c>
    </row>
    <row r="1024" spans="6:8" x14ac:dyDescent="0.35">
      <c r="F1024" s="70">
        <v>313864</v>
      </c>
      <c r="G1024" s="86" t="s">
        <v>1597</v>
      </c>
      <c r="H1024" s="70">
        <v>0</v>
      </c>
    </row>
    <row r="1025" spans="6:8" x14ac:dyDescent="0.35">
      <c r="F1025" s="70">
        <v>314919</v>
      </c>
      <c r="G1025" s="86" t="s">
        <v>1598</v>
      </c>
      <c r="H1025" s="70">
        <v>0</v>
      </c>
    </row>
    <row r="1026" spans="6:8" x14ac:dyDescent="0.35">
      <c r="F1026" s="70">
        <v>312699</v>
      </c>
      <c r="G1026" s="86" t="s">
        <v>1599</v>
      </c>
      <c r="H1026" s="70">
        <v>0</v>
      </c>
    </row>
    <row r="1027" spans="6:8" x14ac:dyDescent="0.35">
      <c r="F1027" s="70">
        <v>310468</v>
      </c>
      <c r="G1027" s="86" t="s">
        <v>1600</v>
      </c>
      <c r="H1027" s="70">
        <v>0</v>
      </c>
    </row>
    <row r="1028" spans="6:8" x14ac:dyDescent="0.35">
      <c r="F1028" s="70">
        <v>313534</v>
      </c>
      <c r="G1028" s="86" t="s">
        <v>1601</v>
      </c>
      <c r="H1028" s="70">
        <v>0</v>
      </c>
    </row>
    <row r="1029" spans="6:8" x14ac:dyDescent="0.35">
      <c r="F1029" s="70">
        <v>314555</v>
      </c>
      <c r="G1029" s="86" t="s">
        <v>1602</v>
      </c>
      <c r="H1029" s="70">
        <v>0</v>
      </c>
    </row>
    <row r="1030" spans="6:8" x14ac:dyDescent="0.35">
      <c r="F1030" s="70">
        <v>301347</v>
      </c>
      <c r="G1030" s="86" t="s">
        <v>1603</v>
      </c>
      <c r="H1030" s="70">
        <v>0</v>
      </c>
    </row>
    <row r="1031" spans="6:8" x14ac:dyDescent="0.35">
      <c r="F1031" s="70">
        <v>313439</v>
      </c>
      <c r="G1031" s="86" t="s">
        <v>1604</v>
      </c>
      <c r="H1031" s="70">
        <v>0</v>
      </c>
    </row>
    <row r="1032" spans="6:8" x14ac:dyDescent="0.35">
      <c r="F1032" s="70">
        <v>307748</v>
      </c>
      <c r="G1032" s="86" t="s">
        <v>1605</v>
      </c>
      <c r="H1032" s="70">
        <v>0</v>
      </c>
    </row>
    <row r="1033" spans="6:8" x14ac:dyDescent="0.35">
      <c r="F1033" s="70">
        <v>313772</v>
      </c>
      <c r="G1033" s="86" t="s">
        <v>1606</v>
      </c>
      <c r="H1033" s="70">
        <v>0</v>
      </c>
    </row>
    <row r="1034" spans="6:8" x14ac:dyDescent="0.35">
      <c r="F1034" s="70">
        <v>306649</v>
      </c>
      <c r="G1034" s="86" t="s">
        <v>1607</v>
      </c>
      <c r="H1034" s="70">
        <v>0</v>
      </c>
    </row>
    <row r="1035" spans="6:8" x14ac:dyDescent="0.35">
      <c r="F1035" s="70">
        <v>201909</v>
      </c>
      <c r="G1035" s="86" t="s">
        <v>1608</v>
      </c>
      <c r="H1035" s="70">
        <v>0</v>
      </c>
    </row>
    <row r="1036" spans="6:8" x14ac:dyDescent="0.35">
      <c r="F1036" s="70">
        <v>314023</v>
      </c>
      <c r="G1036" s="86" t="s">
        <v>1609</v>
      </c>
      <c r="H1036" s="70">
        <v>0</v>
      </c>
    </row>
    <row r="1037" spans="6:8" x14ac:dyDescent="0.35">
      <c r="F1037" s="70">
        <v>315506</v>
      </c>
      <c r="G1037" s="86" t="s">
        <v>1610</v>
      </c>
      <c r="H1037" s="70">
        <v>0</v>
      </c>
    </row>
    <row r="1038" spans="6:8" x14ac:dyDescent="0.35">
      <c r="F1038" s="70">
        <v>101866</v>
      </c>
      <c r="G1038" s="86" t="s">
        <v>1611</v>
      </c>
      <c r="H1038" s="70">
        <v>0</v>
      </c>
    </row>
    <row r="1039" spans="6:8" x14ac:dyDescent="0.35">
      <c r="F1039" s="70">
        <v>310687</v>
      </c>
      <c r="G1039" s="86" t="s">
        <v>1612</v>
      </c>
      <c r="H1039" s="70">
        <v>0</v>
      </c>
    </row>
    <row r="1040" spans="6:8" x14ac:dyDescent="0.35">
      <c r="F1040" s="70">
        <v>313842</v>
      </c>
      <c r="G1040" s="86" t="s">
        <v>1613</v>
      </c>
      <c r="H1040" s="70">
        <v>0</v>
      </c>
    </row>
    <row r="1041" spans="6:8" x14ac:dyDescent="0.35">
      <c r="F1041" s="70">
        <v>313441</v>
      </c>
      <c r="G1041" s="86" t="s">
        <v>1614</v>
      </c>
      <c r="H1041" s="70">
        <v>0</v>
      </c>
    </row>
    <row r="1042" spans="6:8" x14ac:dyDescent="0.35">
      <c r="F1042" s="70">
        <v>313480</v>
      </c>
      <c r="G1042" s="86" t="s">
        <v>1615</v>
      </c>
      <c r="H1042" s="70">
        <v>0</v>
      </c>
    </row>
    <row r="1043" spans="6:8" x14ac:dyDescent="0.35">
      <c r="F1043" s="70">
        <v>313674</v>
      </c>
      <c r="G1043" s="86" t="s">
        <v>1616</v>
      </c>
      <c r="H1043" s="70">
        <v>0</v>
      </c>
    </row>
    <row r="1044" spans="6:8" x14ac:dyDescent="0.35">
      <c r="F1044" s="70">
        <v>307706</v>
      </c>
      <c r="G1044" s="86" t="s">
        <v>1617</v>
      </c>
      <c r="H1044" s="70">
        <v>0</v>
      </c>
    </row>
    <row r="1045" spans="6:8" x14ac:dyDescent="0.35">
      <c r="F1045" s="70">
        <v>314918</v>
      </c>
      <c r="G1045" s="86" t="s">
        <v>1618</v>
      </c>
      <c r="H1045" s="70">
        <v>0</v>
      </c>
    </row>
    <row r="1046" spans="6:8" x14ac:dyDescent="0.35">
      <c r="F1046" s="70">
        <v>313553</v>
      </c>
      <c r="G1046" s="86" t="s">
        <v>1619</v>
      </c>
      <c r="H1046" s="70">
        <v>0</v>
      </c>
    </row>
    <row r="1047" spans="6:8" x14ac:dyDescent="0.35">
      <c r="F1047" s="70">
        <v>308910</v>
      </c>
      <c r="G1047" s="86" t="s">
        <v>1620</v>
      </c>
      <c r="H1047" s="70">
        <v>0</v>
      </c>
    </row>
    <row r="1048" spans="6:8" x14ac:dyDescent="0.35">
      <c r="F1048" s="70">
        <v>302232</v>
      </c>
      <c r="G1048" s="86" t="s">
        <v>1621</v>
      </c>
      <c r="H1048" s="70">
        <v>0</v>
      </c>
    </row>
    <row r="1049" spans="6:8" x14ac:dyDescent="0.35">
      <c r="F1049" s="70">
        <v>311945</v>
      </c>
      <c r="G1049" s="86" t="s">
        <v>1622</v>
      </c>
      <c r="H1049" s="70">
        <v>0</v>
      </c>
    </row>
    <row r="1050" spans="6:8" x14ac:dyDescent="0.35">
      <c r="F1050" s="70">
        <v>315559</v>
      </c>
      <c r="G1050" s="86" t="s">
        <v>1623</v>
      </c>
      <c r="H1050" s="70">
        <v>0</v>
      </c>
    </row>
    <row r="1051" spans="6:8" x14ac:dyDescent="0.35">
      <c r="F1051" s="70">
        <v>313346</v>
      </c>
      <c r="G1051" s="86" t="s">
        <v>1624</v>
      </c>
      <c r="H1051" s="70">
        <v>0</v>
      </c>
    </row>
    <row r="1052" spans="6:8" x14ac:dyDescent="0.35">
      <c r="F1052" s="70">
        <v>314616</v>
      </c>
      <c r="G1052" s="86" t="s">
        <v>1625</v>
      </c>
      <c r="H1052" s="70">
        <v>0</v>
      </c>
    </row>
    <row r="1053" spans="6:8" x14ac:dyDescent="0.35">
      <c r="F1053" s="70">
        <v>314653</v>
      </c>
      <c r="G1053" s="86" t="s">
        <v>1626</v>
      </c>
      <c r="H1053" s="70">
        <v>0</v>
      </c>
    </row>
    <row r="1054" spans="6:8" x14ac:dyDescent="0.35">
      <c r="F1054" s="70">
        <v>311311</v>
      </c>
      <c r="G1054" s="86" t="s">
        <v>1627</v>
      </c>
      <c r="H1054" s="70">
        <v>0</v>
      </c>
    </row>
    <row r="1055" spans="6:8" x14ac:dyDescent="0.35">
      <c r="F1055" s="70">
        <v>313427</v>
      </c>
      <c r="G1055" s="86" t="s">
        <v>1628</v>
      </c>
      <c r="H1055" s="70">
        <v>0</v>
      </c>
    </row>
    <row r="1056" spans="6:8" x14ac:dyDescent="0.35">
      <c r="F1056" s="70">
        <v>201518</v>
      </c>
      <c r="G1056" s="86" t="s">
        <v>1629</v>
      </c>
      <c r="H1056" s="70">
        <v>0</v>
      </c>
    </row>
    <row r="1057" spans="6:8" x14ac:dyDescent="0.35">
      <c r="F1057" s="70">
        <v>315266</v>
      </c>
      <c r="G1057" s="86" t="s">
        <v>1630</v>
      </c>
      <c r="H1057" s="70">
        <v>0</v>
      </c>
    </row>
    <row r="1058" spans="6:8" x14ac:dyDescent="0.35">
      <c r="F1058" s="70">
        <v>314223</v>
      </c>
      <c r="G1058" s="86" t="s">
        <v>1631</v>
      </c>
      <c r="H1058" s="70">
        <v>0</v>
      </c>
    </row>
    <row r="1059" spans="6:8" x14ac:dyDescent="0.35">
      <c r="F1059" s="70">
        <v>314959</v>
      </c>
      <c r="G1059" s="86" t="s">
        <v>1632</v>
      </c>
      <c r="H1059" s="70">
        <v>0</v>
      </c>
    </row>
    <row r="1060" spans="6:8" x14ac:dyDescent="0.35">
      <c r="F1060" s="70">
        <v>302592</v>
      </c>
      <c r="G1060" s="86" t="s">
        <v>1633</v>
      </c>
      <c r="H1060" s="70">
        <v>0</v>
      </c>
    </row>
    <row r="1061" spans="6:8" x14ac:dyDescent="0.35">
      <c r="F1061" s="70">
        <v>301700</v>
      </c>
      <c r="G1061" s="86" t="s">
        <v>1634</v>
      </c>
      <c r="H1061" s="70">
        <v>0</v>
      </c>
    </row>
    <row r="1062" spans="6:8" x14ac:dyDescent="0.35">
      <c r="F1062" s="70">
        <v>312111</v>
      </c>
      <c r="G1062" s="86" t="s">
        <v>1635</v>
      </c>
      <c r="H1062" s="70">
        <v>0</v>
      </c>
    </row>
    <row r="1063" spans="6:8" x14ac:dyDescent="0.35">
      <c r="F1063" s="70">
        <v>303538</v>
      </c>
      <c r="G1063" s="86" t="s">
        <v>1636</v>
      </c>
      <c r="H1063" s="70">
        <v>0</v>
      </c>
    </row>
    <row r="1064" spans="6:8" x14ac:dyDescent="0.35">
      <c r="F1064" s="70">
        <v>305223</v>
      </c>
      <c r="G1064" s="86" t="s">
        <v>1637</v>
      </c>
      <c r="H1064" s="70">
        <v>0</v>
      </c>
    </row>
    <row r="1065" spans="6:8" x14ac:dyDescent="0.35">
      <c r="F1065" s="70">
        <v>311423</v>
      </c>
      <c r="G1065" s="86" t="s">
        <v>1638</v>
      </c>
      <c r="H1065" s="70">
        <v>0</v>
      </c>
    </row>
    <row r="1066" spans="6:8" x14ac:dyDescent="0.35">
      <c r="F1066" s="70">
        <v>310510</v>
      </c>
      <c r="G1066" s="86" t="s">
        <v>1639</v>
      </c>
      <c r="H1066" s="70">
        <v>0</v>
      </c>
    </row>
    <row r="1067" spans="6:8" x14ac:dyDescent="0.35">
      <c r="F1067" s="70">
        <v>312587</v>
      </c>
      <c r="G1067" s="86" t="s">
        <v>1640</v>
      </c>
      <c r="H1067" s="70">
        <v>0</v>
      </c>
    </row>
    <row r="1068" spans="6:8" x14ac:dyDescent="0.35">
      <c r="F1068" s="70">
        <v>314745</v>
      </c>
      <c r="G1068" s="86" t="s">
        <v>1641</v>
      </c>
      <c r="H1068" s="70">
        <v>0</v>
      </c>
    </row>
    <row r="1069" spans="6:8" x14ac:dyDescent="0.35">
      <c r="F1069" s="70">
        <v>309809</v>
      </c>
      <c r="G1069" s="86" t="s">
        <v>1642</v>
      </c>
      <c r="H1069" s="70">
        <v>0</v>
      </c>
    </row>
    <row r="1070" spans="6:8" x14ac:dyDescent="0.35">
      <c r="F1070" s="70">
        <v>311261</v>
      </c>
      <c r="G1070" s="86" t="s">
        <v>1643</v>
      </c>
      <c r="H1070" s="70">
        <v>0</v>
      </c>
    </row>
    <row r="1071" spans="6:8" x14ac:dyDescent="0.35">
      <c r="F1071" s="70">
        <v>312545</v>
      </c>
      <c r="G1071" s="86" t="s">
        <v>1644</v>
      </c>
      <c r="H1071" s="70">
        <v>0</v>
      </c>
    </row>
    <row r="1072" spans="6:8" x14ac:dyDescent="0.35">
      <c r="F1072" s="70">
        <v>314192</v>
      </c>
      <c r="G1072" s="86" t="s">
        <v>1645</v>
      </c>
      <c r="H1072" s="70">
        <v>0</v>
      </c>
    </row>
    <row r="1073" spans="6:8" x14ac:dyDescent="0.35">
      <c r="F1073" s="70">
        <v>314024</v>
      </c>
      <c r="G1073" s="86" t="s">
        <v>1646</v>
      </c>
      <c r="H1073" s="70">
        <v>0</v>
      </c>
    </row>
    <row r="1074" spans="6:8" x14ac:dyDescent="0.35">
      <c r="F1074" s="70">
        <v>314913</v>
      </c>
      <c r="G1074" s="86" t="s">
        <v>1647</v>
      </c>
      <c r="H1074" s="70">
        <v>0</v>
      </c>
    </row>
    <row r="1075" spans="6:8" x14ac:dyDescent="0.35">
      <c r="F1075" s="70">
        <v>314631</v>
      </c>
      <c r="G1075" s="86" t="s">
        <v>1648</v>
      </c>
      <c r="H1075" s="70">
        <v>0</v>
      </c>
    </row>
    <row r="1076" spans="6:8" x14ac:dyDescent="0.35">
      <c r="F1076" s="70">
        <v>309216</v>
      </c>
      <c r="G1076" s="86" t="s">
        <v>1649</v>
      </c>
      <c r="H1076" s="70">
        <v>0</v>
      </c>
    </row>
    <row r="1077" spans="6:8" x14ac:dyDescent="0.35">
      <c r="F1077" s="70">
        <v>313499</v>
      </c>
      <c r="G1077" s="86" t="s">
        <v>1650</v>
      </c>
      <c r="H1077" s="70">
        <v>0</v>
      </c>
    </row>
    <row r="1078" spans="6:8" x14ac:dyDescent="0.35">
      <c r="F1078" s="70">
        <v>312176</v>
      </c>
      <c r="G1078" s="86" t="s">
        <v>1651</v>
      </c>
      <c r="H1078" s="70">
        <v>0</v>
      </c>
    </row>
    <row r="1079" spans="6:8" x14ac:dyDescent="0.35">
      <c r="F1079" s="70">
        <v>309178</v>
      </c>
      <c r="G1079" s="86" t="s">
        <v>1652</v>
      </c>
      <c r="H1079" s="70">
        <v>0</v>
      </c>
    </row>
    <row r="1080" spans="6:8" x14ac:dyDescent="0.35">
      <c r="F1080" s="70">
        <v>313878</v>
      </c>
      <c r="G1080" s="86" t="s">
        <v>1653</v>
      </c>
      <c r="H1080" s="70">
        <v>0</v>
      </c>
    </row>
    <row r="1081" spans="6:8" x14ac:dyDescent="0.35">
      <c r="F1081" s="70">
        <v>305532</v>
      </c>
      <c r="G1081" s="86" t="s">
        <v>1654</v>
      </c>
      <c r="H1081" s="70">
        <v>0</v>
      </c>
    </row>
    <row r="1082" spans="6:8" x14ac:dyDescent="0.35">
      <c r="F1082" s="70">
        <v>312763</v>
      </c>
      <c r="G1082" s="86" t="s">
        <v>1655</v>
      </c>
      <c r="H1082" s="70">
        <v>0</v>
      </c>
    </row>
    <row r="1083" spans="6:8" x14ac:dyDescent="0.35">
      <c r="F1083" s="70">
        <v>315413</v>
      </c>
      <c r="G1083" s="86" t="s">
        <v>1656</v>
      </c>
      <c r="H1083" s="70">
        <v>0</v>
      </c>
    </row>
    <row r="1084" spans="6:8" x14ac:dyDescent="0.35">
      <c r="F1084" s="70">
        <v>310907</v>
      </c>
      <c r="G1084" s="86" t="s">
        <v>1657</v>
      </c>
      <c r="H1084" s="70">
        <v>0</v>
      </c>
    </row>
    <row r="1085" spans="6:8" x14ac:dyDescent="0.35">
      <c r="F1085" s="70">
        <v>314818</v>
      </c>
      <c r="G1085" s="86" t="s">
        <v>1658</v>
      </c>
      <c r="H1085" s="70">
        <v>0</v>
      </c>
    </row>
    <row r="1086" spans="6:8" x14ac:dyDescent="0.35">
      <c r="F1086" s="70">
        <v>301486</v>
      </c>
      <c r="G1086" s="86" t="s">
        <v>1659</v>
      </c>
      <c r="H1086" s="70">
        <v>0</v>
      </c>
    </row>
    <row r="1087" spans="6:8" x14ac:dyDescent="0.35">
      <c r="F1087" s="70">
        <v>306850</v>
      </c>
      <c r="G1087" s="86" t="s">
        <v>1660</v>
      </c>
      <c r="H1087" s="70">
        <v>0</v>
      </c>
    </row>
    <row r="1088" spans="6:8" x14ac:dyDescent="0.35">
      <c r="F1088" s="70">
        <v>311624</v>
      </c>
      <c r="G1088" s="86" t="s">
        <v>1661</v>
      </c>
      <c r="H1088" s="70">
        <v>0</v>
      </c>
    </row>
    <row r="1089" spans="6:8" x14ac:dyDescent="0.35">
      <c r="F1089" s="70">
        <v>309912</v>
      </c>
      <c r="G1089" s="86" t="s">
        <v>1662</v>
      </c>
      <c r="H1089" s="70">
        <v>0</v>
      </c>
    </row>
    <row r="1090" spans="6:8" x14ac:dyDescent="0.35">
      <c r="F1090" s="70">
        <v>102045</v>
      </c>
      <c r="G1090" s="86" t="s">
        <v>1663</v>
      </c>
      <c r="H1090" s="70">
        <v>0</v>
      </c>
    </row>
    <row r="1091" spans="6:8" x14ac:dyDescent="0.35">
      <c r="F1091" s="70">
        <v>310375</v>
      </c>
      <c r="G1091" s="86" t="s">
        <v>1664</v>
      </c>
      <c r="H1091" s="70">
        <v>0</v>
      </c>
    </row>
    <row r="1092" spans="6:8" x14ac:dyDescent="0.35">
      <c r="F1092" s="70">
        <v>313429</v>
      </c>
      <c r="G1092" s="86" t="s">
        <v>1665</v>
      </c>
      <c r="H1092" s="70">
        <v>0</v>
      </c>
    </row>
    <row r="1093" spans="6:8" x14ac:dyDescent="0.35">
      <c r="F1093" s="70">
        <v>309744</v>
      </c>
      <c r="G1093" s="86" t="s">
        <v>1666</v>
      </c>
      <c r="H1093" s="70">
        <v>0</v>
      </c>
    </row>
    <row r="1094" spans="6:8" x14ac:dyDescent="0.35">
      <c r="F1094" s="70">
        <v>315554</v>
      </c>
      <c r="G1094" s="86" t="s">
        <v>1667</v>
      </c>
      <c r="H1094" s="70">
        <v>0</v>
      </c>
    </row>
    <row r="1095" spans="6:8" x14ac:dyDescent="0.35">
      <c r="F1095" s="70">
        <v>315037</v>
      </c>
      <c r="G1095" s="86" t="s">
        <v>1668</v>
      </c>
      <c r="H1095" s="70">
        <v>0</v>
      </c>
    </row>
    <row r="1096" spans="6:8" x14ac:dyDescent="0.35">
      <c r="F1096" s="70">
        <v>307511</v>
      </c>
      <c r="G1096" s="86" t="s">
        <v>1669</v>
      </c>
      <c r="H1096" s="70">
        <v>0</v>
      </c>
    </row>
    <row r="1097" spans="6:8" x14ac:dyDescent="0.35">
      <c r="F1097" s="70">
        <v>310763</v>
      </c>
      <c r="G1097" s="86" t="s">
        <v>1670</v>
      </c>
      <c r="H1097" s="70">
        <v>0</v>
      </c>
    </row>
    <row r="1098" spans="6:8" x14ac:dyDescent="0.35">
      <c r="F1098" s="70">
        <v>309989</v>
      </c>
      <c r="G1098" s="86" t="s">
        <v>1671</v>
      </c>
      <c r="H1098" s="70">
        <v>0</v>
      </c>
    </row>
    <row r="1099" spans="6:8" x14ac:dyDescent="0.35">
      <c r="F1099" s="70">
        <v>315281</v>
      </c>
      <c r="G1099" s="86" t="s">
        <v>1672</v>
      </c>
      <c r="H1099" s="70">
        <v>0</v>
      </c>
    </row>
    <row r="1100" spans="6:8" x14ac:dyDescent="0.35">
      <c r="F1100" s="70">
        <v>312972</v>
      </c>
      <c r="G1100" s="86" t="s">
        <v>1673</v>
      </c>
      <c r="H1100" s="70">
        <v>0</v>
      </c>
    </row>
    <row r="1101" spans="6:8" x14ac:dyDescent="0.35">
      <c r="F1101" s="70">
        <v>302263</v>
      </c>
      <c r="G1101" s="86" t="s">
        <v>1674</v>
      </c>
      <c r="H1101" s="70">
        <v>0</v>
      </c>
    </row>
    <row r="1102" spans="6:8" x14ac:dyDescent="0.35">
      <c r="F1102" s="70">
        <v>308263</v>
      </c>
      <c r="G1102" s="86" t="s">
        <v>1675</v>
      </c>
      <c r="H1102" s="70">
        <v>0</v>
      </c>
    </row>
    <row r="1103" spans="6:8" x14ac:dyDescent="0.35">
      <c r="F1103" s="70">
        <v>314104</v>
      </c>
      <c r="G1103" s="86" t="s">
        <v>1676</v>
      </c>
      <c r="H1103" s="70">
        <v>0</v>
      </c>
    </row>
    <row r="1104" spans="6:8" x14ac:dyDescent="0.35">
      <c r="F1104" s="70">
        <v>314270</v>
      </c>
      <c r="G1104" s="86" t="s">
        <v>1677</v>
      </c>
      <c r="H1104" s="70">
        <v>0</v>
      </c>
    </row>
    <row r="1105" spans="6:8" x14ac:dyDescent="0.35">
      <c r="F1105" s="70">
        <v>315507</v>
      </c>
      <c r="G1105" s="86" t="s">
        <v>1678</v>
      </c>
      <c r="H1105" s="70">
        <v>0</v>
      </c>
    </row>
    <row r="1106" spans="6:8" x14ac:dyDescent="0.35">
      <c r="F1106" s="70">
        <v>314914</v>
      </c>
      <c r="G1106" s="86" t="s">
        <v>1679</v>
      </c>
      <c r="H1106" s="70">
        <v>0</v>
      </c>
    </row>
    <row r="1107" spans="6:8" x14ac:dyDescent="0.35">
      <c r="F1107" s="70">
        <v>308805</v>
      </c>
      <c r="G1107" s="86" t="s">
        <v>1680</v>
      </c>
      <c r="H1107" s="70">
        <v>0</v>
      </c>
    </row>
    <row r="1108" spans="6:8" x14ac:dyDescent="0.35">
      <c r="F1108" s="70">
        <v>315115</v>
      </c>
      <c r="G1108" s="86" t="s">
        <v>1681</v>
      </c>
      <c r="H1108" s="70">
        <v>0</v>
      </c>
    </row>
    <row r="1109" spans="6:8" x14ac:dyDescent="0.35">
      <c r="F1109" s="70">
        <v>315497</v>
      </c>
      <c r="G1109" s="86" t="s">
        <v>1682</v>
      </c>
      <c r="H1109" s="70">
        <v>0</v>
      </c>
    </row>
    <row r="1110" spans="6:8" x14ac:dyDescent="0.35">
      <c r="F1110" s="70">
        <v>310031</v>
      </c>
      <c r="G1110" s="86" t="s">
        <v>1683</v>
      </c>
      <c r="H1110" s="70">
        <v>0</v>
      </c>
    </row>
    <row r="1111" spans="6:8" x14ac:dyDescent="0.35">
      <c r="F1111" s="70">
        <v>307209</v>
      </c>
      <c r="G1111" s="86" t="s">
        <v>1684</v>
      </c>
      <c r="H1111" s="70">
        <v>0</v>
      </c>
    </row>
    <row r="1112" spans="6:8" x14ac:dyDescent="0.35">
      <c r="F1112" s="70">
        <v>309656</v>
      </c>
      <c r="G1112" s="86" t="s">
        <v>1685</v>
      </c>
      <c r="H1112" s="70">
        <v>0</v>
      </c>
    </row>
    <row r="1113" spans="6:8" x14ac:dyDescent="0.35">
      <c r="F1113" s="70">
        <v>312335</v>
      </c>
      <c r="G1113" s="86" t="s">
        <v>1686</v>
      </c>
      <c r="H1113" s="70">
        <v>0</v>
      </c>
    </row>
    <row r="1114" spans="6:8" x14ac:dyDescent="0.35">
      <c r="F1114" s="70">
        <v>314894</v>
      </c>
      <c r="G1114" s="86" t="s">
        <v>1687</v>
      </c>
      <c r="H1114" s="70">
        <v>0</v>
      </c>
    </row>
    <row r="1115" spans="6:8" x14ac:dyDescent="0.35">
      <c r="F1115" s="70">
        <v>315122</v>
      </c>
      <c r="G1115" s="86" t="s">
        <v>1688</v>
      </c>
      <c r="H1115" s="70">
        <v>0</v>
      </c>
    </row>
    <row r="1116" spans="6:8" x14ac:dyDescent="0.35">
      <c r="F1116" s="70">
        <v>315454</v>
      </c>
      <c r="G1116" s="86" t="s">
        <v>1689</v>
      </c>
      <c r="H1116" s="70">
        <v>0</v>
      </c>
    </row>
    <row r="1117" spans="6:8" x14ac:dyDescent="0.35">
      <c r="F1117" s="70">
        <v>314010</v>
      </c>
      <c r="G1117" s="86" t="s">
        <v>1690</v>
      </c>
      <c r="H1117" s="70">
        <v>0</v>
      </c>
    </row>
    <row r="1118" spans="6:8" x14ac:dyDescent="0.35">
      <c r="F1118" s="70">
        <v>313530</v>
      </c>
      <c r="G1118" s="86" t="s">
        <v>1691</v>
      </c>
      <c r="H1118" s="70">
        <v>0</v>
      </c>
    </row>
    <row r="1119" spans="6:8" x14ac:dyDescent="0.35">
      <c r="F1119" s="70">
        <v>314884</v>
      </c>
      <c r="G1119" s="86" t="s">
        <v>1692</v>
      </c>
      <c r="H1119" s="70">
        <v>0</v>
      </c>
    </row>
    <row r="1120" spans="6:8" x14ac:dyDescent="0.35">
      <c r="F1120" s="70">
        <v>309035</v>
      </c>
      <c r="G1120" s="86" t="s">
        <v>1693</v>
      </c>
      <c r="H1120" s="70">
        <v>0</v>
      </c>
    </row>
    <row r="1121" spans="6:8" x14ac:dyDescent="0.35">
      <c r="F1121" s="70">
        <v>308158</v>
      </c>
      <c r="G1121" s="86" t="s">
        <v>1694</v>
      </c>
      <c r="H1121" s="70">
        <v>0</v>
      </c>
    </row>
    <row r="1122" spans="6:8" x14ac:dyDescent="0.35">
      <c r="F1122" s="70">
        <v>314694</v>
      </c>
      <c r="G1122" s="86" t="s">
        <v>1695</v>
      </c>
      <c r="H1122" s="70">
        <v>0</v>
      </c>
    </row>
    <row r="1123" spans="6:8" x14ac:dyDescent="0.35">
      <c r="F1123" s="70">
        <v>311221</v>
      </c>
      <c r="G1123" s="86" t="s">
        <v>1696</v>
      </c>
      <c r="H1123" s="70">
        <v>0</v>
      </c>
    </row>
    <row r="1124" spans="6:8" x14ac:dyDescent="0.35">
      <c r="F1124" s="70">
        <v>314951</v>
      </c>
      <c r="G1124" s="86" t="s">
        <v>1697</v>
      </c>
      <c r="H1124" s="70">
        <v>0</v>
      </c>
    </row>
    <row r="1125" spans="6:8" x14ac:dyDescent="0.35">
      <c r="F1125" s="70">
        <v>306911</v>
      </c>
      <c r="G1125" s="86" t="s">
        <v>1698</v>
      </c>
      <c r="H1125" s="70">
        <v>0</v>
      </c>
    </row>
    <row r="1126" spans="6:8" x14ac:dyDescent="0.35">
      <c r="F1126" s="70">
        <v>303664</v>
      </c>
      <c r="G1126" s="86" t="s">
        <v>1699</v>
      </c>
      <c r="H1126" s="70">
        <v>0</v>
      </c>
    </row>
    <row r="1127" spans="6:8" x14ac:dyDescent="0.35">
      <c r="F1127" s="70">
        <v>314450</v>
      </c>
      <c r="G1127" s="86" t="s">
        <v>1700</v>
      </c>
      <c r="H1127" s="70">
        <v>0</v>
      </c>
    </row>
    <row r="1128" spans="6:8" x14ac:dyDescent="0.35">
      <c r="F1128" s="70">
        <v>315367</v>
      </c>
      <c r="G1128" s="86" t="s">
        <v>1701</v>
      </c>
      <c r="H1128" s="70">
        <v>0</v>
      </c>
    </row>
    <row r="1129" spans="6:8" x14ac:dyDescent="0.35">
      <c r="F1129" s="70">
        <v>311720</v>
      </c>
      <c r="G1129" s="86" t="s">
        <v>1702</v>
      </c>
      <c r="H1129" s="70">
        <v>0</v>
      </c>
    </row>
    <row r="1130" spans="6:8" x14ac:dyDescent="0.35">
      <c r="F1130" s="70">
        <v>313341</v>
      </c>
      <c r="G1130" s="86" t="s">
        <v>1703</v>
      </c>
      <c r="H1130" s="70">
        <v>0</v>
      </c>
    </row>
    <row r="1131" spans="6:8" x14ac:dyDescent="0.35">
      <c r="F1131" s="70">
        <v>309191</v>
      </c>
      <c r="G1131" s="86" t="s">
        <v>1704</v>
      </c>
      <c r="H1131" s="70">
        <v>0</v>
      </c>
    </row>
    <row r="1132" spans="6:8" x14ac:dyDescent="0.35">
      <c r="F1132" s="70">
        <v>315321</v>
      </c>
      <c r="G1132" s="86" t="s">
        <v>1705</v>
      </c>
      <c r="H1132" s="70">
        <v>0</v>
      </c>
    </row>
    <row r="1133" spans="6:8" x14ac:dyDescent="0.35">
      <c r="F1133" s="70">
        <v>312312</v>
      </c>
      <c r="G1133" s="86" t="s">
        <v>1706</v>
      </c>
      <c r="H1133" s="70">
        <v>0</v>
      </c>
    </row>
    <row r="1134" spans="6:8" x14ac:dyDescent="0.35">
      <c r="F1134" s="70">
        <v>306619</v>
      </c>
      <c r="G1134" s="86" t="s">
        <v>1707</v>
      </c>
      <c r="H1134" s="70">
        <v>0</v>
      </c>
    </row>
    <row r="1135" spans="6:8" x14ac:dyDescent="0.35">
      <c r="F1135" s="70">
        <v>315347</v>
      </c>
      <c r="G1135" s="86" t="s">
        <v>1708</v>
      </c>
      <c r="H1135" s="70">
        <v>0</v>
      </c>
    </row>
    <row r="1136" spans="6:8" x14ac:dyDescent="0.35">
      <c r="F1136" s="70">
        <v>314960</v>
      </c>
      <c r="G1136" s="86" t="s">
        <v>1709</v>
      </c>
      <c r="H1136" s="70">
        <v>0</v>
      </c>
    </row>
    <row r="1137" spans="6:12" x14ac:dyDescent="0.35">
      <c r="F1137" s="70">
        <v>315170</v>
      </c>
      <c r="G1137" s="86" t="s">
        <v>1710</v>
      </c>
      <c r="H1137" s="70">
        <v>0</v>
      </c>
    </row>
    <row r="1138" spans="6:12" x14ac:dyDescent="0.35">
      <c r="F1138" s="70">
        <v>315179</v>
      </c>
      <c r="G1138" s="86" t="s">
        <v>1711</v>
      </c>
      <c r="H1138" s="70">
        <v>0</v>
      </c>
    </row>
    <row r="1139" spans="6:12" x14ac:dyDescent="0.35">
      <c r="F1139" s="70">
        <v>311846</v>
      </c>
      <c r="G1139" s="86" t="s">
        <v>1712</v>
      </c>
      <c r="H1139" s="70">
        <v>0</v>
      </c>
      <c r="K1139" s="92"/>
      <c r="L1139" s="92"/>
    </row>
    <row r="1140" spans="6:12" x14ac:dyDescent="0.35">
      <c r="F1140" s="70">
        <v>314666</v>
      </c>
      <c r="G1140" s="86" t="s">
        <v>1713</v>
      </c>
      <c r="H1140" s="70">
        <v>0</v>
      </c>
    </row>
    <row r="1141" spans="6:12" x14ac:dyDescent="0.35">
      <c r="F1141" s="70">
        <v>310610</v>
      </c>
      <c r="G1141" s="86" t="s">
        <v>1714</v>
      </c>
      <c r="H1141" s="70">
        <v>0</v>
      </c>
    </row>
    <row r="1142" spans="6:12" x14ac:dyDescent="0.35">
      <c r="F1142" s="70">
        <v>314813</v>
      </c>
      <c r="G1142" s="86" t="s">
        <v>1715</v>
      </c>
      <c r="H1142" s="70">
        <v>0</v>
      </c>
    </row>
    <row r="1143" spans="6:12" x14ac:dyDescent="0.35">
      <c r="F1143" s="70">
        <v>312901</v>
      </c>
      <c r="G1143" s="86" t="s">
        <v>1716</v>
      </c>
      <c r="H1143" s="70">
        <v>0</v>
      </c>
    </row>
    <row r="1144" spans="6:12" x14ac:dyDescent="0.35">
      <c r="F1144" s="70">
        <v>308852</v>
      </c>
      <c r="G1144" s="86" t="s">
        <v>1717</v>
      </c>
      <c r="H1144" s="70">
        <v>0</v>
      </c>
    </row>
    <row r="1145" spans="6:12" x14ac:dyDescent="0.35">
      <c r="F1145" s="70">
        <v>306098</v>
      </c>
      <c r="G1145" s="86" t="s">
        <v>1718</v>
      </c>
      <c r="H1145" s="70">
        <v>0</v>
      </c>
    </row>
    <row r="1146" spans="6:12" x14ac:dyDescent="0.35">
      <c r="F1146" s="70">
        <v>313517</v>
      </c>
      <c r="G1146" s="86" t="s">
        <v>1719</v>
      </c>
      <c r="H1146" s="70">
        <v>0</v>
      </c>
    </row>
    <row r="1147" spans="6:12" x14ac:dyDescent="0.35">
      <c r="F1147" s="70">
        <v>314945</v>
      </c>
      <c r="G1147" s="86" t="s">
        <v>1720</v>
      </c>
      <c r="H1147" s="70">
        <v>0</v>
      </c>
    </row>
    <row r="1148" spans="6:12" x14ac:dyDescent="0.35">
      <c r="F1148" s="70">
        <v>313403</v>
      </c>
      <c r="G1148" s="86" t="s">
        <v>1721</v>
      </c>
      <c r="H1148" s="70">
        <v>0</v>
      </c>
    </row>
    <row r="1149" spans="6:12" x14ac:dyDescent="0.35">
      <c r="F1149" s="70">
        <v>314776</v>
      </c>
      <c r="G1149" s="86" t="s">
        <v>1722</v>
      </c>
      <c r="H1149" s="70">
        <v>0</v>
      </c>
    </row>
    <row r="1150" spans="6:12" x14ac:dyDescent="0.35">
      <c r="F1150" s="70">
        <v>315539</v>
      </c>
      <c r="G1150" s="86" t="s">
        <v>1723</v>
      </c>
      <c r="H1150" s="70">
        <v>0</v>
      </c>
    </row>
    <row r="1151" spans="6:12" x14ac:dyDescent="0.35">
      <c r="F1151" s="70">
        <v>314096</v>
      </c>
      <c r="G1151" s="86" t="s">
        <v>1724</v>
      </c>
      <c r="H1151" s="70">
        <v>0</v>
      </c>
    </row>
    <row r="1152" spans="6:12" x14ac:dyDescent="0.35">
      <c r="F1152" s="70">
        <v>307943</v>
      </c>
      <c r="G1152" s="86" t="s">
        <v>1725</v>
      </c>
      <c r="H1152" s="70">
        <v>0</v>
      </c>
    </row>
    <row r="1153" spans="6:8" x14ac:dyDescent="0.35">
      <c r="F1153" s="70">
        <v>315118</v>
      </c>
      <c r="G1153" s="86" t="s">
        <v>1726</v>
      </c>
      <c r="H1153" s="70">
        <v>0</v>
      </c>
    </row>
    <row r="1154" spans="6:8" x14ac:dyDescent="0.35">
      <c r="F1154" s="70">
        <v>315165</v>
      </c>
      <c r="G1154" s="86" t="s">
        <v>1727</v>
      </c>
      <c r="H1154" s="70">
        <v>0</v>
      </c>
    </row>
    <row r="1155" spans="6:8" x14ac:dyDescent="0.35">
      <c r="F1155" s="70">
        <v>312877</v>
      </c>
      <c r="G1155" s="86" t="s">
        <v>1728</v>
      </c>
      <c r="H1155" s="70">
        <v>0</v>
      </c>
    </row>
    <row r="1156" spans="6:8" x14ac:dyDescent="0.35">
      <c r="F1156" s="70">
        <v>310267</v>
      </c>
      <c r="G1156" s="86" t="s">
        <v>1729</v>
      </c>
      <c r="H1156" s="70">
        <v>0</v>
      </c>
    </row>
    <row r="1157" spans="6:8" x14ac:dyDescent="0.35">
      <c r="F1157" s="70">
        <v>314930</v>
      </c>
      <c r="G1157" s="86" t="s">
        <v>1730</v>
      </c>
      <c r="H1157" s="70">
        <v>0</v>
      </c>
    </row>
    <row r="1158" spans="6:8" x14ac:dyDescent="0.35">
      <c r="F1158" s="70">
        <v>315305</v>
      </c>
      <c r="G1158" s="86" t="s">
        <v>1731</v>
      </c>
      <c r="H1158" s="70">
        <v>0</v>
      </c>
    </row>
    <row r="1159" spans="6:8" x14ac:dyDescent="0.35">
      <c r="F1159" s="70">
        <v>305255</v>
      </c>
      <c r="G1159" s="86" t="s">
        <v>1732</v>
      </c>
      <c r="H1159" s="70">
        <v>0</v>
      </c>
    </row>
    <row r="1160" spans="6:8" x14ac:dyDescent="0.35">
      <c r="F1160" s="70">
        <v>313771</v>
      </c>
      <c r="G1160" s="86" t="s">
        <v>1733</v>
      </c>
      <c r="H1160" s="70">
        <v>0</v>
      </c>
    </row>
    <row r="1161" spans="6:8" x14ac:dyDescent="0.35">
      <c r="F1161" s="70">
        <v>315353</v>
      </c>
      <c r="G1161" s="86" t="s">
        <v>1734</v>
      </c>
      <c r="H1161" s="70">
        <v>0</v>
      </c>
    </row>
    <row r="1162" spans="6:8" x14ac:dyDescent="0.35">
      <c r="F1162" s="70">
        <v>301835</v>
      </c>
      <c r="G1162" s="86" t="s">
        <v>1735</v>
      </c>
      <c r="H1162" s="70">
        <v>0</v>
      </c>
    </row>
    <row r="1163" spans="6:8" x14ac:dyDescent="0.35">
      <c r="F1163" s="70">
        <v>315389</v>
      </c>
      <c r="G1163" s="86" t="s">
        <v>1736</v>
      </c>
      <c r="H1163" s="70">
        <v>0</v>
      </c>
    </row>
    <row r="1164" spans="6:8" x14ac:dyDescent="0.35">
      <c r="F1164" s="70">
        <v>312729</v>
      </c>
      <c r="G1164" s="86" t="s">
        <v>1737</v>
      </c>
      <c r="H1164" s="70">
        <v>0</v>
      </c>
    </row>
    <row r="1165" spans="6:8" x14ac:dyDescent="0.35">
      <c r="F1165" s="70">
        <v>300594</v>
      </c>
      <c r="G1165" s="86" t="s">
        <v>1738</v>
      </c>
      <c r="H1165" s="70">
        <v>0</v>
      </c>
    </row>
    <row r="1166" spans="6:8" x14ac:dyDescent="0.35">
      <c r="F1166" s="70">
        <v>303901</v>
      </c>
      <c r="G1166" s="86" t="s">
        <v>1739</v>
      </c>
      <c r="H1166" s="70">
        <v>0</v>
      </c>
    </row>
    <row r="1167" spans="6:8" x14ac:dyDescent="0.35">
      <c r="F1167" s="70">
        <v>312040</v>
      </c>
      <c r="G1167" s="86" t="s">
        <v>1740</v>
      </c>
      <c r="H1167" s="70">
        <v>0</v>
      </c>
    </row>
    <row r="1168" spans="6:8" x14ac:dyDescent="0.35">
      <c r="F1168" s="70">
        <v>313606</v>
      </c>
      <c r="G1168" s="86" t="s">
        <v>1741</v>
      </c>
      <c r="H1168" s="70">
        <v>0</v>
      </c>
    </row>
    <row r="1169" spans="6:8" x14ac:dyDescent="0.35">
      <c r="F1169" s="70">
        <v>310534</v>
      </c>
      <c r="G1169" s="86" t="s">
        <v>1742</v>
      </c>
      <c r="H1169" s="70">
        <v>0</v>
      </c>
    </row>
    <row r="1170" spans="6:8" x14ac:dyDescent="0.35">
      <c r="F1170" s="70">
        <v>315045</v>
      </c>
      <c r="G1170" s="86" t="s">
        <v>1743</v>
      </c>
      <c r="H1170" s="70">
        <v>0</v>
      </c>
    </row>
    <row r="1171" spans="6:8" x14ac:dyDescent="0.35">
      <c r="F1171" s="70">
        <v>314308</v>
      </c>
      <c r="G1171" s="86" t="s">
        <v>1744</v>
      </c>
      <c r="H1171" s="70">
        <v>0</v>
      </c>
    </row>
    <row r="1172" spans="6:8" x14ac:dyDescent="0.35">
      <c r="F1172" s="70">
        <v>311511</v>
      </c>
      <c r="G1172" s="86" t="s">
        <v>1745</v>
      </c>
      <c r="H1172" s="70">
        <v>0</v>
      </c>
    </row>
    <row r="1173" spans="6:8" x14ac:dyDescent="0.35">
      <c r="F1173" s="70">
        <v>312888</v>
      </c>
      <c r="G1173" s="86" t="s">
        <v>1746</v>
      </c>
      <c r="H1173" s="70">
        <v>0</v>
      </c>
    </row>
    <row r="1174" spans="6:8" x14ac:dyDescent="0.35">
      <c r="F1174" s="70">
        <v>314814</v>
      </c>
      <c r="G1174" s="86" t="s">
        <v>1747</v>
      </c>
      <c r="H1174" s="70">
        <v>0</v>
      </c>
    </row>
    <row r="1175" spans="6:8" x14ac:dyDescent="0.35">
      <c r="F1175" s="70">
        <v>311551</v>
      </c>
      <c r="G1175" s="86" t="s">
        <v>1748</v>
      </c>
      <c r="H1175" s="70">
        <v>0</v>
      </c>
    </row>
    <row r="1176" spans="6:8" x14ac:dyDescent="0.35">
      <c r="F1176" s="70">
        <v>312546</v>
      </c>
      <c r="G1176" s="86" t="s">
        <v>1749</v>
      </c>
      <c r="H1176" s="70">
        <v>0</v>
      </c>
    </row>
    <row r="1177" spans="6:8" x14ac:dyDescent="0.35">
      <c r="F1177" s="70">
        <v>313599</v>
      </c>
      <c r="G1177" s="86" t="s">
        <v>1750</v>
      </c>
      <c r="H1177" s="70">
        <v>0</v>
      </c>
    </row>
    <row r="1178" spans="6:8" x14ac:dyDescent="0.35">
      <c r="F1178" s="70">
        <v>301658</v>
      </c>
      <c r="G1178" s="86" t="s">
        <v>1751</v>
      </c>
      <c r="H1178" s="70">
        <v>0</v>
      </c>
    </row>
    <row r="1179" spans="6:8" x14ac:dyDescent="0.35">
      <c r="F1179" s="70">
        <v>301786</v>
      </c>
      <c r="G1179" s="86" t="s">
        <v>1752</v>
      </c>
      <c r="H1179" s="70">
        <v>0</v>
      </c>
    </row>
    <row r="1180" spans="6:8" x14ac:dyDescent="0.35">
      <c r="F1180" s="70">
        <v>314606</v>
      </c>
      <c r="G1180" s="86" t="s">
        <v>1753</v>
      </c>
      <c r="H1180" s="70">
        <v>0</v>
      </c>
    </row>
    <row r="1181" spans="6:8" x14ac:dyDescent="0.35">
      <c r="F1181" s="70">
        <v>312383</v>
      </c>
      <c r="G1181" s="86" t="s">
        <v>1754</v>
      </c>
      <c r="H1181" s="70">
        <v>0</v>
      </c>
    </row>
    <row r="1182" spans="6:8" x14ac:dyDescent="0.35">
      <c r="F1182" s="70">
        <v>313592</v>
      </c>
      <c r="G1182" s="86" t="s">
        <v>1755</v>
      </c>
      <c r="H1182" s="70">
        <v>0</v>
      </c>
    </row>
    <row r="1183" spans="6:8" x14ac:dyDescent="0.35">
      <c r="F1183" s="70">
        <v>305099</v>
      </c>
      <c r="G1183" s="86" t="s">
        <v>1756</v>
      </c>
      <c r="H1183" s="70">
        <v>0</v>
      </c>
    </row>
    <row r="1184" spans="6:8" x14ac:dyDescent="0.35">
      <c r="F1184" s="70">
        <v>312923</v>
      </c>
      <c r="G1184" s="86" t="s">
        <v>1757</v>
      </c>
      <c r="H1184" s="70">
        <v>0</v>
      </c>
    </row>
    <row r="1185" spans="6:8" x14ac:dyDescent="0.35">
      <c r="F1185" s="70">
        <v>314420</v>
      </c>
      <c r="G1185" s="86" t="s">
        <v>1758</v>
      </c>
      <c r="H1185" s="70">
        <v>0</v>
      </c>
    </row>
    <row r="1186" spans="6:8" x14ac:dyDescent="0.35">
      <c r="F1186" s="70">
        <v>301460</v>
      </c>
      <c r="G1186" s="86" t="s">
        <v>1759</v>
      </c>
      <c r="H1186" s="70">
        <v>0</v>
      </c>
    </row>
    <row r="1187" spans="6:8" x14ac:dyDescent="0.35">
      <c r="F1187" s="70">
        <v>312012</v>
      </c>
      <c r="G1187" s="86" t="s">
        <v>1760</v>
      </c>
      <c r="H1187" s="70">
        <v>0</v>
      </c>
    </row>
    <row r="1188" spans="6:8" x14ac:dyDescent="0.35">
      <c r="F1188" s="70">
        <v>200872</v>
      </c>
      <c r="G1188" s="86" t="s">
        <v>1761</v>
      </c>
      <c r="H1188" s="70">
        <v>0</v>
      </c>
    </row>
    <row r="1189" spans="6:8" x14ac:dyDescent="0.35">
      <c r="F1189" s="70">
        <v>314820</v>
      </c>
      <c r="G1189" s="86" t="s">
        <v>1762</v>
      </c>
      <c r="H1189" s="70">
        <v>0</v>
      </c>
    </row>
    <row r="1190" spans="6:8" x14ac:dyDescent="0.35">
      <c r="F1190" s="70">
        <v>313875</v>
      </c>
      <c r="G1190" s="86" t="s">
        <v>1763</v>
      </c>
      <c r="H1190" s="70">
        <v>0</v>
      </c>
    </row>
    <row r="1191" spans="6:8" x14ac:dyDescent="0.35">
      <c r="F1191" s="70">
        <v>311092</v>
      </c>
      <c r="G1191" s="86" t="s">
        <v>1764</v>
      </c>
      <c r="H1191" s="70">
        <v>0</v>
      </c>
    </row>
    <row r="1192" spans="6:8" x14ac:dyDescent="0.35">
      <c r="F1192" s="70">
        <v>306416</v>
      </c>
      <c r="G1192" s="86" t="s">
        <v>1765</v>
      </c>
      <c r="H1192" s="70">
        <v>0</v>
      </c>
    </row>
    <row r="1193" spans="6:8" x14ac:dyDescent="0.35">
      <c r="F1193" s="70">
        <v>315024</v>
      </c>
      <c r="G1193" s="86" t="s">
        <v>1766</v>
      </c>
      <c r="H1193" s="70">
        <v>0</v>
      </c>
    </row>
    <row r="1194" spans="6:8" x14ac:dyDescent="0.35">
      <c r="F1194" s="70">
        <v>312908</v>
      </c>
      <c r="G1194" s="86" t="s">
        <v>1767</v>
      </c>
      <c r="H1194" s="70">
        <v>0</v>
      </c>
    </row>
    <row r="1195" spans="6:8" x14ac:dyDescent="0.35">
      <c r="F1195" s="70">
        <v>313078</v>
      </c>
      <c r="G1195" s="86" t="s">
        <v>1768</v>
      </c>
      <c r="H1195" s="70">
        <v>0</v>
      </c>
    </row>
    <row r="1196" spans="6:8" x14ac:dyDescent="0.35">
      <c r="F1196" s="70">
        <v>301438</v>
      </c>
      <c r="G1196" s="86" t="s">
        <v>1769</v>
      </c>
      <c r="H1196" s="70">
        <v>0</v>
      </c>
    </row>
    <row r="1197" spans="6:8" x14ac:dyDescent="0.35">
      <c r="F1197" s="70">
        <v>313622</v>
      </c>
      <c r="G1197" s="86" t="s">
        <v>1770</v>
      </c>
      <c r="H1197" s="70">
        <v>0</v>
      </c>
    </row>
    <row r="1198" spans="6:8" x14ac:dyDescent="0.35">
      <c r="F1198" s="70">
        <v>315408</v>
      </c>
      <c r="G1198" s="86" t="s">
        <v>1771</v>
      </c>
      <c r="H1198" s="70">
        <v>0</v>
      </c>
    </row>
    <row r="1199" spans="6:8" x14ac:dyDescent="0.35">
      <c r="F1199" s="70">
        <v>307105</v>
      </c>
      <c r="G1199" s="86" t="s">
        <v>1772</v>
      </c>
      <c r="H1199" s="70">
        <v>0</v>
      </c>
    </row>
    <row r="1200" spans="6:8" x14ac:dyDescent="0.35">
      <c r="F1200" s="70">
        <v>315254</v>
      </c>
      <c r="G1200" s="86" t="s">
        <v>1773</v>
      </c>
      <c r="H1200" s="70">
        <v>0</v>
      </c>
    </row>
    <row r="1201" spans="6:8" x14ac:dyDescent="0.35">
      <c r="F1201" s="70">
        <v>313402</v>
      </c>
      <c r="G1201" s="86" t="s">
        <v>1774</v>
      </c>
      <c r="H1201" s="70">
        <v>0</v>
      </c>
    </row>
    <row r="1202" spans="6:8" x14ac:dyDescent="0.35">
      <c r="F1202" s="70">
        <v>312501</v>
      </c>
      <c r="G1202" s="86" t="s">
        <v>1775</v>
      </c>
      <c r="H1202" s="70">
        <v>0</v>
      </c>
    </row>
    <row r="1203" spans="6:8" x14ac:dyDescent="0.35">
      <c r="F1203" s="70">
        <v>313492</v>
      </c>
      <c r="G1203" s="86" t="s">
        <v>1776</v>
      </c>
      <c r="H1203" s="70">
        <v>0</v>
      </c>
    </row>
    <row r="1204" spans="6:8" x14ac:dyDescent="0.35">
      <c r="F1204" s="70">
        <v>309816</v>
      </c>
      <c r="G1204" s="86" t="s">
        <v>1777</v>
      </c>
      <c r="H1204" s="70">
        <v>0</v>
      </c>
    </row>
    <row r="1205" spans="6:8" x14ac:dyDescent="0.35">
      <c r="F1205" s="70">
        <v>314956</v>
      </c>
      <c r="G1205" s="86" t="s">
        <v>1778</v>
      </c>
      <c r="H1205" s="70">
        <v>0</v>
      </c>
    </row>
    <row r="1206" spans="6:8" x14ac:dyDescent="0.35">
      <c r="F1206" s="70">
        <v>314855</v>
      </c>
      <c r="G1206" s="86" t="s">
        <v>1779</v>
      </c>
      <c r="H1206" s="70">
        <v>0</v>
      </c>
    </row>
    <row r="1207" spans="6:8" x14ac:dyDescent="0.35">
      <c r="F1207" s="70">
        <v>312294</v>
      </c>
      <c r="G1207" s="86" t="s">
        <v>1780</v>
      </c>
      <c r="H1207" s="70">
        <v>0</v>
      </c>
    </row>
    <row r="1208" spans="6:8" x14ac:dyDescent="0.35">
      <c r="F1208" s="70">
        <v>302278</v>
      </c>
      <c r="G1208" s="86" t="s">
        <v>1781</v>
      </c>
      <c r="H1208" s="70">
        <v>0</v>
      </c>
    </row>
    <row r="1209" spans="6:8" x14ac:dyDescent="0.35">
      <c r="F1209" s="70">
        <v>314266</v>
      </c>
      <c r="G1209" s="86" t="s">
        <v>1782</v>
      </c>
      <c r="H1209" s="70">
        <v>0</v>
      </c>
    </row>
    <row r="1210" spans="6:8" x14ac:dyDescent="0.35">
      <c r="F1210" s="70">
        <v>301308</v>
      </c>
      <c r="G1210" s="86" t="s">
        <v>1783</v>
      </c>
      <c r="H1210" s="70">
        <v>0</v>
      </c>
    </row>
    <row r="1211" spans="6:8" x14ac:dyDescent="0.35">
      <c r="F1211" s="70">
        <v>312346</v>
      </c>
      <c r="G1211" s="86" t="s">
        <v>1784</v>
      </c>
      <c r="H1211" s="70">
        <v>0</v>
      </c>
    </row>
    <row r="1212" spans="6:8" x14ac:dyDescent="0.35">
      <c r="F1212" s="70">
        <v>314559</v>
      </c>
      <c r="G1212" s="86" t="s">
        <v>1785</v>
      </c>
      <c r="H1212" s="70">
        <v>0</v>
      </c>
    </row>
    <row r="1213" spans="6:8" x14ac:dyDescent="0.35">
      <c r="F1213" s="70">
        <v>101896</v>
      </c>
      <c r="G1213" s="86" t="s">
        <v>1786</v>
      </c>
      <c r="H1213" s="70">
        <v>0</v>
      </c>
    </row>
    <row r="1214" spans="6:8" x14ac:dyDescent="0.35">
      <c r="F1214" s="70">
        <v>315294</v>
      </c>
      <c r="G1214" s="86" t="s">
        <v>1787</v>
      </c>
      <c r="H1214" s="70">
        <v>0</v>
      </c>
    </row>
    <row r="1215" spans="6:8" x14ac:dyDescent="0.35">
      <c r="F1215" s="70">
        <v>314079</v>
      </c>
      <c r="G1215" s="86" t="s">
        <v>1788</v>
      </c>
      <c r="H1215" s="70">
        <v>0</v>
      </c>
    </row>
    <row r="1216" spans="6:8" x14ac:dyDescent="0.35">
      <c r="F1216" s="70">
        <v>311147</v>
      </c>
      <c r="G1216" s="86" t="s">
        <v>1789</v>
      </c>
      <c r="H1216" s="70">
        <v>0</v>
      </c>
    </row>
    <row r="1217" spans="6:8" x14ac:dyDescent="0.35">
      <c r="F1217" s="70">
        <v>310599</v>
      </c>
      <c r="G1217" s="86" t="s">
        <v>1790</v>
      </c>
      <c r="H1217" s="70">
        <v>0</v>
      </c>
    </row>
    <row r="1218" spans="6:8" x14ac:dyDescent="0.35">
      <c r="F1218" s="70">
        <v>315541</v>
      </c>
      <c r="G1218" s="86" t="s">
        <v>1791</v>
      </c>
      <c r="H1218" s="70">
        <v>0</v>
      </c>
    </row>
    <row r="1219" spans="6:8" x14ac:dyDescent="0.35">
      <c r="F1219" s="70">
        <v>304805</v>
      </c>
      <c r="G1219" s="86" t="s">
        <v>1792</v>
      </c>
      <c r="H1219" s="70">
        <v>0</v>
      </c>
    </row>
    <row r="1220" spans="6:8" x14ac:dyDescent="0.35">
      <c r="F1220" s="70">
        <v>312357</v>
      </c>
      <c r="G1220" s="86" t="s">
        <v>1793</v>
      </c>
      <c r="H1220" s="70">
        <v>0</v>
      </c>
    </row>
    <row r="1221" spans="6:8" x14ac:dyDescent="0.35">
      <c r="F1221" s="70">
        <v>311646</v>
      </c>
      <c r="G1221" s="86" t="s">
        <v>1794</v>
      </c>
      <c r="H1221" s="70">
        <v>0</v>
      </c>
    </row>
    <row r="1222" spans="6:8" x14ac:dyDescent="0.35">
      <c r="F1222" s="70">
        <v>312096</v>
      </c>
      <c r="G1222" s="86" t="s">
        <v>1795</v>
      </c>
      <c r="H1222" s="70">
        <v>0</v>
      </c>
    </row>
    <row r="1223" spans="6:8" x14ac:dyDescent="0.35">
      <c r="F1223" s="70">
        <v>301371</v>
      </c>
      <c r="G1223" s="86" t="s">
        <v>1796</v>
      </c>
      <c r="H1223" s="70">
        <v>0</v>
      </c>
    </row>
    <row r="1224" spans="6:8" x14ac:dyDescent="0.35">
      <c r="F1224" s="70">
        <v>313328</v>
      </c>
      <c r="G1224" s="86" t="s">
        <v>1797</v>
      </c>
      <c r="H1224" s="70">
        <v>0</v>
      </c>
    </row>
    <row r="1225" spans="6:8" x14ac:dyDescent="0.35">
      <c r="F1225" s="70">
        <v>309948</v>
      </c>
      <c r="G1225" s="86" t="s">
        <v>1798</v>
      </c>
      <c r="H1225" s="70">
        <v>0</v>
      </c>
    </row>
    <row r="1226" spans="6:8" x14ac:dyDescent="0.35">
      <c r="F1226" s="70">
        <v>305230</v>
      </c>
      <c r="G1226" s="86" t="s">
        <v>1799</v>
      </c>
      <c r="H1226" s="70">
        <v>0</v>
      </c>
    </row>
    <row r="1227" spans="6:8" x14ac:dyDescent="0.35">
      <c r="F1227" s="70">
        <v>305427</v>
      </c>
      <c r="G1227" s="86" t="s">
        <v>1800</v>
      </c>
      <c r="H1227" s="70">
        <v>0</v>
      </c>
    </row>
    <row r="1228" spans="6:8" x14ac:dyDescent="0.35">
      <c r="F1228" s="70">
        <v>306034</v>
      </c>
      <c r="G1228" s="86" t="s">
        <v>1801</v>
      </c>
      <c r="H1228" s="70">
        <v>0</v>
      </c>
    </row>
    <row r="1229" spans="6:8" x14ac:dyDescent="0.35">
      <c r="F1229" s="70">
        <v>310105</v>
      </c>
      <c r="G1229" s="86" t="s">
        <v>1802</v>
      </c>
      <c r="H1229" s="70">
        <v>0</v>
      </c>
    </row>
    <row r="1230" spans="6:8" x14ac:dyDescent="0.35">
      <c r="F1230" s="70">
        <v>313981</v>
      </c>
      <c r="G1230" s="86" t="s">
        <v>1803</v>
      </c>
      <c r="H1230" s="70">
        <v>0</v>
      </c>
    </row>
    <row r="1231" spans="6:8" x14ac:dyDescent="0.35">
      <c r="F1231" s="70">
        <v>314976</v>
      </c>
      <c r="G1231" s="86" t="s">
        <v>1804</v>
      </c>
      <c r="H1231" s="70">
        <v>0</v>
      </c>
    </row>
    <row r="1232" spans="6:8" x14ac:dyDescent="0.35">
      <c r="F1232" s="70">
        <v>312881</v>
      </c>
      <c r="G1232" s="86" t="s">
        <v>1805</v>
      </c>
      <c r="H1232" s="70">
        <v>0</v>
      </c>
    </row>
    <row r="1233" spans="6:8" x14ac:dyDescent="0.35">
      <c r="F1233" s="70">
        <v>310066</v>
      </c>
      <c r="G1233" s="86" t="s">
        <v>1806</v>
      </c>
      <c r="H1233" s="70">
        <v>0</v>
      </c>
    </row>
    <row r="1234" spans="6:8" x14ac:dyDescent="0.35">
      <c r="F1234" s="70">
        <v>315466</v>
      </c>
      <c r="G1234" s="86" t="s">
        <v>1807</v>
      </c>
      <c r="H1234" s="70">
        <v>0</v>
      </c>
    </row>
    <row r="1235" spans="6:8" x14ac:dyDescent="0.35">
      <c r="F1235" s="70">
        <v>313593</v>
      </c>
      <c r="G1235" s="86" t="s">
        <v>1808</v>
      </c>
      <c r="H1235" s="70">
        <v>0</v>
      </c>
    </row>
    <row r="1236" spans="6:8" x14ac:dyDescent="0.35">
      <c r="F1236" s="70">
        <v>315439</v>
      </c>
      <c r="G1236" s="86" t="s">
        <v>1809</v>
      </c>
      <c r="H1236" s="70">
        <v>0</v>
      </c>
    </row>
    <row r="1237" spans="6:8" x14ac:dyDescent="0.35">
      <c r="F1237" s="70">
        <v>310731</v>
      </c>
      <c r="G1237" s="86" t="s">
        <v>1810</v>
      </c>
      <c r="H1237" s="70">
        <v>0</v>
      </c>
    </row>
    <row r="1238" spans="6:8" x14ac:dyDescent="0.35">
      <c r="F1238" s="70">
        <v>314735</v>
      </c>
      <c r="G1238" s="86" t="s">
        <v>1811</v>
      </c>
      <c r="H1238" s="70">
        <v>0</v>
      </c>
    </row>
    <row r="1239" spans="6:8" x14ac:dyDescent="0.35">
      <c r="F1239" s="70">
        <v>315340</v>
      </c>
      <c r="G1239" s="86" t="s">
        <v>1812</v>
      </c>
      <c r="H1239" s="70">
        <v>0</v>
      </c>
    </row>
    <row r="1240" spans="6:8" x14ac:dyDescent="0.35">
      <c r="F1240" s="70">
        <v>308054</v>
      </c>
      <c r="G1240" s="86" t="s">
        <v>1813</v>
      </c>
      <c r="H1240" s="70">
        <v>0</v>
      </c>
    </row>
    <row r="1241" spans="6:8" x14ac:dyDescent="0.35">
      <c r="F1241" s="70">
        <v>303382</v>
      </c>
      <c r="G1241" s="86" t="s">
        <v>1814</v>
      </c>
      <c r="H1241" s="70">
        <v>0</v>
      </c>
    </row>
    <row r="1242" spans="6:8" x14ac:dyDescent="0.35">
      <c r="F1242" s="70">
        <v>314787</v>
      </c>
      <c r="G1242" s="86" t="s">
        <v>1815</v>
      </c>
      <c r="H1242" s="70">
        <v>0</v>
      </c>
    </row>
    <row r="1243" spans="6:8" x14ac:dyDescent="0.35">
      <c r="F1243" s="70">
        <v>310671</v>
      </c>
      <c r="G1243" s="86" t="s">
        <v>1816</v>
      </c>
      <c r="H1243" s="70">
        <v>0</v>
      </c>
    </row>
    <row r="1244" spans="6:8" x14ac:dyDescent="0.35">
      <c r="F1244" s="70">
        <v>315386</v>
      </c>
      <c r="G1244" s="86" t="s">
        <v>1817</v>
      </c>
      <c r="H1244" s="70">
        <v>0</v>
      </c>
    </row>
    <row r="1245" spans="6:8" x14ac:dyDescent="0.35">
      <c r="F1245" s="70">
        <v>314347</v>
      </c>
      <c r="G1245" s="86" t="s">
        <v>1818</v>
      </c>
      <c r="H1245" s="70">
        <v>0</v>
      </c>
    </row>
    <row r="1246" spans="6:8" x14ac:dyDescent="0.35">
      <c r="F1246" s="70">
        <v>313630</v>
      </c>
      <c r="G1246" s="86" t="s">
        <v>1819</v>
      </c>
      <c r="H1246" s="70">
        <v>0</v>
      </c>
    </row>
    <row r="1247" spans="6:8" x14ac:dyDescent="0.35">
      <c r="F1247" s="70">
        <v>313395</v>
      </c>
      <c r="G1247" s="86" t="s">
        <v>1820</v>
      </c>
      <c r="H1247" s="70">
        <v>0</v>
      </c>
    </row>
    <row r="1248" spans="6:8" x14ac:dyDescent="0.35">
      <c r="F1248" s="70">
        <v>309883</v>
      </c>
      <c r="G1248" s="86" t="s">
        <v>1821</v>
      </c>
      <c r="H1248" s="70">
        <v>0</v>
      </c>
    </row>
    <row r="1249" spans="6:8" x14ac:dyDescent="0.35">
      <c r="F1249" s="70">
        <v>307664</v>
      </c>
      <c r="G1249" s="86" t="s">
        <v>1822</v>
      </c>
      <c r="H1249" s="70">
        <v>0</v>
      </c>
    </row>
    <row r="1250" spans="6:8" x14ac:dyDescent="0.35">
      <c r="F1250" s="70">
        <v>315313</v>
      </c>
      <c r="G1250" s="86" t="s">
        <v>1823</v>
      </c>
      <c r="H1250" s="70">
        <v>0</v>
      </c>
    </row>
    <row r="1251" spans="6:8" x14ac:dyDescent="0.35">
      <c r="F1251" s="70">
        <v>314575</v>
      </c>
      <c r="G1251" s="86" t="s">
        <v>1824</v>
      </c>
      <c r="H1251" s="70">
        <v>0</v>
      </c>
    </row>
    <row r="1252" spans="6:8" x14ac:dyDescent="0.35">
      <c r="F1252" s="70">
        <v>302658</v>
      </c>
      <c r="G1252" s="86" t="s">
        <v>1825</v>
      </c>
      <c r="H1252" s="70">
        <v>0</v>
      </c>
    </row>
    <row r="1253" spans="6:8" x14ac:dyDescent="0.35">
      <c r="F1253" s="70">
        <v>315048</v>
      </c>
      <c r="G1253" s="86" t="s">
        <v>1826</v>
      </c>
      <c r="H1253" s="70">
        <v>0</v>
      </c>
    </row>
    <row r="1254" spans="6:8" x14ac:dyDescent="0.35">
      <c r="F1254" s="70">
        <v>302332</v>
      </c>
      <c r="G1254" s="86" t="s">
        <v>1827</v>
      </c>
      <c r="H1254" s="70">
        <v>0</v>
      </c>
    </row>
    <row r="1255" spans="6:8" x14ac:dyDescent="0.35">
      <c r="F1255" s="70">
        <v>314108</v>
      </c>
      <c r="G1255" s="86" t="s">
        <v>1828</v>
      </c>
      <c r="H1255" s="70">
        <v>0</v>
      </c>
    </row>
    <row r="1256" spans="6:8" x14ac:dyDescent="0.35">
      <c r="F1256" s="70">
        <v>315049</v>
      </c>
      <c r="G1256" s="86" t="s">
        <v>1829</v>
      </c>
      <c r="H1256" s="70">
        <v>0</v>
      </c>
    </row>
    <row r="1257" spans="6:8" x14ac:dyDescent="0.35">
      <c r="F1257" s="70">
        <v>315373</v>
      </c>
      <c r="G1257" s="86" t="s">
        <v>1830</v>
      </c>
      <c r="H1257" s="70">
        <v>0</v>
      </c>
    </row>
    <row r="1258" spans="6:8" x14ac:dyDescent="0.35">
      <c r="F1258" s="70">
        <v>311866</v>
      </c>
      <c r="G1258" s="86" t="s">
        <v>1831</v>
      </c>
      <c r="H1258" s="70">
        <v>0</v>
      </c>
    </row>
    <row r="1259" spans="6:8" x14ac:dyDescent="0.35">
      <c r="F1259" s="70">
        <v>310220</v>
      </c>
      <c r="G1259" s="86" t="s">
        <v>1832</v>
      </c>
      <c r="H1259" s="70">
        <v>0</v>
      </c>
    </row>
    <row r="1260" spans="6:8" x14ac:dyDescent="0.35">
      <c r="F1260" s="70">
        <v>305903</v>
      </c>
      <c r="G1260" s="86" t="s">
        <v>1833</v>
      </c>
      <c r="H1260" s="70">
        <v>0</v>
      </c>
    </row>
    <row r="1261" spans="6:8" x14ac:dyDescent="0.35">
      <c r="F1261" s="70">
        <v>314544</v>
      </c>
      <c r="G1261" s="86" t="s">
        <v>1834</v>
      </c>
      <c r="H1261" s="70">
        <v>0</v>
      </c>
    </row>
    <row r="1262" spans="6:8" x14ac:dyDescent="0.35">
      <c r="F1262" s="70">
        <v>314405</v>
      </c>
      <c r="G1262" s="86" t="s">
        <v>1835</v>
      </c>
      <c r="H1262" s="70">
        <v>0</v>
      </c>
    </row>
    <row r="1263" spans="6:8" x14ac:dyDescent="0.35">
      <c r="F1263" s="70">
        <v>311048</v>
      </c>
      <c r="G1263" s="86" t="s">
        <v>1836</v>
      </c>
      <c r="H1263" s="70">
        <v>0</v>
      </c>
    </row>
    <row r="1264" spans="6:8" x14ac:dyDescent="0.35">
      <c r="F1264" s="70">
        <v>311005</v>
      </c>
      <c r="G1264" s="86" t="s">
        <v>1837</v>
      </c>
      <c r="H1264" s="70">
        <v>0</v>
      </c>
    </row>
    <row r="1265" spans="6:8" x14ac:dyDescent="0.35">
      <c r="F1265" s="70">
        <v>304024</v>
      </c>
      <c r="G1265" s="86" t="s">
        <v>1838</v>
      </c>
      <c r="H1265" s="70">
        <v>0</v>
      </c>
    </row>
    <row r="1266" spans="6:8" x14ac:dyDescent="0.35">
      <c r="F1266" s="70">
        <v>300999</v>
      </c>
      <c r="G1266" s="86" t="s">
        <v>1839</v>
      </c>
      <c r="H1266" s="70">
        <v>0</v>
      </c>
    </row>
    <row r="1267" spans="6:8" x14ac:dyDescent="0.35">
      <c r="F1267" s="70">
        <v>309689</v>
      </c>
      <c r="G1267" s="86" t="s">
        <v>1840</v>
      </c>
      <c r="H1267" s="70">
        <v>0</v>
      </c>
    </row>
    <row r="1268" spans="6:8" x14ac:dyDescent="0.35">
      <c r="F1268" s="70">
        <v>311258</v>
      </c>
      <c r="G1268" s="86" t="s">
        <v>1841</v>
      </c>
      <c r="H1268" s="70">
        <v>0</v>
      </c>
    </row>
    <row r="1269" spans="6:8" x14ac:dyDescent="0.35">
      <c r="F1269" s="70">
        <v>314367</v>
      </c>
      <c r="G1269" s="86" t="s">
        <v>1842</v>
      </c>
      <c r="H1269" s="70">
        <v>0</v>
      </c>
    </row>
    <row r="1270" spans="6:8" x14ac:dyDescent="0.35">
      <c r="F1270" s="70">
        <v>315399</v>
      </c>
      <c r="G1270" s="86" t="s">
        <v>1843</v>
      </c>
      <c r="H1270" s="70">
        <v>0</v>
      </c>
    </row>
    <row r="1271" spans="6:8" x14ac:dyDescent="0.35">
      <c r="F1271" s="70">
        <v>312875</v>
      </c>
      <c r="G1271" s="86" t="s">
        <v>1844</v>
      </c>
      <c r="H1271" s="70">
        <v>0</v>
      </c>
    </row>
    <row r="1272" spans="6:8" x14ac:dyDescent="0.35">
      <c r="F1272" s="70">
        <v>313671</v>
      </c>
      <c r="G1272" s="86" t="s">
        <v>1845</v>
      </c>
      <c r="H1272" s="70">
        <v>0</v>
      </c>
    </row>
    <row r="1273" spans="6:8" x14ac:dyDescent="0.35">
      <c r="F1273" s="70">
        <v>315529</v>
      </c>
      <c r="G1273" s="86" t="s">
        <v>1846</v>
      </c>
      <c r="H1273" s="70">
        <v>0</v>
      </c>
    </row>
    <row r="1274" spans="6:8" x14ac:dyDescent="0.35">
      <c r="F1274" s="70">
        <v>310009</v>
      </c>
      <c r="G1274" s="86" t="s">
        <v>1847</v>
      </c>
      <c r="H1274" s="70">
        <v>0</v>
      </c>
    </row>
    <row r="1275" spans="6:8" x14ac:dyDescent="0.35">
      <c r="F1275" s="70">
        <v>308693</v>
      </c>
      <c r="G1275" s="86" t="s">
        <v>1848</v>
      </c>
      <c r="H1275" s="70">
        <v>0</v>
      </c>
    </row>
    <row r="1276" spans="6:8" x14ac:dyDescent="0.35">
      <c r="F1276" s="70">
        <v>300347</v>
      </c>
      <c r="G1276" s="86" t="s">
        <v>1849</v>
      </c>
      <c r="H1276" s="70">
        <v>0</v>
      </c>
    </row>
    <row r="1277" spans="6:8" x14ac:dyDescent="0.35">
      <c r="F1277" s="70">
        <v>306597</v>
      </c>
      <c r="G1277" s="86" t="s">
        <v>1850</v>
      </c>
      <c r="H1277" s="70">
        <v>0</v>
      </c>
    </row>
    <row r="1278" spans="6:8" x14ac:dyDescent="0.35">
      <c r="F1278" s="70">
        <v>312772</v>
      </c>
      <c r="G1278" s="86" t="s">
        <v>1851</v>
      </c>
      <c r="H1278" s="70">
        <v>0</v>
      </c>
    </row>
    <row r="1279" spans="6:8" x14ac:dyDescent="0.35">
      <c r="F1279" s="70">
        <v>314636</v>
      </c>
      <c r="G1279" s="86" t="s">
        <v>1852</v>
      </c>
      <c r="H1279" s="70">
        <v>0</v>
      </c>
    </row>
    <row r="1280" spans="6:8" x14ac:dyDescent="0.35">
      <c r="F1280" s="70">
        <v>301033</v>
      </c>
      <c r="G1280" s="86" t="s">
        <v>1853</v>
      </c>
      <c r="H1280" s="70">
        <v>0</v>
      </c>
    </row>
    <row r="1281" spans="6:8" x14ac:dyDescent="0.35">
      <c r="F1281" s="70">
        <v>305935</v>
      </c>
      <c r="G1281" s="86" t="s">
        <v>1854</v>
      </c>
      <c r="H1281" s="70">
        <v>0</v>
      </c>
    </row>
    <row r="1282" spans="6:8" x14ac:dyDescent="0.35">
      <c r="F1282" s="70">
        <v>315324</v>
      </c>
      <c r="G1282" s="86" t="s">
        <v>1855</v>
      </c>
      <c r="H1282" s="70">
        <v>0</v>
      </c>
    </row>
    <row r="1283" spans="6:8" x14ac:dyDescent="0.35">
      <c r="F1283" s="70">
        <v>310994</v>
      </c>
      <c r="G1283" s="86" t="s">
        <v>1856</v>
      </c>
      <c r="H1283" s="70">
        <v>0</v>
      </c>
    </row>
    <row r="1284" spans="6:8" x14ac:dyDescent="0.35">
      <c r="F1284" s="70">
        <v>315577</v>
      </c>
      <c r="G1284" s="86" t="s">
        <v>1857</v>
      </c>
      <c r="H1284" s="70">
        <v>0</v>
      </c>
    </row>
    <row r="1285" spans="6:8" x14ac:dyDescent="0.35">
      <c r="F1285" s="70">
        <v>312305</v>
      </c>
      <c r="G1285" s="86" t="s">
        <v>1858</v>
      </c>
      <c r="H1285" s="70">
        <v>0</v>
      </c>
    </row>
    <row r="1286" spans="6:8" x14ac:dyDescent="0.35">
      <c r="F1286" s="70">
        <v>313388</v>
      </c>
      <c r="G1286" s="86" t="s">
        <v>1859</v>
      </c>
      <c r="H1286" s="70">
        <v>0</v>
      </c>
    </row>
    <row r="1287" spans="6:8" x14ac:dyDescent="0.35">
      <c r="F1287" s="70">
        <v>312738</v>
      </c>
      <c r="G1287" s="86" t="s">
        <v>1860</v>
      </c>
      <c r="H1287" s="70">
        <v>0</v>
      </c>
    </row>
    <row r="1288" spans="6:8" x14ac:dyDescent="0.35">
      <c r="F1288" s="70">
        <v>304802</v>
      </c>
      <c r="G1288" s="86" t="s">
        <v>1861</v>
      </c>
      <c r="H1288" s="70">
        <v>0</v>
      </c>
    </row>
    <row r="1289" spans="6:8" x14ac:dyDescent="0.35">
      <c r="F1289" s="70">
        <v>315438</v>
      </c>
      <c r="G1289" s="86" t="s">
        <v>1862</v>
      </c>
      <c r="H1289" s="70">
        <v>0</v>
      </c>
    </row>
    <row r="1290" spans="6:8" x14ac:dyDescent="0.35">
      <c r="F1290" s="70">
        <v>309177</v>
      </c>
      <c r="G1290" s="86" t="s">
        <v>1863</v>
      </c>
      <c r="H1290" s="70">
        <v>0</v>
      </c>
    </row>
    <row r="1291" spans="6:8" x14ac:dyDescent="0.35">
      <c r="F1291" s="70">
        <v>315364</v>
      </c>
      <c r="G1291" s="86" t="s">
        <v>1864</v>
      </c>
      <c r="H1291" s="70">
        <v>0</v>
      </c>
    </row>
    <row r="1292" spans="6:8" x14ac:dyDescent="0.35">
      <c r="F1292" s="70">
        <v>308431</v>
      </c>
      <c r="G1292" s="86" t="s">
        <v>1865</v>
      </c>
      <c r="H1292" s="70">
        <v>0</v>
      </c>
    </row>
    <row r="1293" spans="6:8" x14ac:dyDescent="0.35">
      <c r="F1293" s="70">
        <v>315096</v>
      </c>
      <c r="G1293" s="86" t="s">
        <v>1866</v>
      </c>
      <c r="H1293" s="70">
        <v>0</v>
      </c>
    </row>
    <row r="1294" spans="6:8" x14ac:dyDescent="0.35">
      <c r="F1294" s="70">
        <v>314551</v>
      </c>
      <c r="G1294" s="86" t="s">
        <v>1867</v>
      </c>
      <c r="H1294" s="70">
        <v>0</v>
      </c>
    </row>
    <row r="1295" spans="6:8" x14ac:dyDescent="0.35">
      <c r="F1295" s="70">
        <v>312886</v>
      </c>
      <c r="G1295" s="86" t="s">
        <v>1868</v>
      </c>
      <c r="H1295" s="70">
        <v>0</v>
      </c>
    </row>
    <row r="1296" spans="6:8" x14ac:dyDescent="0.35">
      <c r="F1296" s="70">
        <v>306851</v>
      </c>
      <c r="G1296" s="86" t="s">
        <v>1869</v>
      </c>
      <c r="H1296" s="70">
        <v>0</v>
      </c>
    </row>
    <row r="1297" spans="6:8" x14ac:dyDescent="0.35">
      <c r="F1297" s="70">
        <v>313707</v>
      </c>
      <c r="G1297" s="86" t="s">
        <v>1870</v>
      </c>
      <c r="H1297" s="70">
        <v>0</v>
      </c>
    </row>
    <row r="1298" spans="6:8" x14ac:dyDescent="0.35">
      <c r="F1298" s="70">
        <v>314055</v>
      </c>
      <c r="G1298" s="86" t="s">
        <v>1871</v>
      </c>
      <c r="H1298" s="70">
        <v>0</v>
      </c>
    </row>
    <row r="1299" spans="6:8" x14ac:dyDescent="0.35">
      <c r="F1299" s="70">
        <v>310388</v>
      </c>
      <c r="G1299" s="86" t="s">
        <v>1872</v>
      </c>
      <c r="H1299" s="70">
        <v>0</v>
      </c>
    </row>
    <row r="1300" spans="6:8" x14ac:dyDescent="0.35">
      <c r="F1300" s="70">
        <v>315106</v>
      </c>
      <c r="G1300" s="86" t="s">
        <v>1873</v>
      </c>
      <c r="H1300" s="70">
        <v>0</v>
      </c>
    </row>
    <row r="1301" spans="6:8" x14ac:dyDescent="0.35">
      <c r="F1301" s="70">
        <v>314063</v>
      </c>
      <c r="G1301" s="86" t="s">
        <v>1874</v>
      </c>
      <c r="H1301" s="70">
        <v>0</v>
      </c>
    </row>
    <row r="1302" spans="6:8" x14ac:dyDescent="0.35">
      <c r="F1302" s="70">
        <v>308069</v>
      </c>
      <c r="G1302" s="86" t="s">
        <v>1875</v>
      </c>
      <c r="H1302" s="70">
        <v>0</v>
      </c>
    </row>
    <row r="1303" spans="6:8" x14ac:dyDescent="0.35">
      <c r="F1303" s="70">
        <v>313300</v>
      </c>
      <c r="G1303" s="86" t="s">
        <v>1876</v>
      </c>
      <c r="H1303" s="70">
        <v>0</v>
      </c>
    </row>
    <row r="1304" spans="6:8" x14ac:dyDescent="0.35">
      <c r="F1304" s="70">
        <v>309284</v>
      </c>
      <c r="G1304" s="86" t="s">
        <v>1877</v>
      </c>
      <c r="H1304" s="70">
        <v>0</v>
      </c>
    </row>
    <row r="1305" spans="6:8" x14ac:dyDescent="0.35">
      <c r="F1305" s="70">
        <v>314821</v>
      </c>
      <c r="G1305" s="86" t="s">
        <v>1878</v>
      </c>
      <c r="H1305" s="70">
        <v>0</v>
      </c>
    </row>
    <row r="1306" spans="6:8" x14ac:dyDescent="0.35">
      <c r="F1306" s="70">
        <v>314881</v>
      </c>
      <c r="G1306" s="86" t="s">
        <v>1879</v>
      </c>
      <c r="H1306" s="70">
        <v>0</v>
      </c>
    </row>
    <row r="1307" spans="6:8" x14ac:dyDescent="0.35">
      <c r="F1307" s="70">
        <v>313027</v>
      </c>
      <c r="G1307" s="86" t="s">
        <v>1880</v>
      </c>
      <c r="H1307" s="70">
        <v>0</v>
      </c>
    </row>
    <row r="1308" spans="6:8" x14ac:dyDescent="0.35">
      <c r="F1308" s="70">
        <v>314221</v>
      </c>
      <c r="G1308" s="86" t="s">
        <v>1881</v>
      </c>
      <c r="H1308" s="70">
        <v>0</v>
      </c>
    </row>
    <row r="1309" spans="6:8" x14ac:dyDescent="0.35">
      <c r="F1309" s="70">
        <v>314947</v>
      </c>
      <c r="G1309" s="86" t="s">
        <v>1882</v>
      </c>
      <c r="H1309" s="70">
        <v>0</v>
      </c>
    </row>
    <row r="1310" spans="6:8" x14ac:dyDescent="0.35">
      <c r="F1310" s="70">
        <v>306656</v>
      </c>
      <c r="G1310" s="86" t="s">
        <v>1883</v>
      </c>
      <c r="H1310" s="70">
        <v>0</v>
      </c>
    </row>
    <row r="1311" spans="6:8" x14ac:dyDescent="0.35">
      <c r="F1311" s="70">
        <v>314391</v>
      </c>
      <c r="G1311" s="86" t="s">
        <v>1884</v>
      </c>
      <c r="H1311" s="70">
        <v>0</v>
      </c>
    </row>
    <row r="1312" spans="6:8" x14ac:dyDescent="0.35">
      <c r="F1312" s="70">
        <v>308506</v>
      </c>
      <c r="G1312" s="86" t="s">
        <v>1885</v>
      </c>
      <c r="H1312" s="70">
        <v>0</v>
      </c>
    </row>
    <row r="1313" spans="6:8" x14ac:dyDescent="0.35">
      <c r="F1313" s="70">
        <v>308686</v>
      </c>
      <c r="G1313" s="86" t="s">
        <v>1886</v>
      </c>
      <c r="H1313" s="70">
        <v>0</v>
      </c>
    </row>
    <row r="1314" spans="6:8" x14ac:dyDescent="0.35">
      <c r="F1314" s="70">
        <v>312770</v>
      </c>
      <c r="G1314" s="86" t="s">
        <v>1887</v>
      </c>
      <c r="H1314" s="70">
        <v>0</v>
      </c>
    </row>
    <row r="1315" spans="6:8" x14ac:dyDescent="0.35">
      <c r="F1315" s="70">
        <v>300978</v>
      </c>
      <c r="G1315" s="86" t="s">
        <v>1888</v>
      </c>
      <c r="H1315" s="70">
        <v>0</v>
      </c>
    </row>
    <row r="1316" spans="6:8" x14ac:dyDescent="0.35">
      <c r="F1316" s="70">
        <v>305989</v>
      </c>
      <c r="G1316" s="86" t="s">
        <v>1889</v>
      </c>
      <c r="H1316" s="70">
        <v>0</v>
      </c>
    </row>
    <row r="1317" spans="6:8" x14ac:dyDescent="0.35">
      <c r="F1317" s="70">
        <v>314819</v>
      </c>
      <c r="G1317" s="86" t="s">
        <v>1890</v>
      </c>
      <c r="H1317" s="70">
        <v>0</v>
      </c>
    </row>
    <row r="1318" spans="6:8" x14ac:dyDescent="0.35">
      <c r="F1318" s="70">
        <v>306493</v>
      </c>
      <c r="G1318" s="86" t="s">
        <v>1891</v>
      </c>
      <c r="H1318" s="70">
        <v>0</v>
      </c>
    </row>
    <row r="1319" spans="6:8" x14ac:dyDescent="0.35">
      <c r="F1319" s="70">
        <v>309963</v>
      </c>
      <c r="G1319" s="86" t="s">
        <v>1892</v>
      </c>
      <c r="H1319" s="70">
        <v>0</v>
      </c>
    </row>
    <row r="1320" spans="6:8" x14ac:dyDescent="0.35">
      <c r="F1320" s="70">
        <v>312248</v>
      </c>
      <c r="G1320" s="86" t="s">
        <v>1893</v>
      </c>
      <c r="H1320" s="70">
        <v>0</v>
      </c>
    </row>
    <row r="1321" spans="6:8" x14ac:dyDescent="0.35">
      <c r="F1321" s="70">
        <v>310159</v>
      </c>
      <c r="G1321" s="86" t="s">
        <v>1894</v>
      </c>
      <c r="H1321" s="70">
        <v>0</v>
      </c>
    </row>
    <row r="1322" spans="6:8" x14ac:dyDescent="0.35">
      <c r="F1322" s="70">
        <v>309920</v>
      </c>
      <c r="G1322" s="86" t="s">
        <v>1895</v>
      </c>
      <c r="H1322" s="70">
        <v>0</v>
      </c>
    </row>
    <row r="1323" spans="6:8" x14ac:dyDescent="0.35">
      <c r="F1323" s="70">
        <v>312505</v>
      </c>
      <c r="G1323" s="86" t="s">
        <v>1896</v>
      </c>
      <c r="H1323" s="70">
        <v>0</v>
      </c>
    </row>
    <row r="1324" spans="6:8" x14ac:dyDescent="0.35">
      <c r="F1324" s="70">
        <v>309463</v>
      </c>
      <c r="G1324" s="86" t="s">
        <v>1897</v>
      </c>
      <c r="H1324" s="70">
        <v>0</v>
      </c>
    </row>
    <row r="1325" spans="6:8" x14ac:dyDescent="0.35">
      <c r="F1325" s="70">
        <v>313857</v>
      </c>
      <c r="G1325" s="86" t="s">
        <v>1898</v>
      </c>
      <c r="H1325" s="70">
        <v>0</v>
      </c>
    </row>
    <row r="1326" spans="6:8" x14ac:dyDescent="0.35">
      <c r="F1326" s="70">
        <v>313628</v>
      </c>
      <c r="G1326" s="86" t="s">
        <v>1899</v>
      </c>
      <c r="H1326" s="70">
        <v>0</v>
      </c>
    </row>
    <row r="1327" spans="6:8" x14ac:dyDescent="0.35">
      <c r="F1327" s="70">
        <v>310318</v>
      </c>
      <c r="G1327" s="86" t="s">
        <v>1900</v>
      </c>
      <c r="H1327" s="70">
        <v>0</v>
      </c>
    </row>
    <row r="1328" spans="6:8" x14ac:dyDescent="0.35">
      <c r="F1328" s="70">
        <v>313558</v>
      </c>
      <c r="G1328" s="86" t="s">
        <v>1901</v>
      </c>
      <c r="H1328" s="70">
        <v>0</v>
      </c>
    </row>
    <row r="1329" spans="6:8" x14ac:dyDescent="0.35">
      <c r="F1329" s="70">
        <v>303083</v>
      </c>
      <c r="G1329" s="86" t="s">
        <v>1902</v>
      </c>
      <c r="H1329" s="70">
        <v>0</v>
      </c>
    </row>
    <row r="1330" spans="6:8" x14ac:dyDescent="0.35">
      <c r="F1330" s="70">
        <v>313221</v>
      </c>
      <c r="G1330" s="86" t="s">
        <v>1903</v>
      </c>
      <c r="H1330" s="70">
        <v>0</v>
      </c>
    </row>
    <row r="1331" spans="6:8" x14ac:dyDescent="0.35">
      <c r="F1331" s="70">
        <v>315374</v>
      </c>
      <c r="G1331" s="86" t="s">
        <v>1904</v>
      </c>
      <c r="H1331" s="70">
        <v>0</v>
      </c>
    </row>
    <row r="1332" spans="6:8" x14ac:dyDescent="0.35">
      <c r="F1332" s="70">
        <v>314613</v>
      </c>
      <c r="G1332" s="86" t="s">
        <v>1905</v>
      </c>
      <c r="H1332" s="70">
        <v>0</v>
      </c>
    </row>
    <row r="1333" spans="6:8" x14ac:dyDescent="0.35">
      <c r="F1333" s="70">
        <v>308434</v>
      </c>
      <c r="G1333" s="86" t="s">
        <v>1906</v>
      </c>
      <c r="H1333" s="70">
        <v>0</v>
      </c>
    </row>
    <row r="1334" spans="6:8" x14ac:dyDescent="0.35">
      <c r="F1334" s="70">
        <v>313725</v>
      </c>
      <c r="G1334" s="86" t="s">
        <v>1907</v>
      </c>
      <c r="H1334" s="70">
        <v>0</v>
      </c>
    </row>
    <row r="1335" spans="6:8" x14ac:dyDescent="0.35">
      <c r="F1335" s="70">
        <v>314562</v>
      </c>
      <c r="G1335" s="86" t="s">
        <v>1908</v>
      </c>
      <c r="H1335" s="70">
        <v>0</v>
      </c>
    </row>
    <row r="1336" spans="6:8" x14ac:dyDescent="0.35">
      <c r="F1336" s="70">
        <v>311581</v>
      </c>
      <c r="G1336" s="86" t="s">
        <v>1909</v>
      </c>
      <c r="H1336" s="70">
        <v>0</v>
      </c>
    </row>
    <row r="1337" spans="6:8" x14ac:dyDescent="0.35">
      <c r="F1337" s="70">
        <v>312579</v>
      </c>
      <c r="G1337" s="86" t="s">
        <v>1910</v>
      </c>
      <c r="H1337" s="70">
        <v>0</v>
      </c>
    </row>
    <row r="1338" spans="6:8" x14ac:dyDescent="0.35">
      <c r="F1338" s="70">
        <v>315433</v>
      </c>
      <c r="G1338" s="86" t="s">
        <v>1911</v>
      </c>
      <c r="H1338" s="70">
        <v>0</v>
      </c>
    </row>
    <row r="1339" spans="6:8" x14ac:dyDescent="0.35">
      <c r="F1339" s="70">
        <v>311486</v>
      </c>
      <c r="G1339" s="86" t="s">
        <v>1912</v>
      </c>
      <c r="H1339" s="70">
        <v>0</v>
      </c>
    </row>
    <row r="1340" spans="6:8" x14ac:dyDescent="0.35">
      <c r="F1340" s="70">
        <v>315060</v>
      </c>
      <c r="G1340" s="86" t="s">
        <v>1913</v>
      </c>
      <c r="H1340" s="70">
        <v>0</v>
      </c>
    </row>
    <row r="1341" spans="6:8" x14ac:dyDescent="0.35">
      <c r="F1341" s="70">
        <v>312632</v>
      </c>
      <c r="G1341" s="86" t="s">
        <v>1914</v>
      </c>
      <c r="H1341" s="70">
        <v>0</v>
      </c>
    </row>
    <row r="1342" spans="6:8" x14ac:dyDescent="0.35">
      <c r="F1342" s="70">
        <v>312988</v>
      </c>
      <c r="G1342" s="86" t="s">
        <v>1915</v>
      </c>
      <c r="H1342" s="70">
        <v>0</v>
      </c>
    </row>
    <row r="1343" spans="6:8" x14ac:dyDescent="0.35">
      <c r="F1343" s="70">
        <v>305872</v>
      </c>
      <c r="G1343" s="86" t="s">
        <v>1916</v>
      </c>
      <c r="H1343" s="70">
        <v>0</v>
      </c>
    </row>
    <row r="1344" spans="6:8" x14ac:dyDescent="0.35">
      <c r="F1344" s="70">
        <v>312087</v>
      </c>
      <c r="G1344" s="86" t="s">
        <v>1917</v>
      </c>
      <c r="H1344" s="70">
        <v>0</v>
      </c>
    </row>
    <row r="1345" spans="6:8" x14ac:dyDescent="0.35">
      <c r="F1345" s="70">
        <v>312317</v>
      </c>
      <c r="G1345" s="86" t="s">
        <v>1918</v>
      </c>
      <c r="H1345" s="70">
        <v>0</v>
      </c>
    </row>
    <row r="1346" spans="6:8" x14ac:dyDescent="0.35">
      <c r="F1346" s="70">
        <v>313057</v>
      </c>
      <c r="G1346" s="86" t="s">
        <v>1919</v>
      </c>
      <c r="H1346" s="70">
        <v>0</v>
      </c>
    </row>
    <row r="1347" spans="6:8" x14ac:dyDescent="0.35">
      <c r="F1347" s="70">
        <v>314700</v>
      </c>
      <c r="G1347" s="86" t="s">
        <v>1920</v>
      </c>
      <c r="H1347" s="70">
        <v>0</v>
      </c>
    </row>
    <row r="1348" spans="6:8" x14ac:dyDescent="0.35">
      <c r="F1348" s="70">
        <v>314280</v>
      </c>
      <c r="G1348" s="86" t="s">
        <v>1921</v>
      </c>
      <c r="H1348" s="70">
        <v>0</v>
      </c>
    </row>
    <row r="1349" spans="6:8" x14ac:dyDescent="0.35">
      <c r="F1349" s="70">
        <v>314388</v>
      </c>
      <c r="G1349" s="86" t="s">
        <v>1922</v>
      </c>
      <c r="H1349" s="70">
        <v>0</v>
      </c>
    </row>
    <row r="1350" spans="6:8" x14ac:dyDescent="0.35">
      <c r="F1350" s="70">
        <v>310717</v>
      </c>
      <c r="G1350" s="86" t="s">
        <v>1923</v>
      </c>
      <c r="H1350" s="70">
        <v>0</v>
      </c>
    </row>
    <row r="1351" spans="6:8" x14ac:dyDescent="0.35">
      <c r="F1351" s="70">
        <v>314472</v>
      </c>
      <c r="G1351" s="86" t="s">
        <v>1924</v>
      </c>
      <c r="H1351" s="70">
        <v>0</v>
      </c>
    </row>
    <row r="1352" spans="6:8" x14ac:dyDescent="0.35">
      <c r="F1352" s="70">
        <v>310871</v>
      </c>
      <c r="G1352" s="86" t="s">
        <v>1925</v>
      </c>
      <c r="H1352" s="70">
        <v>0</v>
      </c>
    </row>
    <row r="1353" spans="6:8" x14ac:dyDescent="0.35">
      <c r="F1353" s="70">
        <v>302802</v>
      </c>
      <c r="G1353" s="86" t="s">
        <v>1926</v>
      </c>
      <c r="H1353" s="70">
        <v>0</v>
      </c>
    </row>
    <row r="1354" spans="6:8" x14ac:dyDescent="0.35">
      <c r="F1354" s="70">
        <v>310778</v>
      </c>
      <c r="G1354" s="86" t="s">
        <v>1927</v>
      </c>
      <c r="H1354" s="70">
        <v>0</v>
      </c>
    </row>
    <row r="1355" spans="6:8" x14ac:dyDescent="0.35">
      <c r="F1355" s="70">
        <v>309651</v>
      </c>
      <c r="G1355" s="86" t="s">
        <v>1928</v>
      </c>
      <c r="H1355" s="70">
        <v>0</v>
      </c>
    </row>
    <row r="1356" spans="6:8" x14ac:dyDescent="0.35">
      <c r="F1356" s="70">
        <v>315308</v>
      </c>
      <c r="G1356" s="86" t="s">
        <v>1929</v>
      </c>
      <c r="H1356" s="70">
        <v>0</v>
      </c>
    </row>
    <row r="1357" spans="6:8" x14ac:dyDescent="0.35">
      <c r="F1357" s="70">
        <v>306856</v>
      </c>
      <c r="G1357" s="86" t="s">
        <v>1930</v>
      </c>
      <c r="H1357" s="70">
        <v>0</v>
      </c>
    </row>
    <row r="1358" spans="6:8" x14ac:dyDescent="0.35">
      <c r="F1358" s="70">
        <v>313411</v>
      </c>
      <c r="G1358" s="86" t="s">
        <v>1931</v>
      </c>
      <c r="H1358" s="70">
        <v>0</v>
      </c>
    </row>
    <row r="1359" spans="6:8" x14ac:dyDescent="0.35">
      <c r="F1359" s="70">
        <v>312665</v>
      </c>
      <c r="G1359" s="86" t="s">
        <v>1932</v>
      </c>
      <c r="H1359" s="70">
        <v>0</v>
      </c>
    </row>
    <row r="1360" spans="6:8" x14ac:dyDescent="0.35">
      <c r="F1360" s="70">
        <v>314042</v>
      </c>
      <c r="G1360" s="86" t="s">
        <v>1933</v>
      </c>
      <c r="H1360" s="70">
        <v>0</v>
      </c>
    </row>
    <row r="1361" spans="6:8" x14ac:dyDescent="0.35">
      <c r="F1361" s="70">
        <v>313161</v>
      </c>
      <c r="G1361" s="86" t="s">
        <v>1934</v>
      </c>
      <c r="H1361" s="70">
        <v>0</v>
      </c>
    </row>
    <row r="1362" spans="6:8" x14ac:dyDescent="0.35">
      <c r="F1362" s="94">
        <v>314783</v>
      </c>
      <c r="G1362" s="84" t="s">
        <v>1935</v>
      </c>
      <c r="H1362" s="70">
        <v>0</v>
      </c>
    </row>
    <row r="1363" spans="6:8" x14ac:dyDescent="0.35">
      <c r="F1363" s="94">
        <v>311880</v>
      </c>
      <c r="G1363" s="84" t="s">
        <v>1936</v>
      </c>
      <c r="H1363" s="70">
        <v>0</v>
      </c>
    </row>
    <row r="1364" spans="6:8" x14ac:dyDescent="0.35">
      <c r="F1364" s="94">
        <v>313031</v>
      </c>
      <c r="G1364" s="84" t="s">
        <v>1937</v>
      </c>
      <c r="H1364" s="70">
        <v>0</v>
      </c>
    </row>
    <row r="1365" spans="6:8" x14ac:dyDescent="0.35">
      <c r="F1365" s="94">
        <v>313155</v>
      </c>
      <c r="G1365" s="84" t="s">
        <v>1938</v>
      </c>
      <c r="H1365" s="70">
        <v>0</v>
      </c>
    </row>
    <row r="1366" spans="6:8" x14ac:dyDescent="0.35">
      <c r="F1366" s="94">
        <v>314858</v>
      </c>
      <c r="G1366" s="84" t="s">
        <v>1939</v>
      </c>
      <c r="H1366" s="70">
        <v>0</v>
      </c>
    </row>
    <row r="1367" spans="6:8" x14ac:dyDescent="0.35">
      <c r="F1367" s="94">
        <v>315188</v>
      </c>
      <c r="G1367" s="84" t="s">
        <v>1940</v>
      </c>
      <c r="H1367" s="70">
        <v>0</v>
      </c>
    </row>
    <row r="1368" spans="6:8" x14ac:dyDescent="0.35">
      <c r="F1368" s="94">
        <v>314690</v>
      </c>
      <c r="G1368" s="84" t="s">
        <v>1941</v>
      </c>
      <c r="H1368" s="70">
        <v>0</v>
      </c>
    </row>
    <row r="1369" spans="6:8" x14ac:dyDescent="0.35">
      <c r="F1369" s="94">
        <v>309417</v>
      </c>
      <c r="G1369" s="84" t="s">
        <v>1942</v>
      </c>
      <c r="H1369" s="70">
        <v>0</v>
      </c>
    </row>
    <row r="1370" spans="6:8" x14ac:dyDescent="0.35">
      <c r="F1370" s="94">
        <v>314284</v>
      </c>
      <c r="G1370" s="84" t="s">
        <v>1943</v>
      </c>
      <c r="H1370" s="70">
        <v>0</v>
      </c>
    </row>
    <row r="1371" spans="6:8" x14ac:dyDescent="0.35">
      <c r="F1371" s="94">
        <v>312424</v>
      </c>
      <c r="G1371" s="84" t="s">
        <v>1944</v>
      </c>
      <c r="H1371" s="70">
        <v>0</v>
      </c>
    </row>
    <row r="1372" spans="6:8" x14ac:dyDescent="0.35">
      <c r="F1372" s="94">
        <v>313081</v>
      </c>
      <c r="G1372" s="84" t="s">
        <v>1945</v>
      </c>
      <c r="H1372" s="70">
        <v>0</v>
      </c>
    </row>
    <row r="1373" spans="6:8" x14ac:dyDescent="0.35">
      <c r="F1373" s="94">
        <v>315184</v>
      </c>
      <c r="G1373" s="84" t="s">
        <v>1946</v>
      </c>
      <c r="H1373" s="70">
        <v>0</v>
      </c>
    </row>
    <row r="1374" spans="6:8" x14ac:dyDescent="0.35">
      <c r="F1374" s="94">
        <v>315248</v>
      </c>
      <c r="G1374" s="84" t="s">
        <v>1947</v>
      </c>
      <c r="H1374" s="70">
        <v>0</v>
      </c>
    </row>
    <row r="1375" spans="6:8" x14ac:dyDescent="0.35">
      <c r="F1375" s="94">
        <v>314982</v>
      </c>
      <c r="G1375" s="84" t="s">
        <v>1948</v>
      </c>
      <c r="H1375" s="70">
        <v>0</v>
      </c>
    </row>
    <row r="1376" spans="6:8" x14ac:dyDescent="0.35">
      <c r="F1376" s="94">
        <v>312859</v>
      </c>
      <c r="G1376" s="84" t="s">
        <v>1949</v>
      </c>
      <c r="H1376" s="70">
        <v>0</v>
      </c>
    </row>
    <row r="1377" spans="6:8" x14ac:dyDescent="0.35">
      <c r="F1377" s="94">
        <v>315040</v>
      </c>
      <c r="G1377" s="84" t="s">
        <v>1950</v>
      </c>
      <c r="H1377" s="70">
        <v>0</v>
      </c>
    </row>
    <row r="1378" spans="6:8" x14ac:dyDescent="0.35">
      <c r="F1378" s="94">
        <v>315061</v>
      </c>
      <c r="G1378" s="84" t="s">
        <v>1951</v>
      </c>
      <c r="H1378" s="70">
        <v>0</v>
      </c>
    </row>
    <row r="1379" spans="6:8" x14ac:dyDescent="0.35">
      <c r="F1379" s="94">
        <v>314923</v>
      </c>
      <c r="G1379" s="84" t="s">
        <v>1952</v>
      </c>
      <c r="H1379" s="70">
        <v>0</v>
      </c>
    </row>
    <row r="1380" spans="6:8" x14ac:dyDescent="0.35">
      <c r="F1380" s="94">
        <v>314511</v>
      </c>
      <c r="G1380" s="84" t="s">
        <v>1953</v>
      </c>
      <c r="H1380" s="70">
        <v>0</v>
      </c>
    </row>
    <row r="1381" spans="6:8" x14ac:dyDescent="0.35">
      <c r="F1381" s="94">
        <v>315316</v>
      </c>
      <c r="G1381" s="84" t="s">
        <v>1954</v>
      </c>
      <c r="H1381" s="70">
        <v>0</v>
      </c>
    </row>
    <row r="1382" spans="6:8" x14ac:dyDescent="0.35">
      <c r="F1382" s="94">
        <v>314538</v>
      </c>
      <c r="G1382" s="84" t="s">
        <v>1955</v>
      </c>
      <c r="H1382" s="70">
        <v>0</v>
      </c>
    </row>
    <row r="1383" spans="6:8" x14ac:dyDescent="0.35">
      <c r="F1383" s="94">
        <v>315046</v>
      </c>
      <c r="G1383" s="84" t="s">
        <v>1956</v>
      </c>
      <c r="H1383" s="70">
        <v>0</v>
      </c>
    </row>
    <row r="1384" spans="6:8" x14ac:dyDescent="0.35">
      <c r="F1384" s="94">
        <v>314652</v>
      </c>
      <c r="G1384" s="84" t="s">
        <v>1957</v>
      </c>
      <c r="H1384" s="70">
        <v>0</v>
      </c>
    </row>
    <row r="1385" spans="6:8" x14ac:dyDescent="0.35">
      <c r="F1385" s="94">
        <v>314440</v>
      </c>
      <c r="G1385" s="84" t="s">
        <v>1958</v>
      </c>
      <c r="H1385" s="70">
        <v>0</v>
      </c>
    </row>
    <row r="1386" spans="6:8" x14ac:dyDescent="0.35">
      <c r="F1386" s="94">
        <v>315249</v>
      </c>
      <c r="G1386" s="84" t="s">
        <v>1959</v>
      </c>
      <c r="H1386" s="70">
        <v>0</v>
      </c>
    </row>
    <row r="1387" spans="6:8" x14ac:dyDescent="0.35">
      <c r="F1387" s="94">
        <v>315301</v>
      </c>
      <c r="G1387" s="84" t="s">
        <v>1960</v>
      </c>
      <c r="H1387" s="70">
        <v>0</v>
      </c>
    </row>
    <row r="1388" spans="6:8" x14ac:dyDescent="0.35">
      <c r="F1388" s="94">
        <v>313008</v>
      </c>
      <c r="G1388" s="84" t="s">
        <v>1961</v>
      </c>
      <c r="H1388" s="70">
        <v>0</v>
      </c>
    </row>
    <row r="1389" spans="6:8" x14ac:dyDescent="0.35">
      <c r="F1389" s="94">
        <v>309110</v>
      </c>
      <c r="G1389" s="84" t="s">
        <v>1962</v>
      </c>
      <c r="H1389" s="70">
        <v>0</v>
      </c>
    </row>
    <row r="1390" spans="6:8" x14ac:dyDescent="0.35">
      <c r="F1390" s="94">
        <v>312944</v>
      </c>
      <c r="G1390" s="84" t="s">
        <v>1963</v>
      </c>
      <c r="H1390" s="70">
        <v>0</v>
      </c>
    </row>
    <row r="1391" spans="6:8" x14ac:dyDescent="0.35">
      <c r="F1391" s="94">
        <v>314043</v>
      </c>
      <c r="G1391" s="84" t="s">
        <v>1964</v>
      </c>
      <c r="H1391" s="70">
        <v>0</v>
      </c>
    </row>
    <row r="1392" spans="6:8" x14ac:dyDescent="0.35">
      <c r="F1392" s="94">
        <v>308753</v>
      </c>
      <c r="G1392" s="84" t="s">
        <v>1965</v>
      </c>
      <c r="H1392" s="70">
        <v>0</v>
      </c>
    </row>
    <row r="1393" spans="6:8" x14ac:dyDescent="0.35">
      <c r="F1393" s="94">
        <v>312219</v>
      </c>
      <c r="G1393" s="84" t="s">
        <v>1966</v>
      </c>
      <c r="H1393" s="70">
        <v>0</v>
      </c>
    </row>
    <row r="1394" spans="6:8" x14ac:dyDescent="0.35">
      <c r="F1394" s="94">
        <v>314664</v>
      </c>
      <c r="G1394" s="84" t="s">
        <v>1967</v>
      </c>
      <c r="H1394" s="70">
        <v>0</v>
      </c>
    </row>
    <row r="1395" spans="6:8" x14ac:dyDescent="0.35">
      <c r="F1395" s="94">
        <v>315314</v>
      </c>
      <c r="G1395" s="84" t="s">
        <v>1968</v>
      </c>
      <c r="H1395" s="70">
        <v>0</v>
      </c>
    </row>
    <row r="1396" spans="6:8" x14ac:dyDescent="0.35">
      <c r="F1396" s="94">
        <v>309750</v>
      </c>
      <c r="G1396" s="84" t="s">
        <v>1969</v>
      </c>
      <c r="H1396" s="70">
        <v>0</v>
      </c>
    </row>
    <row r="1397" spans="6:8" x14ac:dyDescent="0.35">
      <c r="F1397" s="94">
        <v>307867</v>
      </c>
      <c r="G1397" s="84" t="s">
        <v>1970</v>
      </c>
      <c r="H1397" s="70">
        <v>0</v>
      </c>
    </row>
    <row r="1398" spans="6:8" x14ac:dyDescent="0.35">
      <c r="F1398" s="94">
        <v>313410</v>
      </c>
      <c r="G1398" s="84" t="s">
        <v>1971</v>
      </c>
      <c r="H1398" s="70">
        <v>0</v>
      </c>
    </row>
    <row r="1399" spans="6:8" x14ac:dyDescent="0.35">
      <c r="F1399" s="94">
        <v>315157</v>
      </c>
      <c r="G1399" s="84" t="s">
        <v>1972</v>
      </c>
      <c r="H1399" s="70">
        <v>0</v>
      </c>
    </row>
    <row r="1400" spans="6:8" x14ac:dyDescent="0.35">
      <c r="F1400" s="94">
        <v>303878</v>
      </c>
      <c r="G1400" s="84" t="s">
        <v>1973</v>
      </c>
      <c r="H1400" s="70">
        <v>0</v>
      </c>
    </row>
    <row r="1401" spans="6:8" x14ac:dyDescent="0.35">
      <c r="F1401" s="94">
        <v>315187</v>
      </c>
      <c r="G1401" s="84" t="s">
        <v>1974</v>
      </c>
      <c r="H1401" s="70">
        <v>0</v>
      </c>
    </row>
    <row r="1402" spans="6:8" x14ac:dyDescent="0.35">
      <c r="F1402" s="94">
        <v>310537</v>
      </c>
      <c r="G1402" s="84" t="s">
        <v>1975</v>
      </c>
      <c r="H1402" s="70">
        <v>0</v>
      </c>
    </row>
    <row r="1403" spans="6:8" x14ac:dyDescent="0.35">
      <c r="F1403" s="94">
        <v>314578</v>
      </c>
      <c r="G1403" s="84" t="s">
        <v>1976</v>
      </c>
      <c r="H1403" s="70">
        <v>0</v>
      </c>
    </row>
    <row r="1404" spans="6:8" x14ac:dyDescent="0.35">
      <c r="F1404" s="94">
        <v>315331</v>
      </c>
      <c r="G1404" s="84" t="s">
        <v>1977</v>
      </c>
      <c r="H1404" s="70">
        <v>0</v>
      </c>
    </row>
    <row r="1405" spans="6:8" x14ac:dyDescent="0.35">
      <c r="F1405" s="94">
        <v>314950</v>
      </c>
      <c r="G1405" s="84" t="s">
        <v>1978</v>
      </c>
      <c r="H1405" s="70">
        <v>0</v>
      </c>
    </row>
    <row r="1406" spans="6:8" x14ac:dyDescent="0.35">
      <c r="F1406" s="94">
        <v>312575</v>
      </c>
      <c r="G1406" s="84" t="s">
        <v>1979</v>
      </c>
      <c r="H1406" s="70">
        <v>0</v>
      </c>
    </row>
    <row r="1407" spans="6:8" x14ac:dyDescent="0.35">
      <c r="F1407" s="94">
        <v>309102</v>
      </c>
      <c r="G1407" s="84" t="s">
        <v>1980</v>
      </c>
      <c r="H1407" s="70">
        <v>0</v>
      </c>
    </row>
    <row r="1408" spans="6:8" x14ac:dyDescent="0.35">
      <c r="F1408" s="94">
        <v>313516</v>
      </c>
      <c r="G1408" s="84" t="s">
        <v>1981</v>
      </c>
      <c r="H1408" s="70">
        <v>0</v>
      </c>
    </row>
    <row r="1409" spans="6:8" x14ac:dyDescent="0.35">
      <c r="F1409" s="94">
        <v>314786</v>
      </c>
      <c r="G1409" s="84" t="s">
        <v>1982</v>
      </c>
      <c r="H1409" s="70">
        <v>0</v>
      </c>
    </row>
    <row r="1410" spans="6:8" x14ac:dyDescent="0.35">
      <c r="F1410" s="94">
        <v>313482</v>
      </c>
      <c r="G1410" s="84" t="s">
        <v>1983</v>
      </c>
      <c r="H1410" s="70">
        <v>0</v>
      </c>
    </row>
    <row r="1411" spans="6:8" x14ac:dyDescent="0.35">
      <c r="F1411" s="94">
        <v>313642</v>
      </c>
      <c r="G1411" s="84" t="s">
        <v>1984</v>
      </c>
      <c r="H1411" s="70">
        <v>0</v>
      </c>
    </row>
    <row r="1412" spans="6:8" x14ac:dyDescent="0.35">
      <c r="F1412" s="94">
        <v>314734</v>
      </c>
      <c r="G1412" s="84" t="s">
        <v>1985</v>
      </c>
      <c r="H1412" s="70">
        <v>0</v>
      </c>
    </row>
    <row r="1413" spans="6:8" x14ac:dyDescent="0.35">
      <c r="F1413" s="94">
        <v>312551</v>
      </c>
      <c r="G1413" s="84" t="s">
        <v>1986</v>
      </c>
      <c r="H1413" s="70">
        <v>0</v>
      </c>
    </row>
    <row r="1414" spans="6:8" x14ac:dyDescent="0.35">
      <c r="F1414" s="94">
        <v>311524</v>
      </c>
      <c r="G1414" s="84" t="s">
        <v>1987</v>
      </c>
      <c r="H1414" s="70">
        <v>0</v>
      </c>
    </row>
    <row r="1415" spans="6:8" x14ac:dyDescent="0.35">
      <c r="F1415" s="94">
        <v>309360</v>
      </c>
      <c r="G1415" s="84" t="s">
        <v>1988</v>
      </c>
      <c r="H1415" s="70">
        <v>0</v>
      </c>
    </row>
    <row r="1416" spans="6:8" x14ac:dyDescent="0.35">
      <c r="F1416" s="94">
        <v>309560</v>
      </c>
      <c r="G1416" s="84" t="s">
        <v>1989</v>
      </c>
      <c r="H1416" s="70">
        <v>0</v>
      </c>
    </row>
    <row r="1417" spans="6:8" x14ac:dyDescent="0.35">
      <c r="F1417" s="94">
        <v>313834</v>
      </c>
      <c r="G1417" s="84" t="s">
        <v>1990</v>
      </c>
      <c r="H1417" s="70">
        <v>0</v>
      </c>
    </row>
    <row r="1418" spans="6:8" x14ac:dyDescent="0.35">
      <c r="F1418" s="94">
        <v>312983</v>
      </c>
      <c r="G1418" s="84" t="s">
        <v>1991</v>
      </c>
      <c r="H1418" s="70">
        <v>0</v>
      </c>
    </row>
    <row r="1419" spans="6:8" x14ac:dyDescent="0.35">
      <c r="F1419" s="94">
        <v>313043</v>
      </c>
      <c r="G1419" s="84" t="s">
        <v>1992</v>
      </c>
      <c r="H1419" s="70">
        <v>0</v>
      </c>
    </row>
    <row r="1420" spans="6:8" x14ac:dyDescent="0.35">
      <c r="F1420" s="94">
        <v>315052</v>
      </c>
      <c r="G1420" s="84" t="s">
        <v>1993</v>
      </c>
      <c r="H1420" s="70">
        <v>0</v>
      </c>
    </row>
    <row r="1421" spans="6:8" x14ac:dyDescent="0.35">
      <c r="F1421" s="94">
        <v>311322</v>
      </c>
      <c r="G1421" s="84" t="s">
        <v>1994</v>
      </c>
      <c r="H1421" s="70">
        <v>0</v>
      </c>
    </row>
    <row r="1422" spans="6:8" x14ac:dyDescent="0.35">
      <c r="F1422" s="94">
        <v>313852</v>
      </c>
      <c r="G1422" s="84" t="s">
        <v>1995</v>
      </c>
      <c r="H1422" s="70">
        <v>0</v>
      </c>
    </row>
    <row r="1423" spans="6:8" x14ac:dyDescent="0.35">
      <c r="F1423" s="94">
        <v>310326</v>
      </c>
      <c r="G1423" s="84" t="s">
        <v>1996</v>
      </c>
      <c r="H1423" s="70">
        <v>0</v>
      </c>
    </row>
    <row r="1424" spans="6:8" x14ac:dyDescent="0.35">
      <c r="F1424" s="94">
        <v>312039</v>
      </c>
      <c r="G1424" s="84" t="s">
        <v>1997</v>
      </c>
      <c r="H1424" s="70">
        <v>0</v>
      </c>
    </row>
    <row r="1425" spans="6:8" x14ac:dyDescent="0.35">
      <c r="F1425" s="94">
        <v>315030</v>
      </c>
      <c r="G1425" s="84" t="s">
        <v>1998</v>
      </c>
      <c r="H1425" s="70">
        <v>0</v>
      </c>
    </row>
    <row r="1426" spans="6:8" x14ac:dyDescent="0.35">
      <c r="F1426" s="94">
        <v>314898</v>
      </c>
      <c r="G1426" s="84" t="s">
        <v>1999</v>
      </c>
      <c r="H1426" s="70">
        <v>0</v>
      </c>
    </row>
    <row r="1427" spans="6:8" x14ac:dyDescent="0.35">
      <c r="F1427" s="94">
        <v>315306</v>
      </c>
      <c r="G1427" s="84" t="s">
        <v>2000</v>
      </c>
      <c r="H1427" s="70">
        <v>0</v>
      </c>
    </row>
    <row r="1428" spans="6:8" x14ac:dyDescent="0.35">
      <c r="F1428" s="94">
        <v>315370</v>
      </c>
      <c r="G1428" s="84" t="s">
        <v>2001</v>
      </c>
      <c r="H1428" s="70">
        <v>0</v>
      </c>
    </row>
    <row r="1429" spans="6:8" x14ac:dyDescent="0.35">
      <c r="F1429" s="94">
        <v>315354</v>
      </c>
      <c r="G1429" s="84" t="s">
        <v>2002</v>
      </c>
      <c r="H1429" s="70">
        <v>0</v>
      </c>
    </row>
    <row r="1430" spans="6:8" x14ac:dyDescent="0.35">
      <c r="F1430" s="94">
        <v>314676</v>
      </c>
      <c r="G1430" s="84" t="s">
        <v>2003</v>
      </c>
      <c r="H1430" s="70">
        <v>0</v>
      </c>
    </row>
    <row r="1431" spans="6:8" x14ac:dyDescent="0.35">
      <c r="F1431" s="94">
        <v>314069</v>
      </c>
      <c r="G1431" s="84" t="s">
        <v>2004</v>
      </c>
      <c r="H1431" s="70">
        <v>0</v>
      </c>
    </row>
    <row r="1432" spans="6:8" x14ac:dyDescent="0.35">
      <c r="F1432" s="94">
        <v>315328</v>
      </c>
      <c r="G1432" s="84" t="s">
        <v>2005</v>
      </c>
      <c r="H1432" s="70">
        <v>0</v>
      </c>
    </row>
    <row r="1433" spans="6:8" x14ac:dyDescent="0.35">
      <c r="F1433" s="94">
        <v>314629</v>
      </c>
      <c r="G1433" s="84" t="s">
        <v>2006</v>
      </c>
      <c r="H1433" s="70">
        <v>0</v>
      </c>
    </row>
    <row r="1434" spans="6:8" x14ac:dyDescent="0.35">
      <c r="F1434" s="94">
        <v>314358</v>
      </c>
      <c r="G1434" s="84" t="s">
        <v>2007</v>
      </c>
      <c r="H1434" s="70">
        <v>0</v>
      </c>
    </row>
    <row r="1435" spans="6:8" x14ac:dyDescent="0.35">
      <c r="F1435" s="94">
        <v>314090</v>
      </c>
      <c r="G1435" s="84" t="s">
        <v>2008</v>
      </c>
      <c r="H1435" s="70">
        <v>0</v>
      </c>
    </row>
    <row r="1436" spans="6:8" x14ac:dyDescent="0.35">
      <c r="F1436" s="94">
        <v>311202</v>
      </c>
      <c r="G1436" s="84" t="s">
        <v>2009</v>
      </c>
      <c r="H1436" s="70">
        <v>0</v>
      </c>
    </row>
    <row r="1437" spans="6:8" x14ac:dyDescent="0.35">
      <c r="F1437" s="94">
        <v>314693</v>
      </c>
      <c r="G1437" s="84" t="s">
        <v>2010</v>
      </c>
      <c r="H1437" s="70">
        <v>0</v>
      </c>
    </row>
    <row r="1438" spans="6:8" x14ac:dyDescent="0.35">
      <c r="F1438" s="94">
        <v>307008</v>
      </c>
      <c r="G1438" s="84" t="s">
        <v>2011</v>
      </c>
      <c r="H1438" s="70">
        <v>0</v>
      </c>
    </row>
    <row r="1439" spans="6:8" x14ac:dyDescent="0.35">
      <c r="F1439" s="94">
        <v>313003</v>
      </c>
      <c r="G1439" s="84" t="s">
        <v>2012</v>
      </c>
      <c r="H1439" s="70">
        <v>0</v>
      </c>
    </row>
    <row r="1440" spans="6:8" x14ac:dyDescent="0.35">
      <c r="F1440" s="94">
        <v>315224</v>
      </c>
      <c r="G1440" s="84" t="s">
        <v>2013</v>
      </c>
      <c r="H1440" s="70">
        <v>0</v>
      </c>
    </row>
    <row r="1441" spans="6:8" x14ac:dyDescent="0.35">
      <c r="F1441" s="94">
        <v>315178</v>
      </c>
      <c r="G1441" s="84" t="s">
        <v>2014</v>
      </c>
      <c r="H1441" s="70">
        <v>0</v>
      </c>
    </row>
    <row r="1442" spans="6:8" x14ac:dyDescent="0.35">
      <c r="F1442" s="94">
        <v>314040</v>
      </c>
      <c r="G1442" s="84" t="s">
        <v>2015</v>
      </c>
      <c r="H1442" s="70">
        <v>0</v>
      </c>
    </row>
    <row r="1443" spans="6:8" x14ac:dyDescent="0.35">
      <c r="F1443" s="94">
        <v>315172</v>
      </c>
      <c r="G1443" s="84" t="s">
        <v>2016</v>
      </c>
      <c r="H1443" s="70">
        <v>0</v>
      </c>
    </row>
    <row r="1444" spans="6:8" x14ac:dyDescent="0.35">
      <c r="F1444" s="94">
        <v>314726</v>
      </c>
      <c r="G1444" s="84" t="s">
        <v>2017</v>
      </c>
      <c r="H1444" s="70">
        <v>0</v>
      </c>
    </row>
    <row r="1445" spans="6:8" x14ac:dyDescent="0.35">
      <c r="F1445" s="94">
        <v>306350</v>
      </c>
      <c r="G1445" s="84" t="s">
        <v>2018</v>
      </c>
      <c r="H1445" s="70">
        <v>0</v>
      </c>
    </row>
    <row r="1446" spans="6:8" x14ac:dyDescent="0.35">
      <c r="F1446" s="94">
        <v>314282</v>
      </c>
      <c r="G1446" s="84" t="s">
        <v>2019</v>
      </c>
      <c r="H1446" s="70">
        <v>0</v>
      </c>
    </row>
    <row r="1447" spans="6:8" x14ac:dyDescent="0.35">
      <c r="F1447" s="94">
        <v>314675</v>
      </c>
      <c r="G1447" s="84" t="s">
        <v>2020</v>
      </c>
      <c r="H1447" s="70">
        <v>0</v>
      </c>
    </row>
    <row r="1448" spans="6:8" x14ac:dyDescent="0.35">
      <c r="F1448" s="94">
        <v>313056</v>
      </c>
      <c r="G1448" s="84" t="s">
        <v>2021</v>
      </c>
      <c r="H1448" s="70">
        <v>0</v>
      </c>
    </row>
    <row r="1449" spans="6:8" x14ac:dyDescent="0.35">
      <c r="F1449" s="94">
        <v>311573</v>
      </c>
      <c r="G1449" s="84" t="s">
        <v>2022</v>
      </c>
      <c r="H1449" s="70">
        <v>0</v>
      </c>
    </row>
    <row r="1450" spans="6:8" x14ac:dyDescent="0.35">
      <c r="F1450" s="94">
        <v>313661</v>
      </c>
      <c r="G1450" s="84" t="s">
        <v>2023</v>
      </c>
      <c r="H1450" s="70">
        <v>0</v>
      </c>
    </row>
    <row r="1451" spans="6:8" x14ac:dyDescent="0.35">
      <c r="F1451" s="94">
        <v>314134</v>
      </c>
      <c r="G1451" s="84" t="s">
        <v>2024</v>
      </c>
      <c r="H1451" s="70">
        <v>0</v>
      </c>
    </row>
    <row r="1452" spans="6:8" x14ac:dyDescent="0.35">
      <c r="F1452" s="94">
        <v>315207</v>
      </c>
      <c r="G1452" s="84" t="s">
        <v>2025</v>
      </c>
      <c r="H1452" s="70">
        <v>0</v>
      </c>
    </row>
    <row r="1453" spans="6:8" x14ac:dyDescent="0.35">
      <c r="F1453" s="94">
        <v>312659</v>
      </c>
      <c r="G1453" s="84" t="s">
        <v>2026</v>
      </c>
      <c r="H1453" s="70">
        <v>0</v>
      </c>
    </row>
    <row r="1454" spans="6:8" x14ac:dyDescent="0.35">
      <c r="F1454" s="94">
        <v>315587</v>
      </c>
      <c r="G1454" s="84" t="s">
        <v>2027</v>
      </c>
      <c r="H1454" s="70">
        <v>0</v>
      </c>
    </row>
    <row r="1455" spans="6:8" x14ac:dyDescent="0.35">
      <c r="F1455" s="94">
        <v>315590</v>
      </c>
      <c r="G1455" s="84" t="s">
        <v>2028</v>
      </c>
      <c r="H1455" s="70">
        <v>0</v>
      </c>
    </row>
    <row r="1456" spans="6:8" x14ac:dyDescent="0.35">
      <c r="F1456" s="94">
        <v>315602</v>
      </c>
      <c r="G1456" s="84" t="s">
        <v>2029</v>
      </c>
      <c r="H1456" s="70">
        <v>0</v>
      </c>
    </row>
    <row r="1457" spans="6:8" x14ac:dyDescent="0.35">
      <c r="F1457" s="94">
        <v>315607</v>
      </c>
      <c r="G1457" s="84" t="s">
        <v>2030</v>
      </c>
      <c r="H1457" s="70">
        <v>0</v>
      </c>
    </row>
    <row r="1458" spans="6:8" x14ac:dyDescent="0.35">
      <c r="F1458" s="94">
        <v>315611</v>
      </c>
      <c r="G1458" s="84" t="s">
        <v>2031</v>
      </c>
      <c r="H1458" s="70">
        <v>0</v>
      </c>
    </row>
    <row r="1459" spans="6:8" x14ac:dyDescent="0.35">
      <c r="F1459" s="94">
        <v>315612</v>
      </c>
      <c r="G1459" s="84" t="s">
        <v>2032</v>
      </c>
      <c r="H1459" s="70">
        <v>0</v>
      </c>
    </row>
    <row r="1460" spans="6:8" x14ac:dyDescent="0.35">
      <c r="F1460" s="94">
        <v>315616</v>
      </c>
      <c r="G1460" s="84" t="s">
        <v>2033</v>
      </c>
      <c r="H1460" s="70">
        <v>0</v>
      </c>
    </row>
    <row r="1461" spans="6:8" x14ac:dyDescent="0.35">
      <c r="F1461" s="94">
        <v>315629</v>
      </c>
      <c r="G1461" s="84" t="s">
        <v>2034</v>
      </c>
      <c r="H1461" s="70">
        <v>0</v>
      </c>
    </row>
    <row r="1462" spans="6:8" x14ac:dyDescent="0.35">
      <c r="F1462" s="94">
        <v>315630</v>
      </c>
      <c r="G1462" s="84" t="s">
        <v>2035</v>
      </c>
      <c r="H1462" s="70">
        <v>0</v>
      </c>
    </row>
    <row r="1463" spans="6:8" x14ac:dyDescent="0.35">
      <c r="F1463" s="94">
        <v>309658</v>
      </c>
      <c r="G1463" s="84" t="s">
        <v>2036</v>
      </c>
      <c r="H1463" s="70">
        <v>0</v>
      </c>
    </row>
    <row r="1464" spans="6:8" x14ac:dyDescent="0.35">
      <c r="F1464" s="84">
        <v>301291</v>
      </c>
      <c r="G1464" s="85" t="s">
        <v>2037</v>
      </c>
      <c r="H1464" s="70">
        <v>0</v>
      </c>
    </row>
    <row r="1465" spans="6:8" x14ac:dyDescent="0.35">
      <c r="F1465" s="84">
        <v>307550</v>
      </c>
      <c r="G1465" s="85" t="s">
        <v>2038</v>
      </c>
      <c r="H1465" s="70">
        <v>0</v>
      </c>
    </row>
    <row r="1466" spans="6:8" x14ac:dyDescent="0.35">
      <c r="F1466" s="84">
        <v>312210</v>
      </c>
      <c r="G1466" s="85" t="s">
        <v>2039</v>
      </c>
      <c r="H1466" s="70">
        <v>0</v>
      </c>
    </row>
    <row r="1467" spans="6:8" x14ac:dyDescent="0.35">
      <c r="F1467" s="84">
        <v>304801</v>
      </c>
      <c r="G1467" s="85" t="s">
        <v>2040</v>
      </c>
      <c r="H1467" s="70">
        <v>0</v>
      </c>
    </row>
    <row r="1468" spans="6:8" x14ac:dyDescent="0.35">
      <c r="F1468" s="84">
        <v>314684</v>
      </c>
      <c r="G1468" s="85" t="s">
        <v>2041</v>
      </c>
      <c r="H1468" s="70">
        <v>0</v>
      </c>
    </row>
    <row r="1469" spans="6:8" x14ac:dyDescent="0.35">
      <c r="F1469" s="84">
        <v>309956</v>
      </c>
      <c r="G1469" s="85" t="s">
        <v>2042</v>
      </c>
      <c r="H1469" s="70">
        <v>0</v>
      </c>
    </row>
    <row r="1470" spans="6:8" x14ac:dyDescent="0.35">
      <c r="F1470" s="84">
        <v>314978</v>
      </c>
      <c r="G1470" s="85" t="s">
        <v>2043</v>
      </c>
      <c r="H1470" s="70">
        <v>0</v>
      </c>
    </row>
    <row r="1471" spans="6:8" x14ac:dyDescent="0.35">
      <c r="F1471" s="84">
        <v>302674</v>
      </c>
      <c r="G1471" s="85" t="s">
        <v>2044</v>
      </c>
      <c r="H1471" s="70">
        <v>0</v>
      </c>
    </row>
    <row r="1472" spans="6:8" x14ac:dyDescent="0.35">
      <c r="F1472" s="84">
        <v>315147</v>
      </c>
      <c r="G1472" s="85" t="s">
        <v>2045</v>
      </c>
      <c r="H1472" s="70">
        <v>0</v>
      </c>
    </row>
    <row r="1473" spans="6:8" x14ac:dyDescent="0.35">
      <c r="F1473" s="84">
        <v>312838</v>
      </c>
      <c r="G1473" s="85" t="s">
        <v>2046</v>
      </c>
      <c r="H1473" s="70">
        <v>0</v>
      </c>
    </row>
    <row r="1474" spans="6:8" x14ac:dyDescent="0.35">
      <c r="F1474" s="84">
        <v>305064</v>
      </c>
      <c r="G1474" s="85" t="s">
        <v>2047</v>
      </c>
      <c r="H1474" s="70">
        <v>0</v>
      </c>
    </row>
    <row r="1475" spans="6:8" x14ac:dyDescent="0.35">
      <c r="F1475" s="84">
        <v>308754</v>
      </c>
      <c r="G1475" s="85" t="s">
        <v>2048</v>
      </c>
      <c r="H1475" s="70">
        <v>0</v>
      </c>
    </row>
    <row r="1476" spans="6:8" x14ac:dyDescent="0.35">
      <c r="F1476" s="84">
        <v>313396</v>
      </c>
      <c r="G1476" s="85" t="s">
        <v>2049</v>
      </c>
      <c r="H1476" s="70">
        <v>0</v>
      </c>
    </row>
    <row r="1477" spans="6:8" x14ac:dyDescent="0.35">
      <c r="F1477" s="84">
        <v>306330</v>
      </c>
      <c r="G1477" s="85" t="s">
        <v>2050</v>
      </c>
      <c r="H1477" s="70">
        <v>0</v>
      </c>
    </row>
    <row r="1478" spans="6:8" x14ac:dyDescent="0.35">
      <c r="F1478" s="84">
        <v>307198</v>
      </c>
      <c r="G1478" s="85" t="s">
        <v>2051</v>
      </c>
      <c r="H1478" s="70">
        <v>0</v>
      </c>
    </row>
    <row r="1479" spans="6:8" x14ac:dyDescent="0.35">
      <c r="F1479" s="89">
        <v>307786</v>
      </c>
      <c r="G1479" s="85" t="s">
        <v>2052</v>
      </c>
      <c r="H1479" s="70">
        <v>0</v>
      </c>
    </row>
    <row r="1480" spans="6:8" x14ac:dyDescent="0.35">
      <c r="F1480" s="84">
        <v>300268</v>
      </c>
      <c r="G1480" s="85" t="s">
        <v>2053</v>
      </c>
      <c r="H1480" s="70">
        <v>0</v>
      </c>
    </row>
    <row r="1481" spans="6:8" x14ac:dyDescent="0.35">
      <c r="F1481" s="84">
        <v>313636</v>
      </c>
      <c r="G1481" s="85" t="s">
        <v>2054</v>
      </c>
      <c r="H1481" s="70">
        <v>0</v>
      </c>
    </row>
    <row r="1482" spans="6:8" x14ac:dyDescent="0.35">
      <c r="F1482" s="84">
        <v>307702</v>
      </c>
      <c r="G1482" s="85" t="s">
        <v>2055</v>
      </c>
      <c r="H1482" s="70">
        <v>0</v>
      </c>
    </row>
    <row r="1483" spans="6:8" x14ac:dyDescent="0.35">
      <c r="F1483" s="84">
        <v>314648</v>
      </c>
      <c r="G1483" s="85" t="s">
        <v>2056</v>
      </c>
      <c r="H1483" s="70">
        <v>0</v>
      </c>
    </row>
    <row r="1484" spans="6:8" x14ac:dyDescent="0.35">
      <c r="F1484" s="84">
        <v>309567</v>
      </c>
      <c r="G1484" s="85" t="s">
        <v>2057</v>
      </c>
      <c r="H1484" s="70">
        <v>0</v>
      </c>
    </row>
    <row r="1485" spans="6:8" x14ac:dyDescent="0.35">
      <c r="F1485" s="84">
        <v>313649</v>
      </c>
      <c r="G1485" s="85" t="s">
        <v>2058</v>
      </c>
      <c r="H1485" s="70">
        <v>0</v>
      </c>
    </row>
    <row r="1486" spans="6:8" x14ac:dyDescent="0.35">
      <c r="F1486" s="84">
        <v>302684</v>
      </c>
      <c r="G1486" s="85" t="s">
        <v>2059</v>
      </c>
      <c r="H1486" s="70">
        <v>0</v>
      </c>
    </row>
    <row r="1487" spans="6:8" x14ac:dyDescent="0.35">
      <c r="F1487" s="84">
        <v>302866</v>
      </c>
      <c r="G1487" s="85" t="s">
        <v>2060</v>
      </c>
      <c r="H1487" s="70">
        <v>0</v>
      </c>
    </row>
    <row r="1488" spans="6:8" x14ac:dyDescent="0.35">
      <c r="F1488" s="84">
        <v>313111</v>
      </c>
      <c r="G1488" s="85" t="s">
        <v>2061</v>
      </c>
      <c r="H1488" s="70">
        <v>0</v>
      </c>
    </row>
    <row r="1489" spans="6:8" x14ac:dyDescent="0.35">
      <c r="F1489" s="84">
        <v>313203</v>
      </c>
      <c r="G1489" s="85" t="s">
        <v>2062</v>
      </c>
      <c r="H1489" s="70">
        <v>0</v>
      </c>
    </row>
    <row r="1490" spans="6:8" x14ac:dyDescent="0.35">
      <c r="F1490" s="84">
        <v>302596</v>
      </c>
      <c r="G1490" s="85" t="s">
        <v>2063</v>
      </c>
      <c r="H1490" s="70">
        <v>0</v>
      </c>
    </row>
    <row r="1491" spans="6:8" x14ac:dyDescent="0.35">
      <c r="F1491" s="84">
        <v>310241</v>
      </c>
      <c r="G1491" s="85" t="s">
        <v>2064</v>
      </c>
      <c r="H1491" s="70">
        <v>0</v>
      </c>
    </row>
    <row r="1492" spans="6:8" x14ac:dyDescent="0.35">
      <c r="F1492" s="84">
        <v>313342</v>
      </c>
      <c r="G1492" s="85" t="s">
        <v>2065</v>
      </c>
      <c r="H1492" s="70">
        <v>0</v>
      </c>
    </row>
    <row r="1493" spans="6:8" x14ac:dyDescent="0.35">
      <c r="F1493" s="84">
        <v>301234</v>
      </c>
      <c r="G1493" s="85" t="s">
        <v>2066</v>
      </c>
      <c r="H1493" s="70">
        <v>0</v>
      </c>
    </row>
    <row r="1494" spans="6:8" x14ac:dyDescent="0.35">
      <c r="F1494" s="84">
        <v>307154</v>
      </c>
      <c r="G1494" s="85" t="s">
        <v>2067</v>
      </c>
      <c r="H1494" s="70">
        <v>0</v>
      </c>
    </row>
    <row r="1495" spans="6:8" x14ac:dyDescent="0.35">
      <c r="F1495" s="84">
        <v>305181</v>
      </c>
      <c r="G1495" s="85" t="s">
        <v>2068</v>
      </c>
      <c r="H1495" s="70">
        <v>0</v>
      </c>
    </row>
    <row r="1496" spans="6:8" x14ac:dyDescent="0.35">
      <c r="F1496" s="84">
        <v>303552</v>
      </c>
      <c r="G1496" s="85" t="s">
        <v>2069</v>
      </c>
      <c r="H1496" s="70">
        <v>0</v>
      </c>
    </row>
    <row r="1497" spans="6:8" x14ac:dyDescent="0.35">
      <c r="F1497" s="84">
        <v>303704</v>
      </c>
      <c r="G1497" s="85" t="s">
        <v>2070</v>
      </c>
      <c r="H1497" s="70">
        <v>0</v>
      </c>
    </row>
    <row r="1498" spans="6:8" x14ac:dyDescent="0.35">
      <c r="F1498" s="84">
        <v>102171</v>
      </c>
      <c r="G1498" s="85" t="s">
        <v>2071</v>
      </c>
      <c r="H1498" s="70">
        <v>0</v>
      </c>
    </row>
    <row r="1499" spans="6:8" x14ac:dyDescent="0.35">
      <c r="F1499" s="84">
        <v>310126</v>
      </c>
      <c r="G1499" s="85" t="s">
        <v>2072</v>
      </c>
      <c r="H1499" s="70">
        <v>0</v>
      </c>
    </row>
    <row r="1500" spans="6:8" x14ac:dyDescent="0.35">
      <c r="F1500" s="84">
        <v>307812</v>
      </c>
      <c r="G1500" s="85" t="s">
        <v>2073</v>
      </c>
      <c r="H1500" s="70">
        <v>0</v>
      </c>
    </row>
    <row r="1501" spans="6:8" x14ac:dyDescent="0.35">
      <c r="F1501" s="89">
        <v>308137</v>
      </c>
      <c r="G1501" s="85" t="s">
        <v>2074</v>
      </c>
      <c r="H1501" s="70">
        <v>0</v>
      </c>
    </row>
    <row r="1502" spans="6:8" x14ac:dyDescent="0.35">
      <c r="F1502" s="84">
        <v>311466</v>
      </c>
      <c r="G1502" s="85" t="s">
        <v>2075</v>
      </c>
      <c r="H1502" s="70">
        <v>0</v>
      </c>
    </row>
    <row r="1503" spans="6:8" x14ac:dyDescent="0.35">
      <c r="F1503" s="84">
        <v>301374</v>
      </c>
      <c r="G1503" s="85" t="s">
        <v>2076</v>
      </c>
      <c r="H1503" s="70">
        <v>0</v>
      </c>
    </row>
    <row r="1504" spans="6:8" x14ac:dyDescent="0.35">
      <c r="F1504" s="84">
        <v>313446</v>
      </c>
      <c r="G1504" s="85" t="s">
        <v>2077</v>
      </c>
      <c r="H1504" s="70">
        <v>0</v>
      </c>
    </row>
    <row r="1505" spans="6:8" x14ac:dyDescent="0.35">
      <c r="F1505" s="84">
        <v>313780</v>
      </c>
      <c r="G1505" s="95" t="s">
        <v>2078</v>
      </c>
      <c r="H1505" s="70">
        <v>0</v>
      </c>
    </row>
    <row r="1506" spans="6:8" x14ac:dyDescent="0.35">
      <c r="F1506" s="84">
        <v>313576</v>
      </c>
      <c r="G1506" s="85" t="s">
        <v>2079</v>
      </c>
      <c r="H1506" s="70">
        <v>0</v>
      </c>
    </row>
    <row r="1507" spans="6:8" x14ac:dyDescent="0.35">
      <c r="F1507" s="84">
        <v>314171</v>
      </c>
      <c r="G1507" s="85" t="s">
        <v>2080</v>
      </c>
      <c r="H1507" s="70">
        <v>0</v>
      </c>
    </row>
    <row r="1508" spans="6:8" x14ac:dyDescent="0.35">
      <c r="F1508" s="84">
        <v>313022</v>
      </c>
      <c r="G1508" s="85" t="s">
        <v>2081</v>
      </c>
      <c r="H1508" s="70">
        <v>0</v>
      </c>
    </row>
    <row r="1509" spans="6:8" x14ac:dyDescent="0.35">
      <c r="F1509" s="84">
        <v>313141</v>
      </c>
      <c r="G1509" s="85" t="s">
        <v>2082</v>
      </c>
      <c r="H1509" s="70">
        <v>0</v>
      </c>
    </row>
    <row r="1510" spans="6:8" x14ac:dyDescent="0.35">
      <c r="F1510" s="84">
        <v>312615</v>
      </c>
      <c r="G1510" s="85" t="s">
        <v>2083</v>
      </c>
      <c r="H1510" s="70">
        <v>0</v>
      </c>
    </row>
    <row r="1511" spans="6:8" x14ac:dyDescent="0.35">
      <c r="F1511" s="84">
        <v>312858</v>
      </c>
      <c r="G1511" s="85" t="s">
        <v>2084</v>
      </c>
      <c r="H1511" s="70">
        <v>0</v>
      </c>
    </row>
    <row r="1512" spans="6:8" x14ac:dyDescent="0.35">
      <c r="F1512" s="84">
        <v>314739</v>
      </c>
      <c r="G1512" s="85" t="s">
        <v>2085</v>
      </c>
      <c r="H1512" s="70">
        <v>0</v>
      </c>
    </row>
    <row r="1513" spans="6:8" x14ac:dyDescent="0.35">
      <c r="F1513" s="84">
        <v>315299</v>
      </c>
      <c r="G1513" s="85" t="s">
        <v>2086</v>
      </c>
      <c r="H1513" s="70">
        <v>0</v>
      </c>
    </row>
    <row r="1514" spans="6:8" x14ac:dyDescent="0.35">
      <c r="F1514" s="84">
        <v>315357</v>
      </c>
      <c r="G1514" s="84" t="s">
        <v>2087</v>
      </c>
      <c r="H1514" s="70">
        <v>0</v>
      </c>
    </row>
    <row r="1515" spans="6:8" x14ac:dyDescent="0.35">
      <c r="F1515" s="84">
        <v>315315</v>
      </c>
      <c r="G1515" s="85" t="s">
        <v>2088</v>
      </c>
      <c r="H1515" s="70">
        <v>0</v>
      </c>
    </row>
    <row r="1516" spans="6:8" x14ac:dyDescent="0.35">
      <c r="F1516" s="84">
        <v>315477</v>
      </c>
      <c r="G1516" s="95" t="s">
        <v>2089</v>
      </c>
      <c r="H1516" s="70">
        <v>0</v>
      </c>
    </row>
    <row r="1517" spans="6:8" x14ac:dyDescent="0.35">
      <c r="F1517" s="84">
        <v>314170</v>
      </c>
      <c r="G1517" s="85" t="s">
        <v>2090</v>
      </c>
      <c r="H1517" s="70">
        <v>0</v>
      </c>
    </row>
    <row r="1518" spans="6:8" x14ac:dyDescent="0.35">
      <c r="F1518" s="94">
        <v>312053</v>
      </c>
      <c r="G1518" s="84" t="s">
        <v>2091</v>
      </c>
      <c r="H1518" s="70">
        <v>0</v>
      </c>
    </row>
    <row r="1519" spans="6:8" x14ac:dyDescent="0.35">
      <c r="F1519" s="94">
        <v>309795</v>
      </c>
      <c r="G1519" s="84" t="s">
        <v>2092</v>
      </c>
      <c r="H1519" s="70">
        <v>0</v>
      </c>
    </row>
    <row r="1520" spans="6:8" x14ac:dyDescent="0.35">
      <c r="F1520" s="94">
        <v>308490</v>
      </c>
      <c r="G1520" s="84" t="s">
        <v>2093</v>
      </c>
      <c r="H1520" s="70">
        <v>0</v>
      </c>
    </row>
    <row r="1521" spans="6:8" x14ac:dyDescent="0.35">
      <c r="F1521" s="94">
        <v>311663</v>
      </c>
      <c r="G1521" s="84" t="s">
        <v>2094</v>
      </c>
      <c r="H1521" s="70">
        <v>0</v>
      </c>
    </row>
    <row r="1522" spans="6:8" x14ac:dyDescent="0.35">
      <c r="F1522" s="94">
        <v>300878</v>
      </c>
      <c r="G1522" s="84" t="s">
        <v>2095</v>
      </c>
      <c r="H1522" s="70">
        <v>0</v>
      </c>
    </row>
    <row r="1523" spans="6:8" x14ac:dyDescent="0.35">
      <c r="F1523" s="94">
        <v>311195</v>
      </c>
      <c r="G1523" s="84" t="s">
        <v>2096</v>
      </c>
      <c r="H1523" s="70">
        <v>0</v>
      </c>
    </row>
    <row r="1524" spans="6:8" x14ac:dyDescent="0.35">
      <c r="F1524" s="94">
        <v>311073</v>
      </c>
      <c r="G1524" s="84" t="s">
        <v>2097</v>
      </c>
      <c r="H1524" s="70">
        <v>0</v>
      </c>
    </row>
    <row r="1525" spans="6:8" x14ac:dyDescent="0.35">
      <c r="F1525" s="94">
        <v>309602</v>
      </c>
      <c r="G1525" s="84" t="s">
        <v>2098</v>
      </c>
      <c r="H1525" s="70">
        <v>0</v>
      </c>
    </row>
    <row r="1526" spans="6:8" x14ac:dyDescent="0.35">
      <c r="F1526" s="94">
        <v>311706</v>
      </c>
      <c r="G1526" s="84" t="s">
        <v>2099</v>
      </c>
      <c r="H1526" s="70">
        <v>0</v>
      </c>
    </row>
    <row r="1527" spans="6:8" x14ac:dyDescent="0.35">
      <c r="F1527" s="94">
        <v>311347</v>
      </c>
      <c r="G1527" s="84" t="s">
        <v>2100</v>
      </c>
      <c r="H1527" s="70">
        <v>0</v>
      </c>
    </row>
    <row r="1528" spans="6:8" x14ac:dyDescent="0.35">
      <c r="F1528" s="94">
        <v>311236</v>
      </c>
      <c r="G1528" s="84" t="s">
        <v>2101</v>
      </c>
      <c r="H1528" s="70">
        <v>0</v>
      </c>
    </row>
    <row r="1529" spans="6:8" x14ac:dyDescent="0.35">
      <c r="F1529" s="94">
        <v>304620</v>
      </c>
      <c r="G1529" s="84" t="s">
        <v>2102</v>
      </c>
      <c r="H1529" s="70">
        <v>0</v>
      </c>
    </row>
    <row r="1530" spans="6:8" x14ac:dyDescent="0.35">
      <c r="F1530" s="94">
        <v>311196</v>
      </c>
      <c r="G1530" s="84" t="s">
        <v>2103</v>
      </c>
      <c r="H1530" s="70">
        <v>0</v>
      </c>
    </row>
    <row r="1531" spans="6:8" x14ac:dyDescent="0.35">
      <c r="F1531" s="94">
        <v>309398</v>
      </c>
      <c r="G1531" s="84" t="s">
        <v>2104</v>
      </c>
      <c r="H1531" s="70">
        <v>0</v>
      </c>
    </row>
    <row r="1532" spans="6:8" x14ac:dyDescent="0.35">
      <c r="F1532" s="94">
        <v>311588</v>
      </c>
      <c r="G1532" s="84" t="s">
        <v>2105</v>
      </c>
      <c r="H1532" s="70">
        <v>0</v>
      </c>
    </row>
    <row r="1533" spans="6:8" x14ac:dyDescent="0.35">
      <c r="F1533" s="94">
        <v>313885</v>
      </c>
      <c r="G1533" s="84" t="s">
        <v>2106</v>
      </c>
      <c r="H1533" s="70">
        <v>0</v>
      </c>
    </row>
    <row r="1534" spans="6:8" x14ac:dyDescent="0.35">
      <c r="F1534" s="94">
        <v>314224</v>
      </c>
      <c r="G1534" s="84" t="s">
        <v>2107</v>
      </c>
      <c r="H1534" s="70">
        <v>0</v>
      </c>
    </row>
    <row r="1535" spans="6:8" x14ac:dyDescent="0.35">
      <c r="F1535" s="94">
        <v>314304</v>
      </c>
      <c r="G1535" s="84" t="s">
        <v>2108</v>
      </c>
      <c r="H1535" s="70">
        <v>0</v>
      </c>
    </row>
    <row r="1536" spans="6:8" x14ac:dyDescent="0.35">
      <c r="F1536" s="94">
        <v>313839</v>
      </c>
      <c r="G1536" s="84" t="s">
        <v>2109</v>
      </c>
      <c r="H1536" s="70">
        <v>0</v>
      </c>
    </row>
    <row r="1537" spans="6:8" x14ac:dyDescent="0.35">
      <c r="F1537" s="94">
        <v>311901</v>
      </c>
      <c r="G1537" s="84" t="s">
        <v>2110</v>
      </c>
      <c r="H1537" s="70">
        <v>0</v>
      </c>
    </row>
    <row r="1538" spans="6:8" x14ac:dyDescent="0.35">
      <c r="F1538" s="94">
        <v>314439</v>
      </c>
      <c r="G1538" s="84" t="s">
        <v>2111</v>
      </c>
      <c r="H1538" s="70">
        <v>0</v>
      </c>
    </row>
    <row r="1539" spans="6:8" x14ac:dyDescent="0.35">
      <c r="F1539" s="94">
        <v>313884</v>
      </c>
      <c r="G1539" s="84" t="s">
        <v>2112</v>
      </c>
      <c r="H1539" s="70">
        <v>0</v>
      </c>
    </row>
    <row r="1540" spans="6:8" x14ac:dyDescent="0.35">
      <c r="F1540" s="94">
        <v>309852</v>
      </c>
      <c r="G1540" s="84" t="s">
        <v>2113</v>
      </c>
      <c r="H1540" s="70">
        <v>0</v>
      </c>
    </row>
    <row r="1541" spans="6:8" x14ac:dyDescent="0.35">
      <c r="F1541" s="94">
        <v>312709</v>
      </c>
      <c r="G1541" s="84" t="s">
        <v>2114</v>
      </c>
      <c r="H1541" s="70">
        <v>0</v>
      </c>
    </row>
    <row r="1542" spans="6:8" x14ac:dyDescent="0.35">
      <c r="F1542" s="94">
        <v>314436</v>
      </c>
      <c r="G1542" s="84" t="s">
        <v>2115</v>
      </c>
      <c r="H1542" s="70">
        <v>0</v>
      </c>
    </row>
    <row r="1543" spans="6:8" x14ac:dyDescent="0.35">
      <c r="F1543" s="94">
        <v>313114</v>
      </c>
      <c r="G1543" s="84" t="s">
        <v>2116</v>
      </c>
      <c r="H1543" s="70">
        <v>0</v>
      </c>
    </row>
    <row r="1544" spans="6:8" x14ac:dyDescent="0.35">
      <c r="F1544" s="94">
        <v>308558</v>
      </c>
      <c r="G1544" s="84" t="s">
        <v>2117</v>
      </c>
      <c r="H1544" s="70">
        <v>0</v>
      </c>
    </row>
    <row r="1545" spans="6:8" x14ac:dyDescent="0.35">
      <c r="F1545" s="94">
        <v>313233</v>
      </c>
      <c r="G1545" s="84" t="s">
        <v>2118</v>
      </c>
      <c r="H1545" s="70">
        <v>0</v>
      </c>
    </row>
    <row r="1546" spans="6:8" x14ac:dyDescent="0.35">
      <c r="F1546" s="94">
        <v>313739</v>
      </c>
      <c r="G1546" s="84" t="s">
        <v>2119</v>
      </c>
      <c r="H1546" s="70">
        <v>0</v>
      </c>
    </row>
    <row r="1547" spans="6:8" x14ac:dyDescent="0.35">
      <c r="F1547" s="94">
        <v>315361</v>
      </c>
      <c r="G1547" s="84" t="s">
        <v>2120</v>
      </c>
      <c r="H1547" s="70">
        <v>0</v>
      </c>
    </row>
    <row r="1548" spans="6:8" x14ac:dyDescent="0.35">
      <c r="F1548" s="94">
        <v>314103</v>
      </c>
      <c r="G1548" s="84" t="s">
        <v>2121</v>
      </c>
      <c r="H1548" s="70">
        <v>0</v>
      </c>
    </row>
    <row r="1549" spans="6:8" x14ac:dyDescent="0.35">
      <c r="F1549" s="94">
        <v>313680</v>
      </c>
      <c r="G1549" s="84" t="s">
        <v>2122</v>
      </c>
      <c r="H1549" s="70">
        <v>0</v>
      </c>
    </row>
    <row r="1550" spans="6:8" x14ac:dyDescent="0.35">
      <c r="F1550" s="94">
        <v>314359</v>
      </c>
      <c r="G1550" s="84" t="s">
        <v>2123</v>
      </c>
      <c r="H1550" s="70">
        <v>0</v>
      </c>
    </row>
    <row r="1551" spans="6:8" x14ac:dyDescent="0.35">
      <c r="F1551" s="94">
        <v>309332</v>
      </c>
      <c r="G1551" s="84" t="s">
        <v>2124</v>
      </c>
      <c r="H1551" s="70">
        <v>0</v>
      </c>
    </row>
    <row r="1552" spans="6:8" x14ac:dyDescent="0.35">
      <c r="F1552" s="94">
        <v>314547</v>
      </c>
      <c r="G1552" s="84" t="s">
        <v>2125</v>
      </c>
      <c r="H1552" s="70">
        <v>0</v>
      </c>
    </row>
    <row r="1553" spans="6:8" x14ac:dyDescent="0.35">
      <c r="F1553" s="94">
        <v>314370</v>
      </c>
      <c r="G1553" s="84" t="s">
        <v>2126</v>
      </c>
      <c r="H1553" s="70">
        <v>0</v>
      </c>
    </row>
    <row r="1554" spans="6:8" x14ac:dyDescent="0.35">
      <c r="F1554" s="94">
        <v>315419</v>
      </c>
      <c r="G1554" s="84" t="s">
        <v>2127</v>
      </c>
      <c r="H1554" s="70">
        <v>0</v>
      </c>
    </row>
    <row r="1555" spans="6:8" x14ac:dyDescent="0.35">
      <c r="F1555" s="94">
        <v>314769</v>
      </c>
      <c r="G1555" s="84" t="s">
        <v>2128</v>
      </c>
      <c r="H1555" s="70">
        <v>0</v>
      </c>
    </row>
    <row r="1556" spans="6:8" x14ac:dyDescent="0.35">
      <c r="F1556" s="94">
        <v>314839</v>
      </c>
      <c r="G1556" s="84" t="s">
        <v>2129</v>
      </c>
      <c r="H1556" s="70" t="s">
        <v>2130</v>
      </c>
    </row>
    <row r="1557" spans="6:8" x14ac:dyDescent="0.35">
      <c r="F1557" s="94">
        <v>315422</v>
      </c>
      <c r="G1557" s="84" t="s">
        <v>2131</v>
      </c>
      <c r="H1557" s="70">
        <v>0</v>
      </c>
    </row>
    <row r="1558" spans="6:8" x14ac:dyDescent="0.35">
      <c r="F1558" s="94">
        <v>314836</v>
      </c>
      <c r="G1558" s="84" t="s">
        <v>2132</v>
      </c>
      <c r="H1558" s="70">
        <v>0</v>
      </c>
    </row>
    <row r="1559" spans="6:8" x14ac:dyDescent="0.35">
      <c r="F1559" s="94">
        <v>314759</v>
      </c>
      <c r="G1559" s="84" t="s">
        <v>2133</v>
      </c>
      <c r="H1559" s="70">
        <v>0</v>
      </c>
    </row>
    <row r="1560" spans="6:8" x14ac:dyDescent="0.35">
      <c r="F1560" s="94">
        <v>314757</v>
      </c>
      <c r="G1560" s="84" t="s">
        <v>2134</v>
      </c>
      <c r="H1560" s="70">
        <v>0</v>
      </c>
    </row>
    <row r="1561" spans="6:8" x14ac:dyDescent="0.35">
      <c r="F1561" s="94">
        <v>314817</v>
      </c>
      <c r="G1561" s="84" t="s">
        <v>2135</v>
      </c>
      <c r="H1561" s="70">
        <v>0</v>
      </c>
    </row>
    <row r="1562" spans="6:8" x14ac:dyDescent="0.35">
      <c r="F1562" s="94">
        <v>314815</v>
      </c>
      <c r="G1562" s="84" t="s">
        <v>2136</v>
      </c>
      <c r="H1562" s="70" t="s">
        <v>1074</v>
      </c>
    </row>
    <row r="1563" spans="6:8" x14ac:dyDescent="0.35">
      <c r="F1563" s="94">
        <v>315421</v>
      </c>
      <c r="G1563" s="84" t="s">
        <v>2137</v>
      </c>
      <c r="H1563" s="70">
        <v>0</v>
      </c>
    </row>
    <row r="1564" spans="6:8" x14ac:dyDescent="0.35">
      <c r="F1564" s="94">
        <v>314794</v>
      </c>
      <c r="G1564" s="84" t="s">
        <v>2138</v>
      </c>
      <c r="H1564" s="70" t="s">
        <v>2139</v>
      </c>
    </row>
    <row r="1565" spans="6:8" x14ac:dyDescent="0.35">
      <c r="F1565" s="94">
        <v>314760</v>
      </c>
      <c r="G1565" s="84" t="s">
        <v>2140</v>
      </c>
      <c r="H1565" s="70">
        <v>0</v>
      </c>
    </row>
    <row r="1566" spans="6:8" x14ac:dyDescent="0.35">
      <c r="F1566" s="94">
        <v>314838</v>
      </c>
      <c r="G1566" s="84" t="s">
        <v>2141</v>
      </c>
      <c r="H1566" s="70">
        <v>0</v>
      </c>
    </row>
    <row r="1567" spans="6:8" x14ac:dyDescent="0.35">
      <c r="F1567" s="94">
        <v>314790</v>
      </c>
      <c r="G1567" s="84" t="s">
        <v>2142</v>
      </c>
      <c r="H1567" s="70" t="s">
        <v>1074</v>
      </c>
    </row>
    <row r="1568" spans="6:8" x14ac:dyDescent="0.35">
      <c r="F1568" s="94">
        <v>314846</v>
      </c>
      <c r="G1568" s="84" t="s">
        <v>2143</v>
      </c>
      <c r="H1568" s="70">
        <v>0</v>
      </c>
    </row>
    <row r="1569" spans="6:8" x14ac:dyDescent="0.35">
      <c r="F1569" s="94">
        <v>314761</v>
      </c>
      <c r="G1569" s="84" t="s">
        <v>2144</v>
      </c>
      <c r="H1569" s="70">
        <v>0</v>
      </c>
    </row>
    <row r="1570" spans="6:8" x14ac:dyDescent="0.35">
      <c r="F1570" s="94">
        <v>314842</v>
      </c>
      <c r="G1570" s="84" t="s">
        <v>2145</v>
      </c>
      <c r="H1570" s="70">
        <v>0</v>
      </c>
    </row>
    <row r="1571" spans="6:8" x14ac:dyDescent="0.35">
      <c r="F1571" s="94">
        <v>314756</v>
      </c>
      <c r="G1571" s="84" t="s">
        <v>2146</v>
      </c>
      <c r="H1571" s="70">
        <v>0</v>
      </c>
    </row>
    <row r="1572" spans="6:8" x14ac:dyDescent="0.35">
      <c r="F1572" s="94">
        <v>315366</v>
      </c>
      <c r="G1572" s="84" t="s">
        <v>2147</v>
      </c>
      <c r="H1572" s="70">
        <v>0</v>
      </c>
    </row>
    <row r="1573" spans="6:8" x14ac:dyDescent="0.35">
      <c r="F1573" s="94">
        <v>315392</v>
      </c>
      <c r="G1573" s="84" t="s">
        <v>2148</v>
      </c>
      <c r="H1573" s="70">
        <v>0</v>
      </c>
    </row>
    <row r="1574" spans="6:8" x14ac:dyDescent="0.35">
      <c r="F1574" s="94">
        <v>314843</v>
      </c>
      <c r="G1574" s="84" t="s">
        <v>2149</v>
      </c>
      <c r="H1574" s="70">
        <v>0</v>
      </c>
    </row>
    <row r="1575" spans="6:8" x14ac:dyDescent="0.35">
      <c r="F1575" s="94">
        <v>314791</v>
      </c>
      <c r="G1575" s="84" t="s">
        <v>2150</v>
      </c>
      <c r="H1575" s="70">
        <v>0</v>
      </c>
    </row>
    <row r="1576" spans="6:8" x14ac:dyDescent="0.35">
      <c r="F1576" s="94">
        <v>314799</v>
      </c>
      <c r="G1576" s="84" t="s">
        <v>2151</v>
      </c>
      <c r="H1576" s="70">
        <v>0</v>
      </c>
    </row>
    <row r="1577" spans="6:8" x14ac:dyDescent="0.35">
      <c r="F1577" s="94">
        <v>314751</v>
      </c>
      <c r="G1577" s="84" t="s">
        <v>2152</v>
      </c>
      <c r="H1577" s="70">
        <v>0</v>
      </c>
    </row>
    <row r="1578" spans="6:8" x14ac:dyDescent="0.35">
      <c r="F1578" s="94">
        <v>315169</v>
      </c>
      <c r="G1578" s="84" t="s">
        <v>2153</v>
      </c>
      <c r="H1578" s="70">
        <v>0</v>
      </c>
    </row>
    <row r="1579" spans="6:8" x14ac:dyDescent="0.35">
      <c r="F1579" s="94">
        <v>314903</v>
      </c>
      <c r="G1579" s="84" t="s">
        <v>2154</v>
      </c>
      <c r="H1579" s="70">
        <v>0</v>
      </c>
    </row>
    <row r="1580" spans="6:8" x14ac:dyDescent="0.35">
      <c r="F1580" s="94">
        <v>314800</v>
      </c>
      <c r="G1580" s="84" t="s">
        <v>2155</v>
      </c>
      <c r="H1580" s="70">
        <v>0</v>
      </c>
    </row>
    <row r="1581" spans="6:8" x14ac:dyDescent="0.35">
      <c r="F1581" s="94">
        <v>314748</v>
      </c>
      <c r="G1581" s="84" t="s">
        <v>2156</v>
      </c>
      <c r="H1581" s="70">
        <v>0</v>
      </c>
    </row>
    <row r="1582" spans="6:8" x14ac:dyDescent="0.35">
      <c r="F1582" s="94">
        <v>314795</v>
      </c>
      <c r="G1582" s="84" t="s">
        <v>2157</v>
      </c>
      <c r="H1582" s="70">
        <v>0</v>
      </c>
    </row>
    <row r="1583" spans="6:8" x14ac:dyDescent="0.35">
      <c r="F1583" s="94">
        <v>315148</v>
      </c>
      <c r="G1583" s="84" t="s">
        <v>2158</v>
      </c>
      <c r="H1583" s="70">
        <v>0</v>
      </c>
    </row>
    <row r="1584" spans="6:8" x14ac:dyDescent="0.35">
      <c r="F1584" s="94">
        <v>314906</v>
      </c>
      <c r="G1584" s="84" t="s">
        <v>2159</v>
      </c>
      <c r="H1584" s="70">
        <v>0</v>
      </c>
    </row>
    <row r="1585" spans="6:8" x14ac:dyDescent="0.35">
      <c r="F1585" s="94">
        <v>315322</v>
      </c>
      <c r="G1585" s="84" t="s">
        <v>2160</v>
      </c>
      <c r="H1585" s="70">
        <v>0</v>
      </c>
    </row>
    <row r="1586" spans="6:8" x14ac:dyDescent="0.35">
      <c r="F1586" s="94">
        <v>315368</v>
      </c>
      <c r="G1586" s="84" t="s">
        <v>2161</v>
      </c>
      <c r="H1586" s="70">
        <v>0</v>
      </c>
    </row>
    <row r="1587" spans="6:8" x14ac:dyDescent="0.35">
      <c r="F1587" s="94">
        <v>315093</v>
      </c>
      <c r="G1587" s="84" t="s">
        <v>2162</v>
      </c>
      <c r="H1587" s="70">
        <v>0</v>
      </c>
    </row>
    <row r="1588" spans="6:8" x14ac:dyDescent="0.35">
      <c r="F1588" s="94">
        <v>314902</v>
      </c>
      <c r="G1588" s="84" t="s">
        <v>2163</v>
      </c>
      <c r="H1588" s="70">
        <v>0</v>
      </c>
    </row>
    <row r="1589" spans="6:8" x14ac:dyDescent="0.35">
      <c r="F1589" s="94">
        <v>314755</v>
      </c>
      <c r="G1589" s="84" t="s">
        <v>2164</v>
      </c>
      <c r="H1589" s="70">
        <v>0</v>
      </c>
    </row>
    <row r="1590" spans="6:8" x14ac:dyDescent="0.35">
      <c r="F1590" s="94">
        <v>314967</v>
      </c>
      <c r="G1590" s="84" t="s">
        <v>2165</v>
      </c>
      <c r="H1590" s="70">
        <v>0</v>
      </c>
    </row>
    <row r="1591" spans="6:8" x14ac:dyDescent="0.35">
      <c r="F1591" s="94">
        <v>314968</v>
      </c>
      <c r="G1591" s="84" t="s">
        <v>2166</v>
      </c>
      <c r="H1591" s="70">
        <v>0</v>
      </c>
    </row>
    <row r="1592" spans="6:8" x14ac:dyDescent="0.35">
      <c r="F1592" s="94">
        <v>311961</v>
      </c>
      <c r="G1592" s="84" t="s">
        <v>2167</v>
      </c>
      <c r="H1592" s="70">
        <v>0</v>
      </c>
    </row>
    <row r="1593" spans="6:8" x14ac:dyDescent="0.35">
      <c r="F1593" s="94">
        <v>311188</v>
      </c>
      <c r="G1593" s="84" t="s">
        <v>2168</v>
      </c>
      <c r="H1593" s="70" t="s">
        <v>2130</v>
      </c>
    </row>
    <row r="1594" spans="6:8" x14ac:dyDescent="0.35">
      <c r="F1594" s="94">
        <v>311894</v>
      </c>
      <c r="G1594" s="84" t="s">
        <v>2169</v>
      </c>
      <c r="H1594" s="70" t="s">
        <v>2130</v>
      </c>
    </row>
    <row r="1595" spans="6:8" x14ac:dyDescent="0.35">
      <c r="F1595" s="94">
        <v>308901</v>
      </c>
      <c r="G1595" s="84" t="s">
        <v>2170</v>
      </c>
      <c r="H1595" s="70">
        <v>0</v>
      </c>
    </row>
    <row r="1596" spans="6:8" x14ac:dyDescent="0.35">
      <c r="F1596" s="94">
        <v>312069</v>
      </c>
      <c r="G1596" s="84" t="s">
        <v>2171</v>
      </c>
      <c r="H1596" s="70">
        <v>0</v>
      </c>
    </row>
    <row r="1597" spans="6:8" x14ac:dyDescent="0.35">
      <c r="F1597" s="94">
        <v>310331</v>
      </c>
      <c r="G1597" s="84" t="s">
        <v>2172</v>
      </c>
      <c r="H1597" s="70" t="s">
        <v>2130</v>
      </c>
    </row>
    <row r="1598" spans="6:8" x14ac:dyDescent="0.35">
      <c r="F1598" s="94">
        <v>310822</v>
      </c>
      <c r="G1598" s="84" t="s">
        <v>2173</v>
      </c>
      <c r="H1598" s="70" t="s">
        <v>2130</v>
      </c>
    </row>
    <row r="1599" spans="6:8" x14ac:dyDescent="0.35">
      <c r="F1599" s="94">
        <v>308012</v>
      </c>
      <c r="G1599" s="84" t="s">
        <v>2174</v>
      </c>
      <c r="H1599" s="70">
        <v>0</v>
      </c>
    </row>
    <row r="1600" spans="6:8" x14ac:dyDescent="0.35">
      <c r="F1600" s="94">
        <v>312160</v>
      </c>
      <c r="G1600" s="84" t="s">
        <v>2175</v>
      </c>
      <c r="H1600" s="70" t="s">
        <v>2130</v>
      </c>
    </row>
    <row r="1601" spans="6:8" x14ac:dyDescent="0.35">
      <c r="F1601" s="94">
        <v>311465</v>
      </c>
      <c r="G1601" s="84" t="s">
        <v>2176</v>
      </c>
      <c r="H1601" s="70">
        <v>0</v>
      </c>
    </row>
    <row r="1602" spans="6:8" x14ac:dyDescent="0.35">
      <c r="F1602" s="94">
        <v>311294</v>
      </c>
      <c r="G1602" s="84" t="s">
        <v>2177</v>
      </c>
      <c r="H1602" s="70">
        <v>0</v>
      </c>
    </row>
    <row r="1603" spans="6:8" x14ac:dyDescent="0.35">
      <c r="F1603" s="94">
        <v>310910</v>
      </c>
      <c r="G1603" s="84" t="s">
        <v>2178</v>
      </c>
      <c r="H1603" s="70">
        <v>0</v>
      </c>
    </row>
    <row r="1604" spans="6:8" x14ac:dyDescent="0.35">
      <c r="F1604" s="94">
        <v>304279</v>
      </c>
      <c r="G1604" s="96" t="s">
        <v>2179</v>
      </c>
      <c r="H1604" s="70">
        <v>0</v>
      </c>
    </row>
    <row r="1605" spans="6:8" x14ac:dyDescent="0.35">
      <c r="F1605" s="94">
        <v>308911</v>
      </c>
      <c r="G1605" s="84" t="s">
        <v>2180</v>
      </c>
      <c r="H1605" s="70">
        <v>0</v>
      </c>
    </row>
    <row r="1606" spans="6:8" x14ac:dyDescent="0.35">
      <c r="F1606" s="94">
        <v>310214</v>
      </c>
      <c r="G1606" s="84" t="s">
        <v>2181</v>
      </c>
      <c r="H1606" s="70" t="s">
        <v>2130</v>
      </c>
    </row>
    <row r="1607" spans="6:8" x14ac:dyDescent="0.35">
      <c r="F1607" s="94">
        <v>314928</v>
      </c>
      <c r="G1607" s="84" t="s">
        <v>2182</v>
      </c>
      <c r="H1607" s="70" t="s">
        <v>2130</v>
      </c>
    </row>
    <row r="1608" spans="6:8" x14ac:dyDescent="0.35">
      <c r="F1608" s="94">
        <v>313239</v>
      </c>
      <c r="G1608" s="84" t="s">
        <v>2183</v>
      </c>
      <c r="H1608" s="70">
        <v>0</v>
      </c>
    </row>
    <row r="1609" spans="6:8" x14ac:dyDescent="0.35">
      <c r="F1609" s="94">
        <v>313694</v>
      </c>
      <c r="G1609" s="84" t="s">
        <v>2184</v>
      </c>
      <c r="H1609" s="70" t="s">
        <v>2130</v>
      </c>
    </row>
    <row r="1610" spans="6:8" x14ac:dyDescent="0.35">
      <c r="F1610" s="94">
        <v>313241</v>
      </c>
      <c r="G1610" s="84" t="s">
        <v>2185</v>
      </c>
      <c r="H1610" s="70">
        <v>0</v>
      </c>
    </row>
    <row r="1611" spans="6:8" x14ac:dyDescent="0.35">
      <c r="F1611" s="94">
        <v>314323</v>
      </c>
      <c r="G1611" s="84" t="s">
        <v>2185</v>
      </c>
      <c r="H1611" s="70" t="s">
        <v>2130</v>
      </c>
    </row>
    <row r="1612" spans="6:8" x14ac:dyDescent="0.35">
      <c r="F1612" s="94">
        <v>312327</v>
      </c>
      <c r="G1612" s="84" t="s">
        <v>2186</v>
      </c>
      <c r="H1612" s="70">
        <v>0</v>
      </c>
    </row>
    <row r="1613" spans="6:8" x14ac:dyDescent="0.35">
      <c r="F1613" s="94">
        <v>313749</v>
      </c>
      <c r="G1613" s="84" t="s">
        <v>2187</v>
      </c>
      <c r="H1613" s="70">
        <v>0</v>
      </c>
    </row>
    <row r="1614" spans="6:8" x14ac:dyDescent="0.35">
      <c r="F1614" s="94">
        <v>313840</v>
      </c>
      <c r="G1614" s="84" t="s">
        <v>2188</v>
      </c>
      <c r="H1614" s="70" t="s">
        <v>2130</v>
      </c>
    </row>
    <row r="1615" spans="6:8" x14ac:dyDescent="0.35">
      <c r="F1615" s="94">
        <v>314119</v>
      </c>
      <c r="G1615" s="84" t="s">
        <v>2189</v>
      </c>
      <c r="H1615" s="70">
        <v>0</v>
      </c>
    </row>
    <row r="1616" spans="6:8" x14ac:dyDescent="0.35">
      <c r="F1616" s="94">
        <v>313242</v>
      </c>
      <c r="G1616" s="84" t="s">
        <v>2190</v>
      </c>
      <c r="H1616" s="70">
        <v>0</v>
      </c>
    </row>
    <row r="1617" spans="6:8" x14ac:dyDescent="0.35">
      <c r="F1617" s="94">
        <v>313539</v>
      </c>
      <c r="G1617" s="84" t="s">
        <v>2191</v>
      </c>
      <c r="H1617" s="70" t="s">
        <v>2130</v>
      </c>
    </row>
    <row r="1618" spans="6:8" x14ac:dyDescent="0.35">
      <c r="F1618" s="94">
        <v>314082</v>
      </c>
      <c r="G1618" s="84" t="s">
        <v>2192</v>
      </c>
      <c r="H1618" s="70">
        <v>0</v>
      </c>
    </row>
    <row r="1619" spans="6:8" x14ac:dyDescent="0.35">
      <c r="F1619" s="94">
        <v>313983</v>
      </c>
      <c r="G1619" s="84" t="s">
        <v>2193</v>
      </c>
      <c r="H1619" s="70">
        <v>0</v>
      </c>
    </row>
    <row r="1620" spans="6:8" x14ac:dyDescent="0.35">
      <c r="F1620" s="94">
        <v>308875</v>
      </c>
      <c r="G1620" s="84" t="s">
        <v>2194</v>
      </c>
      <c r="H1620" s="70">
        <v>0</v>
      </c>
    </row>
    <row r="1621" spans="6:8" x14ac:dyDescent="0.35">
      <c r="F1621" s="94">
        <v>313240</v>
      </c>
      <c r="G1621" s="84" t="s">
        <v>2195</v>
      </c>
      <c r="H1621" s="70">
        <v>0</v>
      </c>
    </row>
    <row r="1622" spans="6:8" x14ac:dyDescent="0.35">
      <c r="F1622" s="94">
        <v>314083</v>
      </c>
      <c r="G1622" s="84" t="s">
        <v>2196</v>
      </c>
      <c r="H1622" s="70">
        <v>0</v>
      </c>
    </row>
    <row r="1623" spans="6:8" x14ac:dyDescent="0.35">
      <c r="F1623" s="94">
        <v>312489</v>
      </c>
      <c r="G1623" s="84" t="s">
        <v>2197</v>
      </c>
      <c r="H1623" s="70" t="s">
        <v>2130</v>
      </c>
    </row>
    <row r="1624" spans="6:8" x14ac:dyDescent="0.35">
      <c r="F1624" s="94">
        <v>313823</v>
      </c>
      <c r="G1624" s="84" t="s">
        <v>2198</v>
      </c>
      <c r="H1624" s="70">
        <v>0</v>
      </c>
    </row>
    <row r="1625" spans="6:8" x14ac:dyDescent="0.35">
      <c r="F1625" s="94">
        <v>313289</v>
      </c>
      <c r="G1625" s="84" t="s">
        <v>2199</v>
      </c>
      <c r="H1625" s="70">
        <v>0</v>
      </c>
    </row>
    <row r="1626" spans="6:8" x14ac:dyDescent="0.35">
      <c r="F1626" s="94">
        <v>312476</v>
      </c>
      <c r="G1626" s="84" t="s">
        <v>2200</v>
      </c>
      <c r="H1626" s="70" t="s">
        <v>2130</v>
      </c>
    </row>
    <row r="1627" spans="6:8" x14ac:dyDescent="0.35">
      <c r="F1627" s="94">
        <v>313392</v>
      </c>
      <c r="G1627" s="84" t="s">
        <v>2201</v>
      </c>
      <c r="H1627" s="70">
        <v>0</v>
      </c>
    </row>
    <row r="1628" spans="6:8" x14ac:dyDescent="0.35">
      <c r="F1628" s="94">
        <v>315101</v>
      </c>
      <c r="G1628" s="84" t="s">
        <v>2202</v>
      </c>
      <c r="H1628" s="70">
        <v>0</v>
      </c>
    </row>
    <row r="1629" spans="6:8" x14ac:dyDescent="0.35">
      <c r="F1629" s="94">
        <v>314905</v>
      </c>
      <c r="G1629" s="84" t="s">
        <v>2203</v>
      </c>
      <c r="H1629" s="70">
        <v>0</v>
      </c>
    </row>
    <row r="1630" spans="6:8" x14ac:dyDescent="0.35">
      <c r="F1630" s="94">
        <v>314885</v>
      </c>
      <c r="G1630" s="84" t="s">
        <v>2204</v>
      </c>
      <c r="H1630" s="70">
        <v>0</v>
      </c>
    </row>
    <row r="1631" spans="6:8" x14ac:dyDescent="0.35">
      <c r="F1631" s="94">
        <v>314750</v>
      </c>
      <c r="G1631" s="84" t="s">
        <v>2205</v>
      </c>
      <c r="H1631" s="70">
        <v>0</v>
      </c>
    </row>
    <row r="1632" spans="6:8" x14ac:dyDescent="0.35">
      <c r="F1632" s="94">
        <v>314753</v>
      </c>
      <c r="G1632" s="84" t="s">
        <v>2206</v>
      </c>
      <c r="H1632" s="70">
        <v>0</v>
      </c>
    </row>
    <row r="1633" spans="6:8" x14ac:dyDescent="0.35">
      <c r="F1633" s="94">
        <v>315318</v>
      </c>
      <c r="G1633" s="84" t="s">
        <v>2207</v>
      </c>
      <c r="H1633" s="70">
        <v>0</v>
      </c>
    </row>
    <row r="1634" spans="6:8" x14ac:dyDescent="0.35">
      <c r="F1634" s="94">
        <v>315164</v>
      </c>
      <c r="G1634" s="84" t="s">
        <v>2208</v>
      </c>
      <c r="H1634" s="70">
        <v>0</v>
      </c>
    </row>
    <row r="1635" spans="6:8" x14ac:dyDescent="0.35">
      <c r="F1635" s="97">
        <v>315149</v>
      </c>
      <c r="G1635" s="84" t="s">
        <v>2209</v>
      </c>
      <c r="H1635" s="70">
        <v>0</v>
      </c>
    </row>
    <row r="1636" spans="6:8" x14ac:dyDescent="0.35">
      <c r="F1636" s="94">
        <v>315065</v>
      </c>
      <c r="G1636" s="84" t="s">
        <v>2210</v>
      </c>
      <c r="H1636" s="70">
        <v>0</v>
      </c>
    </row>
    <row r="1637" spans="6:8" x14ac:dyDescent="0.35">
      <c r="F1637" s="94">
        <v>314797</v>
      </c>
      <c r="G1637" s="84" t="s">
        <v>2211</v>
      </c>
      <c r="H1637" s="70">
        <v>0</v>
      </c>
    </row>
    <row r="1638" spans="6:8" x14ac:dyDescent="0.35">
      <c r="F1638" s="94">
        <v>314746</v>
      </c>
      <c r="G1638" s="84" t="s">
        <v>2212</v>
      </c>
      <c r="H1638" s="70">
        <v>0</v>
      </c>
    </row>
    <row r="1639" spans="6:8" x14ac:dyDescent="0.35">
      <c r="F1639" s="94">
        <v>315231</v>
      </c>
      <c r="G1639" s="84" t="s">
        <v>2213</v>
      </c>
      <c r="H1639" s="70">
        <v>0</v>
      </c>
    </row>
    <row r="1640" spans="6:8" x14ac:dyDescent="0.35">
      <c r="F1640" s="94">
        <v>314752</v>
      </c>
      <c r="G1640" s="84" t="s">
        <v>2214</v>
      </c>
      <c r="H1640" s="70">
        <v>0</v>
      </c>
    </row>
    <row r="1641" spans="6:8" x14ac:dyDescent="0.35">
      <c r="F1641" s="94">
        <v>314990</v>
      </c>
      <c r="G1641" s="84" t="s">
        <v>2215</v>
      </c>
      <c r="H1641" s="70">
        <v>0</v>
      </c>
    </row>
    <row r="1642" spans="6:8" x14ac:dyDescent="0.35">
      <c r="F1642" s="94">
        <v>314966</v>
      </c>
      <c r="G1642" s="84" t="s">
        <v>2216</v>
      </c>
      <c r="H1642" s="70">
        <v>0</v>
      </c>
    </row>
    <row r="1643" spans="6:8" x14ac:dyDescent="0.35">
      <c r="F1643" s="94">
        <v>314904</v>
      </c>
      <c r="G1643" s="84" t="s">
        <v>2217</v>
      </c>
      <c r="H1643" s="70">
        <v>0</v>
      </c>
    </row>
    <row r="1644" spans="6:8" x14ac:dyDescent="0.35">
      <c r="F1644" s="94">
        <v>314796</v>
      </c>
      <c r="G1644" s="84" t="s">
        <v>2218</v>
      </c>
      <c r="H1644" s="70">
        <v>0</v>
      </c>
    </row>
    <row r="1645" spans="6:8" x14ac:dyDescent="0.35">
      <c r="F1645" s="94">
        <v>315365</v>
      </c>
      <c r="G1645" s="84" t="s">
        <v>2219</v>
      </c>
      <c r="H1645" s="70">
        <v>0</v>
      </c>
    </row>
    <row r="1646" spans="6:8" x14ac:dyDescent="0.35">
      <c r="F1646" s="94">
        <v>314758</v>
      </c>
      <c r="G1646" s="84" t="s">
        <v>2220</v>
      </c>
      <c r="H1646" s="70">
        <v>0</v>
      </c>
    </row>
    <row r="1647" spans="6:8" x14ac:dyDescent="0.35">
      <c r="F1647" s="94">
        <v>312045</v>
      </c>
      <c r="G1647" s="84" t="s">
        <v>2221</v>
      </c>
      <c r="H1647" s="70">
        <v>0</v>
      </c>
    </row>
    <row r="1648" spans="6:8" x14ac:dyDescent="0.35">
      <c r="F1648" s="94">
        <v>309496</v>
      </c>
      <c r="G1648" s="84" t="s">
        <v>2222</v>
      </c>
      <c r="H1648" s="70">
        <v>0</v>
      </c>
    </row>
    <row r="1649" spans="6:8" x14ac:dyDescent="0.35">
      <c r="F1649" s="94">
        <v>311750</v>
      </c>
      <c r="G1649" s="84" t="s">
        <v>2223</v>
      </c>
      <c r="H1649" s="70">
        <v>0</v>
      </c>
    </row>
    <row r="1650" spans="6:8" x14ac:dyDescent="0.35">
      <c r="F1650" s="94">
        <v>311539</v>
      </c>
      <c r="G1650" s="84" t="s">
        <v>2224</v>
      </c>
      <c r="H1650" s="70">
        <v>0</v>
      </c>
    </row>
    <row r="1651" spans="6:8" x14ac:dyDescent="0.35">
      <c r="F1651" s="94">
        <v>311898</v>
      </c>
      <c r="G1651" s="84" t="s">
        <v>2225</v>
      </c>
      <c r="H1651" s="70">
        <v>0</v>
      </c>
    </row>
    <row r="1652" spans="6:8" x14ac:dyDescent="0.35">
      <c r="F1652" s="94">
        <v>312283</v>
      </c>
      <c r="G1652" s="84" t="s">
        <v>2226</v>
      </c>
      <c r="H1652" s="70" t="s">
        <v>2139</v>
      </c>
    </row>
    <row r="1653" spans="6:8" x14ac:dyDescent="0.35">
      <c r="F1653" s="94">
        <v>311190</v>
      </c>
      <c r="G1653" s="84" t="s">
        <v>2227</v>
      </c>
      <c r="H1653" s="70" t="s">
        <v>2139</v>
      </c>
    </row>
    <row r="1654" spans="6:8" x14ac:dyDescent="0.35">
      <c r="F1654" s="94">
        <v>311632</v>
      </c>
      <c r="G1654" s="84" t="s">
        <v>2228</v>
      </c>
      <c r="H1654" s="70" t="s">
        <v>2139</v>
      </c>
    </row>
    <row r="1655" spans="6:8" x14ac:dyDescent="0.35">
      <c r="F1655" s="94">
        <v>311906</v>
      </c>
      <c r="G1655" s="84" t="s">
        <v>2229</v>
      </c>
      <c r="H1655" s="70" t="s">
        <v>2139</v>
      </c>
    </row>
    <row r="1656" spans="6:8" x14ac:dyDescent="0.35">
      <c r="F1656" s="94">
        <v>314705</v>
      </c>
      <c r="G1656" s="84" t="s">
        <v>2230</v>
      </c>
      <c r="H1656" s="70">
        <v>0</v>
      </c>
    </row>
    <row r="1657" spans="6:8" x14ac:dyDescent="0.35">
      <c r="F1657" s="94">
        <v>313182</v>
      </c>
      <c r="G1657" s="84" t="s">
        <v>2231</v>
      </c>
      <c r="H1657" s="70">
        <v>0</v>
      </c>
    </row>
    <row r="1658" spans="6:8" x14ac:dyDescent="0.35">
      <c r="F1658" s="94">
        <v>314363</v>
      </c>
      <c r="G1658" s="84" t="s">
        <v>2232</v>
      </c>
      <c r="H1658" s="70">
        <v>0</v>
      </c>
    </row>
    <row r="1659" spans="6:8" x14ac:dyDescent="0.35">
      <c r="F1659" s="94">
        <v>314241</v>
      </c>
      <c r="G1659" s="84" t="s">
        <v>2233</v>
      </c>
      <c r="H1659" s="70">
        <v>0</v>
      </c>
    </row>
    <row r="1660" spans="6:8" x14ac:dyDescent="0.35">
      <c r="F1660" s="94">
        <v>309341</v>
      </c>
      <c r="G1660" s="84" t="s">
        <v>2234</v>
      </c>
      <c r="H1660" s="70">
        <v>0</v>
      </c>
    </row>
    <row r="1661" spans="6:8" x14ac:dyDescent="0.35">
      <c r="F1661" s="94">
        <v>312093</v>
      </c>
      <c r="G1661" s="84" t="s">
        <v>2235</v>
      </c>
      <c r="H1661" s="70">
        <v>0</v>
      </c>
    </row>
    <row r="1662" spans="6:8" x14ac:dyDescent="0.35">
      <c r="F1662" s="94">
        <v>314080</v>
      </c>
      <c r="G1662" s="84" t="s">
        <v>2236</v>
      </c>
      <c r="H1662" s="70">
        <v>0</v>
      </c>
    </row>
    <row r="1663" spans="6:8" x14ac:dyDescent="0.35">
      <c r="F1663" s="94">
        <v>314704</v>
      </c>
      <c r="G1663" s="84" t="s">
        <v>2237</v>
      </c>
      <c r="H1663" s="70" t="s">
        <v>2139</v>
      </c>
    </row>
    <row r="1664" spans="6:8" x14ac:dyDescent="0.35">
      <c r="F1664" s="94">
        <v>314085</v>
      </c>
      <c r="G1664" s="84" t="s">
        <v>2238</v>
      </c>
      <c r="H1664" s="70" t="s">
        <v>2139</v>
      </c>
    </row>
    <row r="1665" spans="6:8" x14ac:dyDescent="0.35">
      <c r="F1665" s="94">
        <v>314364</v>
      </c>
      <c r="G1665" s="84" t="s">
        <v>2239</v>
      </c>
      <c r="H1665" s="70">
        <v>0</v>
      </c>
    </row>
    <row r="1666" spans="6:8" x14ac:dyDescent="0.35">
      <c r="F1666" s="94">
        <v>313373</v>
      </c>
      <c r="G1666" s="84" t="s">
        <v>2240</v>
      </c>
      <c r="H1666" s="70">
        <v>0</v>
      </c>
    </row>
    <row r="1667" spans="6:8" x14ac:dyDescent="0.35">
      <c r="F1667" s="94">
        <v>315056</v>
      </c>
      <c r="G1667" s="84" t="s">
        <v>2241</v>
      </c>
      <c r="H1667" s="70" t="s">
        <v>2139</v>
      </c>
    </row>
    <row r="1668" spans="6:8" x14ac:dyDescent="0.35">
      <c r="F1668" s="94">
        <v>314118</v>
      </c>
      <c r="G1668" s="84" t="s">
        <v>2242</v>
      </c>
      <c r="H1668" s="70" t="s">
        <v>2139</v>
      </c>
    </row>
    <row r="1669" spans="6:8" x14ac:dyDescent="0.35">
      <c r="F1669" s="94">
        <v>313049</v>
      </c>
      <c r="G1669" s="84" t="s">
        <v>2243</v>
      </c>
      <c r="H1669" s="70">
        <v>0</v>
      </c>
    </row>
    <row r="1670" spans="6:8" x14ac:dyDescent="0.35">
      <c r="F1670" s="94">
        <v>312162</v>
      </c>
      <c r="G1670" s="84" t="s">
        <v>2244</v>
      </c>
      <c r="H1670" s="70">
        <v>0</v>
      </c>
    </row>
    <row r="1671" spans="6:8" x14ac:dyDescent="0.35">
      <c r="F1671" s="94">
        <v>313692</v>
      </c>
      <c r="G1671" s="84" t="s">
        <v>2245</v>
      </c>
      <c r="H1671" s="70">
        <v>0</v>
      </c>
    </row>
    <row r="1672" spans="6:8" x14ac:dyDescent="0.35">
      <c r="F1672" s="94">
        <v>314500</v>
      </c>
      <c r="G1672" s="84" t="s">
        <v>2246</v>
      </c>
      <c r="H1672" s="70">
        <v>0</v>
      </c>
    </row>
    <row r="1673" spans="6:8" x14ac:dyDescent="0.35">
      <c r="F1673" s="94">
        <v>312369</v>
      </c>
      <c r="G1673" s="84" t="s">
        <v>2247</v>
      </c>
      <c r="H1673" s="70">
        <v>0</v>
      </c>
    </row>
    <row r="1674" spans="6:8" x14ac:dyDescent="0.35">
      <c r="F1674" s="94">
        <v>314039</v>
      </c>
      <c r="G1674" s="84" t="s">
        <v>2248</v>
      </c>
      <c r="H1674" s="70">
        <v>0</v>
      </c>
    </row>
    <row r="1675" spans="6:8" x14ac:dyDescent="0.35">
      <c r="F1675" s="94">
        <v>313540</v>
      </c>
      <c r="G1675" s="84" t="s">
        <v>2249</v>
      </c>
      <c r="H1675" s="70">
        <v>0</v>
      </c>
    </row>
    <row r="1676" spans="6:8" x14ac:dyDescent="0.35">
      <c r="F1676" s="94">
        <v>314355</v>
      </c>
      <c r="G1676" s="84" t="s">
        <v>2250</v>
      </c>
      <c r="H1676" s="70">
        <v>0</v>
      </c>
    </row>
    <row r="1677" spans="6:8" x14ac:dyDescent="0.35">
      <c r="F1677" s="94">
        <v>314299</v>
      </c>
      <c r="G1677" s="84" t="s">
        <v>2251</v>
      </c>
      <c r="H1677" s="70" t="s">
        <v>2139</v>
      </c>
    </row>
    <row r="1678" spans="6:8" x14ac:dyDescent="0.35">
      <c r="F1678" s="94">
        <v>314747</v>
      </c>
      <c r="G1678" s="84" t="s">
        <v>2252</v>
      </c>
      <c r="H1678" s="70" t="s">
        <v>2139</v>
      </c>
    </row>
    <row r="1679" spans="6:8" x14ac:dyDescent="0.35">
      <c r="F1679" s="94">
        <v>313572</v>
      </c>
      <c r="G1679" s="84" t="s">
        <v>2253</v>
      </c>
      <c r="H1679" s="70">
        <v>0</v>
      </c>
    </row>
    <row r="1680" spans="6:8" x14ac:dyDescent="0.35">
      <c r="F1680" s="94">
        <v>313541</v>
      </c>
      <c r="G1680" s="84" t="s">
        <v>2254</v>
      </c>
      <c r="H1680" s="70">
        <v>0</v>
      </c>
    </row>
    <row r="1681" spans="6:8" x14ac:dyDescent="0.35">
      <c r="F1681" s="94">
        <v>315319</v>
      </c>
      <c r="G1681" s="84" t="s">
        <v>2255</v>
      </c>
      <c r="H1681" s="70">
        <v>0</v>
      </c>
    </row>
    <row r="1682" spans="6:8" x14ac:dyDescent="0.35">
      <c r="F1682" s="94">
        <v>314502</v>
      </c>
      <c r="G1682" s="84" t="s">
        <v>2256</v>
      </c>
      <c r="H1682" s="70">
        <v>0</v>
      </c>
    </row>
    <row r="1683" spans="6:8" x14ac:dyDescent="0.35">
      <c r="F1683" s="94">
        <v>313284</v>
      </c>
      <c r="G1683" s="84" t="s">
        <v>2257</v>
      </c>
      <c r="H1683" s="70" t="s">
        <v>2139</v>
      </c>
    </row>
    <row r="1684" spans="6:8" x14ac:dyDescent="0.35">
      <c r="F1684" s="94">
        <v>311460</v>
      </c>
      <c r="G1684" s="84" t="s">
        <v>2258</v>
      </c>
      <c r="H1684" s="70">
        <v>0</v>
      </c>
    </row>
    <row r="1685" spans="6:8" x14ac:dyDescent="0.35">
      <c r="F1685" s="94">
        <v>306579</v>
      </c>
      <c r="G1685" s="84" t="s">
        <v>2259</v>
      </c>
      <c r="H1685" s="70">
        <v>0</v>
      </c>
    </row>
    <row r="1686" spans="6:8" x14ac:dyDescent="0.35">
      <c r="F1686" s="94">
        <v>311234</v>
      </c>
      <c r="G1686" s="84" t="s">
        <v>2260</v>
      </c>
      <c r="H1686" s="70">
        <v>0</v>
      </c>
    </row>
    <row r="1687" spans="6:8" x14ac:dyDescent="0.35">
      <c r="F1687" s="94">
        <v>308361</v>
      </c>
      <c r="G1687" s="84" t="s">
        <v>2261</v>
      </c>
      <c r="H1687" s="70">
        <v>0</v>
      </c>
    </row>
    <row r="1688" spans="6:8" x14ac:dyDescent="0.35">
      <c r="F1688" s="94">
        <v>311060</v>
      </c>
      <c r="G1688" s="84" t="s">
        <v>2262</v>
      </c>
      <c r="H1688" s="70">
        <v>0</v>
      </c>
    </row>
    <row r="1689" spans="6:8" x14ac:dyDescent="0.35">
      <c r="F1689" s="94">
        <v>305555</v>
      </c>
      <c r="G1689" s="84" t="s">
        <v>2263</v>
      </c>
      <c r="H1689" s="70">
        <v>0</v>
      </c>
    </row>
    <row r="1690" spans="6:8" x14ac:dyDescent="0.35">
      <c r="F1690" s="94">
        <v>308210</v>
      </c>
      <c r="G1690" s="84" t="s">
        <v>2264</v>
      </c>
      <c r="H1690" s="70">
        <v>0</v>
      </c>
    </row>
    <row r="1691" spans="6:8" x14ac:dyDescent="0.35">
      <c r="F1691" s="94">
        <v>310790</v>
      </c>
      <c r="G1691" s="84" t="s">
        <v>2265</v>
      </c>
      <c r="H1691" s="70">
        <v>0</v>
      </c>
    </row>
    <row r="1692" spans="6:8" x14ac:dyDescent="0.35">
      <c r="F1692" s="94">
        <v>309544</v>
      </c>
      <c r="G1692" s="84" t="s">
        <v>2266</v>
      </c>
      <c r="H1692" s="70">
        <v>0</v>
      </c>
    </row>
    <row r="1693" spans="6:8" x14ac:dyDescent="0.35">
      <c r="F1693" s="94">
        <v>308493</v>
      </c>
      <c r="G1693" s="84" t="s">
        <v>2267</v>
      </c>
      <c r="H1693" s="70">
        <v>0</v>
      </c>
    </row>
    <row r="1694" spans="6:8" x14ac:dyDescent="0.35">
      <c r="F1694" s="94">
        <v>312483</v>
      </c>
      <c r="G1694" s="84" t="s">
        <v>2268</v>
      </c>
      <c r="H1694" s="70">
        <v>0</v>
      </c>
    </row>
    <row r="1695" spans="6:8" x14ac:dyDescent="0.35">
      <c r="F1695" s="94">
        <v>314431</v>
      </c>
      <c r="G1695" s="84" t="s">
        <v>2269</v>
      </c>
      <c r="H1695" s="70">
        <v>0</v>
      </c>
    </row>
    <row r="1696" spans="6:8" x14ac:dyDescent="0.35">
      <c r="F1696" s="94">
        <v>307394</v>
      </c>
      <c r="G1696" s="84" t="s">
        <v>2270</v>
      </c>
      <c r="H1696" s="70">
        <v>0</v>
      </c>
    </row>
    <row r="1697" spans="6:8" x14ac:dyDescent="0.35">
      <c r="F1697" s="94">
        <v>311082</v>
      </c>
      <c r="G1697" s="84" t="s">
        <v>2271</v>
      </c>
      <c r="H1697" s="70">
        <v>0</v>
      </c>
    </row>
    <row r="1698" spans="6:8" x14ac:dyDescent="0.35">
      <c r="F1698" s="94">
        <v>314301</v>
      </c>
      <c r="G1698" s="84" t="s">
        <v>2272</v>
      </c>
      <c r="H1698" s="70">
        <v>0</v>
      </c>
    </row>
    <row r="1699" spans="6:8" x14ac:dyDescent="0.35">
      <c r="F1699" s="94">
        <v>308405</v>
      </c>
      <c r="G1699" s="84" t="s">
        <v>2273</v>
      </c>
      <c r="H1699" s="70">
        <v>0</v>
      </c>
    </row>
    <row r="1700" spans="6:8" x14ac:dyDescent="0.35">
      <c r="F1700" s="94">
        <v>312485</v>
      </c>
      <c r="G1700" s="84" t="s">
        <v>2274</v>
      </c>
      <c r="H1700" s="70">
        <v>0</v>
      </c>
    </row>
    <row r="1701" spans="6:8" x14ac:dyDescent="0.35">
      <c r="F1701" s="94">
        <v>314527</v>
      </c>
      <c r="G1701" s="84" t="s">
        <v>2275</v>
      </c>
      <c r="H1701" s="70">
        <v>0</v>
      </c>
    </row>
    <row r="1702" spans="6:8" x14ac:dyDescent="0.35">
      <c r="F1702" s="94">
        <v>312481</v>
      </c>
      <c r="G1702" s="84" t="s">
        <v>2276</v>
      </c>
      <c r="H1702" s="70">
        <v>0</v>
      </c>
    </row>
    <row r="1703" spans="6:8" x14ac:dyDescent="0.35">
      <c r="F1703" s="94">
        <v>312482</v>
      </c>
      <c r="G1703" s="84" t="s">
        <v>2277</v>
      </c>
      <c r="H1703" s="70">
        <v>0</v>
      </c>
    </row>
    <row r="1704" spans="6:8" x14ac:dyDescent="0.35">
      <c r="F1704" s="94">
        <v>307005</v>
      </c>
      <c r="G1704" s="84" t="s">
        <v>2278</v>
      </c>
      <c r="H1704" s="70">
        <v>0</v>
      </c>
    </row>
    <row r="1705" spans="6:8" x14ac:dyDescent="0.35">
      <c r="F1705" s="94">
        <v>314227</v>
      </c>
      <c r="G1705" s="84" t="s">
        <v>2279</v>
      </c>
      <c r="H1705" s="70">
        <v>0</v>
      </c>
    </row>
    <row r="1706" spans="6:8" x14ac:dyDescent="0.35">
      <c r="F1706" s="94">
        <v>308474</v>
      </c>
      <c r="G1706" s="84" t="s">
        <v>2280</v>
      </c>
      <c r="H1706" s="70">
        <v>0</v>
      </c>
    </row>
    <row r="1707" spans="6:8" x14ac:dyDescent="0.35">
      <c r="F1707" s="94">
        <v>312480</v>
      </c>
      <c r="G1707" s="84" t="s">
        <v>2281</v>
      </c>
      <c r="H1707" s="70">
        <v>0</v>
      </c>
    </row>
    <row r="1708" spans="6:8" x14ac:dyDescent="0.35">
      <c r="F1708" s="94">
        <v>305051</v>
      </c>
      <c r="G1708" s="96" t="s">
        <v>2282</v>
      </c>
      <c r="H1708" s="70">
        <v>0</v>
      </c>
    </row>
    <row r="1709" spans="6:8" x14ac:dyDescent="0.35">
      <c r="F1709" s="94">
        <v>308201</v>
      </c>
      <c r="G1709" s="96" t="s">
        <v>2283</v>
      </c>
      <c r="H1709" s="70">
        <v>0</v>
      </c>
    </row>
    <row r="1710" spans="6:8" x14ac:dyDescent="0.35">
      <c r="F1710" s="94">
        <v>311232</v>
      </c>
      <c r="G1710" s="96" t="s">
        <v>2284</v>
      </c>
      <c r="H1710" s="70">
        <v>0</v>
      </c>
    </row>
    <row r="1711" spans="6:8" x14ac:dyDescent="0.35">
      <c r="F1711" s="94">
        <v>310382</v>
      </c>
      <c r="G1711" s="96" t="s">
        <v>2285</v>
      </c>
      <c r="H1711" s="70">
        <v>0</v>
      </c>
    </row>
    <row r="1712" spans="6:8" x14ac:dyDescent="0.35">
      <c r="F1712" s="94">
        <v>305796</v>
      </c>
      <c r="G1712" s="96" t="s">
        <v>2286</v>
      </c>
      <c r="H1712" s="70">
        <v>0</v>
      </c>
    </row>
    <row r="1713" spans="6:8" x14ac:dyDescent="0.35">
      <c r="F1713" s="94">
        <v>310823</v>
      </c>
      <c r="G1713" s="96" t="s">
        <v>2287</v>
      </c>
      <c r="H1713" s="70">
        <v>0</v>
      </c>
    </row>
    <row r="1714" spans="6:8" x14ac:dyDescent="0.35">
      <c r="F1714" s="94">
        <v>311152</v>
      </c>
      <c r="G1714" s="96" t="s">
        <v>2288</v>
      </c>
      <c r="H1714" s="70">
        <v>0</v>
      </c>
    </row>
    <row r="1715" spans="6:8" x14ac:dyDescent="0.35">
      <c r="F1715" s="94">
        <v>309785</v>
      </c>
      <c r="G1715" s="96" t="s">
        <v>2289</v>
      </c>
      <c r="H1715" s="70">
        <v>0</v>
      </c>
    </row>
    <row r="1716" spans="6:8" x14ac:dyDescent="0.35">
      <c r="F1716" s="94">
        <v>310787</v>
      </c>
      <c r="G1716" s="96" t="s">
        <v>2290</v>
      </c>
      <c r="H1716" s="70">
        <v>0</v>
      </c>
    </row>
    <row r="1717" spans="6:8" x14ac:dyDescent="0.35">
      <c r="F1717" s="94">
        <v>305520</v>
      </c>
      <c r="G1717" s="96" t="s">
        <v>2291</v>
      </c>
      <c r="H1717" s="70">
        <v>0</v>
      </c>
    </row>
    <row r="1718" spans="6:8" x14ac:dyDescent="0.35">
      <c r="F1718" s="94">
        <v>308978</v>
      </c>
      <c r="G1718" s="96" t="s">
        <v>2292</v>
      </c>
      <c r="H1718" s="70">
        <v>0</v>
      </c>
    </row>
    <row r="1719" spans="6:8" x14ac:dyDescent="0.35">
      <c r="F1719" s="94">
        <v>311776</v>
      </c>
      <c r="G1719" s="96" t="s">
        <v>2293</v>
      </c>
      <c r="H1719" s="70">
        <v>0</v>
      </c>
    </row>
    <row r="1720" spans="6:8" x14ac:dyDescent="0.35">
      <c r="F1720" s="94">
        <v>309732</v>
      </c>
      <c r="G1720" s="96" t="s">
        <v>2294</v>
      </c>
      <c r="H1720" s="70">
        <v>0</v>
      </c>
    </row>
    <row r="1721" spans="6:8" x14ac:dyDescent="0.35">
      <c r="F1721" s="94">
        <v>314741</v>
      </c>
      <c r="G1721" s="96" t="s">
        <v>2295</v>
      </c>
      <c r="H1721" s="70">
        <v>0</v>
      </c>
    </row>
    <row r="1722" spans="6:8" x14ac:dyDescent="0.35">
      <c r="F1722" s="94">
        <v>314546</v>
      </c>
      <c r="G1722" s="96" t="s">
        <v>2296</v>
      </c>
      <c r="H1722" s="70">
        <v>0</v>
      </c>
    </row>
    <row r="1723" spans="6:8" x14ac:dyDescent="0.35">
      <c r="F1723" s="94">
        <v>313746</v>
      </c>
      <c r="G1723" s="96" t="s">
        <v>2297</v>
      </c>
      <c r="H1723" s="70">
        <v>0</v>
      </c>
    </row>
    <row r="1724" spans="6:8" x14ac:dyDescent="0.35">
      <c r="F1724" s="94">
        <v>315327</v>
      </c>
      <c r="G1724" s="96" t="s">
        <v>2298</v>
      </c>
      <c r="H1724" s="70">
        <v>0</v>
      </c>
    </row>
    <row r="1725" spans="6:8" x14ac:dyDescent="0.35">
      <c r="F1725" s="94">
        <v>314084</v>
      </c>
      <c r="G1725" s="96" t="s">
        <v>2299</v>
      </c>
      <c r="H1725" s="70">
        <v>0</v>
      </c>
    </row>
    <row r="1726" spans="6:8" x14ac:dyDescent="0.35">
      <c r="F1726" s="94">
        <v>313195</v>
      </c>
      <c r="G1726" s="96" t="s">
        <v>2300</v>
      </c>
      <c r="H1726" s="70">
        <v>0</v>
      </c>
    </row>
    <row r="1727" spans="6:8" x14ac:dyDescent="0.35">
      <c r="F1727" s="94">
        <v>313259</v>
      </c>
      <c r="G1727" s="96" t="s">
        <v>2301</v>
      </c>
      <c r="H1727" s="70">
        <v>0</v>
      </c>
    </row>
    <row r="1728" spans="6:8" x14ac:dyDescent="0.35">
      <c r="F1728" s="94">
        <v>314524</v>
      </c>
      <c r="G1728" s="96" t="s">
        <v>2302</v>
      </c>
      <c r="H1728" s="70">
        <v>0</v>
      </c>
    </row>
    <row r="1729" spans="6:8" x14ac:dyDescent="0.35">
      <c r="F1729" s="94">
        <v>314329</v>
      </c>
      <c r="G1729" s="96" t="s">
        <v>2303</v>
      </c>
      <c r="H1729" s="70">
        <v>0</v>
      </c>
    </row>
    <row r="1730" spans="6:8" x14ac:dyDescent="0.35">
      <c r="F1730" s="94">
        <v>314305</v>
      </c>
      <c r="G1730" s="96" t="s">
        <v>2304</v>
      </c>
      <c r="H1730" s="70">
        <v>0</v>
      </c>
    </row>
    <row r="1731" spans="6:8" x14ac:dyDescent="0.35">
      <c r="F1731" s="94">
        <v>311962</v>
      </c>
      <c r="G1731" s="96" t="s">
        <v>2305</v>
      </c>
      <c r="H1731" s="70">
        <v>0</v>
      </c>
    </row>
    <row r="1732" spans="6:8" x14ac:dyDescent="0.35">
      <c r="F1732" s="94">
        <v>311075</v>
      </c>
      <c r="G1732" s="96" t="s">
        <v>2306</v>
      </c>
      <c r="H1732" s="70">
        <v>0</v>
      </c>
    </row>
    <row r="1733" spans="6:8" x14ac:dyDescent="0.35">
      <c r="F1733" s="94">
        <v>311233</v>
      </c>
      <c r="G1733" s="96" t="s">
        <v>2307</v>
      </c>
      <c r="H1733" s="70">
        <v>0</v>
      </c>
    </row>
    <row r="1734" spans="6:8" x14ac:dyDescent="0.35">
      <c r="F1734" s="94">
        <v>314811</v>
      </c>
      <c r="G1734" s="96" t="s">
        <v>2308</v>
      </c>
      <c r="H1734" s="70">
        <v>0</v>
      </c>
    </row>
    <row r="1735" spans="6:8" x14ac:dyDescent="0.35">
      <c r="F1735" s="94">
        <v>313745</v>
      </c>
      <c r="G1735" s="96" t="s">
        <v>2309</v>
      </c>
      <c r="H1735" s="70">
        <v>0</v>
      </c>
    </row>
    <row r="1736" spans="6:8" x14ac:dyDescent="0.35">
      <c r="F1736" s="94">
        <v>312288</v>
      </c>
      <c r="G1736" s="96" t="s">
        <v>2310</v>
      </c>
      <c r="H1736" s="70">
        <v>0</v>
      </c>
    </row>
    <row r="1737" spans="6:8" x14ac:dyDescent="0.35">
      <c r="F1737" s="94">
        <v>312474</v>
      </c>
      <c r="G1737" s="96" t="s">
        <v>2311</v>
      </c>
      <c r="H1737" s="70">
        <v>0</v>
      </c>
    </row>
    <row r="1738" spans="6:8" x14ac:dyDescent="0.35">
      <c r="F1738" s="94">
        <v>313756</v>
      </c>
      <c r="G1738" s="96" t="s">
        <v>2312</v>
      </c>
      <c r="H1738" s="70">
        <v>0</v>
      </c>
    </row>
    <row r="1739" spans="6:8" x14ac:dyDescent="0.35">
      <c r="F1739" s="94">
        <v>312284</v>
      </c>
      <c r="G1739" s="96" t="s">
        <v>2313</v>
      </c>
      <c r="H1739" s="70">
        <v>0</v>
      </c>
    </row>
    <row r="1740" spans="6:8" x14ac:dyDescent="0.35">
      <c r="F1740" s="94">
        <v>312015</v>
      </c>
      <c r="G1740" s="84" t="s">
        <v>2314</v>
      </c>
      <c r="H1740" s="70">
        <v>0</v>
      </c>
    </row>
    <row r="1741" spans="6:8" x14ac:dyDescent="0.35">
      <c r="F1741" s="94">
        <v>310710</v>
      </c>
      <c r="G1741" s="84" t="s">
        <v>2315</v>
      </c>
      <c r="H1741" s="70">
        <v>0</v>
      </c>
    </row>
    <row r="1742" spans="6:8" x14ac:dyDescent="0.35">
      <c r="F1742" s="94">
        <v>311459</v>
      </c>
      <c r="G1742" s="96" t="s">
        <v>2316</v>
      </c>
      <c r="H1742" s="70">
        <v>0</v>
      </c>
    </row>
    <row r="1743" spans="6:8" x14ac:dyDescent="0.35">
      <c r="F1743" s="94">
        <v>303585</v>
      </c>
      <c r="G1743" s="96" t="s">
        <v>2317</v>
      </c>
      <c r="H1743" s="70">
        <v>0</v>
      </c>
    </row>
    <row r="1744" spans="6:8" x14ac:dyDescent="0.35">
      <c r="F1744" s="94">
        <v>310704</v>
      </c>
      <c r="G1744" s="84" t="s">
        <v>2318</v>
      </c>
      <c r="H1744" s="70">
        <v>0</v>
      </c>
    </row>
    <row r="1745" spans="6:8" x14ac:dyDescent="0.35">
      <c r="F1745" s="94">
        <v>311359</v>
      </c>
      <c r="G1745" s="84" t="s">
        <v>2319</v>
      </c>
      <c r="H1745" s="70">
        <v>0</v>
      </c>
    </row>
    <row r="1746" spans="6:8" x14ac:dyDescent="0.35">
      <c r="F1746" s="94">
        <v>306643</v>
      </c>
      <c r="G1746" s="84" t="s">
        <v>2320</v>
      </c>
      <c r="H1746" s="70">
        <v>0</v>
      </c>
    </row>
    <row r="1747" spans="6:8" x14ac:dyDescent="0.35">
      <c r="F1747" s="94">
        <v>307846</v>
      </c>
      <c r="G1747" s="96" t="s">
        <v>2321</v>
      </c>
      <c r="H1747" s="70">
        <v>0</v>
      </c>
    </row>
    <row r="1748" spans="6:8" x14ac:dyDescent="0.35">
      <c r="F1748" s="94">
        <v>307962</v>
      </c>
      <c r="G1748" s="96" t="s">
        <v>2322</v>
      </c>
      <c r="H1748" s="70">
        <v>0</v>
      </c>
    </row>
    <row r="1749" spans="6:8" x14ac:dyDescent="0.35">
      <c r="F1749" s="94">
        <v>307891</v>
      </c>
      <c r="G1749" s="96" t="s">
        <v>2323</v>
      </c>
      <c r="H1749" s="70">
        <v>0</v>
      </c>
    </row>
    <row r="1750" spans="6:8" x14ac:dyDescent="0.35">
      <c r="F1750" s="94">
        <v>314936</v>
      </c>
      <c r="G1750" s="84" t="s">
        <v>2324</v>
      </c>
      <c r="H1750" s="70">
        <v>0</v>
      </c>
    </row>
    <row r="1751" spans="6:8" x14ac:dyDescent="0.35">
      <c r="F1751" s="94">
        <v>313295</v>
      </c>
      <c r="G1751" s="84" t="s">
        <v>2325</v>
      </c>
      <c r="H1751" s="70">
        <v>0</v>
      </c>
    </row>
    <row r="1752" spans="6:8" x14ac:dyDescent="0.35">
      <c r="F1752" s="94">
        <v>314413</v>
      </c>
      <c r="G1752" s="96" t="s">
        <v>2326</v>
      </c>
      <c r="H1752" s="70">
        <v>0</v>
      </c>
    </row>
    <row r="1753" spans="6:8" x14ac:dyDescent="0.35">
      <c r="F1753" s="94">
        <v>315237</v>
      </c>
      <c r="G1753" s="84" t="s">
        <v>2327</v>
      </c>
      <c r="H1753" s="70">
        <v>0</v>
      </c>
    </row>
    <row r="1754" spans="6:8" x14ac:dyDescent="0.35">
      <c r="F1754" s="94">
        <v>311345</v>
      </c>
      <c r="G1754" s="96" t="s">
        <v>2328</v>
      </c>
      <c r="H1754" s="70">
        <v>0</v>
      </c>
    </row>
    <row r="1755" spans="6:8" x14ac:dyDescent="0.35">
      <c r="F1755" s="94">
        <v>314250</v>
      </c>
      <c r="G1755" s="96" t="s">
        <v>2329</v>
      </c>
      <c r="H1755" s="70">
        <v>0</v>
      </c>
    </row>
    <row r="1756" spans="6:8" x14ac:dyDescent="0.35">
      <c r="F1756" s="94">
        <v>314281</v>
      </c>
      <c r="G1756" s="96" t="s">
        <v>2330</v>
      </c>
      <c r="H1756" s="70">
        <v>0</v>
      </c>
    </row>
    <row r="1757" spans="6:8" x14ac:dyDescent="0.35">
      <c r="F1757" s="94">
        <v>313451</v>
      </c>
      <c r="G1757" s="96" t="s">
        <v>2331</v>
      </c>
      <c r="H1757" s="70">
        <v>0</v>
      </c>
    </row>
    <row r="1758" spans="6:8" x14ac:dyDescent="0.35">
      <c r="F1758" s="94">
        <v>313497</v>
      </c>
      <c r="G1758" s="84" t="s">
        <v>2332</v>
      </c>
      <c r="H1758" s="70">
        <v>0</v>
      </c>
    </row>
    <row r="1759" spans="6:8" x14ac:dyDescent="0.35">
      <c r="F1759" s="94">
        <v>314013</v>
      </c>
      <c r="G1759" s="96" t="s">
        <v>2333</v>
      </c>
      <c r="H1759" s="70">
        <v>0</v>
      </c>
    </row>
    <row r="1760" spans="6:8" x14ac:dyDescent="0.35">
      <c r="F1760" s="94">
        <v>313262</v>
      </c>
      <c r="G1760" s="84" t="s">
        <v>2334</v>
      </c>
      <c r="H1760" s="70">
        <v>0</v>
      </c>
    </row>
    <row r="1761" spans="6:8" x14ac:dyDescent="0.35">
      <c r="F1761" s="94">
        <v>313583</v>
      </c>
      <c r="G1761" s="96" t="s">
        <v>2335</v>
      </c>
      <c r="H1761" s="70">
        <v>0</v>
      </c>
    </row>
    <row r="1762" spans="6:8" x14ac:dyDescent="0.35">
      <c r="F1762" s="94">
        <v>314762</v>
      </c>
      <c r="G1762" s="84" t="s">
        <v>2336</v>
      </c>
      <c r="H1762" s="70">
        <v>0</v>
      </c>
    </row>
    <row r="1763" spans="6:8" x14ac:dyDescent="0.35">
      <c r="F1763" s="94">
        <v>311902</v>
      </c>
      <c r="G1763" s="96" t="s">
        <v>2337</v>
      </c>
      <c r="H1763" s="70">
        <v>0</v>
      </c>
    </row>
    <row r="1764" spans="6:8" x14ac:dyDescent="0.35">
      <c r="F1764" s="94">
        <v>313251</v>
      </c>
      <c r="G1764" s="84" t="s">
        <v>2338</v>
      </c>
      <c r="H1764" s="70">
        <v>0</v>
      </c>
    </row>
    <row r="1765" spans="6:8" x14ac:dyDescent="0.35">
      <c r="F1765" s="94">
        <v>312564</v>
      </c>
      <c r="G1765" s="96" t="s">
        <v>2339</v>
      </c>
      <c r="H1765" s="70">
        <v>0</v>
      </c>
    </row>
    <row r="1766" spans="6:8" x14ac:dyDescent="0.35">
      <c r="F1766" s="94">
        <v>313011</v>
      </c>
      <c r="G1766" s="84" t="s">
        <v>2340</v>
      </c>
      <c r="H1766" s="70">
        <v>0</v>
      </c>
    </row>
    <row r="1767" spans="6:8" x14ac:dyDescent="0.35">
      <c r="F1767" s="94">
        <v>313750</v>
      </c>
      <c r="G1767" s="84" t="s">
        <v>2341</v>
      </c>
      <c r="H1767" s="70">
        <v>0</v>
      </c>
    </row>
    <row r="1768" spans="6:8" x14ac:dyDescent="0.35">
      <c r="F1768" s="94">
        <v>313212</v>
      </c>
      <c r="G1768" s="84" t="s">
        <v>2342</v>
      </c>
      <c r="H1768" s="70">
        <v>0</v>
      </c>
    </row>
    <row r="1769" spans="6:8" x14ac:dyDescent="0.35">
      <c r="F1769" s="94">
        <v>313261</v>
      </c>
      <c r="G1769" s="96" t="s">
        <v>2343</v>
      </c>
      <c r="H1769" s="70">
        <v>0</v>
      </c>
    </row>
    <row r="1770" spans="6:8" x14ac:dyDescent="0.35">
      <c r="F1770" s="94">
        <v>309678</v>
      </c>
      <c r="G1770" s="84" t="s">
        <v>2344</v>
      </c>
      <c r="H1770" s="70" t="s">
        <v>1074</v>
      </c>
    </row>
    <row r="1771" spans="6:8" x14ac:dyDescent="0.35">
      <c r="F1771" s="94">
        <v>311704</v>
      </c>
      <c r="G1771" s="84" t="s">
        <v>2345</v>
      </c>
      <c r="H1771" s="70" t="s">
        <v>1074</v>
      </c>
    </row>
    <row r="1772" spans="6:8" x14ac:dyDescent="0.35">
      <c r="F1772" s="94">
        <v>308464</v>
      </c>
      <c r="G1772" s="84" t="s">
        <v>2346</v>
      </c>
      <c r="H1772" s="70">
        <v>0</v>
      </c>
    </row>
    <row r="1773" spans="6:8" x14ac:dyDescent="0.35">
      <c r="F1773" s="94">
        <v>311964</v>
      </c>
      <c r="G1773" s="84" t="s">
        <v>2347</v>
      </c>
      <c r="H1773" s="70">
        <v>0</v>
      </c>
    </row>
    <row r="1774" spans="6:8" x14ac:dyDescent="0.35">
      <c r="F1774" s="94">
        <v>311963</v>
      </c>
      <c r="G1774" s="84" t="s">
        <v>2348</v>
      </c>
      <c r="H1774" s="70" t="s">
        <v>1074</v>
      </c>
    </row>
    <row r="1775" spans="6:8" x14ac:dyDescent="0.35">
      <c r="F1775" s="94">
        <v>308771</v>
      </c>
      <c r="G1775" s="84" t="s">
        <v>2349</v>
      </c>
      <c r="H1775" s="70" t="s">
        <v>1074</v>
      </c>
    </row>
    <row r="1776" spans="6:8" x14ac:dyDescent="0.35">
      <c r="F1776" s="94">
        <v>311530</v>
      </c>
      <c r="G1776" s="84" t="s">
        <v>2350</v>
      </c>
      <c r="H1776" s="70">
        <v>0</v>
      </c>
    </row>
    <row r="1777" spans="6:8" x14ac:dyDescent="0.35">
      <c r="F1777" s="94">
        <v>309348</v>
      </c>
      <c r="G1777" s="84" t="s">
        <v>2351</v>
      </c>
      <c r="H1777" s="70">
        <v>0</v>
      </c>
    </row>
    <row r="1778" spans="6:8" x14ac:dyDescent="0.35">
      <c r="F1778" s="94">
        <v>303093</v>
      </c>
      <c r="G1778" s="84" t="s">
        <v>2352</v>
      </c>
      <c r="H1778" s="70">
        <v>0</v>
      </c>
    </row>
    <row r="1779" spans="6:8" x14ac:dyDescent="0.35">
      <c r="F1779" s="94">
        <v>311838</v>
      </c>
      <c r="G1779" s="84" t="s">
        <v>2353</v>
      </c>
      <c r="H1779" s="70" t="s">
        <v>1074</v>
      </c>
    </row>
    <row r="1780" spans="6:8" x14ac:dyDescent="0.35">
      <c r="F1780" s="94">
        <v>310071</v>
      </c>
      <c r="G1780" s="84" t="s">
        <v>2354</v>
      </c>
      <c r="H1780" s="70">
        <v>0</v>
      </c>
    </row>
    <row r="1781" spans="6:8" x14ac:dyDescent="0.35">
      <c r="F1781" s="94">
        <v>315129</v>
      </c>
      <c r="G1781" s="84" t="s">
        <v>2355</v>
      </c>
      <c r="H1781" s="70" t="s">
        <v>1074</v>
      </c>
    </row>
    <row r="1782" spans="6:8" x14ac:dyDescent="0.35">
      <c r="F1782" s="94">
        <v>314522</v>
      </c>
      <c r="G1782" s="84" t="s">
        <v>2356</v>
      </c>
      <c r="H1782" s="70">
        <v>0</v>
      </c>
    </row>
    <row r="1783" spans="6:8" x14ac:dyDescent="0.35">
      <c r="F1783" s="94">
        <v>311595</v>
      </c>
      <c r="G1783" s="84" t="s">
        <v>2357</v>
      </c>
      <c r="H1783" s="70" t="s">
        <v>1074</v>
      </c>
    </row>
    <row r="1784" spans="6:8" x14ac:dyDescent="0.35">
      <c r="F1784" s="94">
        <v>312457</v>
      </c>
      <c r="G1784" s="84" t="s">
        <v>2358</v>
      </c>
      <c r="H1784" s="70">
        <v>0</v>
      </c>
    </row>
    <row r="1785" spans="6:8" x14ac:dyDescent="0.35">
      <c r="F1785" s="94">
        <v>313314</v>
      </c>
      <c r="G1785" s="84" t="s">
        <v>2359</v>
      </c>
      <c r="H1785" s="70">
        <v>0</v>
      </c>
    </row>
    <row r="1786" spans="6:8" x14ac:dyDescent="0.35">
      <c r="F1786" s="94">
        <v>313108</v>
      </c>
      <c r="G1786" s="84" t="s">
        <v>2360</v>
      </c>
      <c r="H1786" s="70" t="s">
        <v>1074</v>
      </c>
    </row>
    <row r="1787" spans="6:8" x14ac:dyDescent="0.35">
      <c r="F1787" s="94">
        <v>313313</v>
      </c>
      <c r="G1787" s="84" t="s">
        <v>2361</v>
      </c>
      <c r="H1787" s="70">
        <v>0</v>
      </c>
    </row>
    <row r="1788" spans="6:8" x14ac:dyDescent="0.35">
      <c r="F1788" s="94">
        <v>313757</v>
      </c>
      <c r="G1788" s="84" t="s">
        <v>2362</v>
      </c>
      <c r="H1788" s="70">
        <v>0</v>
      </c>
    </row>
    <row r="1789" spans="6:8" x14ac:dyDescent="0.35">
      <c r="F1789" s="94">
        <v>309122</v>
      </c>
      <c r="G1789" s="84" t="s">
        <v>2363</v>
      </c>
      <c r="H1789" s="70" t="s">
        <v>1074</v>
      </c>
    </row>
    <row r="1790" spans="6:8" x14ac:dyDescent="0.35">
      <c r="F1790" s="94">
        <v>314362</v>
      </c>
      <c r="G1790" s="84" t="s">
        <v>2364</v>
      </c>
      <c r="H1790" s="70">
        <v>0</v>
      </c>
    </row>
    <row r="1791" spans="6:8" x14ac:dyDescent="0.35">
      <c r="F1791" s="94">
        <v>315073</v>
      </c>
      <c r="G1791" s="84" t="s">
        <v>2365</v>
      </c>
      <c r="H1791" s="70">
        <v>0</v>
      </c>
    </row>
    <row r="1792" spans="6:8" x14ac:dyDescent="0.35">
      <c r="F1792" s="94">
        <v>314490</v>
      </c>
      <c r="G1792" s="84" t="s">
        <v>2366</v>
      </c>
      <c r="H1792" s="70">
        <v>0</v>
      </c>
    </row>
    <row r="1793" spans="6:8" x14ac:dyDescent="0.35">
      <c r="F1793" s="94">
        <v>311662</v>
      </c>
      <c r="G1793" s="84" t="s">
        <v>2367</v>
      </c>
      <c r="H1793" s="70">
        <v>0</v>
      </c>
    </row>
    <row r="1794" spans="6:8" x14ac:dyDescent="0.35">
      <c r="F1794" s="94">
        <v>312848</v>
      </c>
      <c r="G1794" s="84" t="s">
        <v>2368</v>
      </c>
      <c r="H1794" s="70" t="s">
        <v>1074</v>
      </c>
    </row>
    <row r="1795" spans="6:8" x14ac:dyDescent="0.35">
      <c r="F1795" s="94">
        <v>313196</v>
      </c>
      <c r="G1795" s="84" t="s">
        <v>2369</v>
      </c>
      <c r="H1795" s="70">
        <v>0</v>
      </c>
    </row>
    <row r="1796" spans="6:8" x14ac:dyDescent="0.35">
      <c r="F1796" s="94">
        <v>315406</v>
      </c>
      <c r="G1796" s="84" t="s">
        <v>2370</v>
      </c>
      <c r="H1796" s="70" t="s">
        <v>1074</v>
      </c>
    </row>
    <row r="1797" spans="6:8" x14ac:dyDescent="0.35">
      <c r="F1797" s="94">
        <v>314302</v>
      </c>
      <c r="G1797" s="84" t="s">
        <v>2371</v>
      </c>
      <c r="H1797" s="70" t="s">
        <v>1074</v>
      </c>
    </row>
    <row r="1798" spans="6:8" x14ac:dyDescent="0.35">
      <c r="F1798" s="94">
        <v>313758</v>
      </c>
      <c r="G1798" s="84" t="s">
        <v>2372</v>
      </c>
      <c r="H1798" s="70" t="s">
        <v>1074</v>
      </c>
    </row>
    <row r="1799" spans="6:8" x14ac:dyDescent="0.35">
      <c r="F1799" s="94">
        <v>314656</v>
      </c>
      <c r="G1799" s="84" t="s">
        <v>2373</v>
      </c>
      <c r="H1799" s="70">
        <v>0</v>
      </c>
    </row>
    <row r="1800" spans="6:8" x14ac:dyDescent="0.35">
      <c r="F1800" s="94">
        <v>313835</v>
      </c>
      <c r="G1800" s="84" t="s">
        <v>2374</v>
      </c>
      <c r="H1800" s="70">
        <v>0</v>
      </c>
    </row>
    <row r="1801" spans="6:8" x14ac:dyDescent="0.35">
      <c r="F1801" s="94">
        <v>312478</v>
      </c>
      <c r="G1801" s="84" t="s">
        <v>2375</v>
      </c>
      <c r="H1801" s="70">
        <v>0</v>
      </c>
    </row>
    <row r="1802" spans="6:8" x14ac:dyDescent="0.35">
      <c r="F1802" s="94">
        <v>315200</v>
      </c>
      <c r="G1802" s="84" t="s">
        <v>2376</v>
      </c>
      <c r="H1802" s="70" t="s">
        <v>1074</v>
      </c>
    </row>
    <row r="1803" spans="6:8" x14ac:dyDescent="0.35">
      <c r="F1803" s="94">
        <v>315029</v>
      </c>
      <c r="G1803" s="84" t="s">
        <v>2377</v>
      </c>
      <c r="H1803" s="70">
        <v>0</v>
      </c>
    </row>
    <row r="1804" spans="6:8" x14ac:dyDescent="0.35">
      <c r="F1804" s="94">
        <v>314847</v>
      </c>
      <c r="G1804" s="84" t="s">
        <v>2378</v>
      </c>
      <c r="H1804" s="70">
        <v>0</v>
      </c>
    </row>
    <row r="1805" spans="6:8" x14ac:dyDescent="0.35">
      <c r="F1805" s="94">
        <v>314911</v>
      </c>
      <c r="G1805" s="84" t="s">
        <v>2379</v>
      </c>
      <c r="H1805" s="70">
        <v>0</v>
      </c>
    </row>
    <row r="1806" spans="6:8" x14ac:dyDescent="0.35">
      <c r="F1806" s="94">
        <v>314907</v>
      </c>
      <c r="G1806" s="84" t="s">
        <v>2380</v>
      </c>
      <c r="H1806" s="70">
        <v>0</v>
      </c>
    </row>
    <row r="1807" spans="6:8" x14ac:dyDescent="0.35">
      <c r="F1807" s="94">
        <v>315190</v>
      </c>
      <c r="G1807" s="84" t="s">
        <v>2381</v>
      </c>
      <c r="H1807" s="70">
        <v>0</v>
      </c>
    </row>
    <row r="1808" spans="6:8" x14ac:dyDescent="0.35">
      <c r="F1808" s="94">
        <v>315176</v>
      </c>
      <c r="G1808" s="84" t="s">
        <v>2382</v>
      </c>
      <c r="H1808" s="70">
        <v>0</v>
      </c>
    </row>
    <row r="1809" spans="6:8" x14ac:dyDescent="0.35">
      <c r="F1809" s="94">
        <v>315080</v>
      </c>
      <c r="G1809" s="84" t="s">
        <v>2383</v>
      </c>
      <c r="H1809" s="70">
        <v>0</v>
      </c>
    </row>
    <row r="1810" spans="6:8" x14ac:dyDescent="0.35">
      <c r="F1810" s="94">
        <v>315177</v>
      </c>
      <c r="G1810" s="84" t="s">
        <v>2384</v>
      </c>
      <c r="H1810" s="70">
        <v>0</v>
      </c>
    </row>
    <row r="1811" spans="6:8" x14ac:dyDescent="0.35">
      <c r="F1811" s="94">
        <v>315189</v>
      </c>
      <c r="G1811" s="84" t="s">
        <v>2385</v>
      </c>
      <c r="H1811" s="70">
        <v>0</v>
      </c>
    </row>
    <row r="1812" spans="6:8" x14ac:dyDescent="0.35">
      <c r="F1812" s="94">
        <v>315469</v>
      </c>
      <c r="G1812" s="84" t="s">
        <v>2386</v>
      </c>
      <c r="H1812" s="70">
        <v>0</v>
      </c>
    </row>
    <row r="1813" spans="6:8" x14ac:dyDescent="0.35">
      <c r="F1813" s="94">
        <v>315360</v>
      </c>
      <c r="G1813" s="84" t="s">
        <v>2387</v>
      </c>
      <c r="H1813" s="70">
        <v>0</v>
      </c>
    </row>
    <row r="1814" spans="6:8" x14ac:dyDescent="0.35">
      <c r="F1814" s="94">
        <v>315461</v>
      </c>
      <c r="G1814" s="84" t="s">
        <v>2388</v>
      </c>
      <c r="H1814" s="70">
        <v>0</v>
      </c>
    </row>
    <row r="1815" spans="6:8" x14ac:dyDescent="0.35">
      <c r="F1815" s="94">
        <v>315390</v>
      </c>
      <c r="G1815" s="84" t="s">
        <v>2389</v>
      </c>
      <c r="H1815" s="70">
        <v>0</v>
      </c>
    </row>
    <row r="1816" spans="6:8" x14ac:dyDescent="0.35">
      <c r="F1816" s="94">
        <v>315464</v>
      </c>
      <c r="G1816" s="84" t="s">
        <v>2390</v>
      </c>
      <c r="H1816" s="70">
        <v>0</v>
      </c>
    </row>
    <row r="1817" spans="6:8" x14ac:dyDescent="0.35">
      <c r="F1817" s="94">
        <v>315574</v>
      </c>
      <c r="G1817" s="84" t="s">
        <v>2391</v>
      </c>
      <c r="H1817" s="70">
        <v>0</v>
      </c>
    </row>
    <row r="1818" spans="6:8" x14ac:dyDescent="0.35">
      <c r="F1818" s="94">
        <v>315596</v>
      </c>
      <c r="G1818" s="84" t="s">
        <v>2392</v>
      </c>
      <c r="H1818" s="70">
        <v>0</v>
      </c>
    </row>
    <row r="1819" spans="6:8" x14ac:dyDescent="0.35">
      <c r="F1819" s="94">
        <v>315593</v>
      </c>
      <c r="G1819" s="84" t="s">
        <v>2393</v>
      </c>
      <c r="H1819" s="70">
        <v>0</v>
      </c>
    </row>
    <row r="1820" spans="6:8" x14ac:dyDescent="0.35">
      <c r="F1820" s="94">
        <v>315595</v>
      </c>
      <c r="G1820" s="84" t="s">
        <v>2394</v>
      </c>
      <c r="H1820" s="70">
        <v>0</v>
      </c>
    </row>
    <row r="1821" spans="6:8" x14ac:dyDescent="0.35">
      <c r="F1821" s="94">
        <v>315292</v>
      </c>
      <c r="G1821" s="84" t="s">
        <v>2395</v>
      </c>
      <c r="H1821" s="70">
        <v>0</v>
      </c>
    </row>
    <row r="1822" spans="6:8" x14ac:dyDescent="0.35">
      <c r="F1822" s="98">
        <v>860486</v>
      </c>
      <c r="G1822" s="90" t="s">
        <v>2396</v>
      </c>
      <c r="H1822" s="70">
        <v>0</v>
      </c>
    </row>
    <row r="1823" spans="6:8" x14ac:dyDescent="0.35">
      <c r="F1823" s="98">
        <v>860236</v>
      </c>
      <c r="G1823" s="90" t="s">
        <v>2397</v>
      </c>
      <c r="H1823" s="70">
        <v>0</v>
      </c>
    </row>
    <row r="1824" spans="6:8" x14ac:dyDescent="0.35">
      <c r="F1824" t="s">
        <v>2398</v>
      </c>
      <c r="G1824" s="90" t="s">
        <v>2398</v>
      </c>
      <c r="H1824" s="70">
        <v>0</v>
      </c>
    </row>
    <row r="1825" spans="6:10" x14ac:dyDescent="0.35">
      <c r="F1825">
        <v>315625</v>
      </c>
      <c r="G1825" t="s">
        <v>2399</v>
      </c>
      <c r="H1825" s="70">
        <v>0</v>
      </c>
    </row>
    <row r="1826" spans="6:10" x14ac:dyDescent="0.35">
      <c r="F1826">
        <v>315666</v>
      </c>
      <c r="G1826" t="s">
        <v>2400</v>
      </c>
      <c r="H1826" s="70" t="s">
        <v>2130</v>
      </c>
    </row>
    <row r="1827" spans="6:10" x14ac:dyDescent="0.35">
      <c r="F1827">
        <v>315691</v>
      </c>
      <c r="G1827" s="99" t="s">
        <v>2401</v>
      </c>
      <c r="H1827" s="70">
        <v>0</v>
      </c>
    </row>
    <row r="1828" spans="6:10" x14ac:dyDescent="0.35">
      <c r="F1828" s="100">
        <v>315750</v>
      </c>
      <c r="G1828" s="100" t="s">
        <v>2402</v>
      </c>
      <c r="H1828" s="70">
        <v>0</v>
      </c>
      <c r="I1828" s="100"/>
      <c r="J1828" s="100"/>
    </row>
    <row r="1829" spans="6:10" x14ac:dyDescent="0.35">
      <c r="F1829">
        <v>315721</v>
      </c>
      <c r="G1829" s="100" t="s">
        <v>2403</v>
      </c>
      <c r="H1829" s="70">
        <v>0</v>
      </c>
      <c r="I1829" s="100"/>
      <c r="J1829" s="100"/>
    </row>
    <row r="1830" spans="6:10" x14ac:dyDescent="0.35">
      <c r="F1830">
        <v>315847</v>
      </c>
      <c r="G1830" t="s">
        <v>2404</v>
      </c>
      <c r="H1830" s="70" t="s">
        <v>2139</v>
      </c>
    </row>
    <row r="1831" spans="6:10" x14ac:dyDescent="0.35">
      <c r="F1831">
        <v>315833</v>
      </c>
      <c r="G1831" t="s">
        <v>2405</v>
      </c>
      <c r="H1831" s="70">
        <v>0</v>
      </c>
    </row>
    <row r="1832" spans="6:10" x14ac:dyDescent="0.35">
      <c r="F1832">
        <v>315621</v>
      </c>
      <c r="G1832" t="s">
        <v>2406</v>
      </c>
      <c r="H1832" s="70">
        <v>0</v>
      </c>
    </row>
    <row r="1833" spans="6:10" x14ac:dyDescent="0.35">
      <c r="F1833">
        <v>315816</v>
      </c>
      <c r="G1833" t="s">
        <v>2407</v>
      </c>
      <c r="H1833" s="70">
        <v>0</v>
      </c>
    </row>
    <row r="1834" spans="6:10" x14ac:dyDescent="0.35">
      <c r="F1834">
        <v>315692</v>
      </c>
      <c r="G1834" t="s">
        <v>2408</v>
      </c>
      <c r="H1834" s="70">
        <v>0</v>
      </c>
    </row>
    <row r="1835" spans="6:10" x14ac:dyDescent="0.35">
      <c r="F1835">
        <v>315801</v>
      </c>
      <c r="G1835" t="s">
        <v>2409</v>
      </c>
      <c r="H1835" s="70">
        <v>0</v>
      </c>
    </row>
    <row r="1836" spans="6:10" x14ac:dyDescent="0.35">
      <c r="F1836" s="10">
        <v>315649</v>
      </c>
      <c r="G1836" s="10" t="s">
        <v>2410</v>
      </c>
      <c r="H1836" s="70">
        <v>0</v>
      </c>
    </row>
    <row r="1837" spans="6:10" x14ac:dyDescent="0.35">
      <c r="F1837">
        <v>315986</v>
      </c>
      <c r="G1837" t="s">
        <v>2411</v>
      </c>
      <c r="H1837" s="70" t="s">
        <v>2139</v>
      </c>
    </row>
    <row r="1838" spans="6:10" x14ac:dyDescent="0.35">
      <c r="F1838" s="9">
        <v>315693</v>
      </c>
      <c r="G1838" t="s">
        <v>2412</v>
      </c>
      <c r="H1838" s="70">
        <v>0</v>
      </c>
    </row>
    <row r="1839" spans="6:10" x14ac:dyDescent="0.35">
      <c r="F1839">
        <v>315974</v>
      </c>
      <c r="G1839" t="s">
        <v>2413</v>
      </c>
      <c r="H1839" s="70">
        <v>0</v>
      </c>
    </row>
    <row r="1840" spans="6:10" x14ac:dyDescent="0.35">
      <c r="F1840">
        <v>316040</v>
      </c>
      <c r="G1840" t="s">
        <v>2414</v>
      </c>
      <c r="H1840" s="70">
        <v>0</v>
      </c>
    </row>
    <row r="1841" spans="6:8" x14ac:dyDescent="0.35">
      <c r="F1841">
        <v>315825</v>
      </c>
      <c r="G1841" t="s">
        <v>2415</v>
      </c>
      <c r="H1841" s="70">
        <v>0</v>
      </c>
    </row>
    <row r="1842" spans="6:8" x14ac:dyDescent="0.35">
      <c r="F1842">
        <v>315597</v>
      </c>
      <c r="G1842" t="s">
        <v>2416</v>
      </c>
      <c r="H1842" s="70">
        <v>0</v>
      </c>
    </row>
    <row r="1843" spans="6:8" x14ac:dyDescent="0.35">
      <c r="F1843">
        <v>316083</v>
      </c>
      <c r="G1843" t="s">
        <v>2417</v>
      </c>
      <c r="H1843" s="70">
        <v>0</v>
      </c>
    </row>
    <row r="1844" spans="6:8" x14ac:dyDescent="0.35">
      <c r="F1844">
        <v>315665</v>
      </c>
      <c r="G1844" t="s">
        <v>2418</v>
      </c>
      <c r="H1844" s="70">
        <v>0</v>
      </c>
    </row>
    <row r="1845" spans="6:8" x14ac:dyDescent="0.35">
      <c r="F1845">
        <v>315913</v>
      </c>
      <c r="G1845" t="s">
        <v>2419</v>
      </c>
      <c r="H1845" s="70">
        <v>0</v>
      </c>
    </row>
    <row r="1846" spans="6:8" x14ac:dyDescent="0.35">
      <c r="F1846">
        <v>315765</v>
      </c>
      <c r="G1846" t="s">
        <v>2420</v>
      </c>
      <c r="H1846" s="70">
        <v>0</v>
      </c>
    </row>
    <row r="1847" spans="6:8" x14ac:dyDescent="0.35">
      <c r="F1847">
        <v>316051</v>
      </c>
      <c r="G1847" t="s">
        <v>2421</v>
      </c>
      <c r="H1847" s="70">
        <v>0</v>
      </c>
    </row>
    <row r="1848" spans="6:8" x14ac:dyDescent="0.35">
      <c r="F1848">
        <v>315939</v>
      </c>
      <c r="G1848" t="s">
        <v>2422</v>
      </c>
      <c r="H1848" s="70">
        <v>0</v>
      </c>
    </row>
    <row r="1849" spans="6:8" x14ac:dyDescent="0.35">
      <c r="F1849">
        <v>315744</v>
      </c>
      <c r="G1849" t="s">
        <v>2423</v>
      </c>
      <c r="H1849" s="70">
        <v>0</v>
      </c>
    </row>
    <row r="1850" spans="6:8" x14ac:dyDescent="0.35">
      <c r="F1850">
        <v>316187</v>
      </c>
      <c r="G1850" t="s">
        <v>2424</v>
      </c>
      <c r="H1850" s="70">
        <v>0</v>
      </c>
    </row>
    <row r="1851" spans="6:8" x14ac:dyDescent="0.35">
      <c r="F1851">
        <v>315786</v>
      </c>
      <c r="G1851" t="s">
        <v>2425</v>
      </c>
      <c r="H1851" s="70">
        <v>0</v>
      </c>
    </row>
    <row r="1852" spans="6:8" x14ac:dyDescent="0.35">
      <c r="F1852">
        <v>315803</v>
      </c>
      <c r="G1852" t="s">
        <v>2426</v>
      </c>
      <c r="H1852" s="70">
        <v>0</v>
      </c>
    </row>
    <row r="1853" spans="6:8" x14ac:dyDescent="0.35">
      <c r="F1853">
        <v>315893</v>
      </c>
      <c r="G1853" t="s">
        <v>2427</v>
      </c>
      <c r="H1853" s="70">
        <v>0</v>
      </c>
    </row>
    <row r="1854" spans="6:8" x14ac:dyDescent="0.35">
      <c r="F1854">
        <v>315890</v>
      </c>
      <c r="G1854" t="s">
        <v>2428</v>
      </c>
      <c r="H1854" s="70">
        <v>0</v>
      </c>
    </row>
    <row r="1855" spans="6:8" x14ac:dyDescent="0.35">
      <c r="F1855" s="9">
        <v>316190</v>
      </c>
      <c r="G1855" t="s">
        <v>2429</v>
      </c>
      <c r="H1855" s="70">
        <v>0</v>
      </c>
    </row>
    <row r="1856" spans="6:8" x14ac:dyDescent="0.35">
      <c r="F1856">
        <v>315843</v>
      </c>
      <c r="G1856" t="s">
        <v>2430</v>
      </c>
      <c r="H1856" s="70">
        <v>0</v>
      </c>
    </row>
    <row r="1857" spans="6:8" x14ac:dyDescent="0.35">
      <c r="F1857">
        <v>315840</v>
      </c>
      <c r="G1857" t="s">
        <v>2431</v>
      </c>
      <c r="H1857" s="70">
        <v>0</v>
      </c>
    </row>
    <row r="1858" spans="6:8" x14ac:dyDescent="0.35">
      <c r="F1858">
        <v>315697</v>
      </c>
      <c r="G1858" t="s">
        <v>2432</v>
      </c>
      <c r="H1858" s="70">
        <v>0</v>
      </c>
    </row>
    <row r="1859" spans="6:8" x14ac:dyDescent="0.35">
      <c r="F1859">
        <v>315946</v>
      </c>
      <c r="G1859" t="s">
        <v>2433</v>
      </c>
      <c r="H1859" s="70">
        <v>0</v>
      </c>
    </row>
    <row r="1860" spans="6:8" x14ac:dyDescent="0.35">
      <c r="F1860">
        <v>315784</v>
      </c>
      <c r="G1860" t="s">
        <v>2434</v>
      </c>
      <c r="H1860" s="70">
        <v>0</v>
      </c>
    </row>
    <row r="1861" spans="6:8" x14ac:dyDescent="0.35">
      <c r="F1861">
        <v>316001</v>
      </c>
      <c r="G1861" t="s">
        <v>2435</v>
      </c>
      <c r="H1861" s="70">
        <v>0</v>
      </c>
    </row>
    <row r="1862" spans="6:8" x14ac:dyDescent="0.35">
      <c r="F1862">
        <v>315777</v>
      </c>
      <c r="G1862" t="s">
        <v>2436</v>
      </c>
      <c r="H1862" s="70">
        <v>0</v>
      </c>
    </row>
    <row r="1863" spans="6:8" x14ac:dyDescent="0.35">
      <c r="F1863">
        <v>315699</v>
      </c>
      <c r="G1863" s="101" t="s">
        <v>2437</v>
      </c>
      <c r="H1863" s="70">
        <v>0</v>
      </c>
    </row>
    <row r="1864" spans="6:8" x14ac:dyDescent="0.35">
      <c r="F1864">
        <v>315994</v>
      </c>
      <c r="G1864" t="s">
        <v>2438</v>
      </c>
      <c r="H1864" s="70">
        <v>0</v>
      </c>
    </row>
    <row r="1865" spans="6:8" x14ac:dyDescent="0.35">
      <c r="F1865">
        <v>315766</v>
      </c>
      <c r="G1865" t="s">
        <v>2439</v>
      </c>
      <c r="H1865" s="70">
        <v>0</v>
      </c>
    </row>
    <row r="1866" spans="6:8" x14ac:dyDescent="0.35">
      <c r="F1866">
        <v>315987</v>
      </c>
      <c r="G1866" t="s">
        <v>2440</v>
      </c>
      <c r="H1866" s="70">
        <v>0</v>
      </c>
    </row>
    <row r="1867" spans="6:8" x14ac:dyDescent="0.35">
      <c r="F1867">
        <v>316208</v>
      </c>
      <c r="G1867" t="s">
        <v>2441</v>
      </c>
      <c r="H1867" s="70">
        <v>0</v>
      </c>
    </row>
    <row r="1868" spans="6:8" x14ac:dyDescent="0.35">
      <c r="F1868">
        <v>316193</v>
      </c>
      <c r="G1868" s="8" t="s">
        <v>2442</v>
      </c>
      <c r="H1868" s="70">
        <v>0</v>
      </c>
    </row>
    <row r="1869" spans="6:8" x14ac:dyDescent="0.35">
      <c r="F1869">
        <v>316176</v>
      </c>
      <c r="G1869" t="s">
        <v>2443</v>
      </c>
      <c r="H1869" s="70">
        <v>0</v>
      </c>
    </row>
    <row r="1870" spans="6:8" x14ac:dyDescent="0.35">
      <c r="F1870">
        <v>316293</v>
      </c>
      <c r="G1870" t="s">
        <v>2444</v>
      </c>
      <c r="H1870" s="70" t="s">
        <v>2139</v>
      </c>
    </row>
    <row r="1871" spans="6:8" x14ac:dyDescent="0.35">
      <c r="F1871">
        <v>316090</v>
      </c>
      <c r="G1871" t="s">
        <v>2445</v>
      </c>
      <c r="H1871" s="70">
        <v>0</v>
      </c>
    </row>
    <row r="1872" spans="6:8" x14ac:dyDescent="0.35">
      <c r="F1872">
        <v>316057</v>
      </c>
      <c r="G1872" t="s">
        <v>2446</v>
      </c>
      <c r="H1872" s="70">
        <v>0</v>
      </c>
    </row>
    <row r="1873" spans="6:8" x14ac:dyDescent="0.35">
      <c r="F1873">
        <v>315962</v>
      </c>
      <c r="G1873" t="s">
        <v>2447</v>
      </c>
      <c r="H1873" s="70">
        <v>0</v>
      </c>
    </row>
    <row r="1874" spans="6:8" x14ac:dyDescent="0.35">
      <c r="F1874">
        <v>316237</v>
      </c>
      <c r="G1874" t="s">
        <v>2448</v>
      </c>
      <c r="H1874" s="70">
        <v>0</v>
      </c>
    </row>
    <row r="1875" spans="6:8" x14ac:dyDescent="0.35">
      <c r="F1875">
        <v>316054</v>
      </c>
      <c r="G1875" t="s">
        <v>2449</v>
      </c>
      <c r="H1875" s="70">
        <v>0</v>
      </c>
    </row>
    <row r="1876" spans="6:8" x14ac:dyDescent="0.35">
      <c r="F1876" s="9">
        <v>315734</v>
      </c>
      <c r="G1876" t="s">
        <v>2450</v>
      </c>
      <c r="H1876" s="70">
        <v>0</v>
      </c>
    </row>
    <row r="1877" spans="6:8" x14ac:dyDescent="0.35">
      <c r="F1877">
        <v>316098</v>
      </c>
      <c r="G1877" t="s">
        <v>2451</v>
      </c>
      <c r="H1877" s="70">
        <v>0</v>
      </c>
    </row>
    <row r="1878" spans="6:8" x14ac:dyDescent="0.35">
      <c r="F1878">
        <v>315679</v>
      </c>
      <c r="G1878" t="s">
        <v>2452</v>
      </c>
      <c r="H1878" s="70">
        <v>0</v>
      </c>
    </row>
    <row r="1879" spans="6:8" x14ac:dyDescent="0.35">
      <c r="F1879">
        <v>315769</v>
      </c>
      <c r="G1879" t="s">
        <v>2453</v>
      </c>
      <c r="H1879" s="70">
        <v>0</v>
      </c>
    </row>
    <row r="1880" spans="6:8" x14ac:dyDescent="0.35">
      <c r="F1880">
        <v>316174</v>
      </c>
      <c r="G1880" t="s">
        <v>2454</v>
      </c>
      <c r="H1880" s="70">
        <v>0</v>
      </c>
    </row>
    <row r="1881" spans="6:8" x14ac:dyDescent="0.35">
      <c r="F1881">
        <v>316152</v>
      </c>
      <c r="G1881" t="s">
        <v>2455</v>
      </c>
      <c r="H1881" s="70">
        <v>0</v>
      </c>
    </row>
    <row r="1882" spans="6:8" x14ac:dyDescent="0.35">
      <c r="F1882">
        <v>315882</v>
      </c>
      <c r="G1882" t="s">
        <v>2456</v>
      </c>
      <c r="H1882" s="70">
        <v>0</v>
      </c>
    </row>
    <row r="1883" spans="6:8" x14ac:dyDescent="0.35">
      <c r="F1883">
        <v>316241</v>
      </c>
      <c r="G1883" t="s">
        <v>2457</v>
      </c>
      <c r="H1883" s="70">
        <v>0</v>
      </c>
    </row>
    <row r="1884" spans="6:8" x14ac:dyDescent="0.35">
      <c r="F1884">
        <v>315651</v>
      </c>
      <c r="G1884" t="s">
        <v>2458</v>
      </c>
      <c r="H1884" s="70">
        <v>0</v>
      </c>
    </row>
    <row r="1885" spans="6:8" x14ac:dyDescent="0.35">
      <c r="F1885">
        <v>316011</v>
      </c>
      <c r="G1885" t="s">
        <v>2459</v>
      </c>
      <c r="H1885" s="70">
        <v>0</v>
      </c>
    </row>
    <row r="1886" spans="6:8" x14ac:dyDescent="0.35">
      <c r="F1886">
        <v>316263</v>
      </c>
      <c r="G1886" t="s">
        <v>2460</v>
      </c>
      <c r="H1886" s="70" t="s">
        <v>2130</v>
      </c>
    </row>
    <row r="1887" spans="6:8" x14ac:dyDescent="0.35">
      <c r="F1887">
        <v>315661</v>
      </c>
      <c r="G1887" t="s">
        <v>2461</v>
      </c>
      <c r="H1887" s="70">
        <v>0</v>
      </c>
    </row>
    <row r="1888" spans="6:8" x14ac:dyDescent="0.35">
      <c r="F1888">
        <v>316060</v>
      </c>
      <c r="G1888" t="s">
        <v>2462</v>
      </c>
      <c r="H1888" s="70">
        <v>0</v>
      </c>
    </row>
    <row r="1889" spans="6:8" x14ac:dyDescent="0.35">
      <c r="F1889">
        <v>315992</v>
      </c>
      <c r="G1889" t="s">
        <v>2463</v>
      </c>
      <c r="H1889" s="70">
        <v>0</v>
      </c>
    </row>
    <row r="1890" spans="6:8" x14ac:dyDescent="0.35">
      <c r="F1890">
        <v>316191</v>
      </c>
      <c r="G1890" t="s">
        <v>2464</v>
      </c>
      <c r="H1890" s="70">
        <v>0</v>
      </c>
    </row>
    <row r="1891" spans="6:8" x14ac:dyDescent="0.35">
      <c r="F1891">
        <v>316294</v>
      </c>
      <c r="G1891" t="s">
        <v>2465</v>
      </c>
      <c r="H1891" s="70">
        <v>0</v>
      </c>
    </row>
    <row r="1892" spans="6:8" x14ac:dyDescent="0.35">
      <c r="F1892" s="10">
        <v>90012428</v>
      </c>
      <c r="G1892" t="s">
        <v>2466</v>
      </c>
      <c r="H1892" s="70">
        <v>0</v>
      </c>
    </row>
    <row r="1893" spans="6:8" x14ac:dyDescent="0.35">
      <c r="F1893" s="9">
        <v>90013944</v>
      </c>
      <c r="G1893" t="s">
        <v>2467</v>
      </c>
      <c r="H1893" s="70">
        <v>0</v>
      </c>
    </row>
    <row r="1894" spans="6:8" x14ac:dyDescent="0.35">
      <c r="F1894">
        <v>316240</v>
      </c>
      <c r="G1894" t="s">
        <v>2468</v>
      </c>
      <c r="H1894" s="70">
        <v>0</v>
      </c>
    </row>
    <row r="1895" spans="6:8" x14ac:dyDescent="0.35">
      <c r="F1895">
        <v>90014151</v>
      </c>
      <c r="G1895" t="s">
        <v>2469</v>
      </c>
      <c r="H1895" s="70">
        <v>0</v>
      </c>
    </row>
    <row r="1896" spans="6:8" x14ac:dyDescent="0.35">
      <c r="F1896" s="9">
        <v>90013720</v>
      </c>
      <c r="G1896" t="s">
        <v>2470</v>
      </c>
      <c r="H1896" s="70">
        <v>0</v>
      </c>
    </row>
    <row r="1897" spans="6:8" x14ac:dyDescent="0.35">
      <c r="F1897">
        <v>90012315</v>
      </c>
      <c r="G1897" t="s">
        <v>2471</v>
      </c>
      <c r="H1897" s="70">
        <v>0</v>
      </c>
    </row>
    <row r="1898" spans="6:8" x14ac:dyDescent="0.35">
      <c r="F1898" s="9">
        <v>90013833</v>
      </c>
      <c r="G1898" t="s">
        <v>2472</v>
      </c>
      <c r="H1898" s="70">
        <v>0</v>
      </c>
    </row>
    <row r="1899" spans="6:8" x14ac:dyDescent="0.35">
      <c r="F1899">
        <v>90018997</v>
      </c>
      <c r="G1899" t="s">
        <v>2473</v>
      </c>
      <c r="H1899" s="70" t="s">
        <v>2130</v>
      </c>
    </row>
    <row r="1900" spans="6:8" x14ac:dyDescent="0.35">
      <c r="F1900" s="9">
        <v>90014269</v>
      </c>
      <c r="G1900" t="s">
        <v>2474</v>
      </c>
      <c r="H1900" s="70">
        <v>0</v>
      </c>
    </row>
    <row r="1901" spans="6:8" x14ac:dyDescent="0.35">
      <c r="F1901" s="8" t="s">
        <v>2475</v>
      </c>
      <c r="G1901" s="8" t="s">
        <v>2475</v>
      </c>
      <c r="H1901" s="70">
        <v>0</v>
      </c>
    </row>
    <row r="1902" spans="6:8" x14ac:dyDescent="0.35">
      <c r="F1902">
        <v>90014281</v>
      </c>
      <c r="G1902" t="s">
        <v>2476</v>
      </c>
      <c r="H1902" s="70">
        <v>0</v>
      </c>
    </row>
    <row r="1903" spans="6:8" x14ac:dyDescent="0.35">
      <c r="F1903">
        <v>90019660</v>
      </c>
      <c r="G1903" t="s">
        <v>2477</v>
      </c>
      <c r="H1903" s="70">
        <v>0</v>
      </c>
    </row>
    <row r="1904" spans="6:8" x14ac:dyDescent="0.35">
      <c r="F1904">
        <v>90018838</v>
      </c>
      <c r="G1904" t="s">
        <v>2478</v>
      </c>
      <c r="H1904" s="70">
        <v>0</v>
      </c>
    </row>
    <row r="1905" spans="6:8" x14ac:dyDescent="0.35">
      <c r="F1905">
        <v>90013719</v>
      </c>
      <c r="G1905" t="s">
        <v>2479</v>
      </c>
      <c r="H1905" s="70">
        <v>0</v>
      </c>
    </row>
    <row r="1906" spans="6:8" x14ac:dyDescent="0.35">
      <c r="F1906">
        <v>90019011</v>
      </c>
      <c r="G1906" t="s">
        <v>2480</v>
      </c>
      <c r="H1906" s="70">
        <v>0</v>
      </c>
    </row>
    <row r="1907" spans="6:8" x14ac:dyDescent="0.35">
      <c r="F1907">
        <v>90019588</v>
      </c>
      <c r="G1907" t="s">
        <v>2481</v>
      </c>
      <c r="H1907" s="70">
        <v>0</v>
      </c>
    </row>
    <row r="1908" spans="6:8" x14ac:dyDescent="0.35">
      <c r="F1908" s="10">
        <v>90019689</v>
      </c>
      <c r="G1908" t="s">
        <v>2482</v>
      </c>
      <c r="H1908" s="70" t="s">
        <v>1074</v>
      </c>
    </row>
    <row r="1909" spans="6:8" x14ac:dyDescent="0.35">
      <c r="F1909" s="10">
        <v>90024021</v>
      </c>
      <c r="G1909" t="s">
        <v>2483</v>
      </c>
      <c r="H1909" s="70" t="s">
        <v>2139</v>
      </c>
    </row>
    <row r="1910" spans="6:8" x14ac:dyDescent="0.35">
      <c r="F1910">
        <v>90013782</v>
      </c>
      <c r="G1910" t="s">
        <v>2484</v>
      </c>
      <c r="H1910" s="70">
        <v>0</v>
      </c>
    </row>
    <row r="1911" spans="6:8" x14ac:dyDescent="0.35">
      <c r="F1911">
        <v>90024411</v>
      </c>
      <c r="G1911" t="s">
        <v>2485</v>
      </c>
      <c r="H1911" s="70">
        <v>0</v>
      </c>
    </row>
    <row r="1912" spans="6:8" x14ac:dyDescent="0.35">
      <c r="F1912">
        <v>90024370</v>
      </c>
      <c r="G1912" t="s">
        <v>2486</v>
      </c>
      <c r="H1912" s="70">
        <v>0</v>
      </c>
    </row>
    <row r="1913" spans="6:8" x14ac:dyDescent="0.35">
      <c r="F1913">
        <v>90024235</v>
      </c>
      <c r="G1913" t="s">
        <v>2487</v>
      </c>
      <c r="H1913" s="70">
        <v>0</v>
      </c>
    </row>
    <row r="1914" spans="6:8" x14ac:dyDescent="0.35">
      <c r="F1914">
        <v>90028187</v>
      </c>
      <c r="G1914" t="s">
        <v>2488</v>
      </c>
      <c r="H1914" s="70">
        <v>0</v>
      </c>
    </row>
    <row r="1915" spans="6:8" x14ac:dyDescent="0.35">
      <c r="F1915">
        <v>90025289</v>
      </c>
      <c r="G1915" t="s">
        <v>2489</v>
      </c>
      <c r="H1915" s="70" t="s">
        <v>2130</v>
      </c>
    </row>
    <row r="1916" spans="6:8" x14ac:dyDescent="0.35">
      <c r="F1916">
        <v>90028608</v>
      </c>
      <c r="G1916" t="s">
        <v>2490</v>
      </c>
      <c r="H1916" s="70">
        <v>0</v>
      </c>
    </row>
    <row r="1917" spans="6:8" x14ac:dyDescent="0.35">
      <c r="F1917">
        <v>90028491</v>
      </c>
      <c r="G1917" t="s">
        <v>2491</v>
      </c>
      <c r="H1917" s="70">
        <v>0</v>
      </c>
    </row>
    <row r="1918" spans="6:8" x14ac:dyDescent="0.35">
      <c r="F1918">
        <v>90024419</v>
      </c>
      <c r="G1918" t="s">
        <v>2492</v>
      </c>
      <c r="H1918" s="70">
        <v>0</v>
      </c>
    </row>
    <row r="1919" spans="6:8" x14ac:dyDescent="0.35">
      <c r="F1919">
        <v>90028606</v>
      </c>
      <c r="G1919" t="s">
        <v>2493</v>
      </c>
      <c r="H1919" s="70">
        <v>0</v>
      </c>
    </row>
    <row r="1920" spans="6:8" x14ac:dyDescent="0.35">
      <c r="F1920">
        <v>90028496</v>
      </c>
      <c r="G1920" t="s">
        <v>2494</v>
      </c>
      <c r="H1920" s="70">
        <v>0</v>
      </c>
    </row>
    <row r="1921" spans="6:8" x14ac:dyDescent="0.35">
      <c r="F1921">
        <v>90024632</v>
      </c>
      <c r="G1921" t="s">
        <v>2495</v>
      </c>
      <c r="H1921" s="70">
        <v>0</v>
      </c>
    </row>
    <row r="1922" spans="6:8" x14ac:dyDescent="0.35">
      <c r="F1922">
        <v>90025666</v>
      </c>
      <c r="G1922" t="s">
        <v>2496</v>
      </c>
    </row>
    <row r="1923" spans="6:8" x14ac:dyDescent="0.35">
      <c r="F1923">
        <v>90027918</v>
      </c>
      <c r="G1923" t="s">
        <v>2497</v>
      </c>
    </row>
    <row r="1924" spans="6:8" x14ac:dyDescent="0.35">
      <c r="F1924">
        <v>90027845</v>
      </c>
      <c r="G1924" t="s">
        <v>2498</v>
      </c>
    </row>
    <row r="1925" spans="6:8" x14ac:dyDescent="0.35">
      <c r="F1925">
        <v>90027868</v>
      </c>
      <c r="G1925" t="s">
        <v>2499</v>
      </c>
    </row>
    <row r="1926" spans="6:8" x14ac:dyDescent="0.35">
      <c r="F1926">
        <v>90028292</v>
      </c>
      <c r="G1926" t="s">
        <v>2500</v>
      </c>
    </row>
    <row r="1927" spans="6:8" x14ac:dyDescent="0.35">
      <c r="F1927">
        <v>90025620</v>
      </c>
      <c r="G1927" t="s">
        <v>2501</v>
      </c>
    </row>
    <row r="1928" spans="6:8" x14ac:dyDescent="0.35">
      <c r="F1928">
        <v>315856</v>
      </c>
      <c r="G1928" t="s">
        <v>2502</v>
      </c>
    </row>
    <row r="1929" spans="6:8" x14ac:dyDescent="0.35">
      <c r="F1929" s="10">
        <v>316023</v>
      </c>
      <c r="G1929" t="s">
        <v>2503</v>
      </c>
    </row>
    <row r="1930" spans="6:8" x14ac:dyDescent="0.35">
      <c r="F1930">
        <v>315925</v>
      </c>
      <c r="G1930" t="s">
        <v>2504</v>
      </c>
    </row>
    <row r="1931" spans="6:8" x14ac:dyDescent="0.35">
      <c r="F1931">
        <v>315841</v>
      </c>
      <c r="G1931" t="s">
        <v>2505</v>
      </c>
    </row>
    <row r="1932" spans="6:8" x14ac:dyDescent="0.35">
      <c r="F1932" s="70">
        <v>314692</v>
      </c>
      <c r="G1932" s="86" t="s">
        <v>393</v>
      </c>
    </row>
    <row r="1933" spans="6:8" x14ac:dyDescent="0.35">
      <c r="F1933" s="70">
        <v>313537</v>
      </c>
      <c r="G1933" s="86" t="s">
        <v>395</v>
      </c>
    </row>
    <row r="1934" spans="6:8" x14ac:dyDescent="0.35">
      <c r="F1934" s="70">
        <v>314163</v>
      </c>
      <c r="G1934" s="86" t="s">
        <v>397</v>
      </c>
    </row>
    <row r="1935" spans="6:8" x14ac:dyDescent="0.35">
      <c r="F1935" s="70">
        <v>300544</v>
      </c>
      <c r="G1935" s="86" t="s">
        <v>399</v>
      </c>
    </row>
    <row r="1936" spans="6:8" x14ac:dyDescent="0.35">
      <c r="F1936" s="70">
        <v>315208</v>
      </c>
      <c r="G1936" s="86" t="s">
        <v>401</v>
      </c>
    </row>
    <row r="1937" spans="6:7" x14ac:dyDescent="0.35">
      <c r="F1937" s="70">
        <v>315069</v>
      </c>
      <c r="G1937" s="86" t="s">
        <v>403</v>
      </c>
    </row>
    <row r="1938" spans="6:7" x14ac:dyDescent="0.35">
      <c r="F1938" s="70">
        <v>310864</v>
      </c>
      <c r="G1938" s="86" t="s">
        <v>406</v>
      </c>
    </row>
    <row r="1939" spans="6:7" x14ac:dyDescent="0.35">
      <c r="F1939" s="70">
        <v>314604</v>
      </c>
      <c r="G1939" s="86" t="s">
        <v>408</v>
      </c>
    </row>
    <row r="1940" spans="6:7" x14ac:dyDescent="0.35">
      <c r="F1940" s="70">
        <v>311687</v>
      </c>
      <c r="G1940" s="86" t="s">
        <v>411</v>
      </c>
    </row>
    <row r="1941" spans="6:7" x14ac:dyDescent="0.35">
      <c r="F1941" s="70">
        <v>315221</v>
      </c>
      <c r="G1941" s="86" t="s">
        <v>413</v>
      </c>
    </row>
    <row r="1942" spans="6:7" x14ac:dyDescent="0.35">
      <c r="F1942" s="70">
        <v>311950</v>
      </c>
      <c r="G1942" s="86" t="s">
        <v>415</v>
      </c>
    </row>
    <row r="1943" spans="6:7" x14ac:dyDescent="0.35">
      <c r="F1943" s="70">
        <v>313765</v>
      </c>
      <c r="G1943" s="86" t="s">
        <v>417</v>
      </c>
    </row>
    <row r="1944" spans="6:7" x14ac:dyDescent="0.35">
      <c r="F1944" s="70">
        <v>314840</v>
      </c>
      <c r="G1944" s="86" t="s">
        <v>2506</v>
      </c>
    </row>
    <row r="1945" spans="6:7" x14ac:dyDescent="0.35">
      <c r="F1945" s="70">
        <v>312686</v>
      </c>
      <c r="G1945" s="86" t="s">
        <v>420</v>
      </c>
    </row>
    <row r="1946" spans="6:7" x14ac:dyDescent="0.35">
      <c r="F1946" s="70">
        <v>313531</v>
      </c>
      <c r="G1946" s="86" t="s">
        <v>422</v>
      </c>
    </row>
    <row r="1947" spans="6:7" x14ac:dyDescent="0.35">
      <c r="F1947" s="70">
        <v>313714</v>
      </c>
      <c r="G1947" s="86" t="s">
        <v>424</v>
      </c>
    </row>
    <row r="1948" spans="6:7" x14ac:dyDescent="0.35">
      <c r="F1948" s="70">
        <v>313994</v>
      </c>
      <c r="G1948" s="86" t="s">
        <v>427</v>
      </c>
    </row>
    <row r="1949" spans="6:7" x14ac:dyDescent="0.35">
      <c r="F1949" s="70">
        <v>314849</v>
      </c>
      <c r="G1949" s="86" t="s">
        <v>430</v>
      </c>
    </row>
    <row r="1950" spans="6:7" x14ac:dyDescent="0.35">
      <c r="F1950" s="70">
        <v>315220</v>
      </c>
      <c r="G1950" s="86" t="s">
        <v>433</v>
      </c>
    </row>
    <row r="1951" spans="6:7" x14ac:dyDescent="0.35">
      <c r="F1951" s="70">
        <v>311810</v>
      </c>
      <c r="G1951" s="86" t="s">
        <v>436</v>
      </c>
    </row>
    <row r="1952" spans="6:7" x14ac:dyDescent="0.35">
      <c r="F1952" s="70">
        <v>300907</v>
      </c>
      <c r="G1952" s="86" t="s">
        <v>438</v>
      </c>
    </row>
    <row r="1953" spans="6:7" x14ac:dyDescent="0.35">
      <c r="F1953" s="70">
        <v>312962</v>
      </c>
      <c r="G1953" s="86" t="s">
        <v>441</v>
      </c>
    </row>
    <row r="1954" spans="6:7" x14ac:dyDescent="0.35">
      <c r="F1954" s="70">
        <v>314671</v>
      </c>
      <c r="G1954" s="86" t="s">
        <v>443</v>
      </c>
    </row>
    <row r="1955" spans="6:7" x14ac:dyDescent="0.35">
      <c r="F1955" s="70">
        <v>311103</v>
      </c>
      <c r="G1955" s="86" t="s">
        <v>445</v>
      </c>
    </row>
    <row r="1956" spans="6:7" x14ac:dyDescent="0.35">
      <c r="F1956" s="70">
        <v>311576</v>
      </c>
      <c r="G1956" s="86" t="s">
        <v>447</v>
      </c>
    </row>
    <row r="1957" spans="6:7" x14ac:dyDescent="0.35">
      <c r="F1957" s="70">
        <v>313014</v>
      </c>
      <c r="G1957" s="86" t="s">
        <v>449</v>
      </c>
    </row>
    <row r="1958" spans="6:7" x14ac:dyDescent="0.35">
      <c r="F1958" s="70">
        <v>315223</v>
      </c>
      <c r="G1958" s="86" t="s">
        <v>451</v>
      </c>
    </row>
    <row r="1959" spans="6:7" x14ac:dyDescent="0.35">
      <c r="F1959" s="70">
        <v>314035</v>
      </c>
      <c r="G1959" s="86" t="s">
        <v>453</v>
      </c>
    </row>
    <row r="1960" spans="6:7" x14ac:dyDescent="0.35">
      <c r="F1960" s="70">
        <v>315214</v>
      </c>
      <c r="G1960" s="86" t="s">
        <v>455</v>
      </c>
    </row>
    <row r="1961" spans="6:7" x14ac:dyDescent="0.35">
      <c r="F1961" s="70">
        <v>306902</v>
      </c>
      <c r="G1961" s="86" t="s">
        <v>457</v>
      </c>
    </row>
    <row r="1962" spans="6:7" x14ac:dyDescent="0.35">
      <c r="F1962" s="70">
        <v>315434</v>
      </c>
      <c r="G1962" s="86" t="s">
        <v>459</v>
      </c>
    </row>
    <row r="1963" spans="6:7" x14ac:dyDescent="0.35">
      <c r="F1963" s="70">
        <v>315280</v>
      </c>
      <c r="G1963" s="86" t="s">
        <v>461</v>
      </c>
    </row>
    <row r="1964" spans="6:7" x14ac:dyDescent="0.35">
      <c r="F1964" s="70">
        <v>302247</v>
      </c>
      <c r="G1964" s="86" t="s">
        <v>464</v>
      </c>
    </row>
    <row r="1965" spans="6:7" x14ac:dyDescent="0.35">
      <c r="F1965" s="70">
        <v>310433</v>
      </c>
      <c r="G1965" s="86" t="s">
        <v>466</v>
      </c>
    </row>
    <row r="1966" spans="6:7" x14ac:dyDescent="0.35">
      <c r="F1966" s="70">
        <v>313286</v>
      </c>
      <c r="G1966" s="86" t="s">
        <v>468</v>
      </c>
    </row>
    <row r="1967" spans="6:7" x14ac:dyDescent="0.35">
      <c r="F1967" s="70">
        <v>313119</v>
      </c>
      <c r="G1967" s="86" t="s">
        <v>470</v>
      </c>
    </row>
    <row r="1968" spans="6:7" x14ac:dyDescent="0.35">
      <c r="F1968" s="70">
        <v>313528</v>
      </c>
      <c r="G1968" s="86" t="s">
        <v>472</v>
      </c>
    </row>
    <row r="1969" spans="6:7" x14ac:dyDescent="0.35">
      <c r="F1969" s="70">
        <v>309338</v>
      </c>
      <c r="G1969" s="86" t="s">
        <v>474</v>
      </c>
    </row>
    <row r="1970" spans="6:7" x14ac:dyDescent="0.35">
      <c r="F1970" s="70">
        <v>309664</v>
      </c>
      <c r="G1970" s="86" t="s">
        <v>476</v>
      </c>
    </row>
    <row r="1971" spans="6:7" x14ac:dyDescent="0.35">
      <c r="F1971" s="70">
        <v>309337</v>
      </c>
      <c r="G1971" s="86" t="s">
        <v>478</v>
      </c>
    </row>
    <row r="1972" spans="6:7" x14ac:dyDescent="0.35">
      <c r="F1972" s="70">
        <v>315553</v>
      </c>
      <c r="G1972" s="86" t="s">
        <v>480</v>
      </c>
    </row>
    <row r="1973" spans="6:7" x14ac:dyDescent="0.35">
      <c r="F1973" s="70">
        <v>301503</v>
      </c>
      <c r="G1973" s="86" t="s">
        <v>482</v>
      </c>
    </row>
    <row r="1974" spans="6:7" x14ac:dyDescent="0.35">
      <c r="F1974" s="70">
        <v>311055</v>
      </c>
      <c r="G1974" s="86" t="s">
        <v>484</v>
      </c>
    </row>
    <row r="1975" spans="6:7" x14ac:dyDescent="0.35">
      <c r="F1975" s="70">
        <v>307790</v>
      </c>
      <c r="G1975" s="86" t="s">
        <v>486</v>
      </c>
    </row>
    <row r="1976" spans="6:7" x14ac:dyDescent="0.35">
      <c r="F1976" s="70">
        <v>315044</v>
      </c>
      <c r="G1976" s="86" t="s">
        <v>488</v>
      </c>
    </row>
    <row r="1977" spans="6:7" x14ac:dyDescent="0.35">
      <c r="F1977" s="70">
        <v>309527</v>
      </c>
      <c r="G1977" s="86" t="s">
        <v>490</v>
      </c>
    </row>
    <row r="1978" spans="6:7" x14ac:dyDescent="0.35">
      <c r="F1978" s="70">
        <v>313217</v>
      </c>
      <c r="G1978" s="86" t="s">
        <v>492</v>
      </c>
    </row>
    <row r="1979" spans="6:7" x14ac:dyDescent="0.35">
      <c r="F1979" s="70">
        <v>305932</v>
      </c>
      <c r="G1979" s="86" t="s">
        <v>495</v>
      </c>
    </row>
    <row r="1980" spans="6:7" x14ac:dyDescent="0.35">
      <c r="F1980" s="70">
        <v>314984</v>
      </c>
      <c r="G1980" s="86" t="s">
        <v>497</v>
      </c>
    </row>
    <row r="1981" spans="6:7" x14ac:dyDescent="0.35">
      <c r="F1981" s="70">
        <v>307751</v>
      </c>
      <c r="G1981" s="86" t="s">
        <v>499</v>
      </c>
    </row>
    <row r="1982" spans="6:7" x14ac:dyDescent="0.35">
      <c r="F1982" s="70">
        <v>310329</v>
      </c>
      <c r="G1982" s="86" t="s">
        <v>501</v>
      </c>
    </row>
    <row r="1983" spans="6:7" x14ac:dyDescent="0.35">
      <c r="F1983" s="70">
        <v>311761</v>
      </c>
      <c r="G1983" s="86" t="s">
        <v>503</v>
      </c>
    </row>
    <row r="1984" spans="6:7" x14ac:dyDescent="0.35">
      <c r="F1984" s="70">
        <v>311111</v>
      </c>
      <c r="G1984" s="86" t="s">
        <v>505</v>
      </c>
    </row>
    <row r="1985" spans="6:7" x14ac:dyDescent="0.35">
      <c r="F1985" s="70">
        <v>313991</v>
      </c>
      <c r="G1985" s="86" t="s">
        <v>507</v>
      </c>
    </row>
    <row r="1986" spans="6:7" x14ac:dyDescent="0.35">
      <c r="F1986" s="70">
        <v>307442</v>
      </c>
      <c r="G1986" s="86" t="s">
        <v>509</v>
      </c>
    </row>
    <row r="1987" spans="6:7" x14ac:dyDescent="0.35">
      <c r="F1987" s="70">
        <v>306767</v>
      </c>
      <c r="G1987" s="86" t="s">
        <v>511</v>
      </c>
    </row>
    <row r="1988" spans="6:7" x14ac:dyDescent="0.35">
      <c r="F1988" s="70">
        <v>312249</v>
      </c>
      <c r="G1988" s="86" t="s">
        <v>513</v>
      </c>
    </row>
    <row r="1989" spans="6:7" x14ac:dyDescent="0.35">
      <c r="F1989" s="70">
        <v>202795</v>
      </c>
      <c r="G1989" s="86" t="s">
        <v>515</v>
      </c>
    </row>
    <row r="1990" spans="6:7" x14ac:dyDescent="0.35">
      <c r="F1990" s="70">
        <v>315474</v>
      </c>
      <c r="G1990" s="86" t="s">
        <v>517</v>
      </c>
    </row>
    <row r="1991" spans="6:7" x14ac:dyDescent="0.35">
      <c r="F1991" s="70">
        <v>308129</v>
      </c>
      <c r="G1991" s="86" t="s">
        <v>519</v>
      </c>
    </row>
    <row r="1992" spans="6:7" x14ac:dyDescent="0.35">
      <c r="F1992" s="70">
        <v>314191</v>
      </c>
      <c r="G1992" s="86" t="s">
        <v>521</v>
      </c>
    </row>
    <row r="1993" spans="6:7" x14ac:dyDescent="0.35">
      <c r="F1993" s="70">
        <v>310191</v>
      </c>
      <c r="G1993" s="86" t="s">
        <v>524</v>
      </c>
    </row>
    <row r="1994" spans="6:7" x14ac:dyDescent="0.35">
      <c r="F1994" s="70">
        <v>310728</v>
      </c>
      <c r="G1994" s="86" t="s">
        <v>526</v>
      </c>
    </row>
    <row r="1995" spans="6:7" x14ac:dyDescent="0.35">
      <c r="F1995" s="70">
        <v>314469</v>
      </c>
      <c r="G1995" s="86" t="s">
        <v>528</v>
      </c>
    </row>
    <row r="1996" spans="6:7" x14ac:dyDescent="0.35">
      <c r="F1996" s="70">
        <v>312945</v>
      </c>
      <c r="G1996" s="86" t="s">
        <v>530</v>
      </c>
    </row>
    <row r="1997" spans="6:7" x14ac:dyDescent="0.35">
      <c r="F1997" s="70">
        <v>314019</v>
      </c>
      <c r="G1997" s="86" t="s">
        <v>532</v>
      </c>
    </row>
    <row r="1998" spans="6:7" x14ac:dyDescent="0.35">
      <c r="F1998" s="70">
        <v>315372</v>
      </c>
      <c r="G1998" s="86" t="s">
        <v>534</v>
      </c>
    </row>
    <row r="1999" spans="6:7" x14ac:dyDescent="0.35">
      <c r="F1999" s="70">
        <v>311505</v>
      </c>
      <c r="G1999" s="86" t="s">
        <v>536</v>
      </c>
    </row>
    <row r="2000" spans="6:7" x14ac:dyDescent="0.35">
      <c r="F2000" s="70">
        <v>315215</v>
      </c>
      <c r="G2000" s="86" t="s">
        <v>538</v>
      </c>
    </row>
    <row r="2001" spans="6:7" x14ac:dyDescent="0.35">
      <c r="F2001" s="70">
        <v>311380</v>
      </c>
      <c r="G2001" s="86" t="s">
        <v>540</v>
      </c>
    </row>
    <row r="2002" spans="6:7" x14ac:dyDescent="0.35">
      <c r="F2002" s="70">
        <v>311137</v>
      </c>
      <c r="G2002" s="86" t="s">
        <v>542</v>
      </c>
    </row>
    <row r="2003" spans="6:7" x14ac:dyDescent="0.35">
      <c r="F2003" s="70">
        <v>303012</v>
      </c>
      <c r="G2003" s="86" t="s">
        <v>544</v>
      </c>
    </row>
    <row r="2004" spans="6:7" x14ac:dyDescent="0.35">
      <c r="F2004" s="70">
        <v>315264</v>
      </c>
      <c r="G2004" s="86" t="s">
        <v>546</v>
      </c>
    </row>
    <row r="2005" spans="6:7" x14ac:dyDescent="0.35">
      <c r="F2005" s="70">
        <v>302630</v>
      </c>
      <c r="G2005" s="86" t="s">
        <v>548</v>
      </c>
    </row>
    <row r="2006" spans="6:7" x14ac:dyDescent="0.35">
      <c r="F2006" s="70">
        <v>314057</v>
      </c>
      <c r="G2006" s="86" t="s">
        <v>550</v>
      </c>
    </row>
    <row r="2007" spans="6:7" x14ac:dyDescent="0.35">
      <c r="F2007" s="70">
        <v>312310</v>
      </c>
      <c r="G2007" s="86" t="s">
        <v>552</v>
      </c>
    </row>
    <row r="2008" spans="6:7" x14ac:dyDescent="0.35">
      <c r="F2008" s="70">
        <v>311079</v>
      </c>
      <c r="G2008" s="86" t="s">
        <v>554</v>
      </c>
    </row>
    <row r="2009" spans="6:7" x14ac:dyDescent="0.35">
      <c r="F2009" s="70">
        <v>311759</v>
      </c>
      <c r="G2009" s="86" t="s">
        <v>556</v>
      </c>
    </row>
    <row r="2010" spans="6:7" x14ac:dyDescent="0.35">
      <c r="F2010" s="70">
        <v>313301</v>
      </c>
      <c r="G2010" s="86" t="s">
        <v>559</v>
      </c>
    </row>
    <row r="2011" spans="6:7" x14ac:dyDescent="0.35">
      <c r="F2011" s="70">
        <v>315450</v>
      </c>
      <c r="G2011" s="86" t="s">
        <v>561</v>
      </c>
    </row>
    <row r="2012" spans="6:7" x14ac:dyDescent="0.35">
      <c r="F2012" s="70">
        <v>314933</v>
      </c>
      <c r="G2012" s="86" t="s">
        <v>563</v>
      </c>
    </row>
    <row r="2013" spans="6:7" x14ac:dyDescent="0.35">
      <c r="F2013" s="70">
        <v>306471</v>
      </c>
      <c r="G2013" s="86" t="s">
        <v>565</v>
      </c>
    </row>
    <row r="2014" spans="6:7" x14ac:dyDescent="0.35">
      <c r="F2014" s="70">
        <v>309415</v>
      </c>
      <c r="G2014" s="86" t="s">
        <v>567</v>
      </c>
    </row>
    <row r="2015" spans="6:7" x14ac:dyDescent="0.35">
      <c r="F2015" s="70">
        <v>315312</v>
      </c>
      <c r="G2015" s="86" t="s">
        <v>569</v>
      </c>
    </row>
    <row r="2016" spans="6:7" x14ac:dyDescent="0.35">
      <c r="F2016" s="70">
        <v>305814</v>
      </c>
      <c r="G2016" s="86" t="s">
        <v>571</v>
      </c>
    </row>
    <row r="2017" spans="6:7" x14ac:dyDescent="0.35">
      <c r="F2017" s="70">
        <v>314564</v>
      </c>
      <c r="G2017" s="86" t="s">
        <v>573</v>
      </c>
    </row>
    <row r="2018" spans="6:7" x14ac:dyDescent="0.35">
      <c r="F2018" s="70">
        <v>312055</v>
      </c>
      <c r="G2018" s="86" t="s">
        <v>575</v>
      </c>
    </row>
    <row r="2019" spans="6:7" x14ac:dyDescent="0.35">
      <c r="F2019" s="70">
        <v>311086</v>
      </c>
      <c r="G2019" s="86" t="s">
        <v>577</v>
      </c>
    </row>
    <row r="2020" spans="6:7" x14ac:dyDescent="0.35">
      <c r="F2020" s="70">
        <v>309859</v>
      </c>
      <c r="G2020" s="86" t="s">
        <v>579</v>
      </c>
    </row>
    <row r="2021" spans="6:7" x14ac:dyDescent="0.35">
      <c r="F2021" s="70">
        <v>315026</v>
      </c>
      <c r="G2021" s="86" t="s">
        <v>581</v>
      </c>
    </row>
    <row r="2022" spans="6:7" x14ac:dyDescent="0.35">
      <c r="F2022" s="70">
        <v>314696</v>
      </c>
      <c r="G2022" s="86" t="s">
        <v>583</v>
      </c>
    </row>
    <row r="2023" spans="6:7" x14ac:dyDescent="0.35">
      <c r="F2023" s="70">
        <v>311699</v>
      </c>
      <c r="G2023" s="86" t="s">
        <v>585</v>
      </c>
    </row>
    <row r="2024" spans="6:7" x14ac:dyDescent="0.35">
      <c r="F2024" s="70">
        <v>315556</v>
      </c>
      <c r="G2024" s="86" t="s">
        <v>587</v>
      </c>
    </row>
    <row r="2025" spans="6:7" x14ac:dyDescent="0.35">
      <c r="F2025" s="70">
        <v>315121</v>
      </c>
      <c r="G2025" s="86" t="s">
        <v>589</v>
      </c>
    </row>
    <row r="2026" spans="6:7" x14ac:dyDescent="0.35">
      <c r="F2026" s="70">
        <v>311557</v>
      </c>
      <c r="G2026" s="86" t="s">
        <v>591</v>
      </c>
    </row>
    <row r="2027" spans="6:7" x14ac:dyDescent="0.35">
      <c r="F2027" s="70">
        <v>102256</v>
      </c>
      <c r="G2027" s="86" t="s">
        <v>593</v>
      </c>
    </row>
    <row r="2028" spans="6:7" x14ac:dyDescent="0.35">
      <c r="F2028" s="70">
        <v>315150</v>
      </c>
      <c r="G2028" s="86" t="s">
        <v>595</v>
      </c>
    </row>
    <row r="2029" spans="6:7" x14ac:dyDescent="0.35">
      <c r="F2029" s="70">
        <v>309908</v>
      </c>
      <c r="G2029" s="86" t="s">
        <v>597</v>
      </c>
    </row>
    <row r="2030" spans="6:7" x14ac:dyDescent="0.35">
      <c r="F2030" s="70">
        <v>315532</v>
      </c>
      <c r="G2030" s="86" t="s">
        <v>599</v>
      </c>
    </row>
    <row r="2031" spans="6:7" x14ac:dyDescent="0.35">
      <c r="F2031" s="70">
        <v>315493</v>
      </c>
      <c r="G2031" s="86" t="s">
        <v>601</v>
      </c>
    </row>
    <row r="2032" spans="6:7" x14ac:dyDescent="0.35">
      <c r="F2032" s="70">
        <v>310020</v>
      </c>
      <c r="G2032" s="86" t="s">
        <v>603</v>
      </c>
    </row>
    <row r="2033" spans="6:7" x14ac:dyDescent="0.35">
      <c r="F2033" s="70">
        <v>315277</v>
      </c>
      <c r="G2033" s="86" t="s">
        <v>605</v>
      </c>
    </row>
    <row r="2034" spans="6:7" x14ac:dyDescent="0.35">
      <c r="F2034" s="70">
        <v>310483</v>
      </c>
      <c r="G2034" s="86" t="s">
        <v>607</v>
      </c>
    </row>
    <row r="2035" spans="6:7" x14ac:dyDescent="0.35">
      <c r="F2035" s="70">
        <v>309804</v>
      </c>
      <c r="G2035" s="86" t="s">
        <v>609</v>
      </c>
    </row>
    <row r="2036" spans="6:7" x14ac:dyDescent="0.35">
      <c r="F2036" s="70">
        <v>312146</v>
      </c>
      <c r="G2036" s="86" t="s">
        <v>611</v>
      </c>
    </row>
    <row r="2037" spans="6:7" x14ac:dyDescent="0.35">
      <c r="F2037" s="70">
        <v>310967</v>
      </c>
      <c r="G2037" s="86" t="s">
        <v>613</v>
      </c>
    </row>
    <row r="2038" spans="6:7" x14ac:dyDescent="0.35">
      <c r="F2038" s="70">
        <v>311328</v>
      </c>
      <c r="G2038" s="86" t="s">
        <v>615</v>
      </c>
    </row>
    <row r="2039" spans="6:7" x14ac:dyDescent="0.35">
      <c r="F2039" s="70">
        <v>314277</v>
      </c>
      <c r="G2039" s="86" t="s">
        <v>617</v>
      </c>
    </row>
    <row r="2040" spans="6:7" x14ac:dyDescent="0.35">
      <c r="F2040" s="70">
        <v>202265</v>
      </c>
      <c r="G2040" s="86" t="s">
        <v>619</v>
      </c>
    </row>
    <row r="2041" spans="6:7" x14ac:dyDescent="0.35">
      <c r="F2041" s="70">
        <v>314986</v>
      </c>
      <c r="G2041" s="86" t="s">
        <v>621</v>
      </c>
    </row>
    <row r="2042" spans="6:7" x14ac:dyDescent="0.35">
      <c r="F2042" s="70">
        <v>314350</v>
      </c>
      <c r="G2042" s="86" t="s">
        <v>623</v>
      </c>
    </row>
    <row r="2043" spans="6:7" x14ac:dyDescent="0.35">
      <c r="F2043" s="70">
        <v>313666</v>
      </c>
      <c r="G2043" s="86" t="s">
        <v>625</v>
      </c>
    </row>
    <row r="2044" spans="6:7" x14ac:dyDescent="0.35">
      <c r="F2044" s="70">
        <v>315388</v>
      </c>
      <c r="G2044" s="86" t="s">
        <v>627</v>
      </c>
    </row>
    <row r="2045" spans="6:7" x14ac:dyDescent="0.35">
      <c r="F2045" s="70">
        <v>314730</v>
      </c>
      <c r="G2045" s="86" t="s">
        <v>630</v>
      </c>
    </row>
    <row r="2046" spans="6:7" x14ac:dyDescent="0.35">
      <c r="F2046" s="70">
        <v>315271</v>
      </c>
      <c r="G2046" s="86" t="s">
        <v>632</v>
      </c>
    </row>
    <row r="2047" spans="6:7" x14ac:dyDescent="0.35">
      <c r="F2047" s="70">
        <v>308798</v>
      </c>
      <c r="G2047" s="86" t="s">
        <v>634</v>
      </c>
    </row>
    <row r="2048" spans="6:7" x14ac:dyDescent="0.35">
      <c r="F2048" s="70">
        <v>307068</v>
      </c>
      <c r="G2048" s="86" t="s">
        <v>635</v>
      </c>
    </row>
    <row r="2049" spans="6:7" x14ac:dyDescent="0.35">
      <c r="F2049" s="70">
        <v>313706</v>
      </c>
      <c r="G2049" s="86" t="s">
        <v>637</v>
      </c>
    </row>
    <row r="2050" spans="6:7" x14ac:dyDescent="0.35">
      <c r="F2050" s="70">
        <v>311943</v>
      </c>
      <c r="G2050" s="86" t="s">
        <v>639</v>
      </c>
    </row>
    <row r="2051" spans="6:7" x14ac:dyDescent="0.35">
      <c r="F2051" s="70">
        <v>311141</v>
      </c>
      <c r="G2051" s="86" t="s">
        <v>641</v>
      </c>
    </row>
    <row r="2052" spans="6:7" x14ac:dyDescent="0.35">
      <c r="F2052" s="70">
        <v>312544</v>
      </c>
      <c r="G2052" s="86" t="s">
        <v>643</v>
      </c>
    </row>
    <row r="2053" spans="6:7" x14ac:dyDescent="0.35">
      <c r="F2053" s="70">
        <v>309965</v>
      </c>
      <c r="G2053" s="86" t="s">
        <v>645</v>
      </c>
    </row>
    <row r="2054" spans="6:7" x14ac:dyDescent="0.35">
      <c r="F2054" s="70">
        <v>313675</v>
      </c>
      <c r="G2054" s="86" t="s">
        <v>647</v>
      </c>
    </row>
    <row r="2055" spans="6:7" x14ac:dyDescent="0.35">
      <c r="F2055" s="70">
        <v>311623</v>
      </c>
      <c r="G2055" s="86" t="s">
        <v>649</v>
      </c>
    </row>
    <row r="2056" spans="6:7" x14ac:dyDescent="0.35">
      <c r="F2056" s="70">
        <v>314219</v>
      </c>
      <c r="G2056" s="86" t="s">
        <v>651</v>
      </c>
    </row>
    <row r="2057" spans="6:7" x14ac:dyDescent="0.35">
      <c r="F2057" s="70">
        <v>314495</v>
      </c>
      <c r="G2057" s="86" t="s">
        <v>653</v>
      </c>
    </row>
    <row r="2058" spans="6:7" x14ac:dyDescent="0.35">
      <c r="F2058" s="70">
        <v>310116</v>
      </c>
      <c r="G2058" s="86" t="s">
        <v>655</v>
      </c>
    </row>
    <row r="2059" spans="6:7" x14ac:dyDescent="0.35">
      <c r="F2059" s="70">
        <v>312164</v>
      </c>
      <c r="G2059" s="86" t="s">
        <v>657</v>
      </c>
    </row>
    <row r="2060" spans="6:7" x14ac:dyDescent="0.35">
      <c r="F2060" s="70">
        <v>314695</v>
      </c>
      <c r="G2060" s="86" t="s">
        <v>658</v>
      </c>
    </row>
    <row r="2061" spans="6:7" x14ac:dyDescent="0.35">
      <c r="F2061" s="70">
        <v>305070</v>
      </c>
      <c r="G2061" s="86" t="s">
        <v>660</v>
      </c>
    </row>
    <row r="2062" spans="6:7" x14ac:dyDescent="0.35">
      <c r="F2062" s="70">
        <v>314496</v>
      </c>
      <c r="G2062" s="86" t="s">
        <v>662</v>
      </c>
    </row>
    <row r="2063" spans="6:7" x14ac:dyDescent="0.35">
      <c r="F2063" s="70">
        <v>310463</v>
      </c>
      <c r="G2063" s="86" t="s">
        <v>664</v>
      </c>
    </row>
    <row r="2064" spans="6:7" x14ac:dyDescent="0.35">
      <c r="F2064" s="70">
        <v>315542</v>
      </c>
      <c r="G2064" s="86" t="s">
        <v>666</v>
      </c>
    </row>
    <row r="2065" spans="6:7" x14ac:dyDescent="0.35">
      <c r="F2065" s="70">
        <v>313655</v>
      </c>
      <c r="G2065" s="86" t="s">
        <v>668</v>
      </c>
    </row>
    <row r="2066" spans="6:7" x14ac:dyDescent="0.35">
      <c r="F2066" s="70">
        <v>311035</v>
      </c>
      <c r="G2066" s="86" t="s">
        <v>670</v>
      </c>
    </row>
    <row r="2067" spans="6:7" x14ac:dyDescent="0.35">
      <c r="F2067" s="70">
        <v>315227</v>
      </c>
      <c r="G2067" s="86" t="s">
        <v>672</v>
      </c>
    </row>
    <row r="2068" spans="6:7" x14ac:dyDescent="0.35">
      <c r="F2068" s="70">
        <v>311689</v>
      </c>
      <c r="G2068" s="86" t="s">
        <v>674</v>
      </c>
    </row>
    <row r="2069" spans="6:7" x14ac:dyDescent="0.35">
      <c r="F2069" s="70">
        <v>314853</v>
      </c>
      <c r="G2069" s="86" t="s">
        <v>676</v>
      </c>
    </row>
    <row r="2070" spans="6:7" x14ac:dyDescent="0.35">
      <c r="F2070" s="70">
        <v>310812</v>
      </c>
      <c r="G2070" s="86" t="s">
        <v>678</v>
      </c>
    </row>
    <row r="2071" spans="6:7" x14ac:dyDescent="0.35">
      <c r="F2071" s="70">
        <v>308857</v>
      </c>
      <c r="G2071" s="86" t="s">
        <v>680</v>
      </c>
    </row>
    <row r="2072" spans="6:7" x14ac:dyDescent="0.35">
      <c r="F2072" s="70">
        <v>305633</v>
      </c>
      <c r="G2072" s="86" t="s">
        <v>682</v>
      </c>
    </row>
    <row r="2073" spans="6:7" x14ac:dyDescent="0.35">
      <c r="F2073" s="70">
        <v>311220</v>
      </c>
      <c r="G2073" s="86" t="s">
        <v>685</v>
      </c>
    </row>
    <row r="2074" spans="6:7" x14ac:dyDescent="0.35">
      <c r="F2074" s="70">
        <v>314642</v>
      </c>
      <c r="G2074" s="86" t="s">
        <v>687</v>
      </c>
    </row>
    <row r="2075" spans="6:7" x14ac:dyDescent="0.35">
      <c r="F2075" s="70">
        <v>304427</v>
      </c>
      <c r="G2075" s="86" t="s">
        <v>689</v>
      </c>
    </row>
    <row r="2076" spans="6:7" x14ac:dyDescent="0.35">
      <c r="F2076" s="70">
        <v>315536</v>
      </c>
      <c r="G2076" s="86" t="s">
        <v>691</v>
      </c>
    </row>
    <row r="2077" spans="6:7" x14ac:dyDescent="0.35">
      <c r="F2077" s="70">
        <v>310019</v>
      </c>
      <c r="G2077" s="86" t="s">
        <v>693</v>
      </c>
    </row>
    <row r="2078" spans="6:7" x14ac:dyDescent="0.35">
      <c r="F2078" s="70">
        <v>301074</v>
      </c>
      <c r="G2078" s="86" t="s">
        <v>695</v>
      </c>
    </row>
    <row r="2079" spans="6:7" x14ac:dyDescent="0.35">
      <c r="F2079" s="70">
        <v>313843</v>
      </c>
      <c r="G2079" s="86" t="s">
        <v>697</v>
      </c>
    </row>
    <row r="2080" spans="6:7" x14ac:dyDescent="0.35">
      <c r="F2080" s="70">
        <v>309042</v>
      </c>
      <c r="G2080" s="86" t="s">
        <v>700</v>
      </c>
    </row>
    <row r="2081" spans="6:7" x14ac:dyDescent="0.35">
      <c r="F2081" s="70">
        <v>306259</v>
      </c>
      <c r="G2081" s="86" t="s">
        <v>702</v>
      </c>
    </row>
    <row r="2082" spans="6:7" x14ac:dyDescent="0.35">
      <c r="F2082" s="70">
        <v>315398</v>
      </c>
      <c r="G2082" s="86" t="s">
        <v>704</v>
      </c>
    </row>
    <row r="2083" spans="6:7" x14ac:dyDescent="0.35">
      <c r="F2083" s="70">
        <v>313436</v>
      </c>
      <c r="G2083" s="86" t="s">
        <v>706</v>
      </c>
    </row>
    <row r="2084" spans="6:7" x14ac:dyDescent="0.35">
      <c r="F2084" s="70">
        <v>310691</v>
      </c>
      <c r="G2084" s="86" t="s">
        <v>708</v>
      </c>
    </row>
    <row r="2085" spans="6:7" x14ac:dyDescent="0.35">
      <c r="F2085" s="70">
        <v>314290</v>
      </c>
      <c r="G2085" s="86" t="s">
        <v>710</v>
      </c>
    </row>
    <row r="2086" spans="6:7" x14ac:dyDescent="0.35">
      <c r="F2086" s="70">
        <v>315133</v>
      </c>
      <c r="G2086" s="86" t="s">
        <v>712</v>
      </c>
    </row>
    <row r="2087" spans="6:7" x14ac:dyDescent="0.35">
      <c r="F2087" s="70">
        <v>307335</v>
      </c>
      <c r="G2087" s="86" t="s">
        <v>714</v>
      </c>
    </row>
    <row r="2088" spans="6:7" x14ac:dyDescent="0.35">
      <c r="F2088" s="70">
        <v>314864</v>
      </c>
      <c r="G2088" s="86" t="s">
        <v>716</v>
      </c>
    </row>
    <row r="2089" spans="6:7" x14ac:dyDescent="0.35">
      <c r="F2089" s="70">
        <v>313648</v>
      </c>
      <c r="G2089" s="86" t="s">
        <v>718</v>
      </c>
    </row>
    <row r="2090" spans="6:7" x14ac:dyDescent="0.35">
      <c r="F2090" s="70">
        <v>303766</v>
      </c>
      <c r="G2090" s="86" t="s">
        <v>720</v>
      </c>
    </row>
    <row r="2091" spans="6:7" x14ac:dyDescent="0.35">
      <c r="F2091" s="70">
        <v>313985</v>
      </c>
      <c r="G2091" s="86" t="s">
        <v>722</v>
      </c>
    </row>
    <row r="2092" spans="6:7" x14ac:dyDescent="0.35">
      <c r="F2092" s="70">
        <v>315267</v>
      </c>
      <c r="G2092" s="86" t="s">
        <v>724</v>
      </c>
    </row>
    <row r="2093" spans="6:7" x14ac:dyDescent="0.35">
      <c r="F2093" s="70">
        <v>314451</v>
      </c>
      <c r="G2093" s="86" t="s">
        <v>726</v>
      </c>
    </row>
    <row r="2094" spans="6:7" x14ac:dyDescent="0.35">
      <c r="F2094" s="70">
        <v>312153</v>
      </c>
      <c r="G2094" s="86" t="s">
        <v>728</v>
      </c>
    </row>
    <row r="2095" spans="6:7" x14ac:dyDescent="0.35">
      <c r="F2095" s="70">
        <v>315125</v>
      </c>
      <c r="G2095" s="86" t="s">
        <v>730</v>
      </c>
    </row>
    <row r="2096" spans="6:7" x14ac:dyDescent="0.35">
      <c r="F2096" s="70">
        <v>314135</v>
      </c>
      <c r="G2096" s="86" t="s">
        <v>732</v>
      </c>
    </row>
    <row r="2097" spans="6:7" x14ac:dyDescent="0.35">
      <c r="F2097" s="70">
        <v>315051</v>
      </c>
      <c r="G2097" s="86" t="s">
        <v>734</v>
      </c>
    </row>
    <row r="2098" spans="6:7" x14ac:dyDescent="0.35">
      <c r="F2098" s="70">
        <v>309822</v>
      </c>
      <c r="G2098" s="86" t="s">
        <v>736</v>
      </c>
    </row>
    <row r="2099" spans="6:7" x14ac:dyDescent="0.35">
      <c r="F2099" s="70">
        <v>302371</v>
      </c>
      <c r="G2099" s="86" t="s">
        <v>738</v>
      </c>
    </row>
    <row r="2100" spans="6:7" x14ac:dyDescent="0.35">
      <c r="F2100" s="70">
        <v>314738</v>
      </c>
      <c r="G2100" s="86" t="s">
        <v>740</v>
      </c>
    </row>
    <row r="2101" spans="6:7" x14ac:dyDescent="0.35">
      <c r="F2101" s="70">
        <v>315158</v>
      </c>
      <c r="G2101" s="86" t="s">
        <v>742</v>
      </c>
    </row>
    <row r="2102" spans="6:7" x14ac:dyDescent="0.35">
      <c r="F2102" s="70">
        <v>312533</v>
      </c>
      <c r="G2102" s="86" t="s">
        <v>743</v>
      </c>
    </row>
    <row r="2103" spans="6:7" x14ac:dyDescent="0.35">
      <c r="F2103" s="70">
        <v>314773</v>
      </c>
      <c r="G2103" s="86" t="s">
        <v>744</v>
      </c>
    </row>
    <row r="2104" spans="6:7" x14ac:dyDescent="0.35">
      <c r="F2104" s="70">
        <v>313303</v>
      </c>
      <c r="G2104" s="86" t="s">
        <v>745</v>
      </c>
    </row>
    <row r="2105" spans="6:7" x14ac:dyDescent="0.35">
      <c r="F2105" s="70">
        <v>314841</v>
      </c>
      <c r="G2105" s="86" t="s">
        <v>746</v>
      </c>
    </row>
    <row r="2106" spans="6:7" x14ac:dyDescent="0.35">
      <c r="F2106" s="70">
        <v>308075</v>
      </c>
      <c r="G2106" s="86" t="s">
        <v>747</v>
      </c>
    </row>
    <row r="2107" spans="6:7" x14ac:dyDescent="0.35">
      <c r="F2107" s="70">
        <v>314441</v>
      </c>
      <c r="G2107" s="86" t="s">
        <v>748</v>
      </c>
    </row>
    <row r="2108" spans="6:7" x14ac:dyDescent="0.35">
      <c r="F2108" s="70">
        <v>202153</v>
      </c>
      <c r="G2108" s="86" t="s">
        <v>749</v>
      </c>
    </row>
    <row r="2109" spans="6:7" x14ac:dyDescent="0.35">
      <c r="F2109" s="70">
        <v>313324</v>
      </c>
      <c r="G2109" s="86" t="s">
        <v>750</v>
      </c>
    </row>
    <row r="2110" spans="6:7" x14ac:dyDescent="0.35">
      <c r="F2110" s="70">
        <v>310535</v>
      </c>
      <c r="G2110" s="86" t="s">
        <v>751</v>
      </c>
    </row>
    <row r="2111" spans="6:7" x14ac:dyDescent="0.35">
      <c r="F2111" s="70">
        <v>315501</v>
      </c>
      <c r="G2111" s="86" t="s">
        <v>752</v>
      </c>
    </row>
    <row r="2112" spans="6:7" x14ac:dyDescent="0.35">
      <c r="F2112" s="70">
        <v>313844</v>
      </c>
      <c r="G2112" s="86" t="s">
        <v>753</v>
      </c>
    </row>
    <row r="2113" spans="6:7" x14ac:dyDescent="0.35">
      <c r="F2113" s="70">
        <v>315111</v>
      </c>
      <c r="G2113" s="86" t="s">
        <v>754</v>
      </c>
    </row>
    <row r="2114" spans="6:7" x14ac:dyDescent="0.35">
      <c r="F2114" s="70">
        <v>304522</v>
      </c>
      <c r="G2114" s="86" t="s">
        <v>755</v>
      </c>
    </row>
    <row r="2115" spans="6:7" x14ac:dyDescent="0.35">
      <c r="F2115" s="70">
        <v>315182</v>
      </c>
      <c r="G2115" s="86" t="s">
        <v>756</v>
      </c>
    </row>
    <row r="2116" spans="6:7" x14ac:dyDescent="0.35">
      <c r="F2116" s="70">
        <v>311800</v>
      </c>
      <c r="G2116" s="86" t="s">
        <v>757</v>
      </c>
    </row>
    <row r="2117" spans="6:7" x14ac:dyDescent="0.35">
      <c r="F2117" s="70">
        <v>312849</v>
      </c>
      <c r="G2117" s="86" t="s">
        <v>758</v>
      </c>
    </row>
    <row r="2118" spans="6:7" x14ac:dyDescent="0.35">
      <c r="F2118" s="70">
        <v>315498</v>
      </c>
      <c r="G2118" s="86" t="s">
        <v>759</v>
      </c>
    </row>
    <row r="2119" spans="6:7" x14ac:dyDescent="0.35">
      <c r="F2119" s="70">
        <v>312692</v>
      </c>
      <c r="G2119" s="86" t="s">
        <v>760</v>
      </c>
    </row>
    <row r="2120" spans="6:7" x14ac:dyDescent="0.35">
      <c r="F2120" s="70">
        <v>314287</v>
      </c>
      <c r="G2120" s="86" t="s">
        <v>761</v>
      </c>
    </row>
    <row r="2121" spans="6:7" x14ac:dyDescent="0.35">
      <c r="F2121" s="70">
        <v>313662</v>
      </c>
      <c r="G2121" s="86" t="s">
        <v>762</v>
      </c>
    </row>
    <row r="2122" spans="6:7" x14ac:dyDescent="0.35">
      <c r="F2122" s="70">
        <v>307766</v>
      </c>
      <c r="G2122" s="86" t="s">
        <v>763</v>
      </c>
    </row>
    <row r="2123" spans="6:7" x14ac:dyDescent="0.35">
      <c r="F2123" s="70">
        <v>311730</v>
      </c>
      <c r="G2123" s="86" t="s">
        <v>764</v>
      </c>
    </row>
    <row r="2124" spans="6:7" x14ac:dyDescent="0.35">
      <c r="F2124" s="70">
        <v>314955</v>
      </c>
      <c r="G2124" s="86" t="s">
        <v>765</v>
      </c>
    </row>
    <row r="2125" spans="6:7" x14ac:dyDescent="0.35">
      <c r="F2125" s="70">
        <v>310950</v>
      </c>
      <c r="G2125" s="86" t="s">
        <v>766</v>
      </c>
    </row>
    <row r="2126" spans="6:7" x14ac:dyDescent="0.35">
      <c r="F2126" s="70">
        <v>314640</v>
      </c>
      <c r="G2126" s="86" t="s">
        <v>767</v>
      </c>
    </row>
    <row r="2127" spans="6:7" x14ac:dyDescent="0.35">
      <c r="F2127" s="70">
        <v>300192</v>
      </c>
      <c r="G2127" s="86" t="s">
        <v>768</v>
      </c>
    </row>
    <row r="2128" spans="6:7" x14ac:dyDescent="0.35">
      <c r="F2128" s="70">
        <v>313484</v>
      </c>
      <c r="G2128" s="86" t="s">
        <v>769</v>
      </c>
    </row>
    <row r="2129" spans="6:7" x14ac:dyDescent="0.35">
      <c r="F2129" s="70">
        <v>303330</v>
      </c>
      <c r="G2129" s="86" t="s">
        <v>770</v>
      </c>
    </row>
    <row r="2130" spans="6:7" x14ac:dyDescent="0.35">
      <c r="F2130" s="70">
        <v>314446</v>
      </c>
      <c r="G2130" s="86" t="s">
        <v>771</v>
      </c>
    </row>
    <row r="2131" spans="6:7" x14ac:dyDescent="0.35">
      <c r="F2131" s="70">
        <v>314900</v>
      </c>
      <c r="G2131" s="86" t="s">
        <v>772</v>
      </c>
    </row>
    <row r="2132" spans="6:7" x14ac:dyDescent="0.35">
      <c r="F2132" s="70">
        <v>311692</v>
      </c>
      <c r="G2132" s="86" t="s">
        <v>773</v>
      </c>
    </row>
    <row r="2133" spans="6:7" x14ac:dyDescent="0.35">
      <c r="F2133" s="70">
        <v>315401</v>
      </c>
      <c r="G2133" s="86" t="s">
        <v>774</v>
      </c>
    </row>
    <row r="2134" spans="6:7" x14ac:dyDescent="0.35">
      <c r="F2134" s="70">
        <v>315509</v>
      </c>
      <c r="G2134" s="86" t="s">
        <v>775</v>
      </c>
    </row>
    <row r="2135" spans="6:7" x14ac:dyDescent="0.35">
      <c r="F2135" s="70">
        <v>310362</v>
      </c>
      <c r="G2135" s="86" t="s">
        <v>776</v>
      </c>
    </row>
    <row r="2136" spans="6:7" x14ac:dyDescent="0.35">
      <c r="F2136" s="70">
        <v>315525</v>
      </c>
      <c r="G2136" s="86" t="s">
        <v>777</v>
      </c>
    </row>
    <row r="2137" spans="6:7" x14ac:dyDescent="0.35">
      <c r="F2137" s="70">
        <v>314565</v>
      </c>
      <c r="G2137" s="86" t="s">
        <v>778</v>
      </c>
    </row>
    <row r="2138" spans="6:7" x14ac:dyDescent="0.35">
      <c r="F2138" s="70">
        <v>309907</v>
      </c>
      <c r="G2138" s="86" t="s">
        <v>779</v>
      </c>
    </row>
    <row r="2139" spans="6:7" x14ac:dyDescent="0.35">
      <c r="F2139" s="70">
        <v>312703</v>
      </c>
      <c r="G2139" s="86" t="s">
        <v>780</v>
      </c>
    </row>
    <row r="2140" spans="6:7" x14ac:dyDescent="0.35">
      <c r="F2140" s="70">
        <v>307760</v>
      </c>
      <c r="G2140" s="86" t="s">
        <v>781</v>
      </c>
    </row>
    <row r="2141" spans="6:7" x14ac:dyDescent="0.35">
      <c r="F2141" s="70">
        <v>312950</v>
      </c>
      <c r="G2141" s="86" t="s">
        <v>782</v>
      </c>
    </row>
    <row r="2142" spans="6:7" x14ac:dyDescent="0.35">
      <c r="F2142" s="70">
        <v>312302</v>
      </c>
      <c r="G2142" s="86" t="s">
        <v>783</v>
      </c>
    </row>
    <row r="2143" spans="6:7" x14ac:dyDescent="0.35">
      <c r="F2143" s="70">
        <v>315484</v>
      </c>
      <c r="G2143" s="86" t="s">
        <v>784</v>
      </c>
    </row>
    <row r="2144" spans="6:7" x14ac:dyDescent="0.35">
      <c r="F2144" s="70">
        <v>312872</v>
      </c>
      <c r="G2144" s="86" t="s">
        <v>785</v>
      </c>
    </row>
    <row r="2145" spans="6:7" x14ac:dyDescent="0.35">
      <c r="F2145" s="70">
        <v>312532</v>
      </c>
      <c r="G2145" s="86" t="s">
        <v>786</v>
      </c>
    </row>
    <row r="2146" spans="6:7" x14ac:dyDescent="0.35">
      <c r="F2146" s="70">
        <v>314028</v>
      </c>
      <c r="G2146" s="86" t="s">
        <v>787</v>
      </c>
    </row>
    <row r="2147" spans="6:7" x14ac:dyDescent="0.35">
      <c r="F2147" s="70">
        <v>314689</v>
      </c>
      <c r="G2147" s="86" t="s">
        <v>788</v>
      </c>
    </row>
    <row r="2148" spans="6:7" x14ac:dyDescent="0.35">
      <c r="F2148" s="70">
        <v>314409</v>
      </c>
      <c r="G2148" s="86" t="s">
        <v>789</v>
      </c>
    </row>
    <row r="2149" spans="6:7" x14ac:dyDescent="0.35">
      <c r="F2149" s="70">
        <v>310946</v>
      </c>
      <c r="G2149" s="86" t="s">
        <v>790</v>
      </c>
    </row>
    <row r="2150" spans="6:7" x14ac:dyDescent="0.35">
      <c r="F2150" s="70">
        <v>312831</v>
      </c>
      <c r="G2150" s="86" t="s">
        <v>791</v>
      </c>
    </row>
    <row r="2151" spans="6:7" x14ac:dyDescent="0.35">
      <c r="F2151" s="70">
        <v>312181</v>
      </c>
      <c r="G2151" s="86" t="s">
        <v>792</v>
      </c>
    </row>
    <row r="2152" spans="6:7" x14ac:dyDescent="0.35">
      <c r="F2152" s="70">
        <v>310768</v>
      </c>
      <c r="G2152" s="86" t="s">
        <v>793</v>
      </c>
    </row>
    <row r="2153" spans="6:7" x14ac:dyDescent="0.35">
      <c r="F2153" s="70">
        <v>315453</v>
      </c>
      <c r="G2153" s="86" t="s">
        <v>794</v>
      </c>
    </row>
    <row r="2154" spans="6:7" x14ac:dyDescent="0.35">
      <c r="F2154" s="70">
        <v>306444</v>
      </c>
      <c r="G2154" s="86" t="s">
        <v>795</v>
      </c>
    </row>
    <row r="2155" spans="6:7" x14ac:dyDescent="0.35">
      <c r="F2155" s="70">
        <v>301809</v>
      </c>
      <c r="G2155" s="86" t="s">
        <v>796</v>
      </c>
    </row>
    <row r="2156" spans="6:7" x14ac:dyDescent="0.35">
      <c r="F2156" s="70">
        <v>311808</v>
      </c>
      <c r="G2156" s="86" t="s">
        <v>797</v>
      </c>
    </row>
    <row r="2157" spans="6:7" x14ac:dyDescent="0.35">
      <c r="F2157" s="70">
        <v>314574</v>
      </c>
      <c r="G2157" s="86" t="s">
        <v>798</v>
      </c>
    </row>
    <row r="2158" spans="6:7" x14ac:dyDescent="0.35">
      <c r="F2158" s="70">
        <v>313613</v>
      </c>
      <c r="G2158" s="86" t="s">
        <v>799</v>
      </c>
    </row>
    <row r="2159" spans="6:7" x14ac:dyDescent="0.35">
      <c r="F2159" s="70">
        <v>306569</v>
      </c>
      <c r="G2159" s="86" t="s">
        <v>800</v>
      </c>
    </row>
    <row r="2160" spans="6:7" x14ac:dyDescent="0.35">
      <c r="F2160" s="70">
        <v>311441</v>
      </c>
      <c r="G2160" s="86" t="s">
        <v>801</v>
      </c>
    </row>
    <row r="2161" spans="6:7" x14ac:dyDescent="0.35">
      <c r="F2161" s="70">
        <v>303265</v>
      </c>
      <c r="G2161" s="86" t="s">
        <v>802</v>
      </c>
    </row>
    <row r="2162" spans="6:7" x14ac:dyDescent="0.35">
      <c r="F2162" s="70">
        <v>313318</v>
      </c>
      <c r="G2162" s="86" t="s">
        <v>803</v>
      </c>
    </row>
    <row r="2163" spans="6:7" x14ac:dyDescent="0.35">
      <c r="F2163" s="70">
        <v>309535</v>
      </c>
      <c r="G2163" s="86" t="s">
        <v>804</v>
      </c>
    </row>
    <row r="2164" spans="6:7" x14ac:dyDescent="0.35">
      <c r="F2164" s="70">
        <v>310711</v>
      </c>
      <c r="G2164" s="86" t="s">
        <v>805</v>
      </c>
    </row>
    <row r="2165" spans="6:7" x14ac:dyDescent="0.35">
      <c r="F2165" s="70">
        <v>312995</v>
      </c>
      <c r="G2165" s="86" t="s">
        <v>806</v>
      </c>
    </row>
    <row r="2166" spans="6:7" x14ac:dyDescent="0.35">
      <c r="F2166" s="70">
        <v>314701</v>
      </c>
      <c r="G2166" s="86" t="s">
        <v>807</v>
      </c>
    </row>
    <row r="2167" spans="6:7" x14ac:dyDescent="0.35">
      <c r="F2167" s="70">
        <v>314612</v>
      </c>
      <c r="G2167" s="86" t="s">
        <v>808</v>
      </c>
    </row>
    <row r="2168" spans="6:7" x14ac:dyDescent="0.35">
      <c r="F2168" s="70">
        <v>314468</v>
      </c>
      <c r="G2168" s="86" t="s">
        <v>809</v>
      </c>
    </row>
    <row r="2169" spans="6:7" x14ac:dyDescent="0.35">
      <c r="F2169" s="70">
        <v>314670</v>
      </c>
      <c r="G2169" s="86" t="s">
        <v>810</v>
      </c>
    </row>
    <row r="2170" spans="6:7" x14ac:dyDescent="0.35">
      <c r="F2170" s="70">
        <v>315578</v>
      </c>
      <c r="G2170" s="86" t="s">
        <v>811</v>
      </c>
    </row>
    <row r="2171" spans="6:7" x14ac:dyDescent="0.35">
      <c r="F2171" s="70">
        <v>307449</v>
      </c>
      <c r="G2171" s="86" t="s">
        <v>812</v>
      </c>
    </row>
    <row r="2172" spans="6:7" x14ac:dyDescent="0.35">
      <c r="F2172" s="70">
        <v>306823</v>
      </c>
      <c r="G2172" s="86" t="s">
        <v>813</v>
      </c>
    </row>
    <row r="2173" spans="6:7" x14ac:dyDescent="0.35">
      <c r="F2173" s="70">
        <v>313589</v>
      </c>
      <c r="G2173" s="86" t="s">
        <v>814</v>
      </c>
    </row>
    <row r="2174" spans="6:7" x14ac:dyDescent="0.35">
      <c r="F2174" s="70">
        <v>310386</v>
      </c>
      <c r="G2174" s="86" t="s">
        <v>815</v>
      </c>
    </row>
    <row r="2175" spans="6:7" x14ac:dyDescent="0.35">
      <c r="F2175" s="70">
        <v>314883</v>
      </c>
      <c r="G2175" s="86" t="s">
        <v>816</v>
      </c>
    </row>
    <row r="2176" spans="6:7" x14ac:dyDescent="0.35">
      <c r="F2176" s="70">
        <v>313709</v>
      </c>
      <c r="G2176" s="86" t="s">
        <v>817</v>
      </c>
    </row>
    <row r="2177" spans="6:7" x14ac:dyDescent="0.35">
      <c r="F2177" s="70">
        <v>314097</v>
      </c>
      <c r="G2177" s="86" t="s">
        <v>818</v>
      </c>
    </row>
    <row r="2178" spans="6:7" x14ac:dyDescent="0.35">
      <c r="F2178" s="70">
        <v>314981</v>
      </c>
      <c r="G2178" s="86" t="s">
        <v>819</v>
      </c>
    </row>
    <row r="2179" spans="6:7" x14ac:dyDescent="0.35">
      <c r="F2179" s="70">
        <v>308765</v>
      </c>
      <c r="G2179" s="86" t="s">
        <v>820</v>
      </c>
    </row>
    <row r="2180" spans="6:7" x14ac:dyDescent="0.35">
      <c r="F2180" s="70">
        <v>315256</v>
      </c>
      <c r="G2180" s="86" t="s">
        <v>821</v>
      </c>
    </row>
    <row r="2181" spans="6:7" x14ac:dyDescent="0.35">
      <c r="F2181" s="70">
        <v>312949</v>
      </c>
      <c r="G2181" s="86" t="s">
        <v>822</v>
      </c>
    </row>
    <row r="2182" spans="6:7" x14ac:dyDescent="0.35">
      <c r="F2182" s="70">
        <v>314411</v>
      </c>
      <c r="G2182" s="86" t="s">
        <v>823</v>
      </c>
    </row>
    <row r="2183" spans="6:7" x14ac:dyDescent="0.35">
      <c r="F2183" s="70">
        <v>314179</v>
      </c>
      <c r="G2183" s="86" t="s">
        <v>824</v>
      </c>
    </row>
    <row r="2184" spans="6:7" x14ac:dyDescent="0.35">
      <c r="F2184" s="70">
        <v>314276</v>
      </c>
      <c r="G2184" s="86" t="s">
        <v>825</v>
      </c>
    </row>
    <row r="2185" spans="6:7" x14ac:dyDescent="0.35">
      <c r="F2185" s="70">
        <v>313514</v>
      </c>
      <c r="G2185" s="86" t="s">
        <v>826</v>
      </c>
    </row>
    <row r="2186" spans="6:7" x14ac:dyDescent="0.35">
      <c r="F2186" s="70">
        <v>313868</v>
      </c>
      <c r="G2186" s="86" t="s">
        <v>827</v>
      </c>
    </row>
    <row r="2187" spans="6:7" x14ac:dyDescent="0.35">
      <c r="F2187" s="70">
        <v>315480</v>
      </c>
      <c r="G2187" s="86" t="s">
        <v>828</v>
      </c>
    </row>
    <row r="2188" spans="6:7" x14ac:dyDescent="0.35">
      <c r="F2188" s="70">
        <v>314406</v>
      </c>
      <c r="G2188" s="86" t="s">
        <v>829</v>
      </c>
    </row>
    <row r="2189" spans="6:7" x14ac:dyDescent="0.35">
      <c r="F2189" s="70">
        <v>314646</v>
      </c>
      <c r="G2189" s="86" t="s">
        <v>830</v>
      </c>
    </row>
    <row r="2190" spans="6:7" x14ac:dyDescent="0.35">
      <c r="F2190" s="70">
        <v>305521</v>
      </c>
      <c r="G2190" s="86" t="s">
        <v>831</v>
      </c>
    </row>
    <row r="2191" spans="6:7" x14ac:dyDescent="0.35">
      <c r="F2191" s="70">
        <v>315568</v>
      </c>
      <c r="G2191" s="86" t="s">
        <v>832</v>
      </c>
    </row>
    <row r="2192" spans="6:7" x14ac:dyDescent="0.35">
      <c r="F2192" s="70">
        <v>310374</v>
      </c>
      <c r="G2192" s="86" t="s">
        <v>833</v>
      </c>
    </row>
    <row r="2193" spans="6:7" x14ac:dyDescent="0.35">
      <c r="F2193" s="70">
        <v>315104</v>
      </c>
      <c r="G2193" s="86" t="s">
        <v>834</v>
      </c>
    </row>
    <row r="2194" spans="6:7" x14ac:dyDescent="0.35">
      <c r="F2194" s="70">
        <v>314807</v>
      </c>
      <c r="G2194" s="86" t="s">
        <v>835</v>
      </c>
    </row>
    <row r="2195" spans="6:7" x14ac:dyDescent="0.35">
      <c r="F2195" s="70">
        <v>312391</v>
      </c>
      <c r="G2195" s="86" t="s">
        <v>836</v>
      </c>
    </row>
    <row r="2196" spans="6:7" x14ac:dyDescent="0.35">
      <c r="F2196" s="70">
        <v>312172</v>
      </c>
      <c r="G2196" s="86" t="s">
        <v>837</v>
      </c>
    </row>
    <row r="2197" spans="6:7" x14ac:dyDescent="0.35">
      <c r="F2197" s="70">
        <v>314845</v>
      </c>
      <c r="G2197" s="86" t="s">
        <v>838</v>
      </c>
    </row>
    <row r="2198" spans="6:7" x14ac:dyDescent="0.35">
      <c r="F2198" s="70">
        <v>312419</v>
      </c>
      <c r="G2198" s="86" t="s">
        <v>839</v>
      </c>
    </row>
    <row r="2199" spans="6:7" x14ac:dyDescent="0.35">
      <c r="F2199" s="70">
        <v>312836</v>
      </c>
      <c r="G2199" s="86" t="s">
        <v>840</v>
      </c>
    </row>
    <row r="2200" spans="6:7" x14ac:dyDescent="0.35">
      <c r="F2200" s="70">
        <v>312077</v>
      </c>
      <c r="G2200" s="86" t="s">
        <v>841</v>
      </c>
    </row>
    <row r="2201" spans="6:7" x14ac:dyDescent="0.35">
      <c r="F2201" s="70">
        <v>314775</v>
      </c>
      <c r="G2201" s="86" t="s">
        <v>842</v>
      </c>
    </row>
    <row r="2202" spans="6:7" x14ac:dyDescent="0.35">
      <c r="F2202" s="70">
        <v>312223</v>
      </c>
      <c r="G2202" s="86" t="s">
        <v>843</v>
      </c>
    </row>
    <row r="2203" spans="6:7" x14ac:dyDescent="0.35">
      <c r="F2203" s="70">
        <v>309926</v>
      </c>
      <c r="G2203" s="86" t="s">
        <v>844</v>
      </c>
    </row>
    <row r="2204" spans="6:7" x14ac:dyDescent="0.35">
      <c r="F2204" s="70">
        <v>315167</v>
      </c>
      <c r="G2204" s="86" t="s">
        <v>845</v>
      </c>
    </row>
    <row r="2205" spans="6:7" x14ac:dyDescent="0.35">
      <c r="F2205" s="70">
        <v>310390</v>
      </c>
      <c r="G2205" s="86" t="s">
        <v>846</v>
      </c>
    </row>
    <row r="2206" spans="6:7" x14ac:dyDescent="0.35">
      <c r="F2206" s="70">
        <v>202076</v>
      </c>
      <c r="G2206" s="86" t="s">
        <v>847</v>
      </c>
    </row>
    <row r="2207" spans="6:7" x14ac:dyDescent="0.35">
      <c r="F2207" s="70">
        <v>314891</v>
      </c>
      <c r="G2207" s="86" t="s">
        <v>848</v>
      </c>
    </row>
    <row r="2208" spans="6:7" x14ac:dyDescent="0.35">
      <c r="F2208" s="70">
        <v>309831</v>
      </c>
      <c r="G2208" s="86" t="s">
        <v>849</v>
      </c>
    </row>
    <row r="2209" spans="6:7" x14ac:dyDescent="0.35">
      <c r="F2209" s="70">
        <v>315533</v>
      </c>
      <c r="G2209" s="86" t="s">
        <v>850</v>
      </c>
    </row>
    <row r="2210" spans="6:7" x14ac:dyDescent="0.35">
      <c r="F2210" s="70">
        <v>314017</v>
      </c>
      <c r="G2210" s="86" t="s">
        <v>851</v>
      </c>
    </row>
    <row r="2211" spans="6:7" x14ac:dyDescent="0.35">
      <c r="F2211" s="70">
        <v>314852</v>
      </c>
      <c r="G2211" s="86" t="s">
        <v>852</v>
      </c>
    </row>
    <row r="2212" spans="6:7" x14ac:dyDescent="0.35">
      <c r="F2212" s="70">
        <v>313408</v>
      </c>
      <c r="G2212" s="86" t="s">
        <v>853</v>
      </c>
    </row>
    <row r="2213" spans="6:7" x14ac:dyDescent="0.35">
      <c r="F2213" s="70">
        <v>315552</v>
      </c>
      <c r="G2213" s="86" t="s">
        <v>854</v>
      </c>
    </row>
    <row r="2214" spans="6:7" x14ac:dyDescent="0.35">
      <c r="F2214" s="70">
        <v>313629</v>
      </c>
      <c r="G2214" s="86" t="s">
        <v>855</v>
      </c>
    </row>
    <row r="2215" spans="6:7" x14ac:dyDescent="0.35">
      <c r="F2215" s="70">
        <v>315270</v>
      </c>
      <c r="G2215" s="86" t="s">
        <v>856</v>
      </c>
    </row>
    <row r="2216" spans="6:7" x14ac:dyDescent="0.35">
      <c r="F2216" s="70">
        <v>314353</v>
      </c>
      <c r="G2216" s="86" t="s">
        <v>857</v>
      </c>
    </row>
    <row r="2217" spans="6:7" x14ac:dyDescent="0.35">
      <c r="F2217" s="70">
        <v>302751</v>
      </c>
      <c r="G2217" s="86" t="s">
        <v>858</v>
      </c>
    </row>
    <row r="2218" spans="6:7" x14ac:dyDescent="0.35">
      <c r="F2218" s="70">
        <v>201031</v>
      </c>
      <c r="G2218" s="86" t="s">
        <v>859</v>
      </c>
    </row>
    <row r="2219" spans="6:7" x14ac:dyDescent="0.35">
      <c r="F2219" s="70">
        <v>311758</v>
      </c>
      <c r="G2219" s="86" t="s">
        <v>860</v>
      </c>
    </row>
    <row r="2220" spans="6:7" x14ac:dyDescent="0.35">
      <c r="F2220" s="70">
        <v>307870</v>
      </c>
      <c r="G2220" s="86" t="s">
        <v>861</v>
      </c>
    </row>
    <row r="2221" spans="6:7" x14ac:dyDescent="0.35">
      <c r="F2221" s="70">
        <v>314901</v>
      </c>
      <c r="G2221" s="86" t="s">
        <v>862</v>
      </c>
    </row>
    <row r="2222" spans="6:7" x14ac:dyDescent="0.35">
      <c r="F2222" s="70">
        <v>306256</v>
      </c>
      <c r="G2222" s="86" t="s">
        <v>863</v>
      </c>
    </row>
    <row r="2223" spans="6:7" x14ac:dyDescent="0.35">
      <c r="F2223" s="70">
        <v>314540</v>
      </c>
      <c r="G2223" s="86" t="s">
        <v>864</v>
      </c>
    </row>
    <row r="2224" spans="6:7" x14ac:dyDescent="0.35">
      <c r="F2224" s="70">
        <v>312158</v>
      </c>
      <c r="G2224" s="86" t="s">
        <v>865</v>
      </c>
    </row>
    <row r="2225" spans="6:7" x14ac:dyDescent="0.35">
      <c r="F2225" s="70">
        <v>315437</v>
      </c>
      <c r="G2225" s="86" t="s">
        <v>866</v>
      </c>
    </row>
    <row r="2226" spans="6:7" x14ac:dyDescent="0.35">
      <c r="F2226" s="70">
        <v>309692</v>
      </c>
      <c r="G2226" s="86" t="s">
        <v>867</v>
      </c>
    </row>
    <row r="2227" spans="6:7" x14ac:dyDescent="0.35">
      <c r="F2227" s="70">
        <v>309418</v>
      </c>
      <c r="G2227" s="86" t="s">
        <v>868</v>
      </c>
    </row>
    <row r="2228" spans="6:7" x14ac:dyDescent="0.35">
      <c r="F2228" s="70">
        <v>313797</v>
      </c>
      <c r="G2228" s="86" t="s">
        <v>869</v>
      </c>
    </row>
    <row r="2229" spans="6:7" x14ac:dyDescent="0.35">
      <c r="F2229" s="70">
        <v>312166</v>
      </c>
      <c r="G2229" s="86" t="s">
        <v>870</v>
      </c>
    </row>
    <row r="2230" spans="6:7" x14ac:dyDescent="0.35">
      <c r="F2230" s="70">
        <v>313856</v>
      </c>
      <c r="G2230" s="86" t="s">
        <v>871</v>
      </c>
    </row>
    <row r="2231" spans="6:7" x14ac:dyDescent="0.35">
      <c r="F2231" s="70">
        <v>310411</v>
      </c>
      <c r="G2231" s="86" t="s">
        <v>872</v>
      </c>
    </row>
    <row r="2232" spans="6:7" x14ac:dyDescent="0.35">
      <c r="F2232" s="70">
        <v>315070</v>
      </c>
      <c r="G2232" s="86" t="s">
        <v>873</v>
      </c>
    </row>
    <row r="2233" spans="6:7" x14ac:dyDescent="0.35">
      <c r="F2233" s="70">
        <v>315089</v>
      </c>
      <c r="G2233" s="86" t="s">
        <v>874</v>
      </c>
    </row>
    <row r="2234" spans="6:7" x14ac:dyDescent="0.35">
      <c r="F2234" s="70">
        <v>315209</v>
      </c>
      <c r="G2234" s="86" t="s">
        <v>875</v>
      </c>
    </row>
    <row r="2235" spans="6:7" x14ac:dyDescent="0.35">
      <c r="F2235" s="70">
        <v>314964</v>
      </c>
      <c r="G2235" s="86" t="s">
        <v>876</v>
      </c>
    </row>
    <row r="2236" spans="6:7" x14ac:dyDescent="0.35">
      <c r="F2236" s="70">
        <v>315545</v>
      </c>
      <c r="G2236" s="86" t="s">
        <v>877</v>
      </c>
    </row>
    <row r="2237" spans="6:7" x14ac:dyDescent="0.35">
      <c r="F2237" s="70">
        <v>314603</v>
      </c>
      <c r="G2237" s="86" t="s">
        <v>878</v>
      </c>
    </row>
    <row r="2238" spans="6:7" x14ac:dyDescent="0.35">
      <c r="F2238" s="70">
        <v>314912</v>
      </c>
      <c r="G2238" s="86" t="s">
        <v>879</v>
      </c>
    </row>
    <row r="2239" spans="6:7" x14ac:dyDescent="0.35">
      <c r="F2239" s="70">
        <v>314021</v>
      </c>
      <c r="G2239" s="86" t="s">
        <v>880</v>
      </c>
    </row>
    <row r="2240" spans="6:7" x14ac:dyDescent="0.35">
      <c r="F2240" s="70">
        <v>314609</v>
      </c>
      <c r="G2240" s="86" t="s">
        <v>881</v>
      </c>
    </row>
    <row r="2241" spans="6:7" x14ac:dyDescent="0.35">
      <c r="F2241" s="70">
        <v>315393</v>
      </c>
      <c r="G2241" s="86" t="s">
        <v>882</v>
      </c>
    </row>
    <row r="2242" spans="6:7" x14ac:dyDescent="0.35">
      <c r="F2242" s="70">
        <v>301534</v>
      </c>
      <c r="G2242" s="86" t="s">
        <v>883</v>
      </c>
    </row>
    <row r="2243" spans="6:7" x14ac:dyDescent="0.35">
      <c r="F2243" s="70">
        <v>314070</v>
      </c>
      <c r="G2243" s="86" t="s">
        <v>884</v>
      </c>
    </row>
    <row r="2244" spans="6:7" x14ac:dyDescent="0.35">
      <c r="F2244" s="70">
        <v>313316</v>
      </c>
      <c r="G2244" s="86" t="s">
        <v>885</v>
      </c>
    </row>
    <row r="2245" spans="6:7" x14ac:dyDescent="0.35">
      <c r="F2245" s="70">
        <v>308707</v>
      </c>
      <c r="G2245" s="86" t="s">
        <v>886</v>
      </c>
    </row>
    <row r="2246" spans="6:7" x14ac:dyDescent="0.35">
      <c r="F2246" s="70">
        <v>308921</v>
      </c>
      <c r="G2246" s="86" t="s">
        <v>887</v>
      </c>
    </row>
    <row r="2247" spans="6:7" x14ac:dyDescent="0.35">
      <c r="F2247" s="70">
        <v>315057</v>
      </c>
      <c r="G2247" s="86" t="s">
        <v>888</v>
      </c>
    </row>
    <row r="2248" spans="6:7" x14ac:dyDescent="0.35">
      <c r="F2248" s="70">
        <v>312651</v>
      </c>
      <c r="G2248" s="86" t="s">
        <v>889</v>
      </c>
    </row>
    <row r="2249" spans="6:7" x14ac:dyDescent="0.35">
      <c r="F2249" s="70">
        <v>314635</v>
      </c>
      <c r="G2249" s="86" t="s">
        <v>890</v>
      </c>
    </row>
    <row r="2250" spans="6:7" x14ac:dyDescent="0.35">
      <c r="F2250" s="70">
        <v>313351</v>
      </c>
      <c r="G2250" s="86" t="s">
        <v>891</v>
      </c>
    </row>
    <row r="2251" spans="6:7" x14ac:dyDescent="0.35">
      <c r="F2251" s="70">
        <v>309154</v>
      </c>
      <c r="G2251" s="86" t="s">
        <v>892</v>
      </c>
    </row>
    <row r="2252" spans="6:7" x14ac:dyDescent="0.35">
      <c r="F2252" s="70">
        <v>310593</v>
      </c>
      <c r="G2252" s="86" t="s">
        <v>893</v>
      </c>
    </row>
    <row r="2253" spans="6:7" x14ac:dyDescent="0.35">
      <c r="F2253" s="70">
        <v>312578</v>
      </c>
      <c r="G2253" s="86" t="s">
        <v>894</v>
      </c>
    </row>
    <row r="2254" spans="6:7" x14ac:dyDescent="0.35">
      <c r="F2254" s="70">
        <v>314977</v>
      </c>
      <c r="G2254" s="86" t="s">
        <v>895</v>
      </c>
    </row>
    <row r="2255" spans="6:7" x14ac:dyDescent="0.35">
      <c r="F2255" s="70">
        <v>315028</v>
      </c>
      <c r="G2255" s="86" t="s">
        <v>896</v>
      </c>
    </row>
    <row r="2256" spans="6:7" x14ac:dyDescent="0.35">
      <c r="F2256" s="70">
        <v>314016</v>
      </c>
      <c r="G2256" s="86" t="s">
        <v>897</v>
      </c>
    </row>
    <row r="2257" spans="6:7" x14ac:dyDescent="0.35">
      <c r="F2257" s="70">
        <v>314338</v>
      </c>
      <c r="G2257" s="86" t="s">
        <v>898</v>
      </c>
    </row>
    <row r="2258" spans="6:7" x14ac:dyDescent="0.35">
      <c r="F2258" s="70">
        <v>301052</v>
      </c>
      <c r="G2258" s="86" t="s">
        <v>899</v>
      </c>
    </row>
    <row r="2259" spans="6:7" x14ac:dyDescent="0.35">
      <c r="F2259" s="70">
        <v>313406</v>
      </c>
      <c r="G2259" s="86" t="s">
        <v>900</v>
      </c>
    </row>
    <row r="2260" spans="6:7" x14ac:dyDescent="0.35">
      <c r="F2260" s="70">
        <v>315551</v>
      </c>
      <c r="G2260" s="86" t="s">
        <v>901</v>
      </c>
    </row>
    <row r="2261" spans="6:7" x14ac:dyDescent="0.35">
      <c r="F2261" s="70">
        <v>301579</v>
      </c>
      <c r="G2261" s="86" t="s">
        <v>902</v>
      </c>
    </row>
    <row r="2262" spans="6:7" x14ac:dyDescent="0.35">
      <c r="F2262" s="70">
        <v>314077</v>
      </c>
      <c r="G2262" s="86" t="s">
        <v>903</v>
      </c>
    </row>
    <row r="2263" spans="6:7" x14ac:dyDescent="0.35">
      <c r="F2263" s="70">
        <v>304630</v>
      </c>
      <c r="G2263" s="86" t="s">
        <v>904</v>
      </c>
    </row>
    <row r="2264" spans="6:7" x14ac:dyDescent="0.35">
      <c r="F2264" s="70">
        <v>315163</v>
      </c>
      <c r="G2264" s="86" t="s">
        <v>905</v>
      </c>
    </row>
    <row r="2265" spans="6:7" x14ac:dyDescent="0.35">
      <c r="F2265" s="70">
        <v>314231</v>
      </c>
      <c r="G2265" s="86" t="s">
        <v>906</v>
      </c>
    </row>
    <row r="2266" spans="6:7" x14ac:dyDescent="0.35">
      <c r="F2266" s="70">
        <v>312910</v>
      </c>
      <c r="G2266" s="86" t="s">
        <v>907</v>
      </c>
    </row>
    <row r="2267" spans="6:7" x14ac:dyDescent="0.35">
      <c r="F2267" s="70">
        <v>314531</v>
      </c>
      <c r="G2267" s="86" t="s">
        <v>908</v>
      </c>
    </row>
    <row r="2268" spans="6:7" x14ac:dyDescent="0.35">
      <c r="F2268" s="70">
        <v>309428</v>
      </c>
      <c r="G2268" s="86" t="s">
        <v>909</v>
      </c>
    </row>
    <row r="2269" spans="6:7" x14ac:dyDescent="0.35">
      <c r="F2269" s="70">
        <v>313559</v>
      </c>
      <c r="G2269" s="86" t="s">
        <v>910</v>
      </c>
    </row>
    <row r="2270" spans="6:7" x14ac:dyDescent="0.35">
      <c r="F2270" s="70">
        <v>314916</v>
      </c>
      <c r="G2270" s="86" t="s">
        <v>911</v>
      </c>
    </row>
    <row r="2271" spans="6:7" x14ac:dyDescent="0.35">
      <c r="F2271" s="70">
        <v>313861</v>
      </c>
      <c r="G2271" s="86" t="s">
        <v>912</v>
      </c>
    </row>
    <row r="2272" spans="6:7" x14ac:dyDescent="0.35">
      <c r="F2272" s="70">
        <v>304240</v>
      </c>
      <c r="G2272" s="86" t="s">
        <v>913</v>
      </c>
    </row>
    <row r="2273" spans="6:7" x14ac:dyDescent="0.35">
      <c r="F2273" s="70">
        <v>313770</v>
      </c>
      <c r="G2273" s="86" t="s">
        <v>914</v>
      </c>
    </row>
    <row r="2274" spans="6:7" x14ac:dyDescent="0.35">
      <c r="F2274" s="70">
        <v>308533</v>
      </c>
      <c r="G2274" s="86" t="s">
        <v>915</v>
      </c>
    </row>
    <row r="2275" spans="6:7" x14ac:dyDescent="0.35">
      <c r="F2275" s="70">
        <v>315502</v>
      </c>
      <c r="G2275" s="86" t="s">
        <v>916</v>
      </c>
    </row>
    <row r="2276" spans="6:7" x14ac:dyDescent="0.35">
      <c r="F2276" s="70">
        <v>315483</v>
      </c>
      <c r="G2276" s="86" t="s">
        <v>917</v>
      </c>
    </row>
    <row r="2277" spans="6:7" x14ac:dyDescent="0.35">
      <c r="F2277" s="70">
        <v>306695</v>
      </c>
      <c r="G2277" s="86" t="s">
        <v>918</v>
      </c>
    </row>
    <row r="2278" spans="6:7" x14ac:dyDescent="0.35">
      <c r="F2278" s="70">
        <v>313804</v>
      </c>
      <c r="G2278" s="86" t="s">
        <v>919</v>
      </c>
    </row>
    <row r="2279" spans="6:7" x14ac:dyDescent="0.35">
      <c r="F2279" s="70">
        <v>305736</v>
      </c>
      <c r="G2279" s="86" t="s">
        <v>920</v>
      </c>
    </row>
    <row r="2280" spans="6:7" x14ac:dyDescent="0.35">
      <c r="F2280" s="70">
        <v>313327</v>
      </c>
      <c r="G2280" s="86" t="s">
        <v>921</v>
      </c>
    </row>
    <row r="2281" spans="6:7" x14ac:dyDescent="0.35">
      <c r="F2281" s="70">
        <v>309209</v>
      </c>
      <c r="G2281" s="86" t="s">
        <v>922</v>
      </c>
    </row>
    <row r="2282" spans="6:7" x14ac:dyDescent="0.35">
      <c r="F2282" s="70">
        <v>311219</v>
      </c>
      <c r="G2282" s="86" t="s">
        <v>923</v>
      </c>
    </row>
    <row r="2283" spans="6:7" x14ac:dyDescent="0.35">
      <c r="F2283" s="70">
        <v>315174</v>
      </c>
      <c r="G2283" s="86" t="s">
        <v>924</v>
      </c>
    </row>
    <row r="2284" spans="6:7" x14ac:dyDescent="0.35">
      <c r="F2284" s="70">
        <v>312540</v>
      </c>
      <c r="G2284" s="86" t="s">
        <v>925</v>
      </c>
    </row>
    <row r="2285" spans="6:7" x14ac:dyDescent="0.35">
      <c r="F2285" s="70">
        <v>313701</v>
      </c>
      <c r="G2285" s="86" t="s">
        <v>926</v>
      </c>
    </row>
    <row r="2286" spans="6:7" x14ac:dyDescent="0.35">
      <c r="F2286" s="70">
        <v>312557</v>
      </c>
      <c r="G2286" s="86" t="s">
        <v>927</v>
      </c>
    </row>
    <row r="2287" spans="6:7" x14ac:dyDescent="0.35">
      <c r="F2287" s="70">
        <v>311167</v>
      </c>
      <c r="G2287" s="86" t="s">
        <v>928</v>
      </c>
    </row>
    <row r="2288" spans="6:7" x14ac:dyDescent="0.35">
      <c r="F2288" s="70">
        <v>312542</v>
      </c>
      <c r="G2288" s="86" t="s">
        <v>929</v>
      </c>
    </row>
    <row r="2289" spans="6:7" x14ac:dyDescent="0.35">
      <c r="F2289" s="70">
        <v>303412</v>
      </c>
      <c r="G2289" s="86" t="s">
        <v>930</v>
      </c>
    </row>
    <row r="2290" spans="6:7" x14ac:dyDescent="0.35">
      <c r="F2290" s="70">
        <v>315436</v>
      </c>
      <c r="G2290" s="86" t="s">
        <v>931</v>
      </c>
    </row>
    <row r="2291" spans="6:7" x14ac:dyDescent="0.35">
      <c r="F2291" s="70">
        <v>311891</v>
      </c>
      <c r="G2291" s="86" t="s">
        <v>932</v>
      </c>
    </row>
    <row r="2292" spans="6:7" x14ac:dyDescent="0.35">
      <c r="F2292" s="70">
        <v>309812</v>
      </c>
      <c r="G2292" s="86" t="s">
        <v>933</v>
      </c>
    </row>
    <row r="2293" spans="6:7" x14ac:dyDescent="0.35">
      <c r="F2293" s="70">
        <v>314275</v>
      </c>
      <c r="G2293" s="86" t="s">
        <v>934</v>
      </c>
    </row>
    <row r="2294" spans="6:7" x14ac:dyDescent="0.35">
      <c r="F2294" s="70">
        <v>307588</v>
      </c>
      <c r="G2294" s="86" t="s">
        <v>935</v>
      </c>
    </row>
    <row r="2295" spans="6:7" x14ac:dyDescent="0.35">
      <c r="F2295" s="70">
        <v>315463</v>
      </c>
      <c r="G2295" s="86" t="s">
        <v>936</v>
      </c>
    </row>
    <row r="2296" spans="6:7" x14ac:dyDescent="0.35">
      <c r="F2296" s="70">
        <v>310755</v>
      </c>
      <c r="G2296" s="86" t="s">
        <v>937</v>
      </c>
    </row>
    <row r="2297" spans="6:7" x14ac:dyDescent="0.35">
      <c r="F2297" s="70">
        <v>314466</v>
      </c>
      <c r="G2297" s="86" t="s">
        <v>938</v>
      </c>
    </row>
    <row r="2298" spans="6:7" x14ac:dyDescent="0.35">
      <c r="F2298" s="70">
        <v>310043</v>
      </c>
      <c r="G2298" s="86" t="s">
        <v>939</v>
      </c>
    </row>
    <row r="2299" spans="6:7" x14ac:dyDescent="0.35">
      <c r="F2299" s="70">
        <v>314443</v>
      </c>
      <c r="G2299" s="86" t="s">
        <v>940</v>
      </c>
    </row>
    <row r="2300" spans="6:7" x14ac:dyDescent="0.35">
      <c r="F2300" s="70">
        <v>314763</v>
      </c>
      <c r="G2300" s="86" t="s">
        <v>941</v>
      </c>
    </row>
    <row r="2301" spans="6:7" x14ac:dyDescent="0.35">
      <c r="F2301" s="70">
        <v>311227</v>
      </c>
      <c r="G2301" s="86" t="s">
        <v>942</v>
      </c>
    </row>
    <row r="2302" spans="6:7" x14ac:dyDescent="0.35">
      <c r="F2302" s="70">
        <v>308968</v>
      </c>
      <c r="G2302" s="86" t="s">
        <v>943</v>
      </c>
    </row>
    <row r="2303" spans="6:7" x14ac:dyDescent="0.35">
      <c r="F2303" s="70">
        <v>314871</v>
      </c>
      <c r="G2303" s="86" t="s">
        <v>944</v>
      </c>
    </row>
    <row r="2304" spans="6:7" x14ac:dyDescent="0.35">
      <c r="F2304" s="70">
        <v>313368</v>
      </c>
      <c r="G2304" s="86" t="s">
        <v>945</v>
      </c>
    </row>
    <row r="2305" spans="6:7" x14ac:dyDescent="0.35">
      <c r="F2305" s="70">
        <v>314342</v>
      </c>
      <c r="G2305" s="86" t="s">
        <v>946</v>
      </c>
    </row>
    <row r="2306" spans="6:7" x14ac:dyDescent="0.35">
      <c r="F2306" s="70">
        <v>312736</v>
      </c>
      <c r="G2306" s="86" t="s">
        <v>947</v>
      </c>
    </row>
    <row r="2307" spans="6:7" x14ac:dyDescent="0.35">
      <c r="F2307" s="70">
        <v>312762</v>
      </c>
      <c r="G2307" s="86" t="s">
        <v>948</v>
      </c>
    </row>
    <row r="2308" spans="6:7" x14ac:dyDescent="0.35">
      <c r="F2308" s="70">
        <v>303591</v>
      </c>
      <c r="G2308" s="86" t="s">
        <v>949</v>
      </c>
    </row>
    <row r="2309" spans="6:7" x14ac:dyDescent="0.35">
      <c r="F2309" s="70">
        <v>312165</v>
      </c>
      <c r="G2309" s="86" t="s">
        <v>950</v>
      </c>
    </row>
    <row r="2310" spans="6:7" x14ac:dyDescent="0.35">
      <c r="F2310" s="70">
        <v>313560</v>
      </c>
      <c r="G2310" s="86" t="s">
        <v>951</v>
      </c>
    </row>
    <row r="2311" spans="6:7" x14ac:dyDescent="0.35">
      <c r="F2311" s="70">
        <v>315047</v>
      </c>
      <c r="G2311" s="86" t="s">
        <v>952</v>
      </c>
    </row>
    <row r="2312" spans="6:7" x14ac:dyDescent="0.35">
      <c r="F2312" s="70">
        <v>311598</v>
      </c>
      <c r="G2312" s="86" t="s">
        <v>953</v>
      </c>
    </row>
    <row r="2313" spans="6:7" x14ac:dyDescent="0.35">
      <c r="F2313" s="70">
        <v>311742</v>
      </c>
      <c r="G2313" s="86" t="s">
        <v>954</v>
      </c>
    </row>
    <row r="2314" spans="6:7" x14ac:dyDescent="0.35">
      <c r="F2314" s="70">
        <v>308758</v>
      </c>
      <c r="G2314" s="86" t="s">
        <v>955</v>
      </c>
    </row>
    <row r="2315" spans="6:7" x14ac:dyDescent="0.35">
      <c r="F2315" s="70">
        <v>314371</v>
      </c>
      <c r="G2315" s="86" t="s">
        <v>956</v>
      </c>
    </row>
    <row r="2316" spans="6:7" x14ac:dyDescent="0.35">
      <c r="F2316" s="70">
        <v>314095</v>
      </c>
      <c r="G2316" s="86" t="s">
        <v>957</v>
      </c>
    </row>
    <row r="2317" spans="6:7" x14ac:dyDescent="0.35">
      <c r="F2317" s="70">
        <v>314408</v>
      </c>
      <c r="G2317" s="86" t="s">
        <v>958</v>
      </c>
    </row>
    <row r="2318" spans="6:7" x14ac:dyDescent="0.35">
      <c r="F2318" s="70">
        <v>312434</v>
      </c>
      <c r="G2318" s="86" t="s">
        <v>959</v>
      </c>
    </row>
    <row r="2319" spans="6:7" x14ac:dyDescent="0.35">
      <c r="F2319" s="70">
        <v>202410</v>
      </c>
      <c r="G2319" s="86" t="s">
        <v>960</v>
      </c>
    </row>
    <row r="2320" spans="6:7" x14ac:dyDescent="0.35">
      <c r="F2320" s="70">
        <v>310750</v>
      </c>
      <c r="G2320" s="86" t="s">
        <v>961</v>
      </c>
    </row>
    <row r="2321" spans="6:7" x14ac:dyDescent="0.35">
      <c r="F2321" s="70">
        <v>304557</v>
      </c>
      <c r="G2321" s="86" t="s">
        <v>962</v>
      </c>
    </row>
    <row r="2322" spans="6:7" x14ac:dyDescent="0.35">
      <c r="F2322" s="70">
        <v>308593</v>
      </c>
      <c r="G2322" s="86" t="s">
        <v>963</v>
      </c>
    </row>
    <row r="2323" spans="6:7" x14ac:dyDescent="0.35">
      <c r="F2323" s="70">
        <v>310893</v>
      </c>
      <c r="G2323" s="86" t="s">
        <v>964</v>
      </c>
    </row>
    <row r="2324" spans="6:7" x14ac:dyDescent="0.35">
      <c r="F2324" s="70">
        <v>310845</v>
      </c>
      <c r="G2324" s="86" t="s">
        <v>965</v>
      </c>
    </row>
    <row r="2325" spans="6:7" x14ac:dyDescent="0.35">
      <c r="F2325" s="70">
        <v>313654</v>
      </c>
      <c r="G2325" s="86" t="s">
        <v>966</v>
      </c>
    </row>
    <row r="2326" spans="6:7" x14ac:dyDescent="0.35">
      <c r="F2326" s="70">
        <v>308152</v>
      </c>
      <c r="G2326" s="86" t="s">
        <v>967</v>
      </c>
    </row>
    <row r="2327" spans="6:7" x14ac:dyDescent="0.35">
      <c r="F2327" s="70">
        <v>313812</v>
      </c>
      <c r="G2327" s="86" t="s">
        <v>968</v>
      </c>
    </row>
    <row r="2328" spans="6:7" x14ac:dyDescent="0.35">
      <c r="F2328" s="70">
        <v>303616</v>
      </c>
      <c r="G2328" s="86" t="s">
        <v>969</v>
      </c>
    </row>
    <row r="2329" spans="6:7" x14ac:dyDescent="0.35">
      <c r="F2329" s="70">
        <v>310011</v>
      </c>
      <c r="G2329" s="86" t="s">
        <v>970</v>
      </c>
    </row>
    <row r="2330" spans="6:7" x14ac:dyDescent="0.35">
      <c r="F2330" s="70">
        <v>314808</v>
      </c>
      <c r="G2330" s="86" t="s">
        <v>971</v>
      </c>
    </row>
    <row r="2331" spans="6:7" x14ac:dyDescent="0.35">
      <c r="F2331" s="70">
        <v>306497</v>
      </c>
      <c r="G2331" s="86" t="s">
        <v>972</v>
      </c>
    </row>
    <row r="2332" spans="6:7" x14ac:dyDescent="0.35">
      <c r="F2332" s="70">
        <v>314703</v>
      </c>
      <c r="G2332" s="86" t="s">
        <v>973</v>
      </c>
    </row>
    <row r="2333" spans="6:7" x14ac:dyDescent="0.35">
      <c r="F2333" s="70">
        <v>315535</v>
      </c>
      <c r="G2333" s="86" t="s">
        <v>974</v>
      </c>
    </row>
    <row r="2334" spans="6:7" x14ac:dyDescent="0.35">
      <c r="F2334" s="70">
        <v>313727</v>
      </c>
      <c r="G2334" s="86" t="s">
        <v>975</v>
      </c>
    </row>
    <row r="2335" spans="6:7" x14ac:dyDescent="0.35">
      <c r="F2335" s="70">
        <v>315123</v>
      </c>
      <c r="G2335" s="86" t="s">
        <v>977</v>
      </c>
    </row>
    <row r="2336" spans="6:7" x14ac:dyDescent="0.35">
      <c r="F2336" s="70">
        <v>315491</v>
      </c>
      <c r="G2336" s="86" t="s">
        <v>978</v>
      </c>
    </row>
    <row r="2337" spans="6:7" x14ac:dyDescent="0.35">
      <c r="F2337" s="70">
        <v>314068</v>
      </c>
      <c r="G2337" s="86" t="s">
        <v>979</v>
      </c>
    </row>
    <row r="2338" spans="6:7" x14ac:dyDescent="0.35">
      <c r="F2338" s="70">
        <v>313871</v>
      </c>
      <c r="G2338" s="86" t="s">
        <v>980</v>
      </c>
    </row>
    <row r="2339" spans="6:7" x14ac:dyDescent="0.35">
      <c r="F2339" s="70">
        <v>312554</v>
      </c>
      <c r="G2339" s="86" t="s">
        <v>981</v>
      </c>
    </row>
    <row r="2340" spans="6:7" x14ac:dyDescent="0.35">
      <c r="F2340" s="70">
        <v>315510</v>
      </c>
      <c r="G2340" s="86" t="s">
        <v>982</v>
      </c>
    </row>
    <row r="2341" spans="6:7" x14ac:dyDescent="0.35">
      <c r="F2341" s="70">
        <v>313644</v>
      </c>
      <c r="G2341" s="86" t="s">
        <v>983</v>
      </c>
    </row>
    <row r="2342" spans="6:7" x14ac:dyDescent="0.35">
      <c r="F2342" s="70">
        <v>312323</v>
      </c>
      <c r="G2342" s="86" t="s">
        <v>984</v>
      </c>
    </row>
    <row r="2343" spans="6:7" x14ac:dyDescent="0.35">
      <c r="F2343" s="70">
        <v>313428</v>
      </c>
      <c r="G2343" s="86" t="s">
        <v>985</v>
      </c>
    </row>
    <row r="2344" spans="6:7" x14ac:dyDescent="0.35">
      <c r="F2344" s="70">
        <v>311094</v>
      </c>
      <c r="G2344" s="86" t="s">
        <v>986</v>
      </c>
    </row>
    <row r="2345" spans="6:7" x14ac:dyDescent="0.35">
      <c r="F2345" s="70">
        <v>313151</v>
      </c>
      <c r="G2345" s="86" t="s">
        <v>987</v>
      </c>
    </row>
    <row r="2346" spans="6:7" x14ac:dyDescent="0.35">
      <c r="F2346" s="70">
        <v>308702</v>
      </c>
      <c r="G2346" s="86" t="s">
        <v>988</v>
      </c>
    </row>
    <row r="2347" spans="6:7" x14ac:dyDescent="0.35">
      <c r="F2347" s="70">
        <v>315564</v>
      </c>
      <c r="G2347" s="86" t="s">
        <v>989</v>
      </c>
    </row>
    <row r="2348" spans="6:7" x14ac:dyDescent="0.35">
      <c r="F2348" s="70">
        <v>314285</v>
      </c>
      <c r="G2348" s="86" t="s">
        <v>990</v>
      </c>
    </row>
    <row r="2349" spans="6:7" x14ac:dyDescent="0.35">
      <c r="F2349" s="70">
        <v>311882</v>
      </c>
      <c r="G2349" s="86" t="s">
        <v>991</v>
      </c>
    </row>
    <row r="2350" spans="6:7" x14ac:dyDescent="0.35">
      <c r="F2350" s="70">
        <v>315041</v>
      </c>
      <c r="G2350" s="86" t="s">
        <v>992</v>
      </c>
    </row>
    <row r="2351" spans="6:7" x14ac:dyDescent="0.35">
      <c r="F2351" s="70">
        <v>313219</v>
      </c>
      <c r="G2351" s="86" t="s">
        <v>993</v>
      </c>
    </row>
    <row r="2352" spans="6:7" x14ac:dyDescent="0.35">
      <c r="F2352" s="70">
        <v>314553</v>
      </c>
      <c r="G2352" s="86" t="s">
        <v>994</v>
      </c>
    </row>
    <row r="2353" spans="6:7" x14ac:dyDescent="0.35">
      <c r="F2353" s="70">
        <v>313803</v>
      </c>
      <c r="G2353" s="86" t="s">
        <v>995</v>
      </c>
    </row>
    <row r="2354" spans="6:7" x14ac:dyDescent="0.35">
      <c r="F2354" s="70">
        <v>314445</v>
      </c>
      <c r="G2354" s="86" t="s">
        <v>996</v>
      </c>
    </row>
    <row r="2355" spans="6:7" x14ac:dyDescent="0.35">
      <c r="F2355" s="70">
        <v>314320</v>
      </c>
      <c r="G2355" s="86" t="s">
        <v>997</v>
      </c>
    </row>
    <row r="2356" spans="6:7" x14ac:dyDescent="0.35">
      <c r="F2356" s="70">
        <v>313699</v>
      </c>
      <c r="G2356" s="86" t="s">
        <v>998</v>
      </c>
    </row>
    <row r="2357" spans="6:7" x14ac:dyDescent="0.35">
      <c r="F2357" s="70">
        <v>307498</v>
      </c>
      <c r="G2357" s="86" t="s">
        <v>999</v>
      </c>
    </row>
    <row r="2358" spans="6:7" x14ac:dyDescent="0.35">
      <c r="F2358" s="70">
        <v>312811</v>
      </c>
      <c r="G2358" s="86" t="s">
        <v>1000</v>
      </c>
    </row>
    <row r="2359" spans="6:7" x14ac:dyDescent="0.35">
      <c r="F2359" s="70">
        <v>313353</v>
      </c>
      <c r="G2359" s="86" t="s">
        <v>1001</v>
      </c>
    </row>
    <row r="2360" spans="6:7" x14ac:dyDescent="0.35">
      <c r="F2360" s="70">
        <v>313264</v>
      </c>
      <c r="G2360" s="86" t="s">
        <v>1002</v>
      </c>
    </row>
    <row r="2361" spans="6:7" x14ac:dyDescent="0.35">
      <c r="F2361" s="70">
        <v>314528</v>
      </c>
      <c r="G2361" s="86" t="s">
        <v>1003</v>
      </c>
    </row>
    <row r="2362" spans="6:7" x14ac:dyDescent="0.35">
      <c r="F2362" s="70">
        <v>311933</v>
      </c>
      <c r="G2362" s="86" t="s">
        <v>1004</v>
      </c>
    </row>
    <row r="2363" spans="6:7" x14ac:dyDescent="0.35">
      <c r="F2363" s="70">
        <v>315213</v>
      </c>
      <c r="G2363" s="86" t="s">
        <v>1005</v>
      </c>
    </row>
    <row r="2364" spans="6:7" x14ac:dyDescent="0.35">
      <c r="F2364" s="70">
        <v>311721</v>
      </c>
      <c r="G2364" s="86" t="s">
        <v>1006</v>
      </c>
    </row>
    <row r="2365" spans="6:7" x14ac:dyDescent="0.35">
      <c r="F2365" s="70">
        <v>313016</v>
      </c>
      <c r="G2365" s="86" t="s">
        <v>1007</v>
      </c>
    </row>
    <row r="2366" spans="6:7" x14ac:dyDescent="0.35">
      <c r="F2366" s="70">
        <v>313552</v>
      </c>
      <c r="G2366" s="86" t="s">
        <v>1008</v>
      </c>
    </row>
    <row r="2367" spans="6:7" x14ac:dyDescent="0.35">
      <c r="F2367" s="70">
        <v>313091</v>
      </c>
      <c r="G2367" s="86" t="s">
        <v>1009</v>
      </c>
    </row>
    <row r="2368" spans="6:7" x14ac:dyDescent="0.35">
      <c r="F2368" s="70">
        <v>312169</v>
      </c>
      <c r="G2368" s="86" t="s">
        <v>1010</v>
      </c>
    </row>
    <row r="2369" spans="6:7" x14ac:dyDescent="0.35">
      <c r="F2369" s="70">
        <v>308284</v>
      </c>
      <c r="G2369" s="86" t="s">
        <v>1011</v>
      </c>
    </row>
    <row r="2370" spans="6:7" x14ac:dyDescent="0.35">
      <c r="F2370" s="70">
        <v>312293</v>
      </c>
      <c r="G2370" s="86" t="s">
        <v>1012</v>
      </c>
    </row>
    <row r="2371" spans="6:7" x14ac:dyDescent="0.35">
      <c r="F2371" s="70">
        <v>315582</v>
      </c>
      <c r="G2371" s="86" t="s">
        <v>1013</v>
      </c>
    </row>
    <row r="2372" spans="6:7" x14ac:dyDescent="0.35">
      <c r="F2372" s="70">
        <v>314263</v>
      </c>
      <c r="G2372" s="86" t="s">
        <v>1014</v>
      </c>
    </row>
    <row r="2373" spans="6:7" x14ac:dyDescent="0.35">
      <c r="F2373" s="70">
        <v>314012</v>
      </c>
      <c r="G2373" s="86" t="s">
        <v>1015</v>
      </c>
    </row>
    <row r="2374" spans="6:7" x14ac:dyDescent="0.35">
      <c r="F2374" s="70">
        <v>314349</v>
      </c>
      <c r="G2374" s="86" t="s">
        <v>1016</v>
      </c>
    </row>
    <row r="2375" spans="6:7" x14ac:dyDescent="0.35">
      <c r="F2375" s="70">
        <v>312409</v>
      </c>
      <c r="G2375" s="86" t="s">
        <v>1017</v>
      </c>
    </row>
    <row r="2376" spans="6:7" x14ac:dyDescent="0.35">
      <c r="F2376" s="70">
        <v>314934</v>
      </c>
      <c r="G2376" s="86" t="s">
        <v>1018</v>
      </c>
    </row>
    <row r="2377" spans="6:7" x14ac:dyDescent="0.35">
      <c r="F2377" s="70">
        <v>315303</v>
      </c>
      <c r="G2377" s="86" t="s">
        <v>1019</v>
      </c>
    </row>
    <row r="2378" spans="6:7" x14ac:dyDescent="0.35">
      <c r="F2378" s="70">
        <v>315309</v>
      </c>
      <c r="G2378" s="86" t="s">
        <v>1020</v>
      </c>
    </row>
    <row r="2379" spans="6:7" x14ac:dyDescent="0.35">
      <c r="F2379" s="70">
        <v>307917</v>
      </c>
      <c r="G2379" s="86" t="s">
        <v>1021</v>
      </c>
    </row>
    <row r="2380" spans="6:7" x14ac:dyDescent="0.35">
      <c r="F2380" s="70">
        <v>315038</v>
      </c>
      <c r="G2380" s="86" t="s">
        <v>1022</v>
      </c>
    </row>
    <row r="2381" spans="6:7" x14ac:dyDescent="0.35">
      <c r="F2381" s="70">
        <v>101729</v>
      </c>
      <c r="G2381" s="86" t="s">
        <v>1023</v>
      </c>
    </row>
    <row r="2382" spans="6:7" x14ac:dyDescent="0.35">
      <c r="F2382" s="70">
        <v>314230</v>
      </c>
      <c r="G2382" s="86" t="s">
        <v>1024</v>
      </c>
    </row>
    <row r="2383" spans="6:7" x14ac:dyDescent="0.35">
      <c r="F2383" s="70">
        <v>314093</v>
      </c>
      <c r="G2383" s="86" t="s">
        <v>1025</v>
      </c>
    </row>
    <row r="2384" spans="6:7" x14ac:dyDescent="0.35">
      <c r="F2384" s="70">
        <v>312717</v>
      </c>
      <c r="G2384" s="86" t="s">
        <v>1026</v>
      </c>
    </row>
    <row r="2385" spans="6:7" x14ac:dyDescent="0.35">
      <c r="F2385" s="70">
        <v>314785</v>
      </c>
      <c r="G2385" s="86" t="s">
        <v>1027</v>
      </c>
    </row>
    <row r="2386" spans="6:7" x14ac:dyDescent="0.35">
      <c r="F2386" s="70">
        <v>310144</v>
      </c>
      <c r="G2386" s="86" t="s">
        <v>1028</v>
      </c>
    </row>
    <row r="2387" spans="6:7" x14ac:dyDescent="0.35">
      <c r="F2387" s="70">
        <v>315457</v>
      </c>
      <c r="G2387" s="86" t="s">
        <v>1029</v>
      </c>
    </row>
    <row r="2388" spans="6:7" x14ac:dyDescent="0.35">
      <c r="F2388" s="70">
        <v>311612</v>
      </c>
      <c r="G2388" s="86" t="s">
        <v>1030</v>
      </c>
    </row>
    <row r="2389" spans="6:7" x14ac:dyDescent="0.35">
      <c r="F2389" s="70">
        <v>315204</v>
      </c>
      <c r="G2389" s="86" t="s">
        <v>1031</v>
      </c>
    </row>
    <row r="2390" spans="6:7" x14ac:dyDescent="0.35">
      <c r="F2390" s="70">
        <v>311548</v>
      </c>
      <c r="G2390" s="86" t="s">
        <v>1032</v>
      </c>
    </row>
    <row r="2391" spans="6:7" x14ac:dyDescent="0.35">
      <c r="F2391" s="70">
        <v>306667</v>
      </c>
      <c r="G2391" s="86" t="s">
        <v>1033</v>
      </c>
    </row>
    <row r="2392" spans="6:7" x14ac:dyDescent="0.35">
      <c r="F2392" s="70">
        <v>314533</v>
      </c>
      <c r="G2392" s="86" t="s">
        <v>1034</v>
      </c>
    </row>
    <row r="2393" spans="6:7" x14ac:dyDescent="0.35">
      <c r="F2393" s="70">
        <v>311817</v>
      </c>
      <c r="G2393" s="86" t="s">
        <v>1035</v>
      </c>
    </row>
    <row r="2394" spans="6:7" x14ac:dyDescent="0.35">
      <c r="F2394" s="70">
        <v>301309</v>
      </c>
      <c r="G2394" s="86" t="s">
        <v>1036</v>
      </c>
    </row>
    <row r="2395" spans="6:7" x14ac:dyDescent="0.35">
      <c r="F2395" s="70">
        <v>315530</v>
      </c>
      <c r="G2395" s="86" t="s">
        <v>1037</v>
      </c>
    </row>
    <row r="2396" spans="6:7" x14ac:dyDescent="0.35">
      <c r="F2396" s="70">
        <v>315343</v>
      </c>
      <c r="G2396" s="86" t="s">
        <v>1038</v>
      </c>
    </row>
    <row r="2397" spans="6:7" x14ac:dyDescent="0.35">
      <c r="F2397" s="70">
        <v>309911</v>
      </c>
      <c r="G2397" s="86" t="s">
        <v>1039</v>
      </c>
    </row>
    <row r="2398" spans="6:7" x14ac:dyDescent="0.35">
      <c r="F2398" s="70">
        <v>315485</v>
      </c>
      <c r="G2398" s="86" t="s">
        <v>1040</v>
      </c>
    </row>
    <row r="2399" spans="6:7" x14ac:dyDescent="0.35">
      <c r="F2399" s="70">
        <v>307104</v>
      </c>
      <c r="G2399" s="86" t="s">
        <v>1041</v>
      </c>
    </row>
    <row r="2400" spans="6:7" x14ac:dyDescent="0.35">
      <c r="F2400" s="70">
        <v>312975</v>
      </c>
      <c r="G2400" s="86" t="s">
        <v>1042</v>
      </c>
    </row>
    <row r="2401" spans="6:7" x14ac:dyDescent="0.35">
      <c r="F2401" s="70">
        <v>306654</v>
      </c>
      <c r="G2401" s="86" t="s">
        <v>1043</v>
      </c>
    </row>
    <row r="2402" spans="6:7" x14ac:dyDescent="0.35">
      <c r="F2402" s="70">
        <v>315035</v>
      </c>
      <c r="G2402" s="86" t="s">
        <v>1044</v>
      </c>
    </row>
    <row r="2403" spans="6:7" x14ac:dyDescent="0.35">
      <c r="F2403" s="70">
        <v>315255</v>
      </c>
      <c r="G2403" s="86" t="s">
        <v>1045</v>
      </c>
    </row>
    <row r="2404" spans="6:7" x14ac:dyDescent="0.35">
      <c r="F2404" s="70">
        <v>313730</v>
      </c>
      <c r="G2404" s="86" t="s">
        <v>1046</v>
      </c>
    </row>
    <row r="2405" spans="6:7" x14ac:dyDescent="0.35">
      <c r="F2405" s="70">
        <v>315273</v>
      </c>
      <c r="G2405" s="86" t="s">
        <v>1047</v>
      </c>
    </row>
    <row r="2406" spans="6:7" x14ac:dyDescent="0.35">
      <c r="F2406" s="70">
        <v>309429</v>
      </c>
      <c r="G2406" s="86" t="s">
        <v>1048</v>
      </c>
    </row>
    <row r="2407" spans="6:7" x14ac:dyDescent="0.35">
      <c r="F2407" s="70">
        <v>315265</v>
      </c>
      <c r="G2407" s="86" t="s">
        <v>1049</v>
      </c>
    </row>
    <row r="2408" spans="6:7" x14ac:dyDescent="0.35">
      <c r="F2408" s="70">
        <v>301514</v>
      </c>
      <c r="G2408" s="86" t="s">
        <v>1050</v>
      </c>
    </row>
    <row r="2409" spans="6:7" x14ac:dyDescent="0.35">
      <c r="F2409" s="70">
        <v>309950</v>
      </c>
      <c r="G2409" s="86" t="s">
        <v>1051</v>
      </c>
    </row>
    <row r="2410" spans="6:7" x14ac:dyDescent="0.35">
      <c r="F2410" s="70">
        <v>315349</v>
      </c>
      <c r="G2410" s="86" t="s">
        <v>1052</v>
      </c>
    </row>
    <row r="2411" spans="6:7" x14ac:dyDescent="0.35">
      <c r="F2411" s="70">
        <v>306248</v>
      </c>
      <c r="G2411" s="86" t="s">
        <v>1053</v>
      </c>
    </row>
    <row r="2412" spans="6:7" x14ac:dyDescent="0.35">
      <c r="F2412" s="70">
        <v>310719</v>
      </c>
      <c r="G2412" s="86" t="s">
        <v>1054</v>
      </c>
    </row>
    <row r="2413" spans="6:7" x14ac:dyDescent="0.35">
      <c r="F2413" s="70">
        <v>309945</v>
      </c>
      <c r="G2413" s="86" t="s">
        <v>1055</v>
      </c>
    </row>
    <row r="2414" spans="6:7" x14ac:dyDescent="0.35">
      <c r="F2414" s="70">
        <v>314619</v>
      </c>
      <c r="G2414" s="86" t="s">
        <v>1056</v>
      </c>
    </row>
    <row r="2415" spans="6:7" x14ac:dyDescent="0.35">
      <c r="F2415" s="70">
        <v>315263</v>
      </c>
      <c r="G2415" s="86" t="s">
        <v>1057</v>
      </c>
    </row>
    <row r="2416" spans="6:7" x14ac:dyDescent="0.35">
      <c r="F2416" s="70">
        <v>312140</v>
      </c>
      <c r="G2416" s="86" t="s">
        <v>1058</v>
      </c>
    </row>
    <row r="2417" spans="6:7" x14ac:dyDescent="0.35">
      <c r="F2417" s="70">
        <v>304949</v>
      </c>
      <c r="G2417" s="86" t="s">
        <v>1059</v>
      </c>
    </row>
    <row r="2418" spans="6:7" x14ac:dyDescent="0.35">
      <c r="F2418" s="70">
        <v>314189</v>
      </c>
      <c r="G2418" s="86" t="s">
        <v>1060</v>
      </c>
    </row>
    <row r="2419" spans="6:7" x14ac:dyDescent="0.35">
      <c r="F2419" s="70">
        <v>304943</v>
      </c>
      <c r="G2419" s="86" t="s">
        <v>1061</v>
      </c>
    </row>
    <row r="2420" spans="6:7" x14ac:dyDescent="0.35">
      <c r="F2420" s="70">
        <v>314569</v>
      </c>
      <c r="G2420" s="86" t="s">
        <v>1062</v>
      </c>
    </row>
    <row r="2421" spans="6:7" x14ac:dyDescent="0.35">
      <c r="F2421" s="70">
        <v>310114</v>
      </c>
      <c r="G2421" s="86" t="s">
        <v>1063</v>
      </c>
    </row>
    <row r="2422" spans="6:7" x14ac:dyDescent="0.35">
      <c r="F2422" s="70">
        <v>313710</v>
      </c>
      <c r="G2422" s="86" t="s">
        <v>1064</v>
      </c>
    </row>
    <row r="2423" spans="6:7" x14ac:dyDescent="0.35">
      <c r="F2423" s="70">
        <v>314863</v>
      </c>
      <c r="G2423" s="86" t="s">
        <v>1065</v>
      </c>
    </row>
    <row r="2424" spans="6:7" x14ac:dyDescent="0.35">
      <c r="F2424" s="70">
        <v>315412</v>
      </c>
      <c r="G2424" s="86" t="s">
        <v>1066</v>
      </c>
    </row>
    <row r="2425" spans="6:7" x14ac:dyDescent="0.35">
      <c r="F2425" s="70">
        <v>311419</v>
      </c>
      <c r="G2425" s="86" t="s">
        <v>1067</v>
      </c>
    </row>
    <row r="2426" spans="6:7" x14ac:dyDescent="0.35">
      <c r="F2426" s="70">
        <v>312961</v>
      </c>
      <c r="G2426" s="86" t="s">
        <v>1068</v>
      </c>
    </row>
    <row r="2427" spans="6:7" x14ac:dyDescent="0.35">
      <c r="F2427" s="70">
        <v>315569</v>
      </c>
      <c r="G2427" s="86" t="s">
        <v>1069</v>
      </c>
    </row>
    <row r="2428" spans="6:7" x14ac:dyDescent="0.35">
      <c r="F2428" s="70">
        <v>315175</v>
      </c>
      <c r="G2428" s="86" t="s">
        <v>1070</v>
      </c>
    </row>
    <row r="2429" spans="6:7" x14ac:dyDescent="0.35">
      <c r="F2429" s="70">
        <v>315576</v>
      </c>
      <c r="G2429" s="86" t="s">
        <v>1071</v>
      </c>
    </row>
    <row r="2430" spans="6:7" x14ac:dyDescent="0.35">
      <c r="F2430" s="70">
        <v>315154</v>
      </c>
      <c r="G2430" s="86" t="s">
        <v>1072</v>
      </c>
    </row>
    <row r="2431" spans="6:7" x14ac:dyDescent="0.35">
      <c r="F2431" s="70">
        <v>312588</v>
      </c>
      <c r="G2431" s="86" t="s">
        <v>1073</v>
      </c>
    </row>
    <row r="2432" spans="6:7" x14ac:dyDescent="0.35">
      <c r="F2432" s="70">
        <v>309925</v>
      </c>
      <c r="G2432" s="86" t="s">
        <v>1075</v>
      </c>
    </row>
    <row r="2433" spans="6:7" x14ac:dyDescent="0.35">
      <c r="F2433" s="70">
        <v>312114</v>
      </c>
      <c r="G2433" s="86" t="s">
        <v>1076</v>
      </c>
    </row>
    <row r="2434" spans="6:7" x14ac:dyDescent="0.35">
      <c r="F2434" s="70">
        <v>310694</v>
      </c>
      <c r="G2434" s="86" t="s">
        <v>1077</v>
      </c>
    </row>
    <row r="2435" spans="6:7" x14ac:dyDescent="0.35">
      <c r="F2435" s="70">
        <v>315300</v>
      </c>
      <c r="G2435" s="86" t="s">
        <v>1078</v>
      </c>
    </row>
    <row r="2436" spans="6:7" x14ac:dyDescent="0.35">
      <c r="F2436" s="70">
        <v>314029</v>
      </c>
      <c r="G2436" s="86" t="s">
        <v>1079</v>
      </c>
    </row>
    <row r="2437" spans="6:7" x14ac:dyDescent="0.35">
      <c r="F2437" s="70">
        <v>313510</v>
      </c>
      <c r="G2437" s="86" t="s">
        <v>1080</v>
      </c>
    </row>
    <row r="2438" spans="6:7" x14ac:dyDescent="0.35">
      <c r="F2438" s="70">
        <v>308951</v>
      </c>
      <c r="G2438" s="86" t="s">
        <v>1081</v>
      </c>
    </row>
    <row r="2439" spans="6:7" x14ac:dyDescent="0.35">
      <c r="F2439" s="70">
        <v>301847</v>
      </c>
      <c r="G2439" s="86" t="s">
        <v>1082</v>
      </c>
    </row>
    <row r="2440" spans="6:7" x14ac:dyDescent="0.35">
      <c r="F2440" s="70">
        <v>314009</v>
      </c>
      <c r="G2440" s="86" t="s">
        <v>1083</v>
      </c>
    </row>
    <row r="2441" spans="6:7" x14ac:dyDescent="0.35">
      <c r="F2441" s="70">
        <v>303959</v>
      </c>
      <c r="G2441" s="86" t="s">
        <v>1084</v>
      </c>
    </row>
    <row r="2442" spans="6:7" x14ac:dyDescent="0.35">
      <c r="F2442" s="70">
        <v>308028</v>
      </c>
      <c r="G2442" s="86" t="s">
        <v>1085</v>
      </c>
    </row>
    <row r="2443" spans="6:7" x14ac:dyDescent="0.35">
      <c r="F2443" s="70">
        <v>302479</v>
      </c>
      <c r="G2443" s="86" t="s">
        <v>1086</v>
      </c>
    </row>
    <row r="2444" spans="6:7" x14ac:dyDescent="0.35">
      <c r="F2444" s="70">
        <v>313041</v>
      </c>
      <c r="G2444" s="86" t="s">
        <v>1087</v>
      </c>
    </row>
    <row r="2445" spans="6:7" x14ac:dyDescent="0.35">
      <c r="F2445" s="70">
        <v>313729</v>
      </c>
      <c r="G2445" s="86" t="s">
        <v>1088</v>
      </c>
    </row>
    <row r="2446" spans="6:7" x14ac:dyDescent="0.35">
      <c r="F2446" s="70">
        <v>307713</v>
      </c>
      <c r="G2446" s="86" t="s">
        <v>1089</v>
      </c>
    </row>
    <row r="2447" spans="6:7" x14ac:dyDescent="0.35">
      <c r="F2447" s="70">
        <v>315304</v>
      </c>
      <c r="G2447" s="86" t="s">
        <v>1090</v>
      </c>
    </row>
    <row r="2448" spans="6:7" x14ac:dyDescent="0.35">
      <c r="F2448" s="70">
        <v>314630</v>
      </c>
      <c r="G2448" s="86" t="s">
        <v>1091</v>
      </c>
    </row>
    <row r="2449" spans="6:7" x14ac:dyDescent="0.35">
      <c r="F2449" s="70">
        <v>312139</v>
      </c>
      <c r="G2449" s="86" t="s">
        <v>1092</v>
      </c>
    </row>
    <row r="2450" spans="6:7" x14ac:dyDescent="0.35">
      <c r="F2450" s="70">
        <v>310725</v>
      </c>
      <c r="G2450" s="86" t="s">
        <v>1093</v>
      </c>
    </row>
    <row r="2451" spans="6:7" x14ac:dyDescent="0.35">
      <c r="F2451" s="70">
        <v>309034</v>
      </c>
      <c r="G2451" s="86" t="s">
        <v>1094</v>
      </c>
    </row>
    <row r="2452" spans="6:7" x14ac:dyDescent="0.35">
      <c r="F2452" s="70">
        <v>315218</v>
      </c>
      <c r="G2452" s="86" t="s">
        <v>1095</v>
      </c>
    </row>
    <row r="2453" spans="6:7" x14ac:dyDescent="0.35">
      <c r="F2453" s="70">
        <v>315050</v>
      </c>
      <c r="G2453" s="86" t="s">
        <v>1096</v>
      </c>
    </row>
    <row r="2454" spans="6:7" x14ac:dyDescent="0.35">
      <c r="F2454" s="70">
        <v>312377</v>
      </c>
      <c r="G2454" s="86" t="s">
        <v>1097</v>
      </c>
    </row>
    <row r="2455" spans="6:7" x14ac:dyDescent="0.35">
      <c r="F2455" s="70">
        <v>315495</v>
      </c>
      <c r="G2455" s="86" t="s">
        <v>1098</v>
      </c>
    </row>
    <row r="2456" spans="6:7" x14ac:dyDescent="0.35">
      <c r="F2456" s="70">
        <v>302285</v>
      </c>
      <c r="G2456" s="86" t="s">
        <v>1099</v>
      </c>
    </row>
    <row r="2457" spans="6:7" x14ac:dyDescent="0.35">
      <c r="F2457" s="70">
        <v>309528</v>
      </c>
      <c r="G2457" s="86" t="s">
        <v>1100</v>
      </c>
    </row>
    <row r="2458" spans="6:7" x14ac:dyDescent="0.35">
      <c r="F2458" s="70">
        <v>310612</v>
      </c>
      <c r="G2458" s="86" t="s">
        <v>1101</v>
      </c>
    </row>
    <row r="2459" spans="6:7" x14ac:dyDescent="0.35">
      <c r="F2459" s="70">
        <v>301649</v>
      </c>
      <c r="G2459" s="86" t="s">
        <v>1102</v>
      </c>
    </row>
    <row r="2460" spans="6:7" x14ac:dyDescent="0.35">
      <c r="F2460" s="70">
        <v>306404</v>
      </c>
      <c r="G2460" s="86" t="s">
        <v>1103</v>
      </c>
    </row>
    <row r="2461" spans="6:7" x14ac:dyDescent="0.35">
      <c r="F2461" s="70">
        <v>313743</v>
      </c>
      <c r="G2461" s="86" t="s">
        <v>1104</v>
      </c>
    </row>
    <row r="2462" spans="6:7" x14ac:dyDescent="0.35">
      <c r="F2462" s="70">
        <v>310888</v>
      </c>
      <c r="G2462" s="86" t="s">
        <v>1105</v>
      </c>
    </row>
    <row r="2463" spans="6:7" x14ac:dyDescent="0.35">
      <c r="F2463" s="70">
        <v>302261</v>
      </c>
      <c r="G2463" s="86" t="s">
        <v>1106</v>
      </c>
    </row>
    <row r="2464" spans="6:7" x14ac:dyDescent="0.35">
      <c r="F2464" s="70">
        <v>304392</v>
      </c>
      <c r="G2464" s="86" t="s">
        <v>1107</v>
      </c>
    </row>
    <row r="2465" spans="6:7" x14ac:dyDescent="0.35">
      <c r="F2465" s="70">
        <v>313703</v>
      </c>
      <c r="G2465" s="86" t="s">
        <v>1108</v>
      </c>
    </row>
    <row r="2466" spans="6:7" x14ac:dyDescent="0.35">
      <c r="F2466" s="70">
        <v>310432</v>
      </c>
      <c r="G2466" s="86" t="s">
        <v>1109</v>
      </c>
    </row>
    <row r="2467" spans="6:7" x14ac:dyDescent="0.35">
      <c r="F2467" s="70">
        <v>309389</v>
      </c>
      <c r="G2467" s="86" t="s">
        <v>1110</v>
      </c>
    </row>
    <row r="2468" spans="6:7" x14ac:dyDescent="0.35">
      <c r="F2468" s="70">
        <v>303674</v>
      </c>
      <c r="G2468" s="86" t="s">
        <v>1111</v>
      </c>
    </row>
    <row r="2469" spans="6:7" x14ac:dyDescent="0.35">
      <c r="F2469" s="70">
        <v>301644</v>
      </c>
      <c r="G2469" s="86" t="s">
        <v>1112</v>
      </c>
    </row>
    <row r="2470" spans="6:7" x14ac:dyDescent="0.35">
      <c r="F2470" s="70">
        <v>307030</v>
      </c>
      <c r="G2470" s="86" t="s">
        <v>1113</v>
      </c>
    </row>
    <row r="2471" spans="6:7" x14ac:dyDescent="0.35">
      <c r="F2471" s="70">
        <v>315503</v>
      </c>
      <c r="G2471" s="86" t="s">
        <v>1114</v>
      </c>
    </row>
    <row r="2472" spans="6:7" x14ac:dyDescent="0.35">
      <c r="F2472" s="70">
        <v>312398</v>
      </c>
      <c r="G2472" s="86" t="s">
        <v>1115</v>
      </c>
    </row>
    <row r="2473" spans="6:7" x14ac:dyDescent="0.35">
      <c r="F2473" s="70">
        <v>301199</v>
      </c>
      <c r="G2473" s="86" t="s">
        <v>1116</v>
      </c>
    </row>
    <row r="2474" spans="6:7" x14ac:dyDescent="0.35">
      <c r="F2474" s="70">
        <v>304317</v>
      </c>
      <c r="G2474" s="86" t="s">
        <v>1117</v>
      </c>
    </row>
    <row r="2475" spans="6:7" x14ac:dyDescent="0.35">
      <c r="F2475" s="70">
        <v>311286</v>
      </c>
      <c r="G2475" s="86" t="s">
        <v>1118</v>
      </c>
    </row>
    <row r="2476" spans="6:7" x14ac:dyDescent="0.35">
      <c r="F2476" s="70">
        <v>311133</v>
      </c>
      <c r="G2476" s="86" t="s">
        <v>1119</v>
      </c>
    </row>
    <row r="2477" spans="6:7" x14ac:dyDescent="0.35">
      <c r="F2477" s="70">
        <v>313304</v>
      </c>
      <c r="G2477" s="86" t="s">
        <v>1120</v>
      </c>
    </row>
    <row r="2478" spans="6:7" x14ac:dyDescent="0.35">
      <c r="F2478" s="70">
        <v>311997</v>
      </c>
      <c r="G2478" s="86" t="s">
        <v>1121</v>
      </c>
    </row>
    <row r="2479" spans="6:7" x14ac:dyDescent="0.35">
      <c r="F2479" s="70">
        <v>313128</v>
      </c>
      <c r="G2479" s="86" t="s">
        <v>1122</v>
      </c>
    </row>
    <row r="2480" spans="6:7" x14ac:dyDescent="0.35">
      <c r="F2480" s="70">
        <v>314232</v>
      </c>
      <c r="G2480" s="86" t="s">
        <v>1123</v>
      </c>
    </row>
    <row r="2481" spans="6:7" x14ac:dyDescent="0.35">
      <c r="F2481" s="70">
        <v>312920</v>
      </c>
      <c r="G2481" s="86" t="s">
        <v>1124</v>
      </c>
    </row>
    <row r="2482" spans="6:7" x14ac:dyDescent="0.35">
      <c r="F2482" s="70">
        <v>314336</v>
      </c>
      <c r="G2482" s="86" t="s">
        <v>1125</v>
      </c>
    </row>
    <row r="2483" spans="6:7" x14ac:dyDescent="0.35">
      <c r="F2483" s="70">
        <v>315186</v>
      </c>
      <c r="G2483" s="86" t="s">
        <v>1126</v>
      </c>
    </row>
    <row r="2484" spans="6:7" x14ac:dyDescent="0.35">
      <c r="F2484" s="70">
        <v>311913</v>
      </c>
      <c r="G2484" s="86" t="s">
        <v>1127</v>
      </c>
    </row>
    <row r="2485" spans="6:7" x14ac:dyDescent="0.35">
      <c r="F2485" s="70">
        <v>315302</v>
      </c>
      <c r="G2485" s="86" t="s">
        <v>1128</v>
      </c>
    </row>
    <row r="2486" spans="6:7" x14ac:dyDescent="0.35">
      <c r="F2486" s="70">
        <v>314983</v>
      </c>
      <c r="G2486" s="86" t="s">
        <v>1129</v>
      </c>
    </row>
    <row r="2487" spans="6:7" x14ac:dyDescent="0.35">
      <c r="F2487" s="70">
        <v>313569</v>
      </c>
      <c r="G2487" s="86" t="s">
        <v>1130</v>
      </c>
    </row>
    <row r="2488" spans="6:7" x14ac:dyDescent="0.35">
      <c r="F2488" s="70">
        <v>315034</v>
      </c>
      <c r="G2488" s="86" t="s">
        <v>1131</v>
      </c>
    </row>
    <row r="2489" spans="6:7" x14ac:dyDescent="0.35">
      <c r="F2489" s="70">
        <v>315352</v>
      </c>
      <c r="G2489" s="86" t="s">
        <v>1132</v>
      </c>
    </row>
    <row r="2490" spans="6:7" x14ac:dyDescent="0.35">
      <c r="F2490" s="70">
        <v>100717</v>
      </c>
      <c r="G2490" s="86" t="s">
        <v>1133</v>
      </c>
    </row>
    <row r="2491" spans="6:7" x14ac:dyDescent="0.35">
      <c r="F2491" s="70">
        <v>313656</v>
      </c>
      <c r="G2491" s="86" t="s">
        <v>1134</v>
      </c>
    </row>
    <row r="2492" spans="6:7" x14ac:dyDescent="0.35">
      <c r="F2492" s="70">
        <v>312255</v>
      </c>
      <c r="G2492" s="86" t="s">
        <v>1135</v>
      </c>
    </row>
    <row r="2493" spans="6:7" x14ac:dyDescent="0.35">
      <c r="F2493" s="70">
        <v>314780</v>
      </c>
      <c r="G2493" s="86" t="s">
        <v>1136</v>
      </c>
    </row>
    <row r="2494" spans="6:7" x14ac:dyDescent="0.35">
      <c r="F2494" s="70">
        <v>301265</v>
      </c>
      <c r="G2494" s="86" t="s">
        <v>1137</v>
      </c>
    </row>
    <row r="2495" spans="6:7" x14ac:dyDescent="0.35">
      <c r="F2495" s="70">
        <v>314552</v>
      </c>
      <c r="G2495" s="86" t="s">
        <v>1138</v>
      </c>
    </row>
    <row r="2496" spans="6:7" x14ac:dyDescent="0.35">
      <c r="F2496" s="70">
        <v>301608</v>
      </c>
      <c r="G2496" s="86" t="s">
        <v>1139</v>
      </c>
    </row>
    <row r="2497" spans="6:7" x14ac:dyDescent="0.35">
      <c r="F2497" s="70">
        <v>314866</v>
      </c>
      <c r="G2497" s="86" t="s">
        <v>1140</v>
      </c>
    </row>
    <row r="2498" spans="6:7" x14ac:dyDescent="0.35">
      <c r="F2498" s="70">
        <v>314935</v>
      </c>
      <c r="G2498" s="86" t="s">
        <v>1141</v>
      </c>
    </row>
    <row r="2499" spans="6:7" x14ac:dyDescent="0.35">
      <c r="F2499" s="70">
        <v>313086</v>
      </c>
      <c r="G2499" s="86" t="s">
        <v>1142</v>
      </c>
    </row>
    <row r="2500" spans="6:7" x14ac:dyDescent="0.35">
      <c r="F2500" s="70">
        <v>314146</v>
      </c>
      <c r="G2500" s="86" t="s">
        <v>1143</v>
      </c>
    </row>
    <row r="2501" spans="6:7" x14ac:dyDescent="0.35">
      <c r="F2501" s="70">
        <v>315130</v>
      </c>
      <c r="G2501" s="86" t="s">
        <v>1144</v>
      </c>
    </row>
    <row r="2502" spans="6:7" x14ac:dyDescent="0.35">
      <c r="F2502" s="70">
        <v>315546</v>
      </c>
      <c r="G2502" s="86" t="s">
        <v>1145</v>
      </c>
    </row>
    <row r="2503" spans="6:7" x14ac:dyDescent="0.35">
      <c r="F2503" s="70">
        <v>314261</v>
      </c>
      <c r="G2503" s="86" t="s">
        <v>1146</v>
      </c>
    </row>
    <row r="2504" spans="6:7" x14ac:dyDescent="0.35">
      <c r="F2504" s="70">
        <v>313187</v>
      </c>
      <c r="G2504" s="86" t="s">
        <v>1147</v>
      </c>
    </row>
    <row r="2505" spans="6:7" x14ac:dyDescent="0.35">
      <c r="F2505" s="70">
        <v>308525</v>
      </c>
      <c r="G2505" s="86" t="s">
        <v>1148</v>
      </c>
    </row>
    <row r="2506" spans="6:7" x14ac:dyDescent="0.35">
      <c r="F2506" s="70">
        <v>308189</v>
      </c>
      <c r="G2506" s="86" t="s">
        <v>1149</v>
      </c>
    </row>
    <row r="2507" spans="6:7" x14ac:dyDescent="0.35">
      <c r="F2507" s="70">
        <v>312758</v>
      </c>
      <c r="G2507" s="86" t="s">
        <v>1150</v>
      </c>
    </row>
    <row r="2508" spans="6:7" x14ac:dyDescent="0.35">
      <c r="F2508" s="70">
        <v>301462</v>
      </c>
      <c r="G2508" s="86" t="s">
        <v>1151</v>
      </c>
    </row>
    <row r="2509" spans="6:7" x14ac:dyDescent="0.35">
      <c r="F2509" s="70">
        <v>310027</v>
      </c>
      <c r="G2509" s="86" t="s">
        <v>1152</v>
      </c>
    </row>
    <row r="2510" spans="6:7" x14ac:dyDescent="0.35">
      <c r="F2510" s="70">
        <v>313663</v>
      </c>
      <c r="G2510" s="86" t="s">
        <v>1153</v>
      </c>
    </row>
    <row r="2511" spans="6:7" x14ac:dyDescent="0.35">
      <c r="F2511" s="70">
        <v>314697</v>
      </c>
      <c r="G2511" s="86" t="s">
        <v>1154</v>
      </c>
    </row>
    <row r="2512" spans="6:7" x14ac:dyDescent="0.35">
      <c r="F2512" s="70">
        <v>314526</v>
      </c>
      <c r="G2512" s="86" t="s">
        <v>1155</v>
      </c>
    </row>
    <row r="2513" spans="6:7" x14ac:dyDescent="0.35">
      <c r="F2513" s="70">
        <v>314952</v>
      </c>
      <c r="G2513" s="86" t="s">
        <v>1156</v>
      </c>
    </row>
    <row r="2514" spans="6:7" x14ac:dyDescent="0.35">
      <c r="F2514" s="70">
        <v>315467</v>
      </c>
      <c r="G2514" s="86" t="s">
        <v>1157</v>
      </c>
    </row>
    <row r="2515" spans="6:7" x14ac:dyDescent="0.35">
      <c r="F2515" s="70">
        <v>314066</v>
      </c>
      <c r="G2515" s="86" t="s">
        <v>1158</v>
      </c>
    </row>
    <row r="2516" spans="6:7" x14ac:dyDescent="0.35">
      <c r="F2516" s="70">
        <v>314639</v>
      </c>
      <c r="G2516" s="86" t="s">
        <v>1159</v>
      </c>
    </row>
    <row r="2517" spans="6:7" x14ac:dyDescent="0.35">
      <c r="F2517" s="70">
        <v>311320</v>
      </c>
      <c r="G2517" s="86" t="s">
        <v>1160</v>
      </c>
    </row>
    <row r="2518" spans="6:7" x14ac:dyDescent="0.35">
      <c r="F2518" s="70">
        <v>304531</v>
      </c>
      <c r="G2518" s="86" t="s">
        <v>1161</v>
      </c>
    </row>
    <row r="2519" spans="6:7" x14ac:dyDescent="0.35">
      <c r="F2519" s="70">
        <v>315500</v>
      </c>
      <c r="G2519" s="86" t="s">
        <v>1162</v>
      </c>
    </row>
    <row r="2520" spans="6:7" x14ac:dyDescent="0.35">
      <c r="F2520" s="70">
        <v>315383</v>
      </c>
      <c r="G2520" s="86" t="s">
        <v>1163</v>
      </c>
    </row>
    <row r="2521" spans="6:7" x14ac:dyDescent="0.35">
      <c r="F2521" s="70">
        <v>307598</v>
      </c>
      <c r="G2521" s="86" t="s">
        <v>1164</v>
      </c>
    </row>
    <row r="2522" spans="6:7" x14ac:dyDescent="0.35">
      <c r="F2522" s="70">
        <v>312743</v>
      </c>
      <c r="G2522" s="86" t="s">
        <v>1165</v>
      </c>
    </row>
    <row r="2523" spans="6:7" x14ac:dyDescent="0.35">
      <c r="F2523" s="70">
        <v>313435</v>
      </c>
      <c r="G2523" s="86" t="s">
        <v>1166</v>
      </c>
    </row>
    <row r="2524" spans="6:7" x14ac:dyDescent="0.35">
      <c r="F2524" s="70">
        <v>310987</v>
      </c>
      <c r="G2524" s="86" t="s">
        <v>1167</v>
      </c>
    </row>
    <row r="2525" spans="6:7" x14ac:dyDescent="0.35">
      <c r="F2525" s="70">
        <v>315307</v>
      </c>
      <c r="G2525" s="86" t="s">
        <v>1168</v>
      </c>
    </row>
    <row r="2526" spans="6:7" x14ac:dyDescent="0.35">
      <c r="F2526" s="70">
        <v>313167</v>
      </c>
      <c r="G2526" s="86" t="s">
        <v>1169</v>
      </c>
    </row>
    <row r="2527" spans="6:7" x14ac:dyDescent="0.35">
      <c r="F2527" s="70">
        <v>309592</v>
      </c>
      <c r="G2527" s="86" t="s">
        <v>1170</v>
      </c>
    </row>
    <row r="2528" spans="6:7" x14ac:dyDescent="0.35">
      <c r="F2528" s="70">
        <v>308871</v>
      </c>
      <c r="G2528" s="86" t="s">
        <v>1171</v>
      </c>
    </row>
    <row r="2529" spans="6:7" x14ac:dyDescent="0.35">
      <c r="F2529" s="70">
        <v>310744</v>
      </c>
      <c r="G2529" s="86" t="s">
        <v>1172</v>
      </c>
    </row>
    <row r="2530" spans="6:7" x14ac:dyDescent="0.35">
      <c r="F2530" s="70">
        <v>312022</v>
      </c>
      <c r="G2530" s="86" t="s">
        <v>1173</v>
      </c>
    </row>
    <row r="2531" spans="6:7" x14ac:dyDescent="0.35">
      <c r="F2531" s="70">
        <v>311998</v>
      </c>
      <c r="G2531" s="86" t="s">
        <v>1174</v>
      </c>
    </row>
    <row r="2532" spans="6:7" x14ac:dyDescent="0.35">
      <c r="F2532" s="70">
        <v>314393</v>
      </c>
      <c r="G2532" s="86" t="s">
        <v>1175</v>
      </c>
    </row>
    <row r="2533" spans="6:7" x14ac:dyDescent="0.35">
      <c r="F2533" s="70">
        <v>312144</v>
      </c>
      <c r="G2533" s="86" t="s">
        <v>1176</v>
      </c>
    </row>
    <row r="2534" spans="6:7" x14ac:dyDescent="0.35">
      <c r="F2534" s="70">
        <v>310751</v>
      </c>
      <c r="G2534" s="86" t="s">
        <v>1177</v>
      </c>
    </row>
    <row r="2535" spans="6:7" x14ac:dyDescent="0.35">
      <c r="F2535" s="70">
        <v>311804</v>
      </c>
      <c r="G2535" s="86" t="s">
        <v>1178</v>
      </c>
    </row>
    <row r="2536" spans="6:7" x14ac:dyDescent="0.35">
      <c r="F2536" s="70">
        <v>315185</v>
      </c>
      <c r="G2536" s="86" t="s">
        <v>1179</v>
      </c>
    </row>
    <row r="2537" spans="6:7" x14ac:dyDescent="0.35">
      <c r="F2537" s="70">
        <v>313611</v>
      </c>
      <c r="G2537" s="86" t="s">
        <v>1180</v>
      </c>
    </row>
    <row r="2538" spans="6:7" x14ac:dyDescent="0.35">
      <c r="F2538" s="70">
        <v>314306</v>
      </c>
      <c r="G2538" s="86" t="s">
        <v>1181</v>
      </c>
    </row>
    <row r="2539" spans="6:7" x14ac:dyDescent="0.35">
      <c r="F2539" s="70">
        <v>312876</v>
      </c>
      <c r="G2539" s="86" t="s">
        <v>1182</v>
      </c>
    </row>
    <row r="2540" spans="6:7" x14ac:dyDescent="0.35">
      <c r="F2540" s="70">
        <v>311421</v>
      </c>
      <c r="G2540" s="86" t="s">
        <v>1183</v>
      </c>
    </row>
    <row r="2541" spans="6:7" x14ac:dyDescent="0.35">
      <c r="F2541" s="70">
        <v>312270</v>
      </c>
      <c r="G2541" s="86" t="s">
        <v>1184</v>
      </c>
    </row>
    <row r="2542" spans="6:7" x14ac:dyDescent="0.35">
      <c r="F2542" s="70">
        <v>313387</v>
      </c>
      <c r="G2542" s="86" t="s">
        <v>1185</v>
      </c>
    </row>
    <row r="2543" spans="6:7" x14ac:dyDescent="0.35">
      <c r="F2543" s="70">
        <v>312117</v>
      </c>
      <c r="G2543" s="86" t="s">
        <v>1186</v>
      </c>
    </row>
    <row r="2544" spans="6:7" x14ac:dyDescent="0.35">
      <c r="F2544" s="70">
        <v>310238</v>
      </c>
      <c r="G2544" s="86" t="s">
        <v>1187</v>
      </c>
    </row>
    <row r="2545" spans="6:7" x14ac:dyDescent="0.35">
      <c r="F2545" s="70">
        <v>312732</v>
      </c>
      <c r="G2545" s="86" t="s">
        <v>1188</v>
      </c>
    </row>
    <row r="2546" spans="6:7" x14ac:dyDescent="0.35">
      <c r="F2546" s="70">
        <v>314962</v>
      </c>
      <c r="G2546" s="86" t="s">
        <v>1189</v>
      </c>
    </row>
    <row r="2547" spans="6:7" x14ac:dyDescent="0.35">
      <c r="F2547" s="70">
        <v>314100</v>
      </c>
      <c r="G2547" s="86" t="s">
        <v>1190</v>
      </c>
    </row>
    <row r="2548" spans="6:7" x14ac:dyDescent="0.35">
      <c r="F2548" s="70">
        <v>311601</v>
      </c>
      <c r="G2548" s="86" t="s">
        <v>1191</v>
      </c>
    </row>
    <row r="2549" spans="6:7" x14ac:dyDescent="0.35">
      <c r="F2549" s="70">
        <v>314620</v>
      </c>
      <c r="G2549" s="86" t="s">
        <v>1192</v>
      </c>
    </row>
    <row r="2550" spans="6:7" x14ac:dyDescent="0.35">
      <c r="F2550" s="70">
        <v>302841</v>
      </c>
      <c r="G2550" s="86" t="s">
        <v>1193</v>
      </c>
    </row>
    <row r="2551" spans="6:7" x14ac:dyDescent="0.35">
      <c r="F2551" s="70">
        <v>306420</v>
      </c>
      <c r="G2551" s="86" t="s">
        <v>1194</v>
      </c>
    </row>
    <row r="2552" spans="6:7" x14ac:dyDescent="0.35">
      <c r="F2552" s="70">
        <v>313826</v>
      </c>
      <c r="G2552" s="86" t="s">
        <v>1195</v>
      </c>
    </row>
    <row r="2553" spans="6:7" x14ac:dyDescent="0.35">
      <c r="F2553" s="70">
        <v>314641</v>
      </c>
      <c r="G2553" s="86" t="s">
        <v>1196</v>
      </c>
    </row>
    <row r="2554" spans="6:7" x14ac:dyDescent="0.35">
      <c r="F2554" s="70">
        <v>314554</v>
      </c>
      <c r="G2554" s="86" t="s">
        <v>1197</v>
      </c>
    </row>
    <row r="2555" spans="6:7" x14ac:dyDescent="0.35">
      <c r="F2555" s="70">
        <v>309115</v>
      </c>
      <c r="G2555" s="86" t="s">
        <v>1198</v>
      </c>
    </row>
    <row r="2556" spans="6:7" x14ac:dyDescent="0.35">
      <c r="F2556" s="70">
        <v>311171</v>
      </c>
      <c r="G2556" s="86" t="s">
        <v>1199</v>
      </c>
    </row>
    <row r="2557" spans="6:7" x14ac:dyDescent="0.35">
      <c r="F2557" s="70">
        <v>311987</v>
      </c>
      <c r="G2557" s="86" t="s">
        <v>1200</v>
      </c>
    </row>
    <row r="2558" spans="6:7" x14ac:dyDescent="0.35">
      <c r="F2558" s="70">
        <v>315116</v>
      </c>
      <c r="G2558" s="86" t="s">
        <v>1201</v>
      </c>
    </row>
    <row r="2559" spans="6:7" x14ac:dyDescent="0.35">
      <c r="F2559" s="70">
        <v>314644</v>
      </c>
      <c r="G2559" s="86" t="s">
        <v>1202</v>
      </c>
    </row>
    <row r="2560" spans="6:7" x14ac:dyDescent="0.35">
      <c r="F2560" s="70">
        <v>314368</v>
      </c>
      <c r="G2560" s="86" t="s">
        <v>1203</v>
      </c>
    </row>
    <row r="2561" spans="6:7" x14ac:dyDescent="0.35">
      <c r="F2561" s="70">
        <v>314339</v>
      </c>
      <c r="G2561" s="86" t="s">
        <v>1204</v>
      </c>
    </row>
    <row r="2562" spans="6:7" x14ac:dyDescent="0.35">
      <c r="F2562" s="70">
        <v>313157</v>
      </c>
      <c r="G2562" s="86" t="s">
        <v>1205</v>
      </c>
    </row>
    <row r="2563" spans="6:7" x14ac:dyDescent="0.35">
      <c r="F2563" s="70">
        <v>315492</v>
      </c>
      <c r="G2563" s="86" t="s">
        <v>1206</v>
      </c>
    </row>
    <row r="2564" spans="6:7" x14ac:dyDescent="0.35">
      <c r="F2564" s="70">
        <v>315156</v>
      </c>
      <c r="G2564" s="86" t="s">
        <v>1207</v>
      </c>
    </row>
    <row r="2565" spans="6:7" x14ac:dyDescent="0.35">
      <c r="F2565" s="70">
        <v>315451</v>
      </c>
      <c r="G2565" s="86" t="s">
        <v>1208</v>
      </c>
    </row>
    <row r="2566" spans="6:7" x14ac:dyDescent="0.35">
      <c r="F2566" s="70">
        <v>314228</v>
      </c>
      <c r="G2566" s="86" t="s">
        <v>1209</v>
      </c>
    </row>
    <row r="2567" spans="6:7" x14ac:dyDescent="0.35">
      <c r="F2567" s="70">
        <v>305955</v>
      </c>
      <c r="G2567" s="86" t="s">
        <v>1210</v>
      </c>
    </row>
    <row r="2568" spans="6:7" x14ac:dyDescent="0.35">
      <c r="F2568" s="70">
        <v>309695</v>
      </c>
      <c r="G2568" s="86" t="s">
        <v>1211</v>
      </c>
    </row>
    <row r="2569" spans="6:7" x14ac:dyDescent="0.35">
      <c r="F2569" s="70">
        <v>310641</v>
      </c>
      <c r="G2569" s="86" t="s">
        <v>1212</v>
      </c>
    </row>
    <row r="2570" spans="6:7" x14ac:dyDescent="0.35">
      <c r="F2570" s="70">
        <v>300150</v>
      </c>
      <c r="G2570" s="86" t="s">
        <v>1213</v>
      </c>
    </row>
    <row r="2571" spans="6:7" x14ac:dyDescent="0.35">
      <c r="F2571" s="70">
        <v>315114</v>
      </c>
      <c r="G2571" s="86" t="s">
        <v>1214</v>
      </c>
    </row>
    <row r="2572" spans="6:7" x14ac:dyDescent="0.35">
      <c r="F2572" s="70">
        <v>300590</v>
      </c>
      <c r="G2572" s="86" t="s">
        <v>1215</v>
      </c>
    </row>
    <row r="2573" spans="6:7" x14ac:dyDescent="0.35">
      <c r="F2573" s="70">
        <v>315173</v>
      </c>
      <c r="G2573" s="86" t="s">
        <v>1216</v>
      </c>
    </row>
    <row r="2574" spans="6:7" x14ac:dyDescent="0.35">
      <c r="F2574" s="70">
        <v>315067</v>
      </c>
      <c r="G2574" s="86" t="s">
        <v>1217</v>
      </c>
    </row>
    <row r="2575" spans="6:7" x14ac:dyDescent="0.35">
      <c r="F2575" s="70">
        <v>309498</v>
      </c>
      <c r="G2575" s="86" t="s">
        <v>1218</v>
      </c>
    </row>
    <row r="2576" spans="6:7" x14ac:dyDescent="0.35">
      <c r="F2576" s="70">
        <v>313405</v>
      </c>
      <c r="G2576" s="86" t="s">
        <v>1219</v>
      </c>
    </row>
    <row r="2577" spans="6:7" x14ac:dyDescent="0.35">
      <c r="F2577" s="70">
        <v>315268</v>
      </c>
      <c r="G2577" s="86" t="s">
        <v>1220</v>
      </c>
    </row>
    <row r="2578" spans="6:7" x14ac:dyDescent="0.35">
      <c r="F2578" s="70">
        <v>312319</v>
      </c>
      <c r="G2578" s="86" t="s">
        <v>1221</v>
      </c>
    </row>
    <row r="2579" spans="6:7" x14ac:dyDescent="0.35">
      <c r="F2579" s="70">
        <v>315039</v>
      </c>
      <c r="G2579" s="86" t="s">
        <v>1222</v>
      </c>
    </row>
    <row r="2580" spans="6:7" x14ac:dyDescent="0.35">
      <c r="F2580" s="70">
        <v>310674</v>
      </c>
      <c r="G2580" s="86" t="s">
        <v>1223</v>
      </c>
    </row>
    <row r="2581" spans="6:7" x14ac:dyDescent="0.35">
      <c r="F2581" s="70">
        <v>313612</v>
      </c>
      <c r="G2581" s="86" t="s">
        <v>1224</v>
      </c>
    </row>
    <row r="2582" spans="6:7" x14ac:dyDescent="0.35">
      <c r="F2582" s="70">
        <v>314216</v>
      </c>
      <c r="G2582" s="86" t="s">
        <v>1225</v>
      </c>
    </row>
    <row r="2583" spans="6:7" x14ac:dyDescent="0.35">
      <c r="F2583" s="70">
        <v>314504</v>
      </c>
      <c r="G2583" s="86" t="s">
        <v>1226</v>
      </c>
    </row>
    <row r="2584" spans="6:7" x14ac:dyDescent="0.35">
      <c r="F2584" s="70">
        <v>310673</v>
      </c>
      <c r="G2584" s="86" t="s">
        <v>1227</v>
      </c>
    </row>
    <row r="2585" spans="6:7" x14ac:dyDescent="0.35">
      <c r="F2585" s="70">
        <v>308982</v>
      </c>
      <c r="G2585" s="86" t="s">
        <v>1228</v>
      </c>
    </row>
    <row r="2586" spans="6:7" x14ac:dyDescent="0.35">
      <c r="F2586" s="70">
        <v>314510</v>
      </c>
      <c r="G2586" s="86" t="s">
        <v>1229</v>
      </c>
    </row>
    <row r="2587" spans="6:7" x14ac:dyDescent="0.35">
      <c r="F2587" s="70">
        <v>315261</v>
      </c>
      <c r="G2587" s="86" t="s">
        <v>1230</v>
      </c>
    </row>
    <row r="2588" spans="6:7" x14ac:dyDescent="0.35">
      <c r="F2588" s="70">
        <v>313766</v>
      </c>
      <c r="G2588" s="86" t="s">
        <v>1231</v>
      </c>
    </row>
    <row r="2589" spans="6:7" x14ac:dyDescent="0.35">
      <c r="F2589" s="70">
        <v>315415</v>
      </c>
      <c r="G2589" s="86" t="s">
        <v>1232</v>
      </c>
    </row>
    <row r="2590" spans="6:7" x14ac:dyDescent="0.35">
      <c r="F2590" s="70">
        <v>306915</v>
      </c>
      <c r="G2590" s="86" t="s">
        <v>1233</v>
      </c>
    </row>
    <row r="2591" spans="6:7" x14ac:dyDescent="0.35">
      <c r="F2591" s="70">
        <v>309765</v>
      </c>
      <c r="G2591" s="86" t="s">
        <v>1234</v>
      </c>
    </row>
    <row r="2592" spans="6:7" x14ac:dyDescent="0.35">
      <c r="F2592" s="70">
        <v>314262</v>
      </c>
      <c r="G2592" s="86" t="s">
        <v>1235</v>
      </c>
    </row>
    <row r="2593" spans="6:7" x14ac:dyDescent="0.35">
      <c r="F2593" s="70">
        <v>315487</v>
      </c>
      <c r="G2593" s="86" t="s">
        <v>1236</v>
      </c>
    </row>
    <row r="2594" spans="6:7" x14ac:dyDescent="0.35">
      <c r="F2594" s="70">
        <v>304892</v>
      </c>
      <c r="G2594" s="86" t="s">
        <v>1237</v>
      </c>
    </row>
    <row r="2595" spans="6:7" x14ac:dyDescent="0.35">
      <c r="F2595" s="70">
        <v>313023</v>
      </c>
      <c r="G2595" s="86" t="s">
        <v>1238</v>
      </c>
    </row>
    <row r="2596" spans="6:7" x14ac:dyDescent="0.35">
      <c r="F2596" s="70">
        <v>312573</v>
      </c>
      <c r="G2596" s="86" t="s">
        <v>1239</v>
      </c>
    </row>
    <row r="2597" spans="6:7" x14ac:dyDescent="0.35">
      <c r="F2597" s="70">
        <v>311802</v>
      </c>
      <c r="G2597" s="86" t="s">
        <v>1240</v>
      </c>
    </row>
    <row r="2598" spans="6:7" x14ac:dyDescent="0.35">
      <c r="F2598" s="70">
        <v>314614</v>
      </c>
      <c r="G2598" s="86" t="s">
        <v>1241</v>
      </c>
    </row>
    <row r="2599" spans="6:7" x14ac:dyDescent="0.35">
      <c r="F2599" s="70">
        <v>314729</v>
      </c>
      <c r="G2599" s="86" t="s">
        <v>1242</v>
      </c>
    </row>
    <row r="2600" spans="6:7" x14ac:dyDescent="0.35">
      <c r="F2600" s="70">
        <v>315496</v>
      </c>
      <c r="G2600" s="86" t="s">
        <v>1243</v>
      </c>
    </row>
    <row r="2601" spans="6:7" x14ac:dyDescent="0.35">
      <c r="F2601" s="70">
        <v>310302</v>
      </c>
      <c r="G2601" s="86" t="s">
        <v>1244</v>
      </c>
    </row>
    <row r="2602" spans="6:7" x14ac:dyDescent="0.35">
      <c r="F2602" s="70">
        <v>315573</v>
      </c>
      <c r="G2602" s="86" t="s">
        <v>1245</v>
      </c>
    </row>
    <row r="2603" spans="6:7" x14ac:dyDescent="0.35">
      <c r="F2603" s="70">
        <v>313361</v>
      </c>
      <c r="G2603" s="86" t="s">
        <v>1246</v>
      </c>
    </row>
    <row r="2604" spans="6:7" x14ac:dyDescent="0.35">
      <c r="F2604" s="70">
        <v>309870</v>
      </c>
      <c r="G2604" s="86" t="s">
        <v>1247</v>
      </c>
    </row>
    <row r="2605" spans="6:7" x14ac:dyDescent="0.35">
      <c r="F2605" s="70">
        <v>311407</v>
      </c>
      <c r="G2605" s="86" t="s">
        <v>1248</v>
      </c>
    </row>
    <row r="2606" spans="6:7" x14ac:dyDescent="0.35">
      <c r="F2606" s="70">
        <v>315066</v>
      </c>
      <c r="G2606" s="86" t="s">
        <v>1249</v>
      </c>
    </row>
    <row r="2607" spans="6:7" x14ac:dyDescent="0.35">
      <c r="F2607" s="70">
        <v>314433</v>
      </c>
      <c r="G2607" s="86" t="s">
        <v>1250</v>
      </c>
    </row>
    <row r="2608" spans="6:7" x14ac:dyDescent="0.35">
      <c r="F2608" s="70">
        <v>315560</v>
      </c>
      <c r="G2608" s="86" t="s">
        <v>1251</v>
      </c>
    </row>
    <row r="2609" spans="6:7" x14ac:dyDescent="0.35">
      <c r="F2609" s="70">
        <v>314268</v>
      </c>
      <c r="G2609" s="86" t="s">
        <v>1252</v>
      </c>
    </row>
    <row r="2610" spans="6:7" x14ac:dyDescent="0.35">
      <c r="F2610" s="70">
        <v>313034</v>
      </c>
      <c r="G2610" s="86" t="s">
        <v>1253</v>
      </c>
    </row>
    <row r="2611" spans="6:7" x14ac:dyDescent="0.35">
      <c r="F2611" s="70">
        <v>314989</v>
      </c>
      <c r="G2611" s="86" t="s">
        <v>1254</v>
      </c>
    </row>
    <row r="2612" spans="6:7" x14ac:dyDescent="0.35">
      <c r="F2612" s="70">
        <v>308461</v>
      </c>
      <c r="G2612" s="86" t="s">
        <v>1255</v>
      </c>
    </row>
    <row r="2613" spans="6:7" x14ac:dyDescent="0.35">
      <c r="F2613" s="70">
        <v>315155</v>
      </c>
      <c r="G2613" s="86" t="s">
        <v>1256</v>
      </c>
    </row>
    <row r="2614" spans="6:7" x14ac:dyDescent="0.35">
      <c r="F2614" s="70">
        <v>315011</v>
      </c>
      <c r="G2614" s="86" t="s">
        <v>1257</v>
      </c>
    </row>
    <row r="2615" spans="6:7" x14ac:dyDescent="0.35">
      <c r="F2615" s="70">
        <v>313389</v>
      </c>
      <c r="G2615" s="86" t="s">
        <v>1258</v>
      </c>
    </row>
    <row r="2616" spans="6:7" x14ac:dyDescent="0.35">
      <c r="F2616" s="70">
        <v>301059</v>
      </c>
      <c r="G2616" s="86" t="s">
        <v>1259</v>
      </c>
    </row>
    <row r="2617" spans="6:7" x14ac:dyDescent="0.35">
      <c r="F2617" s="70">
        <v>314492</v>
      </c>
      <c r="G2617" s="86" t="s">
        <v>1260</v>
      </c>
    </row>
    <row r="2618" spans="6:7" x14ac:dyDescent="0.35">
      <c r="F2618" s="70">
        <v>313594</v>
      </c>
      <c r="G2618" s="86" t="s">
        <v>1261</v>
      </c>
    </row>
    <row r="2619" spans="6:7" x14ac:dyDescent="0.35">
      <c r="F2619" s="70">
        <v>314452</v>
      </c>
      <c r="G2619" s="86" t="s">
        <v>1262</v>
      </c>
    </row>
    <row r="2620" spans="6:7" x14ac:dyDescent="0.35">
      <c r="F2620" s="70">
        <v>307279</v>
      </c>
      <c r="G2620" s="86" t="s">
        <v>1263</v>
      </c>
    </row>
    <row r="2621" spans="6:7" x14ac:dyDescent="0.35">
      <c r="F2621" s="70">
        <v>315455</v>
      </c>
      <c r="G2621" s="86" t="s">
        <v>1264</v>
      </c>
    </row>
    <row r="2622" spans="6:7" x14ac:dyDescent="0.35">
      <c r="F2622" s="70">
        <v>312318</v>
      </c>
      <c r="G2622" s="86" t="s">
        <v>1265</v>
      </c>
    </row>
    <row r="2623" spans="6:7" x14ac:dyDescent="0.35">
      <c r="F2623" s="70">
        <v>314669</v>
      </c>
      <c r="G2623" s="86" t="s">
        <v>1266</v>
      </c>
    </row>
    <row r="2624" spans="6:7" x14ac:dyDescent="0.35">
      <c r="F2624" s="70">
        <v>311223</v>
      </c>
      <c r="G2624" s="86" t="s">
        <v>1267</v>
      </c>
    </row>
    <row r="2625" spans="6:7" x14ac:dyDescent="0.35">
      <c r="F2625" s="70">
        <v>313343</v>
      </c>
      <c r="G2625" s="86" t="s">
        <v>1268</v>
      </c>
    </row>
    <row r="2626" spans="6:7" x14ac:dyDescent="0.35">
      <c r="F2626" s="70">
        <v>300401</v>
      </c>
      <c r="G2626" s="86" t="s">
        <v>1269</v>
      </c>
    </row>
    <row r="2627" spans="6:7" x14ac:dyDescent="0.35">
      <c r="F2627" s="70">
        <v>313617</v>
      </c>
      <c r="G2627" s="86" t="s">
        <v>1270</v>
      </c>
    </row>
    <row r="2628" spans="6:7" x14ac:dyDescent="0.35">
      <c r="F2628" s="70">
        <v>314961</v>
      </c>
      <c r="G2628" s="86" t="s">
        <v>1271</v>
      </c>
    </row>
    <row r="2629" spans="6:7" x14ac:dyDescent="0.35">
      <c r="F2629" s="70">
        <v>300919</v>
      </c>
      <c r="G2629" s="86" t="s">
        <v>1272</v>
      </c>
    </row>
    <row r="2630" spans="6:7" x14ac:dyDescent="0.35">
      <c r="F2630" s="70">
        <v>313044</v>
      </c>
      <c r="G2630" s="86" t="s">
        <v>1273</v>
      </c>
    </row>
    <row r="2631" spans="6:7" x14ac:dyDescent="0.35">
      <c r="F2631" s="70">
        <v>314665</v>
      </c>
      <c r="G2631" s="86" t="s">
        <v>1274</v>
      </c>
    </row>
    <row r="2632" spans="6:7" x14ac:dyDescent="0.35">
      <c r="F2632" s="70">
        <v>315275</v>
      </c>
      <c r="G2632" s="86" t="s">
        <v>1275</v>
      </c>
    </row>
    <row r="2633" spans="6:7" x14ac:dyDescent="0.35">
      <c r="F2633" s="70">
        <v>314557</v>
      </c>
      <c r="G2633" s="86" t="s">
        <v>1276</v>
      </c>
    </row>
    <row r="2634" spans="6:7" x14ac:dyDescent="0.35">
      <c r="F2634" s="70">
        <v>313604</v>
      </c>
      <c r="G2634" s="86" t="s">
        <v>1277</v>
      </c>
    </row>
    <row r="2635" spans="6:7" x14ac:dyDescent="0.35">
      <c r="F2635" s="70">
        <v>315411</v>
      </c>
      <c r="G2635" s="86" t="s">
        <v>1278</v>
      </c>
    </row>
    <row r="2636" spans="6:7" x14ac:dyDescent="0.35">
      <c r="F2636" s="70">
        <v>306242</v>
      </c>
      <c r="G2636" s="86" t="s">
        <v>1279</v>
      </c>
    </row>
    <row r="2637" spans="6:7" x14ac:dyDescent="0.35">
      <c r="F2637" s="70">
        <v>310693</v>
      </c>
      <c r="G2637" s="86" t="s">
        <v>1280</v>
      </c>
    </row>
    <row r="2638" spans="6:7" x14ac:dyDescent="0.35">
      <c r="F2638" s="70">
        <v>302559</v>
      </c>
      <c r="G2638" s="86" t="s">
        <v>1281</v>
      </c>
    </row>
    <row r="2639" spans="6:7" x14ac:dyDescent="0.35">
      <c r="F2639" s="70">
        <v>314740</v>
      </c>
      <c r="G2639" s="86" t="s">
        <v>1282</v>
      </c>
    </row>
    <row r="2640" spans="6:7" x14ac:dyDescent="0.35">
      <c r="F2640" s="70">
        <v>308266</v>
      </c>
      <c r="G2640" s="86" t="s">
        <v>1283</v>
      </c>
    </row>
    <row r="2641" spans="6:7" x14ac:dyDescent="0.35">
      <c r="F2641" s="70">
        <v>311388</v>
      </c>
      <c r="G2641" s="86" t="s">
        <v>1284</v>
      </c>
    </row>
    <row r="2642" spans="6:7" x14ac:dyDescent="0.35">
      <c r="F2642" s="70">
        <v>313493</v>
      </c>
      <c r="G2642" s="86" t="s">
        <v>1285</v>
      </c>
    </row>
    <row r="2643" spans="6:7" x14ac:dyDescent="0.35">
      <c r="F2643" s="70">
        <v>314194</v>
      </c>
      <c r="G2643" s="86" t="s">
        <v>1286</v>
      </c>
    </row>
    <row r="2644" spans="6:7" x14ac:dyDescent="0.35">
      <c r="F2644" s="70">
        <v>308411</v>
      </c>
      <c r="G2644" s="86" t="s">
        <v>1287</v>
      </c>
    </row>
    <row r="2645" spans="6:7" x14ac:dyDescent="0.35">
      <c r="F2645" s="70">
        <v>313225</v>
      </c>
      <c r="G2645" s="86" t="s">
        <v>1288</v>
      </c>
    </row>
    <row r="2646" spans="6:7" x14ac:dyDescent="0.35">
      <c r="F2646" s="70">
        <v>311553</v>
      </c>
      <c r="G2646" s="86" t="s">
        <v>1289</v>
      </c>
    </row>
    <row r="2647" spans="6:7" x14ac:dyDescent="0.35">
      <c r="F2647" s="70">
        <v>312029</v>
      </c>
      <c r="G2647" s="86" t="s">
        <v>1290</v>
      </c>
    </row>
    <row r="2648" spans="6:7" x14ac:dyDescent="0.35">
      <c r="F2648" s="70">
        <v>314954</v>
      </c>
      <c r="G2648" s="86" t="s">
        <v>1291</v>
      </c>
    </row>
    <row r="2649" spans="6:7" x14ac:dyDescent="0.35">
      <c r="F2649" s="70">
        <v>305618</v>
      </c>
      <c r="G2649" s="86" t="s">
        <v>1292</v>
      </c>
    </row>
    <row r="2650" spans="6:7" x14ac:dyDescent="0.35">
      <c r="F2650" s="70">
        <v>308561</v>
      </c>
      <c r="G2650" s="86" t="s">
        <v>1293</v>
      </c>
    </row>
    <row r="2651" spans="6:7" x14ac:dyDescent="0.35">
      <c r="F2651" s="70">
        <v>313722</v>
      </c>
      <c r="G2651" s="86" t="s">
        <v>1294</v>
      </c>
    </row>
    <row r="2652" spans="6:7" x14ac:dyDescent="0.35">
      <c r="F2652" s="70">
        <v>315110</v>
      </c>
      <c r="G2652" s="86" t="s">
        <v>1295</v>
      </c>
    </row>
    <row r="2653" spans="6:7" x14ac:dyDescent="0.35">
      <c r="F2653" s="70">
        <v>311616</v>
      </c>
      <c r="G2653" s="86" t="s">
        <v>1296</v>
      </c>
    </row>
    <row r="2654" spans="6:7" x14ac:dyDescent="0.35">
      <c r="F2654" s="70">
        <v>309014</v>
      </c>
      <c r="G2654" s="86" t="s">
        <v>1297</v>
      </c>
    </row>
    <row r="2655" spans="6:7" x14ac:dyDescent="0.35">
      <c r="F2655" s="70">
        <v>314217</v>
      </c>
      <c r="G2655" s="86" t="s">
        <v>1298</v>
      </c>
    </row>
    <row r="2656" spans="6:7" x14ac:dyDescent="0.35">
      <c r="F2656" s="70">
        <v>315274</v>
      </c>
      <c r="G2656" s="86" t="s">
        <v>1299</v>
      </c>
    </row>
    <row r="2657" spans="6:7" x14ac:dyDescent="0.35">
      <c r="F2657" s="70">
        <v>308426</v>
      </c>
      <c r="G2657" s="86" t="s">
        <v>1300</v>
      </c>
    </row>
    <row r="2658" spans="6:7" x14ac:dyDescent="0.35">
      <c r="F2658" s="70">
        <v>311722</v>
      </c>
      <c r="G2658" s="86" t="s">
        <v>1301</v>
      </c>
    </row>
    <row r="2659" spans="6:7" x14ac:dyDescent="0.35">
      <c r="F2659" s="70">
        <v>308244</v>
      </c>
      <c r="G2659" s="86" t="s">
        <v>1302</v>
      </c>
    </row>
    <row r="2660" spans="6:7" x14ac:dyDescent="0.35">
      <c r="F2660" s="70">
        <v>312215</v>
      </c>
      <c r="G2660" s="86" t="s">
        <v>1303</v>
      </c>
    </row>
    <row r="2661" spans="6:7" x14ac:dyDescent="0.35">
      <c r="F2661" s="70">
        <v>301583</v>
      </c>
      <c r="G2661" s="86" t="s">
        <v>1304</v>
      </c>
    </row>
    <row r="2662" spans="6:7" x14ac:dyDescent="0.35">
      <c r="F2662" s="70">
        <v>313918</v>
      </c>
      <c r="G2662" s="86" t="s">
        <v>1305</v>
      </c>
    </row>
    <row r="2663" spans="6:7" x14ac:dyDescent="0.35">
      <c r="F2663" s="70">
        <v>312403</v>
      </c>
      <c r="G2663" s="86" t="s">
        <v>1306</v>
      </c>
    </row>
    <row r="2664" spans="6:7" x14ac:dyDescent="0.35">
      <c r="F2664" s="70">
        <v>304664</v>
      </c>
      <c r="G2664" s="86" t="s">
        <v>1307</v>
      </c>
    </row>
    <row r="2665" spans="6:7" x14ac:dyDescent="0.35">
      <c r="F2665" s="70">
        <v>315490</v>
      </c>
      <c r="G2665" s="86" t="s">
        <v>1308</v>
      </c>
    </row>
    <row r="2666" spans="6:7" x14ac:dyDescent="0.35">
      <c r="F2666" s="70">
        <v>314673</v>
      </c>
      <c r="G2666" s="86" t="s">
        <v>1309</v>
      </c>
    </row>
    <row r="2667" spans="6:7" x14ac:dyDescent="0.35">
      <c r="F2667" s="70">
        <v>313079</v>
      </c>
      <c r="G2667" s="86" t="s">
        <v>1310</v>
      </c>
    </row>
    <row r="2668" spans="6:7" x14ac:dyDescent="0.35">
      <c r="F2668" s="70">
        <v>314464</v>
      </c>
      <c r="G2668" s="86" t="s">
        <v>1311</v>
      </c>
    </row>
    <row r="2669" spans="6:7" x14ac:dyDescent="0.35">
      <c r="F2669" s="70">
        <v>314206</v>
      </c>
      <c r="G2669" s="86" t="s">
        <v>1312</v>
      </c>
    </row>
    <row r="2670" spans="6:7" x14ac:dyDescent="0.35">
      <c r="F2670" s="70">
        <v>314831</v>
      </c>
      <c r="G2670" s="86" t="s">
        <v>1313</v>
      </c>
    </row>
    <row r="2671" spans="6:7" x14ac:dyDescent="0.35">
      <c r="F2671" s="70">
        <v>309957</v>
      </c>
      <c r="G2671" s="86" t="s">
        <v>1314</v>
      </c>
    </row>
    <row r="2672" spans="6:7" x14ac:dyDescent="0.35">
      <c r="F2672" s="70">
        <v>310487</v>
      </c>
      <c r="G2672" s="86" t="s">
        <v>1315</v>
      </c>
    </row>
    <row r="2673" spans="6:7" x14ac:dyDescent="0.35">
      <c r="F2673" s="70">
        <v>314444</v>
      </c>
      <c r="G2673" s="86" t="s">
        <v>1316</v>
      </c>
    </row>
    <row r="2674" spans="6:7" x14ac:dyDescent="0.35">
      <c r="F2674" s="70">
        <v>305608</v>
      </c>
      <c r="G2674" s="86" t="s">
        <v>1317</v>
      </c>
    </row>
    <row r="2675" spans="6:7" x14ac:dyDescent="0.35">
      <c r="F2675" s="70">
        <v>312982</v>
      </c>
      <c r="G2675" s="86" t="s">
        <v>1318</v>
      </c>
    </row>
    <row r="2676" spans="6:7" x14ac:dyDescent="0.35">
      <c r="F2676" s="70">
        <v>314044</v>
      </c>
      <c r="G2676" s="86" t="s">
        <v>1319</v>
      </c>
    </row>
    <row r="2677" spans="6:7" x14ac:dyDescent="0.35">
      <c r="F2677" s="70">
        <v>311039</v>
      </c>
      <c r="G2677" s="86" t="s">
        <v>1320</v>
      </c>
    </row>
    <row r="2678" spans="6:7" x14ac:dyDescent="0.35">
      <c r="F2678" s="70">
        <v>309255</v>
      </c>
      <c r="G2678" s="86" t="s">
        <v>1321</v>
      </c>
    </row>
    <row r="2679" spans="6:7" x14ac:dyDescent="0.35">
      <c r="F2679" s="70">
        <v>308909</v>
      </c>
      <c r="G2679" s="86" t="s">
        <v>1322</v>
      </c>
    </row>
    <row r="2680" spans="6:7" x14ac:dyDescent="0.35">
      <c r="F2680" s="70">
        <v>314344</v>
      </c>
      <c r="G2680" s="86" t="s">
        <v>1323</v>
      </c>
    </row>
    <row r="2681" spans="6:7" x14ac:dyDescent="0.35">
      <c r="F2681" s="70">
        <v>311930</v>
      </c>
      <c r="G2681" s="86" t="s">
        <v>1324</v>
      </c>
    </row>
    <row r="2682" spans="6:7" x14ac:dyDescent="0.35">
      <c r="F2682" s="70">
        <v>314987</v>
      </c>
      <c r="G2682" s="86" t="s">
        <v>1325</v>
      </c>
    </row>
    <row r="2683" spans="6:7" x14ac:dyDescent="0.35">
      <c r="F2683" s="70">
        <v>313018</v>
      </c>
      <c r="G2683" s="86" t="s">
        <v>1326</v>
      </c>
    </row>
    <row r="2684" spans="6:7" x14ac:dyDescent="0.35">
      <c r="F2684" s="70">
        <v>305303</v>
      </c>
      <c r="G2684" s="86" t="s">
        <v>1327</v>
      </c>
    </row>
    <row r="2685" spans="6:7" x14ac:dyDescent="0.35">
      <c r="F2685" s="70">
        <v>310764</v>
      </c>
      <c r="G2685" s="86" t="s">
        <v>1328</v>
      </c>
    </row>
    <row r="2686" spans="6:7" x14ac:dyDescent="0.35">
      <c r="F2686" s="70">
        <v>312313</v>
      </c>
      <c r="G2686" s="86" t="s">
        <v>1329</v>
      </c>
    </row>
    <row r="2687" spans="6:7" x14ac:dyDescent="0.35">
      <c r="F2687" s="70">
        <v>312966</v>
      </c>
      <c r="G2687" s="86" t="s">
        <v>1330</v>
      </c>
    </row>
    <row r="2688" spans="6:7" x14ac:dyDescent="0.35">
      <c r="F2688" s="70">
        <v>314949</v>
      </c>
      <c r="G2688" s="86" t="s">
        <v>1331</v>
      </c>
    </row>
    <row r="2689" spans="6:7" x14ac:dyDescent="0.35">
      <c r="F2689" s="70">
        <v>307014</v>
      </c>
      <c r="G2689" s="86" t="s">
        <v>1332</v>
      </c>
    </row>
    <row r="2690" spans="6:7" x14ac:dyDescent="0.35">
      <c r="F2690" s="70">
        <v>315508</v>
      </c>
      <c r="G2690" s="86" t="s">
        <v>1333</v>
      </c>
    </row>
    <row r="2691" spans="6:7" x14ac:dyDescent="0.35">
      <c r="F2691" s="70">
        <v>315062</v>
      </c>
      <c r="G2691" s="86" t="s">
        <v>1334</v>
      </c>
    </row>
    <row r="2692" spans="6:7" x14ac:dyDescent="0.35">
      <c r="F2692" s="70">
        <v>314165</v>
      </c>
      <c r="G2692" s="86" t="s">
        <v>1335</v>
      </c>
    </row>
    <row r="2693" spans="6:7" x14ac:dyDescent="0.35">
      <c r="F2693" s="70">
        <v>315570</v>
      </c>
      <c r="G2693" s="86" t="s">
        <v>1336</v>
      </c>
    </row>
    <row r="2694" spans="6:7" x14ac:dyDescent="0.35">
      <c r="F2694" s="70">
        <v>314804</v>
      </c>
      <c r="G2694" s="86" t="s">
        <v>1337</v>
      </c>
    </row>
    <row r="2695" spans="6:7" x14ac:dyDescent="0.35">
      <c r="F2695" s="70">
        <v>313433</v>
      </c>
      <c r="G2695" s="86" t="s">
        <v>1338</v>
      </c>
    </row>
    <row r="2696" spans="6:7" x14ac:dyDescent="0.35">
      <c r="F2696" s="70">
        <v>314991</v>
      </c>
      <c r="G2696" s="86" t="s">
        <v>1339</v>
      </c>
    </row>
    <row r="2697" spans="6:7" x14ac:dyDescent="0.35">
      <c r="F2697" s="70">
        <v>314026</v>
      </c>
      <c r="G2697" s="86" t="s">
        <v>1340</v>
      </c>
    </row>
    <row r="2698" spans="6:7" x14ac:dyDescent="0.35">
      <c r="F2698" s="70">
        <v>315246</v>
      </c>
      <c r="G2698" s="86" t="s">
        <v>1341</v>
      </c>
    </row>
    <row r="2699" spans="6:7" x14ac:dyDescent="0.35">
      <c r="F2699" s="70">
        <v>312218</v>
      </c>
      <c r="G2699" s="86" t="s">
        <v>1342</v>
      </c>
    </row>
    <row r="2700" spans="6:7" x14ac:dyDescent="0.35">
      <c r="F2700" s="70">
        <v>311369</v>
      </c>
      <c r="G2700" s="86" t="s">
        <v>1343</v>
      </c>
    </row>
    <row r="2701" spans="6:7" x14ac:dyDescent="0.35">
      <c r="F2701" s="70">
        <v>314627</v>
      </c>
      <c r="G2701" s="86" t="s">
        <v>1344</v>
      </c>
    </row>
    <row r="2702" spans="6:7" x14ac:dyDescent="0.35">
      <c r="F2702" s="70">
        <v>311228</v>
      </c>
      <c r="G2702" s="86" t="s">
        <v>1345</v>
      </c>
    </row>
    <row r="2703" spans="6:7" x14ac:dyDescent="0.35">
      <c r="F2703" s="70">
        <v>309148</v>
      </c>
      <c r="G2703" s="86" t="s">
        <v>1346</v>
      </c>
    </row>
    <row r="2704" spans="6:7" x14ac:dyDescent="0.35">
      <c r="F2704" s="70">
        <v>311643</v>
      </c>
      <c r="G2704" s="86" t="s">
        <v>1347</v>
      </c>
    </row>
    <row r="2705" spans="6:7" x14ac:dyDescent="0.35">
      <c r="F2705" s="70">
        <v>311034</v>
      </c>
      <c r="G2705" s="86" t="s">
        <v>1348</v>
      </c>
    </row>
    <row r="2706" spans="6:7" x14ac:dyDescent="0.35">
      <c r="F2706" s="70">
        <v>314011</v>
      </c>
      <c r="G2706" s="86" t="s">
        <v>1349</v>
      </c>
    </row>
    <row r="2707" spans="6:7" x14ac:dyDescent="0.35">
      <c r="F2707" s="70">
        <v>314743</v>
      </c>
      <c r="G2707" s="86" t="s">
        <v>1350</v>
      </c>
    </row>
    <row r="2708" spans="6:7" x14ac:dyDescent="0.35">
      <c r="F2708" s="70">
        <v>311639</v>
      </c>
      <c r="G2708" s="86" t="s">
        <v>1351</v>
      </c>
    </row>
    <row r="2709" spans="6:7" x14ac:dyDescent="0.35">
      <c r="F2709" s="70">
        <v>310538</v>
      </c>
      <c r="G2709" s="86" t="s">
        <v>1352</v>
      </c>
    </row>
    <row r="2710" spans="6:7" x14ac:dyDescent="0.35">
      <c r="F2710" s="70">
        <v>311932</v>
      </c>
      <c r="G2710" s="86" t="s">
        <v>1353</v>
      </c>
    </row>
    <row r="2711" spans="6:7" x14ac:dyDescent="0.35">
      <c r="F2711" s="70">
        <v>308269</v>
      </c>
      <c r="G2711" s="86" t="s">
        <v>1354</v>
      </c>
    </row>
    <row r="2712" spans="6:7" x14ac:dyDescent="0.35">
      <c r="F2712" s="70">
        <v>313566</v>
      </c>
      <c r="G2712" s="86" t="s">
        <v>1355</v>
      </c>
    </row>
    <row r="2713" spans="6:7" x14ac:dyDescent="0.35">
      <c r="F2713" s="70">
        <v>313520</v>
      </c>
      <c r="G2713" s="86" t="s">
        <v>1356</v>
      </c>
    </row>
    <row r="2714" spans="6:7" x14ac:dyDescent="0.35">
      <c r="F2714" s="70">
        <v>312178</v>
      </c>
      <c r="G2714" s="86" t="s">
        <v>1357</v>
      </c>
    </row>
    <row r="2715" spans="6:7" x14ac:dyDescent="0.35">
      <c r="F2715" s="70">
        <v>305666</v>
      </c>
      <c r="G2715" s="86" t="s">
        <v>1358</v>
      </c>
    </row>
    <row r="2716" spans="6:7" x14ac:dyDescent="0.35">
      <c r="F2716" s="70">
        <v>314754</v>
      </c>
      <c r="G2716" s="86" t="s">
        <v>1359</v>
      </c>
    </row>
    <row r="2717" spans="6:7" x14ac:dyDescent="0.35">
      <c r="F2717" s="70">
        <v>314051</v>
      </c>
      <c r="G2717" s="86" t="s">
        <v>1360</v>
      </c>
    </row>
    <row r="2718" spans="6:7" x14ac:dyDescent="0.35">
      <c r="F2718" s="70">
        <v>313302</v>
      </c>
      <c r="G2718" s="86" t="s">
        <v>1361</v>
      </c>
    </row>
    <row r="2719" spans="6:7" x14ac:dyDescent="0.35">
      <c r="F2719" s="70">
        <v>314218</v>
      </c>
      <c r="G2719" s="86" t="s">
        <v>1362</v>
      </c>
    </row>
    <row r="2720" spans="6:7" x14ac:dyDescent="0.35">
      <c r="F2720" s="70">
        <v>305285</v>
      </c>
      <c r="G2720" s="86" t="s">
        <v>1363</v>
      </c>
    </row>
    <row r="2721" spans="6:7" x14ac:dyDescent="0.35">
      <c r="F2721" s="70">
        <v>309753</v>
      </c>
      <c r="G2721" s="86" t="s">
        <v>1364</v>
      </c>
    </row>
    <row r="2722" spans="6:7" x14ac:dyDescent="0.35">
      <c r="F2722" s="70">
        <v>312174</v>
      </c>
      <c r="G2722" s="86" t="s">
        <v>1365</v>
      </c>
    </row>
    <row r="2723" spans="6:7" x14ac:dyDescent="0.35">
      <c r="F2723" s="70">
        <v>310926</v>
      </c>
      <c r="G2723" s="86" t="s">
        <v>1366</v>
      </c>
    </row>
    <row r="2724" spans="6:7" x14ac:dyDescent="0.35">
      <c r="F2724" s="70">
        <v>315095</v>
      </c>
      <c r="G2724" s="86" t="s">
        <v>1367</v>
      </c>
    </row>
    <row r="2725" spans="6:7" x14ac:dyDescent="0.35">
      <c r="F2725" s="70">
        <v>313601</v>
      </c>
      <c r="G2725" s="86" t="s">
        <v>1368</v>
      </c>
    </row>
    <row r="2726" spans="6:7" x14ac:dyDescent="0.35">
      <c r="F2726" s="70">
        <v>310820</v>
      </c>
      <c r="G2726" s="86" t="s">
        <v>1369</v>
      </c>
    </row>
    <row r="2727" spans="6:7" x14ac:dyDescent="0.35">
      <c r="F2727" s="70">
        <v>315345</v>
      </c>
      <c r="G2727" s="86" t="s">
        <v>1370</v>
      </c>
    </row>
    <row r="2728" spans="6:7" x14ac:dyDescent="0.35">
      <c r="F2728" s="70">
        <v>315369</v>
      </c>
      <c r="G2728" s="86" t="s">
        <v>1371</v>
      </c>
    </row>
    <row r="2729" spans="6:7" x14ac:dyDescent="0.35">
      <c r="F2729" s="70">
        <v>314417</v>
      </c>
      <c r="G2729" s="86" t="s">
        <v>1372</v>
      </c>
    </row>
    <row r="2730" spans="6:7" x14ac:dyDescent="0.35">
      <c r="F2730" s="70">
        <v>311096</v>
      </c>
      <c r="G2730" s="86" t="s">
        <v>1373</v>
      </c>
    </row>
    <row r="2731" spans="6:7" x14ac:dyDescent="0.35">
      <c r="F2731" s="70">
        <v>315400</v>
      </c>
      <c r="G2731" s="86" t="s">
        <v>1374</v>
      </c>
    </row>
    <row r="2732" spans="6:7" x14ac:dyDescent="0.35">
      <c r="F2732" s="70">
        <v>312722</v>
      </c>
      <c r="G2732" s="86" t="s">
        <v>1375</v>
      </c>
    </row>
    <row r="2733" spans="6:7" x14ac:dyDescent="0.35">
      <c r="F2733" s="70">
        <v>314274</v>
      </c>
      <c r="G2733" s="86" t="s">
        <v>1376</v>
      </c>
    </row>
    <row r="2734" spans="6:7" x14ac:dyDescent="0.35">
      <c r="F2734" s="70">
        <v>309643</v>
      </c>
      <c r="G2734" s="86" t="s">
        <v>1377</v>
      </c>
    </row>
    <row r="2735" spans="6:7" x14ac:dyDescent="0.35">
      <c r="F2735" s="70">
        <v>312253</v>
      </c>
      <c r="G2735" s="86" t="s">
        <v>1378</v>
      </c>
    </row>
    <row r="2736" spans="6:7" x14ac:dyDescent="0.35">
      <c r="F2736" s="70">
        <v>315183</v>
      </c>
      <c r="G2736" s="86" t="s">
        <v>1379</v>
      </c>
    </row>
    <row r="2737" spans="6:7" x14ac:dyDescent="0.35">
      <c r="F2737" s="70">
        <v>315144</v>
      </c>
      <c r="G2737" s="86" t="s">
        <v>1380</v>
      </c>
    </row>
    <row r="2738" spans="6:7" x14ac:dyDescent="0.35">
      <c r="F2738" s="70">
        <v>314220</v>
      </c>
      <c r="G2738" s="86" t="s">
        <v>1381</v>
      </c>
    </row>
    <row r="2739" spans="6:7" x14ac:dyDescent="0.35">
      <c r="F2739" s="70">
        <v>303284</v>
      </c>
      <c r="G2739" s="86" t="s">
        <v>1382</v>
      </c>
    </row>
    <row r="2740" spans="6:7" x14ac:dyDescent="0.35">
      <c r="F2740" s="70">
        <v>304200</v>
      </c>
      <c r="G2740" s="86" t="s">
        <v>1383</v>
      </c>
    </row>
    <row r="2741" spans="6:7" x14ac:dyDescent="0.35">
      <c r="F2741" s="70">
        <v>310692</v>
      </c>
      <c r="G2741" s="86" t="s">
        <v>1384</v>
      </c>
    </row>
    <row r="2742" spans="6:7" x14ac:dyDescent="0.35">
      <c r="F2742" s="70">
        <v>303971</v>
      </c>
      <c r="G2742" s="86" t="s">
        <v>1385</v>
      </c>
    </row>
    <row r="2743" spans="6:7" x14ac:dyDescent="0.35">
      <c r="F2743" s="70">
        <v>312969</v>
      </c>
      <c r="G2743" s="86" t="s">
        <v>1386</v>
      </c>
    </row>
    <row r="2744" spans="6:7" x14ac:dyDescent="0.35">
      <c r="F2744" s="70">
        <v>315278</v>
      </c>
      <c r="G2744" s="86" t="s">
        <v>1387</v>
      </c>
    </row>
    <row r="2745" spans="6:7" x14ac:dyDescent="0.35">
      <c r="F2745" s="70">
        <v>306895</v>
      </c>
      <c r="G2745" s="86" t="s">
        <v>1388</v>
      </c>
    </row>
    <row r="2746" spans="6:7" x14ac:dyDescent="0.35">
      <c r="F2746" s="70">
        <v>315257</v>
      </c>
      <c r="G2746" s="86" t="s">
        <v>1389</v>
      </c>
    </row>
    <row r="2747" spans="6:7" x14ac:dyDescent="0.35">
      <c r="F2747" s="70">
        <v>310605</v>
      </c>
      <c r="G2747" s="86" t="s">
        <v>1390</v>
      </c>
    </row>
    <row r="2748" spans="6:7" x14ac:dyDescent="0.35">
      <c r="F2748" s="70">
        <v>307367</v>
      </c>
      <c r="G2748" s="86" t="s">
        <v>1391</v>
      </c>
    </row>
    <row r="2749" spans="6:7" x14ac:dyDescent="0.35">
      <c r="F2749" s="70">
        <v>314870</v>
      </c>
      <c r="G2749" s="86" t="s">
        <v>1392</v>
      </c>
    </row>
    <row r="2750" spans="6:7" x14ac:dyDescent="0.35">
      <c r="F2750" s="70">
        <v>314382</v>
      </c>
      <c r="G2750" s="86" t="s">
        <v>1393</v>
      </c>
    </row>
    <row r="2751" spans="6:7" x14ac:dyDescent="0.35">
      <c r="F2751" s="70">
        <v>310067</v>
      </c>
      <c r="G2751" s="86" t="s">
        <v>1394</v>
      </c>
    </row>
    <row r="2752" spans="6:7" x14ac:dyDescent="0.35">
      <c r="F2752" s="70">
        <v>307352</v>
      </c>
      <c r="G2752" s="86" t="s">
        <v>1395</v>
      </c>
    </row>
    <row r="2753" spans="6:7" x14ac:dyDescent="0.35">
      <c r="F2753" s="70">
        <v>310143</v>
      </c>
      <c r="G2753" s="86" t="s">
        <v>1396</v>
      </c>
    </row>
    <row r="2754" spans="6:7" x14ac:dyDescent="0.35">
      <c r="F2754" s="70">
        <v>312833</v>
      </c>
      <c r="G2754" s="86" t="s">
        <v>1397</v>
      </c>
    </row>
    <row r="2755" spans="6:7" x14ac:dyDescent="0.35">
      <c r="F2755" s="70">
        <v>315132</v>
      </c>
      <c r="G2755" s="86" t="s">
        <v>1398</v>
      </c>
    </row>
    <row r="2756" spans="6:7" x14ac:dyDescent="0.35">
      <c r="F2756" s="70">
        <v>309366</v>
      </c>
      <c r="G2756" s="86" t="s">
        <v>1399</v>
      </c>
    </row>
    <row r="2757" spans="6:7" x14ac:dyDescent="0.35">
      <c r="F2757" s="70">
        <v>314328</v>
      </c>
      <c r="G2757" s="86" t="s">
        <v>1400</v>
      </c>
    </row>
    <row r="2758" spans="6:7" x14ac:dyDescent="0.35">
      <c r="F2758" s="70">
        <v>315317</v>
      </c>
      <c r="G2758" s="86" t="s">
        <v>1401</v>
      </c>
    </row>
    <row r="2759" spans="6:7" x14ac:dyDescent="0.35">
      <c r="F2759" s="70">
        <v>313889</v>
      </c>
      <c r="G2759" s="86" t="s">
        <v>1402</v>
      </c>
    </row>
    <row r="2760" spans="6:7" x14ac:dyDescent="0.35">
      <c r="F2760" s="70">
        <v>310261</v>
      </c>
      <c r="G2760" s="86" t="s">
        <v>1403</v>
      </c>
    </row>
    <row r="2761" spans="6:7" x14ac:dyDescent="0.35">
      <c r="F2761" s="70">
        <v>311985</v>
      </c>
      <c r="G2761" s="86" t="s">
        <v>1404</v>
      </c>
    </row>
    <row r="2762" spans="6:7" x14ac:dyDescent="0.35">
      <c r="F2762" s="70">
        <v>307718</v>
      </c>
      <c r="G2762" s="86" t="s">
        <v>1405</v>
      </c>
    </row>
    <row r="2763" spans="6:7" x14ac:dyDescent="0.35">
      <c r="F2763" s="70">
        <v>307269</v>
      </c>
      <c r="G2763" s="86" t="s">
        <v>1406</v>
      </c>
    </row>
    <row r="2764" spans="6:7" x14ac:dyDescent="0.35">
      <c r="F2764" s="70">
        <v>102070</v>
      </c>
      <c r="G2764" s="86" t="s">
        <v>1407</v>
      </c>
    </row>
    <row r="2765" spans="6:7" x14ac:dyDescent="0.35">
      <c r="F2765" s="70">
        <v>313030</v>
      </c>
      <c r="G2765" s="86" t="s">
        <v>1408</v>
      </c>
    </row>
    <row r="2766" spans="6:7" x14ac:dyDescent="0.35">
      <c r="F2766" s="70">
        <v>314628</v>
      </c>
      <c r="G2766" s="86" t="s">
        <v>1409</v>
      </c>
    </row>
    <row r="2767" spans="6:7" x14ac:dyDescent="0.35">
      <c r="F2767" s="70">
        <v>315074</v>
      </c>
      <c r="G2767" s="86" t="s">
        <v>1410</v>
      </c>
    </row>
    <row r="2768" spans="6:7" x14ac:dyDescent="0.35">
      <c r="F2768" s="70">
        <v>310347</v>
      </c>
      <c r="G2768" s="86" t="s">
        <v>1411</v>
      </c>
    </row>
    <row r="2769" spans="6:7" x14ac:dyDescent="0.35">
      <c r="F2769" s="70">
        <v>313802</v>
      </c>
      <c r="G2769" s="86" t="s">
        <v>1412</v>
      </c>
    </row>
    <row r="2770" spans="6:7" x14ac:dyDescent="0.35">
      <c r="F2770" s="70">
        <v>303594</v>
      </c>
      <c r="G2770" s="86" t="s">
        <v>1413</v>
      </c>
    </row>
    <row r="2771" spans="6:7" x14ac:dyDescent="0.35">
      <c r="F2771" s="70">
        <v>311440</v>
      </c>
      <c r="G2771" s="86" t="s">
        <v>1414</v>
      </c>
    </row>
    <row r="2772" spans="6:7" x14ac:dyDescent="0.35">
      <c r="F2772" s="70">
        <v>310148</v>
      </c>
      <c r="G2772" s="86" t="s">
        <v>1415</v>
      </c>
    </row>
    <row r="2773" spans="6:7" x14ac:dyDescent="0.35">
      <c r="F2773" s="70">
        <v>300280</v>
      </c>
      <c r="G2773" s="86" t="s">
        <v>1416</v>
      </c>
    </row>
    <row r="2774" spans="6:7" x14ac:dyDescent="0.35">
      <c r="F2774" s="70">
        <v>306962</v>
      </c>
      <c r="G2774" s="86" t="s">
        <v>1417</v>
      </c>
    </row>
    <row r="2775" spans="6:7" x14ac:dyDescent="0.35">
      <c r="F2775" s="70">
        <v>314279</v>
      </c>
      <c r="G2775" s="86" t="s">
        <v>1418</v>
      </c>
    </row>
    <row r="2776" spans="6:7" x14ac:dyDescent="0.35">
      <c r="F2776" s="70">
        <v>305035</v>
      </c>
      <c r="G2776" s="86" t="s">
        <v>1419</v>
      </c>
    </row>
    <row r="2777" spans="6:7" x14ac:dyDescent="0.35">
      <c r="F2777" s="70">
        <v>314899</v>
      </c>
      <c r="G2777" s="86" t="s">
        <v>1420</v>
      </c>
    </row>
    <row r="2778" spans="6:7" x14ac:dyDescent="0.35">
      <c r="F2778" s="70">
        <v>314728</v>
      </c>
      <c r="G2778" s="86" t="s">
        <v>1421</v>
      </c>
    </row>
    <row r="2779" spans="6:7" x14ac:dyDescent="0.35">
      <c r="F2779" s="70">
        <v>313768</v>
      </c>
      <c r="G2779" s="86" t="s">
        <v>1422</v>
      </c>
    </row>
    <row r="2780" spans="6:7" x14ac:dyDescent="0.35">
      <c r="F2780" s="70">
        <v>314091</v>
      </c>
      <c r="G2780" s="86" t="s">
        <v>1423</v>
      </c>
    </row>
    <row r="2781" spans="6:7" x14ac:dyDescent="0.35">
      <c r="F2781" s="70">
        <v>310198</v>
      </c>
      <c r="G2781" s="86" t="s">
        <v>1424</v>
      </c>
    </row>
    <row r="2782" spans="6:7" x14ac:dyDescent="0.35">
      <c r="F2782" s="70">
        <v>309262</v>
      </c>
      <c r="G2782" s="86" t="s">
        <v>1425</v>
      </c>
    </row>
    <row r="2783" spans="6:7" x14ac:dyDescent="0.35">
      <c r="F2783" s="70">
        <v>315486</v>
      </c>
      <c r="G2783" s="86" t="s">
        <v>1426</v>
      </c>
    </row>
    <row r="2784" spans="6:7" x14ac:dyDescent="0.35">
      <c r="F2784" s="70">
        <v>311492</v>
      </c>
      <c r="G2784" s="86" t="s">
        <v>1427</v>
      </c>
    </row>
    <row r="2785" spans="6:7" x14ac:dyDescent="0.35">
      <c r="F2785" s="70">
        <v>315403</v>
      </c>
      <c r="G2785" s="86" t="s">
        <v>1428</v>
      </c>
    </row>
    <row r="2786" spans="6:7" x14ac:dyDescent="0.35">
      <c r="F2786" s="70">
        <v>312792</v>
      </c>
      <c r="G2786" s="86" t="s">
        <v>1429</v>
      </c>
    </row>
    <row r="2787" spans="6:7" x14ac:dyDescent="0.35">
      <c r="F2787" s="70">
        <v>314774</v>
      </c>
      <c r="G2787" s="86" t="s">
        <v>1430</v>
      </c>
    </row>
    <row r="2788" spans="6:7" x14ac:dyDescent="0.35">
      <c r="F2788" s="70">
        <v>310872</v>
      </c>
      <c r="G2788" s="86" t="s">
        <v>1431</v>
      </c>
    </row>
    <row r="2789" spans="6:7" x14ac:dyDescent="0.35">
      <c r="F2789" s="70">
        <v>312765</v>
      </c>
      <c r="G2789" s="86" t="s">
        <v>1432</v>
      </c>
    </row>
    <row r="2790" spans="6:7" x14ac:dyDescent="0.35">
      <c r="F2790" s="70">
        <v>303967</v>
      </c>
      <c r="G2790" s="86" t="s">
        <v>1433</v>
      </c>
    </row>
    <row r="2791" spans="6:7" x14ac:dyDescent="0.35">
      <c r="F2791" s="70">
        <v>311367</v>
      </c>
      <c r="G2791" s="86" t="s">
        <v>1434</v>
      </c>
    </row>
    <row r="2792" spans="6:7" x14ac:dyDescent="0.35">
      <c r="F2792" s="70">
        <v>310502</v>
      </c>
      <c r="G2792" s="86" t="s">
        <v>1435</v>
      </c>
    </row>
    <row r="2793" spans="6:7" x14ac:dyDescent="0.35">
      <c r="F2793" s="70">
        <v>315124</v>
      </c>
      <c r="G2793" s="86" t="s">
        <v>1436</v>
      </c>
    </row>
    <row r="2794" spans="6:7" x14ac:dyDescent="0.35">
      <c r="F2794" s="70">
        <v>313529</v>
      </c>
      <c r="G2794" s="86" t="s">
        <v>1437</v>
      </c>
    </row>
    <row r="2795" spans="6:7" x14ac:dyDescent="0.35">
      <c r="F2795" s="70">
        <v>314022</v>
      </c>
      <c r="G2795" s="86" t="s">
        <v>1438</v>
      </c>
    </row>
    <row r="2796" spans="6:7" x14ac:dyDescent="0.35">
      <c r="F2796" s="70">
        <v>309747</v>
      </c>
      <c r="G2796" s="86" t="s">
        <v>1439</v>
      </c>
    </row>
    <row r="2797" spans="6:7" x14ac:dyDescent="0.35">
      <c r="F2797" s="70">
        <v>315489</v>
      </c>
      <c r="G2797" s="86" t="s">
        <v>1440</v>
      </c>
    </row>
    <row r="2798" spans="6:7" x14ac:dyDescent="0.35">
      <c r="F2798" s="70">
        <v>313595</v>
      </c>
      <c r="G2798" s="86" t="s">
        <v>1441</v>
      </c>
    </row>
    <row r="2799" spans="6:7" x14ac:dyDescent="0.35">
      <c r="F2799" s="70">
        <v>311207</v>
      </c>
      <c r="G2799" s="86" t="s">
        <v>1442</v>
      </c>
    </row>
    <row r="2800" spans="6:7" x14ac:dyDescent="0.35">
      <c r="F2800" s="70">
        <v>304473</v>
      </c>
      <c r="G2800" s="86" t="s">
        <v>1443</v>
      </c>
    </row>
    <row r="2801" spans="6:7" x14ac:dyDescent="0.35">
      <c r="F2801" s="70">
        <v>314202</v>
      </c>
      <c r="G2801" s="86" t="s">
        <v>1444</v>
      </c>
    </row>
    <row r="2802" spans="6:7" x14ac:dyDescent="0.35">
      <c r="F2802" s="70">
        <v>302484</v>
      </c>
      <c r="G2802" s="86" t="s">
        <v>1445</v>
      </c>
    </row>
    <row r="2803" spans="6:7" x14ac:dyDescent="0.35">
      <c r="F2803" s="70">
        <v>315385</v>
      </c>
      <c r="G2803" s="86" t="s">
        <v>1446</v>
      </c>
    </row>
    <row r="2804" spans="6:7" x14ac:dyDescent="0.35">
      <c r="F2804" s="70">
        <v>308614</v>
      </c>
      <c r="G2804" s="86" t="s">
        <v>1447</v>
      </c>
    </row>
    <row r="2805" spans="6:7" x14ac:dyDescent="0.35">
      <c r="F2805" s="70">
        <v>315222</v>
      </c>
      <c r="G2805" s="86" t="s">
        <v>1448</v>
      </c>
    </row>
    <row r="2806" spans="6:7" x14ac:dyDescent="0.35">
      <c r="F2806" s="70">
        <v>306213</v>
      </c>
      <c r="G2806" s="86" t="s">
        <v>1449</v>
      </c>
    </row>
    <row r="2807" spans="6:7" x14ac:dyDescent="0.35">
      <c r="F2807" s="70">
        <v>315363</v>
      </c>
      <c r="G2807" s="86" t="s">
        <v>1450</v>
      </c>
    </row>
    <row r="2808" spans="6:7" x14ac:dyDescent="0.35">
      <c r="F2808" s="70">
        <v>314162</v>
      </c>
      <c r="G2808" s="86" t="s">
        <v>1451</v>
      </c>
    </row>
    <row r="2809" spans="6:7" x14ac:dyDescent="0.35">
      <c r="F2809" s="70">
        <v>311975</v>
      </c>
      <c r="G2809" s="86" t="s">
        <v>1452</v>
      </c>
    </row>
    <row r="2810" spans="6:7" x14ac:dyDescent="0.35">
      <c r="F2810" s="70">
        <v>300922</v>
      </c>
      <c r="G2810" s="86" t="s">
        <v>1453</v>
      </c>
    </row>
    <row r="2811" spans="6:7" x14ac:dyDescent="0.35">
      <c r="F2811" s="70">
        <v>308519</v>
      </c>
      <c r="G2811" s="86" t="s">
        <v>1454</v>
      </c>
    </row>
    <row r="2812" spans="6:7" x14ac:dyDescent="0.35">
      <c r="F2812" s="70">
        <v>314812</v>
      </c>
      <c r="G2812" s="86" t="s">
        <v>1455</v>
      </c>
    </row>
    <row r="2813" spans="6:7" x14ac:dyDescent="0.35">
      <c r="F2813" s="70">
        <v>304509</v>
      </c>
      <c r="G2813" s="86" t="s">
        <v>1456</v>
      </c>
    </row>
    <row r="2814" spans="6:7" x14ac:dyDescent="0.35">
      <c r="F2814" s="93">
        <v>313479</v>
      </c>
      <c r="G2814" s="86" t="s">
        <v>1457</v>
      </c>
    </row>
    <row r="2815" spans="6:7" x14ac:dyDescent="0.35">
      <c r="F2815" s="70">
        <v>310923</v>
      </c>
      <c r="G2815" s="86" t="s">
        <v>1457</v>
      </c>
    </row>
    <row r="2816" spans="6:7" x14ac:dyDescent="0.35">
      <c r="F2816" s="70">
        <v>307904</v>
      </c>
      <c r="G2816" s="86" t="s">
        <v>1458</v>
      </c>
    </row>
    <row r="2817" spans="6:7" x14ac:dyDescent="0.35">
      <c r="F2817" s="70">
        <v>312303</v>
      </c>
      <c r="G2817" s="86" t="s">
        <v>1459</v>
      </c>
    </row>
    <row r="2818" spans="6:7" x14ac:dyDescent="0.35">
      <c r="F2818" s="70">
        <v>314124</v>
      </c>
      <c r="G2818" s="86" t="s">
        <v>1460</v>
      </c>
    </row>
    <row r="2819" spans="6:7" x14ac:dyDescent="0.35">
      <c r="F2819" s="70">
        <v>306713</v>
      </c>
      <c r="G2819" s="86" t="s">
        <v>1461</v>
      </c>
    </row>
    <row r="2820" spans="6:7" x14ac:dyDescent="0.35">
      <c r="F2820" s="70">
        <v>315342</v>
      </c>
      <c r="G2820" s="86" t="s">
        <v>1462</v>
      </c>
    </row>
    <row r="2821" spans="6:7" x14ac:dyDescent="0.35">
      <c r="F2821" s="70">
        <v>312257</v>
      </c>
      <c r="G2821" s="86" t="s">
        <v>1463</v>
      </c>
    </row>
    <row r="2822" spans="6:7" x14ac:dyDescent="0.35">
      <c r="F2822" s="70">
        <v>307113</v>
      </c>
      <c r="G2822" s="86" t="s">
        <v>1464</v>
      </c>
    </row>
    <row r="2823" spans="6:7" x14ac:dyDescent="0.35">
      <c r="F2823" s="70">
        <v>303961</v>
      </c>
      <c r="G2823" s="86" t="s">
        <v>1465</v>
      </c>
    </row>
    <row r="2824" spans="6:7" x14ac:dyDescent="0.35">
      <c r="F2824" s="70">
        <v>308796</v>
      </c>
      <c r="G2824" s="86" t="s">
        <v>1466</v>
      </c>
    </row>
    <row r="2825" spans="6:7" x14ac:dyDescent="0.35">
      <c r="F2825" s="70">
        <v>307862</v>
      </c>
      <c r="G2825" s="86" t="s">
        <v>1467</v>
      </c>
    </row>
    <row r="2826" spans="6:7" x14ac:dyDescent="0.35">
      <c r="F2826" s="70">
        <v>310734</v>
      </c>
      <c r="G2826" s="86" t="s">
        <v>1468</v>
      </c>
    </row>
    <row r="2827" spans="6:7" x14ac:dyDescent="0.35">
      <c r="F2827" s="70">
        <v>309761</v>
      </c>
      <c r="G2827" s="86" t="s">
        <v>1469</v>
      </c>
    </row>
    <row r="2828" spans="6:7" x14ac:dyDescent="0.35">
      <c r="F2828" s="70">
        <v>310867</v>
      </c>
      <c r="G2828" s="86" t="s">
        <v>1470</v>
      </c>
    </row>
    <row r="2829" spans="6:7" x14ac:dyDescent="0.35">
      <c r="F2829" s="70">
        <v>310796</v>
      </c>
      <c r="G2829" s="86" t="s">
        <v>1471</v>
      </c>
    </row>
    <row r="2830" spans="6:7" x14ac:dyDescent="0.35">
      <c r="F2830" s="70">
        <v>314563</v>
      </c>
      <c r="G2830" s="86" t="s">
        <v>1472</v>
      </c>
    </row>
    <row r="2831" spans="6:7" x14ac:dyDescent="0.35">
      <c r="F2831" s="70">
        <v>304658</v>
      </c>
      <c r="G2831" s="86" t="s">
        <v>1473</v>
      </c>
    </row>
    <row r="2832" spans="6:7" x14ac:dyDescent="0.35">
      <c r="F2832" s="70">
        <v>315181</v>
      </c>
      <c r="G2832" s="86" t="s">
        <v>1474</v>
      </c>
    </row>
    <row r="2833" spans="6:7" x14ac:dyDescent="0.35">
      <c r="F2833" s="70">
        <v>311615</v>
      </c>
      <c r="G2833" s="86" t="s">
        <v>1475</v>
      </c>
    </row>
    <row r="2834" spans="6:7" x14ac:dyDescent="0.35">
      <c r="F2834" s="70">
        <v>312044</v>
      </c>
      <c r="G2834" s="86" t="s">
        <v>1476</v>
      </c>
    </row>
    <row r="2835" spans="6:7" x14ac:dyDescent="0.35">
      <c r="F2835" s="70">
        <v>307582</v>
      </c>
      <c r="G2835" s="86" t="s">
        <v>1477</v>
      </c>
    </row>
    <row r="2836" spans="6:7" x14ac:dyDescent="0.35">
      <c r="F2836" s="70">
        <v>301669</v>
      </c>
      <c r="G2836" s="86" t="s">
        <v>1478</v>
      </c>
    </row>
    <row r="2837" spans="6:7" x14ac:dyDescent="0.35">
      <c r="F2837" s="70">
        <v>309811</v>
      </c>
      <c r="G2837" s="86" t="s">
        <v>1479</v>
      </c>
    </row>
    <row r="2838" spans="6:7" x14ac:dyDescent="0.35">
      <c r="F2838" s="70">
        <v>314136</v>
      </c>
      <c r="G2838" s="86" t="s">
        <v>1480</v>
      </c>
    </row>
    <row r="2839" spans="6:7" x14ac:dyDescent="0.35">
      <c r="F2839" s="70">
        <v>315094</v>
      </c>
      <c r="G2839" s="86" t="s">
        <v>1481</v>
      </c>
    </row>
    <row r="2840" spans="6:7" x14ac:dyDescent="0.35">
      <c r="F2840" s="70">
        <v>312835</v>
      </c>
      <c r="G2840" s="86" t="s">
        <v>1482</v>
      </c>
    </row>
    <row r="2841" spans="6:7" x14ac:dyDescent="0.35">
      <c r="F2841" s="70">
        <v>314608</v>
      </c>
      <c r="G2841" s="86" t="s">
        <v>1483</v>
      </c>
    </row>
    <row r="2842" spans="6:7" x14ac:dyDescent="0.35">
      <c r="F2842" s="70">
        <v>314041</v>
      </c>
      <c r="G2842" s="86" t="s">
        <v>1484</v>
      </c>
    </row>
    <row r="2843" spans="6:7" x14ac:dyDescent="0.35">
      <c r="F2843" s="70">
        <v>308478</v>
      </c>
      <c r="G2843" s="86" t="s">
        <v>1485</v>
      </c>
    </row>
    <row r="2844" spans="6:7" x14ac:dyDescent="0.35">
      <c r="F2844" s="70">
        <v>315216</v>
      </c>
      <c r="G2844" s="86" t="s">
        <v>1486</v>
      </c>
    </row>
    <row r="2845" spans="6:7" x14ac:dyDescent="0.35">
      <c r="F2845" s="70">
        <v>312919</v>
      </c>
      <c r="G2845" s="86" t="s">
        <v>1487</v>
      </c>
    </row>
    <row r="2846" spans="6:7" x14ac:dyDescent="0.35">
      <c r="F2846" s="70">
        <v>306192</v>
      </c>
      <c r="G2846" s="86" t="s">
        <v>1488</v>
      </c>
    </row>
    <row r="2847" spans="6:7" x14ac:dyDescent="0.35">
      <c r="F2847" s="70">
        <v>311597</v>
      </c>
      <c r="G2847" s="86" t="s">
        <v>1489</v>
      </c>
    </row>
    <row r="2848" spans="6:7" x14ac:dyDescent="0.35">
      <c r="F2848" s="70">
        <v>315488</v>
      </c>
      <c r="G2848" s="86" t="s">
        <v>1490</v>
      </c>
    </row>
    <row r="2849" spans="6:7" x14ac:dyDescent="0.35">
      <c r="F2849" s="70">
        <v>315414</v>
      </c>
      <c r="G2849" s="86" t="s">
        <v>1491</v>
      </c>
    </row>
    <row r="2850" spans="6:7" x14ac:dyDescent="0.35">
      <c r="F2850" s="70">
        <v>314383</v>
      </c>
      <c r="G2850" s="86" t="s">
        <v>1492</v>
      </c>
    </row>
    <row r="2851" spans="6:7" x14ac:dyDescent="0.35">
      <c r="F2851" s="70">
        <v>314419</v>
      </c>
      <c r="G2851" s="86" t="s">
        <v>1493</v>
      </c>
    </row>
    <row r="2852" spans="6:7" x14ac:dyDescent="0.35">
      <c r="F2852" s="70">
        <v>309455</v>
      </c>
      <c r="G2852" s="86" t="s">
        <v>1494</v>
      </c>
    </row>
    <row r="2853" spans="6:7" x14ac:dyDescent="0.35">
      <c r="F2853" s="70">
        <v>310240</v>
      </c>
      <c r="G2853" s="86" t="s">
        <v>1495</v>
      </c>
    </row>
    <row r="2854" spans="6:7" x14ac:dyDescent="0.35">
      <c r="F2854" s="70">
        <v>311583</v>
      </c>
      <c r="G2854" s="86" t="s">
        <v>1496</v>
      </c>
    </row>
    <row r="2855" spans="6:7" x14ac:dyDescent="0.35">
      <c r="F2855" s="70">
        <v>315128</v>
      </c>
      <c r="G2855" s="86" t="s">
        <v>1497</v>
      </c>
    </row>
    <row r="2856" spans="6:7" x14ac:dyDescent="0.35">
      <c r="F2856" s="70">
        <v>309571</v>
      </c>
      <c r="G2856" s="86" t="s">
        <v>1498</v>
      </c>
    </row>
    <row r="2857" spans="6:7" x14ac:dyDescent="0.35">
      <c r="F2857" s="70">
        <v>305630</v>
      </c>
      <c r="G2857" s="86" t="s">
        <v>1499</v>
      </c>
    </row>
    <row r="2858" spans="6:7" x14ac:dyDescent="0.35">
      <c r="F2858" s="70">
        <v>315325</v>
      </c>
      <c r="G2858" s="86" t="s">
        <v>1500</v>
      </c>
    </row>
    <row r="2859" spans="6:7" x14ac:dyDescent="0.35">
      <c r="F2859" s="70">
        <v>315310</v>
      </c>
      <c r="G2859" s="86" t="s">
        <v>1501</v>
      </c>
    </row>
    <row r="2860" spans="6:7" x14ac:dyDescent="0.35">
      <c r="F2860" s="70">
        <v>314265</v>
      </c>
      <c r="G2860" s="86" t="s">
        <v>1502</v>
      </c>
    </row>
    <row r="2861" spans="6:7" x14ac:dyDescent="0.35">
      <c r="F2861" s="70">
        <v>313724</v>
      </c>
      <c r="G2861" s="86" t="s">
        <v>1503</v>
      </c>
    </row>
    <row r="2862" spans="6:7" x14ac:dyDescent="0.35">
      <c r="F2862" s="70">
        <v>315252</v>
      </c>
      <c r="G2862" s="86" t="s">
        <v>1504</v>
      </c>
    </row>
    <row r="2863" spans="6:7" x14ac:dyDescent="0.35">
      <c r="F2863" s="70">
        <v>309515</v>
      </c>
      <c r="G2863" s="86" t="s">
        <v>1505</v>
      </c>
    </row>
    <row r="2864" spans="6:7" x14ac:dyDescent="0.35">
      <c r="F2864" s="70">
        <v>313732</v>
      </c>
      <c r="G2864" s="86" t="s">
        <v>1506</v>
      </c>
    </row>
    <row r="2865" spans="6:7" x14ac:dyDescent="0.35">
      <c r="F2865" s="70">
        <v>314027</v>
      </c>
      <c r="G2865" s="86" t="s">
        <v>1507</v>
      </c>
    </row>
    <row r="2866" spans="6:7" x14ac:dyDescent="0.35">
      <c r="F2866" s="70">
        <v>311474</v>
      </c>
      <c r="G2866" s="86" t="s">
        <v>1508</v>
      </c>
    </row>
    <row r="2867" spans="6:7" x14ac:dyDescent="0.35">
      <c r="F2867" s="70">
        <v>312356</v>
      </c>
      <c r="G2867" s="86" t="s">
        <v>1509</v>
      </c>
    </row>
    <row r="2868" spans="6:7" x14ac:dyDescent="0.35">
      <c r="F2868" s="70">
        <v>313800</v>
      </c>
      <c r="G2868" s="86" t="s">
        <v>1510</v>
      </c>
    </row>
    <row r="2869" spans="6:7" x14ac:dyDescent="0.35">
      <c r="F2869" s="70">
        <v>314566</v>
      </c>
      <c r="G2869" s="86" t="s">
        <v>1511</v>
      </c>
    </row>
    <row r="2870" spans="6:7" x14ac:dyDescent="0.35">
      <c r="F2870" s="70">
        <v>311569</v>
      </c>
      <c r="G2870" s="86" t="s">
        <v>1512</v>
      </c>
    </row>
    <row r="2871" spans="6:7" x14ac:dyDescent="0.35">
      <c r="F2871" s="70">
        <v>313095</v>
      </c>
      <c r="G2871" s="86" t="s">
        <v>1513</v>
      </c>
    </row>
    <row r="2872" spans="6:7" x14ac:dyDescent="0.35">
      <c r="F2872" s="70">
        <v>300191</v>
      </c>
      <c r="G2872" s="86" t="s">
        <v>1514</v>
      </c>
    </row>
    <row r="2873" spans="6:7" x14ac:dyDescent="0.35">
      <c r="F2873" s="70">
        <v>314226</v>
      </c>
      <c r="G2873" s="86" t="s">
        <v>1515</v>
      </c>
    </row>
    <row r="2874" spans="6:7" x14ac:dyDescent="0.35">
      <c r="F2874" s="70">
        <v>315362</v>
      </c>
      <c r="G2874" s="86" t="s">
        <v>1516</v>
      </c>
    </row>
    <row r="2875" spans="6:7" x14ac:dyDescent="0.35">
      <c r="F2875" s="70">
        <v>306697</v>
      </c>
      <c r="G2875" s="86" t="s">
        <v>1517</v>
      </c>
    </row>
    <row r="2876" spans="6:7" x14ac:dyDescent="0.35">
      <c r="F2876" s="70">
        <v>314180</v>
      </c>
      <c r="G2876" s="86" t="s">
        <v>1518</v>
      </c>
    </row>
    <row r="2877" spans="6:7" x14ac:dyDescent="0.35">
      <c r="F2877" s="70">
        <v>311686</v>
      </c>
      <c r="G2877" s="86" t="s">
        <v>1519</v>
      </c>
    </row>
    <row r="2878" spans="6:7" x14ac:dyDescent="0.35">
      <c r="F2878" s="70">
        <v>315351</v>
      </c>
      <c r="G2878" s="86" t="s">
        <v>1520</v>
      </c>
    </row>
    <row r="2879" spans="6:7" x14ac:dyDescent="0.35">
      <c r="F2879" s="70">
        <v>311755</v>
      </c>
      <c r="G2879" s="86" t="s">
        <v>1521</v>
      </c>
    </row>
    <row r="2880" spans="6:7" x14ac:dyDescent="0.35">
      <c r="F2880" s="70">
        <v>313660</v>
      </c>
      <c r="G2880" s="86" t="s">
        <v>1522</v>
      </c>
    </row>
    <row r="2881" spans="6:7" x14ac:dyDescent="0.35">
      <c r="F2881" s="70">
        <v>314169</v>
      </c>
      <c r="G2881" s="86" t="s">
        <v>1523</v>
      </c>
    </row>
    <row r="2882" spans="6:7" x14ac:dyDescent="0.35">
      <c r="F2882" s="70">
        <v>314341</v>
      </c>
      <c r="G2882" s="86" t="s">
        <v>1524</v>
      </c>
    </row>
    <row r="2883" spans="6:7" x14ac:dyDescent="0.35">
      <c r="F2883" s="70">
        <v>314050</v>
      </c>
      <c r="G2883" s="86" t="s">
        <v>1525</v>
      </c>
    </row>
    <row r="2884" spans="6:7" x14ac:dyDescent="0.35">
      <c r="F2884" s="70">
        <v>311273</v>
      </c>
      <c r="G2884" s="86" t="s">
        <v>1526</v>
      </c>
    </row>
    <row r="2885" spans="6:7" x14ac:dyDescent="0.35">
      <c r="F2885" s="70">
        <v>312576</v>
      </c>
      <c r="G2885" s="86" t="s">
        <v>1527</v>
      </c>
    </row>
    <row r="2886" spans="6:7" x14ac:dyDescent="0.35">
      <c r="F2886" s="70">
        <v>314530</v>
      </c>
      <c r="G2886" s="86" t="s">
        <v>1528</v>
      </c>
    </row>
    <row r="2887" spans="6:7" x14ac:dyDescent="0.35">
      <c r="F2887" s="70">
        <v>315099</v>
      </c>
      <c r="G2887" s="86" t="s">
        <v>1529</v>
      </c>
    </row>
    <row r="2888" spans="6:7" x14ac:dyDescent="0.35">
      <c r="F2888" s="70">
        <v>311405</v>
      </c>
      <c r="G2888" s="86" t="s">
        <v>1530</v>
      </c>
    </row>
    <row r="2889" spans="6:7" x14ac:dyDescent="0.35">
      <c r="F2889" s="70">
        <v>314803</v>
      </c>
      <c r="G2889" s="86" t="s">
        <v>1531</v>
      </c>
    </row>
    <row r="2890" spans="6:7" x14ac:dyDescent="0.35">
      <c r="F2890" s="70">
        <v>306487</v>
      </c>
      <c r="G2890" s="86" t="s">
        <v>1532</v>
      </c>
    </row>
    <row r="2891" spans="6:7" x14ac:dyDescent="0.35">
      <c r="F2891" s="70">
        <v>315445</v>
      </c>
      <c r="G2891" s="86" t="s">
        <v>1533</v>
      </c>
    </row>
    <row r="2892" spans="6:7" x14ac:dyDescent="0.35">
      <c r="F2892" s="70">
        <v>313107</v>
      </c>
      <c r="G2892" s="86" t="s">
        <v>1534</v>
      </c>
    </row>
    <row r="2893" spans="6:7" x14ac:dyDescent="0.35">
      <c r="F2893" s="70">
        <v>314737</v>
      </c>
      <c r="G2893" s="86" t="s">
        <v>1535</v>
      </c>
    </row>
    <row r="2894" spans="6:7" x14ac:dyDescent="0.35">
      <c r="F2894" s="70">
        <v>309842</v>
      </c>
      <c r="G2894" s="86" t="s">
        <v>1536</v>
      </c>
    </row>
    <row r="2895" spans="6:7" x14ac:dyDescent="0.35">
      <c r="F2895" s="70">
        <v>312996</v>
      </c>
      <c r="G2895" s="86" t="s">
        <v>1537</v>
      </c>
    </row>
    <row r="2896" spans="6:7" x14ac:dyDescent="0.35">
      <c r="F2896" s="70">
        <v>310203</v>
      </c>
      <c r="G2896" s="86" t="s">
        <v>1538</v>
      </c>
    </row>
    <row r="2897" spans="6:7" x14ac:dyDescent="0.35">
      <c r="F2897" s="70">
        <v>314089</v>
      </c>
      <c r="G2897" s="86" t="s">
        <v>1539</v>
      </c>
    </row>
    <row r="2898" spans="6:7" x14ac:dyDescent="0.35">
      <c r="F2898" s="70">
        <v>314054</v>
      </c>
      <c r="G2898" s="86" t="s">
        <v>1540</v>
      </c>
    </row>
    <row r="2899" spans="6:7" x14ac:dyDescent="0.35">
      <c r="F2899" s="70">
        <v>315505</v>
      </c>
      <c r="G2899" s="86" t="s">
        <v>1541</v>
      </c>
    </row>
    <row r="2900" spans="6:7" x14ac:dyDescent="0.35">
      <c r="F2900" s="70">
        <v>310727</v>
      </c>
      <c r="G2900" s="86" t="s">
        <v>1542</v>
      </c>
    </row>
    <row r="2901" spans="6:7" x14ac:dyDescent="0.35">
      <c r="F2901" s="70">
        <v>315341</v>
      </c>
      <c r="G2901" s="86" t="s">
        <v>1543</v>
      </c>
    </row>
    <row r="2902" spans="6:7" x14ac:dyDescent="0.35">
      <c r="F2902" s="70">
        <v>311604</v>
      </c>
      <c r="G2902" s="86" t="s">
        <v>1544</v>
      </c>
    </row>
    <row r="2903" spans="6:7" x14ac:dyDescent="0.35">
      <c r="F2903" s="70">
        <v>310466</v>
      </c>
      <c r="G2903" s="86" t="s">
        <v>1545</v>
      </c>
    </row>
    <row r="2904" spans="6:7" x14ac:dyDescent="0.35">
      <c r="F2904" s="70">
        <v>314611</v>
      </c>
      <c r="G2904" s="86" t="s">
        <v>1546</v>
      </c>
    </row>
    <row r="2905" spans="6:7" x14ac:dyDescent="0.35">
      <c r="F2905" s="70">
        <v>312109</v>
      </c>
      <c r="G2905" s="86" t="s">
        <v>1547</v>
      </c>
    </row>
    <row r="2906" spans="6:7" x14ac:dyDescent="0.35">
      <c r="F2906" s="70">
        <v>315103</v>
      </c>
      <c r="G2906" s="86" t="s">
        <v>1548</v>
      </c>
    </row>
    <row r="2907" spans="6:7" x14ac:dyDescent="0.35">
      <c r="F2907" s="70">
        <v>315481</v>
      </c>
      <c r="G2907" s="86" t="s">
        <v>1549</v>
      </c>
    </row>
    <row r="2908" spans="6:7" x14ac:dyDescent="0.35">
      <c r="F2908" s="70">
        <v>306655</v>
      </c>
      <c r="G2908" s="86" t="s">
        <v>1550</v>
      </c>
    </row>
    <row r="2909" spans="6:7" x14ac:dyDescent="0.35">
      <c r="F2909" s="70">
        <v>311176</v>
      </c>
      <c r="G2909" s="86" t="s">
        <v>1551</v>
      </c>
    </row>
    <row r="2910" spans="6:7" x14ac:dyDescent="0.35">
      <c r="F2910" s="70">
        <v>315475</v>
      </c>
      <c r="G2910" s="86" t="s">
        <v>1552</v>
      </c>
    </row>
    <row r="2911" spans="6:7" x14ac:dyDescent="0.35">
      <c r="F2911" s="70">
        <v>312374</v>
      </c>
      <c r="G2911" s="86" t="s">
        <v>1553</v>
      </c>
    </row>
    <row r="2912" spans="6:7" x14ac:dyDescent="0.35">
      <c r="F2912" s="70">
        <v>310680</v>
      </c>
      <c r="G2912" s="86" t="s">
        <v>1554</v>
      </c>
    </row>
    <row r="2913" spans="6:7" x14ac:dyDescent="0.35">
      <c r="F2913" s="70">
        <v>315460</v>
      </c>
      <c r="G2913" s="86" t="s">
        <v>1555</v>
      </c>
    </row>
    <row r="2914" spans="6:7" x14ac:dyDescent="0.35">
      <c r="F2914" s="70">
        <v>307409</v>
      </c>
      <c r="G2914" s="86" t="s">
        <v>1556</v>
      </c>
    </row>
    <row r="2915" spans="6:7" x14ac:dyDescent="0.35">
      <c r="F2915" s="70">
        <v>313194</v>
      </c>
      <c r="G2915" s="86" t="s">
        <v>1557</v>
      </c>
    </row>
    <row r="2916" spans="6:7" x14ac:dyDescent="0.35">
      <c r="F2916" s="70">
        <v>314092</v>
      </c>
      <c r="G2916" s="86" t="s">
        <v>1558</v>
      </c>
    </row>
    <row r="2917" spans="6:7" x14ac:dyDescent="0.35">
      <c r="F2917" s="70">
        <v>314207</v>
      </c>
      <c r="G2917" s="86" t="s">
        <v>1559</v>
      </c>
    </row>
    <row r="2918" spans="6:7" x14ac:dyDescent="0.35">
      <c r="F2918" s="70">
        <v>314618</v>
      </c>
      <c r="G2918" s="86" t="s">
        <v>1560</v>
      </c>
    </row>
    <row r="2919" spans="6:7" x14ac:dyDescent="0.35">
      <c r="F2919" s="70">
        <v>304166</v>
      </c>
      <c r="G2919" s="86" t="s">
        <v>1561</v>
      </c>
    </row>
    <row r="2920" spans="6:7" x14ac:dyDescent="0.35">
      <c r="F2920" s="70">
        <v>309285</v>
      </c>
      <c r="G2920" s="86" t="s">
        <v>1562</v>
      </c>
    </row>
    <row r="2921" spans="6:7" x14ac:dyDescent="0.35">
      <c r="F2921" s="70">
        <v>315042</v>
      </c>
      <c r="G2921" s="86" t="s">
        <v>1563</v>
      </c>
    </row>
    <row r="2922" spans="6:7" x14ac:dyDescent="0.35">
      <c r="F2922" s="70">
        <v>314691</v>
      </c>
      <c r="G2922" s="86" t="s">
        <v>1564</v>
      </c>
    </row>
    <row r="2923" spans="6:7" x14ac:dyDescent="0.35">
      <c r="F2923" s="70">
        <v>314857</v>
      </c>
      <c r="G2923" s="86" t="s">
        <v>1565</v>
      </c>
    </row>
    <row r="2924" spans="6:7" x14ac:dyDescent="0.35">
      <c r="F2924" s="70">
        <v>315320</v>
      </c>
      <c r="G2924" s="86" t="s">
        <v>1566</v>
      </c>
    </row>
    <row r="2925" spans="6:7" x14ac:dyDescent="0.35">
      <c r="F2925" s="70">
        <v>314784</v>
      </c>
      <c r="G2925" s="86" t="s">
        <v>1567</v>
      </c>
    </row>
    <row r="2926" spans="6:7" x14ac:dyDescent="0.35">
      <c r="F2926" s="70">
        <v>307616</v>
      </c>
      <c r="G2926" s="86" t="s">
        <v>1568</v>
      </c>
    </row>
    <row r="2927" spans="6:7" x14ac:dyDescent="0.35">
      <c r="F2927" s="70">
        <v>304234</v>
      </c>
      <c r="G2927" s="86" t="s">
        <v>1569</v>
      </c>
    </row>
    <row r="2928" spans="6:7" x14ac:dyDescent="0.35">
      <c r="F2928" s="70">
        <v>314324</v>
      </c>
      <c r="G2928" s="86" t="s">
        <v>1570</v>
      </c>
    </row>
    <row r="2929" spans="6:7" x14ac:dyDescent="0.35">
      <c r="F2929" s="70">
        <v>313096</v>
      </c>
      <c r="G2929" s="86" t="s">
        <v>1571</v>
      </c>
    </row>
    <row r="2930" spans="6:7" x14ac:dyDescent="0.35">
      <c r="F2930" s="70">
        <v>315528</v>
      </c>
      <c r="G2930" s="86" t="s">
        <v>1572</v>
      </c>
    </row>
    <row r="2931" spans="6:7" x14ac:dyDescent="0.35">
      <c r="F2931" s="70">
        <v>309903</v>
      </c>
      <c r="G2931" s="86" t="s">
        <v>1573</v>
      </c>
    </row>
    <row r="2932" spans="6:7" x14ac:dyDescent="0.35">
      <c r="F2932" s="70">
        <v>301165</v>
      </c>
      <c r="G2932" s="86" t="s">
        <v>1574</v>
      </c>
    </row>
    <row r="2933" spans="6:7" x14ac:dyDescent="0.35">
      <c r="F2933" s="70">
        <v>314782</v>
      </c>
      <c r="G2933" s="86" t="s">
        <v>1575</v>
      </c>
    </row>
    <row r="2934" spans="6:7" x14ac:dyDescent="0.35">
      <c r="F2934" s="70">
        <v>314053</v>
      </c>
      <c r="G2934" s="86" t="s">
        <v>1576</v>
      </c>
    </row>
    <row r="2935" spans="6:7" x14ac:dyDescent="0.35">
      <c r="F2935" s="70">
        <v>314777</v>
      </c>
      <c r="G2935" s="86" t="s">
        <v>1577</v>
      </c>
    </row>
    <row r="2936" spans="6:7" x14ac:dyDescent="0.35">
      <c r="F2936" s="70">
        <v>315452</v>
      </c>
      <c r="G2936" s="86" t="s">
        <v>1578</v>
      </c>
    </row>
    <row r="2937" spans="6:7" x14ac:dyDescent="0.35">
      <c r="F2937" s="70">
        <v>315416</v>
      </c>
      <c r="G2937" s="86" t="s">
        <v>1579</v>
      </c>
    </row>
    <row r="2938" spans="6:7" x14ac:dyDescent="0.35">
      <c r="F2938" s="70">
        <v>315107</v>
      </c>
      <c r="G2938" s="86" t="s">
        <v>1580</v>
      </c>
    </row>
    <row r="2939" spans="6:7" x14ac:dyDescent="0.35">
      <c r="F2939" s="70">
        <v>304528</v>
      </c>
      <c r="G2939" s="86" t="s">
        <v>1581</v>
      </c>
    </row>
    <row r="2940" spans="6:7" x14ac:dyDescent="0.35">
      <c r="F2940" s="70">
        <v>311310</v>
      </c>
      <c r="G2940" s="86" t="s">
        <v>1582</v>
      </c>
    </row>
    <row r="2941" spans="6:7" x14ac:dyDescent="0.35">
      <c r="F2941" s="70">
        <v>314447</v>
      </c>
      <c r="G2941" s="86" t="s">
        <v>1583</v>
      </c>
    </row>
    <row r="2942" spans="6:7" x14ac:dyDescent="0.35">
      <c r="F2942" s="70">
        <v>314610</v>
      </c>
      <c r="G2942" s="86" t="s">
        <v>1584</v>
      </c>
    </row>
    <row r="2943" spans="6:7" x14ac:dyDescent="0.35">
      <c r="F2943" s="70">
        <v>315402</v>
      </c>
      <c r="G2943" s="86" t="s">
        <v>1585</v>
      </c>
    </row>
    <row r="2944" spans="6:7" x14ac:dyDescent="0.35">
      <c r="F2944" s="70">
        <v>315499</v>
      </c>
      <c r="G2944" s="86" t="s">
        <v>1586</v>
      </c>
    </row>
    <row r="2945" spans="6:7" x14ac:dyDescent="0.35">
      <c r="F2945" s="70">
        <v>302368</v>
      </c>
      <c r="G2945" s="86" t="s">
        <v>1587</v>
      </c>
    </row>
    <row r="2946" spans="6:7" x14ac:dyDescent="0.35">
      <c r="F2946" s="70">
        <v>307315</v>
      </c>
      <c r="G2946" s="86" t="s">
        <v>1588</v>
      </c>
    </row>
    <row r="2947" spans="6:7" x14ac:dyDescent="0.35">
      <c r="F2947" s="70">
        <v>307063</v>
      </c>
      <c r="G2947" s="86" t="s">
        <v>1589</v>
      </c>
    </row>
    <row r="2948" spans="6:7" x14ac:dyDescent="0.35">
      <c r="F2948" s="70">
        <v>311165</v>
      </c>
      <c r="G2948" s="86" t="s">
        <v>1590</v>
      </c>
    </row>
    <row r="2949" spans="6:7" x14ac:dyDescent="0.35">
      <c r="F2949" s="70">
        <v>310954</v>
      </c>
      <c r="G2949" s="86" t="s">
        <v>1591</v>
      </c>
    </row>
    <row r="2950" spans="6:7" x14ac:dyDescent="0.35">
      <c r="F2950" s="70">
        <v>315346</v>
      </c>
      <c r="G2950" s="86" t="s">
        <v>1592</v>
      </c>
    </row>
    <row r="2951" spans="6:7" x14ac:dyDescent="0.35">
      <c r="F2951" s="70">
        <v>314330</v>
      </c>
      <c r="G2951" s="86" t="s">
        <v>1593</v>
      </c>
    </row>
    <row r="2952" spans="6:7" x14ac:dyDescent="0.35">
      <c r="F2952" s="70">
        <v>314985</v>
      </c>
      <c r="G2952" s="86" t="s">
        <v>1594</v>
      </c>
    </row>
    <row r="2953" spans="6:7" x14ac:dyDescent="0.35">
      <c r="F2953" s="70">
        <v>309503</v>
      </c>
      <c r="G2953" s="86" t="s">
        <v>1595</v>
      </c>
    </row>
    <row r="2954" spans="6:7" x14ac:dyDescent="0.35">
      <c r="F2954" s="70">
        <v>301826</v>
      </c>
      <c r="G2954" s="86" t="s">
        <v>1596</v>
      </c>
    </row>
    <row r="2955" spans="6:7" x14ac:dyDescent="0.35">
      <c r="F2955" s="70">
        <v>313864</v>
      </c>
      <c r="G2955" s="86" t="s">
        <v>1597</v>
      </c>
    </row>
    <row r="2956" spans="6:7" x14ac:dyDescent="0.35">
      <c r="F2956" s="70">
        <v>314919</v>
      </c>
      <c r="G2956" s="86" t="s">
        <v>1598</v>
      </c>
    </row>
    <row r="2957" spans="6:7" x14ac:dyDescent="0.35">
      <c r="F2957" s="70">
        <v>312699</v>
      </c>
      <c r="G2957" s="86" t="s">
        <v>1599</v>
      </c>
    </row>
    <row r="2958" spans="6:7" x14ac:dyDescent="0.35">
      <c r="F2958" s="70">
        <v>310468</v>
      </c>
      <c r="G2958" s="86" t="s">
        <v>1600</v>
      </c>
    </row>
    <row r="2959" spans="6:7" x14ac:dyDescent="0.35">
      <c r="F2959" s="70">
        <v>313534</v>
      </c>
      <c r="G2959" s="86" t="s">
        <v>1601</v>
      </c>
    </row>
    <row r="2960" spans="6:7" x14ac:dyDescent="0.35">
      <c r="F2960" s="70">
        <v>314555</v>
      </c>
      <c r="G2960" s="86" t="s">
        <v>1602</v>
      </c>
    </row>
    <row r="2961" spans="6:7" x14ac:dyDescent="0.35">
      <c r="F2961" s="70">
        <v>301347</v>
      </c>
      <c r="G2961" s="86" t="s">
        <v>1603</v>
      </c>
    </row>
    <row r="2962" spans="6:7" x14ac:dyDescent="0.35">
      <c r="F2962" s="70">
        <v>313439</v>
      </c>
      <c r="G2962" s="86" t="s">
        <v>1604</v>
      </c>
    </row>
    <row r="2963" spans="6:7" x14ac:dyDescent="0.35">
      <c r="F2963" s="70">
        <v>307748</v>
      </c>
      <c r="G2963" s="86" t="s">
        <v>1605</v>
      </c>
    </row>
    <row r="2964" spans="6:7" x14ac:dyDescent="0.35">
      <c r="F2964" s="70">
        <v>313772</v>
      </c>
      <c r="G2964" s="86" t="s">
        <v>1606</v>
      </c>
    </row>
    <row r="2965" spans="6:7" x14ac:dyDescent="0.35">
      <c r="F2965" s="70">
        <v>306649</v>
      </c>
      <c r="G2965" s="86" t="s">
        <v>1607</v>
      </c>
    </row>
    <row r="2966" spans="6:7" x14ac:dyDescent="0.35">
      <c r="F2966" s="70">
        <v>201909</v>
      </c>
      <c r="G2966" s="86" t="s">
        <v>1608</v>
      </c>
    </row>
    <row r="2967" spans="6:7" x14ac:dyDescent="0.35">
      <c r="F2967" s="70">
        <v>314023</v>
      </c>
      <c r="G2967" s="86" t="s">
        <v>1609</v>
      </c>
    </row>
    <row r="2968" spans="6:7" x14ac:dyDescent="0.35">
      <c r="F2968" s="70">
        <v>315506</v>
      </c>
      <c r="G2968" s="86" t="s">
        <v>1610</v>
      </c>
    </row>
    <row r="2969" spans="6:7" x14ac:dyDescent="0.35">
      <c r="F2969" s="70">
        <v>101866</v>
      </c>
      <c r="G2969" s="86" t="s">
        <v>1611</v>
      </c>
    </row>
    <row r="2970" spans="6:7" x14ac:dyDescent="0.35">
      <c r="F2970" s="70">
        <v>310687</v>
      </c>
      <c r="G2970" s="86" t="s">
        <v>1612</v>
      </c>
    </row>
    <row r="2971" spans="6:7" x14ac:dyDescent="0.35">
      <c r="F2971" s="70">
        <v>313842</v>
      </c>
      <c r="G2971" s="86" t="s">
        <v>1613</v>
      </c>
    </row>
    <row r="2972" spans="6:7" x14ac:dyDescent="0.35">
      <c r="F2972" s="70">
        <v>313441</v>
      </c>
      <c r="G2972" s="86" t="s">
        <v>1614</v>
      </c>
    </row>
    <row r="2973" spans="6:7" x14ac:dyDescent="0.35">
      <c r="F2973" s="70">
        <v>313480</v>
      </c>
      <c r="G2973" s="86" t="s">
        <v>1615</v>
      </c>
    </row>
    <row r="2974" spans="6:7" x14ac:dyDescent="0.35">
      <c r="F2974" s="70">
        <v>313674</v>
      </c>
      <c r="G2974" s="86" t="s">
        <v>1616</v>
      </c>
    </row>
    <row r="2975" spans="6:7" x14ac:dyDescent="0.35">
      <c r="F2975" s="70">
        <v>307706</v>
      </c>
      <c r="G2975" s="86" t="s">
        <v>1617</v>
      </c>
    </row>
    <row r="2976" spans="6:7" x14ac:dyDescent="0.35">
      <c r="F2976" s="70">
        <v>314918</v>
      </c>
      <c r="G2976" s="86" t="s">
        <v>1618</v>
      </c>
    </row>
    <row r="2977" spans="6:7" x14ac:dyDescent="0.35">
      <c r="F2977" s="70">
        <v>313553</v>
      </c>
      <c r="G2977" s="86" t="s">
        <v>1619</v>
      </c>
    </row>
    <row r="2978" spans="6:7" x14ac:dyDescent="0.35">
      <c r="F2978" s="70">
        <v>308910</v>
      </c>
      <c r="G2978" s="86" t="s">
        <v>1620</v>
      </c>
    </row>
    <row r="2979" spans="6:7" x14ac:dyDescent="0.35">
      <c r="F2979" s="70">
        <v>302232</v>
      </c>
      <c r="G2979" s="86" t="s">
        <v>1621</v>
      </c>
    </row>
    <row r="2980" spans="6:7" x14ac:dyDescent="0.35">
      <c r="F2980" s="70">
        <v>311945</v>
      </c>
      <c r="G2980" s="86" t="s">
        <v>1622</v>
      </c>
    </row>
    <row r="2981" spans="6:7" x14ac:dyDescent="0.35">
      <c r="F2981" s="70">
        <v>315559</v>
      </c>
      <c r="G2981" s="86" t="s">
        <v>1623</v>
      </c>
    </row>
    <row r="2982" spans="6:7" x14ac:dyDescent="0.35">
      <c r="F2982" s="70">
        <v>313346</v>
      </c>
      <c r="G2982" s="86" t="s">
        <v>1624</v>
      </c>
    </row>
    <row r="2983" spans="6:7" x14ac:dyDescent="0.35">
      <c r="F2983" s="70">
        <v>314616</v>
      </c>
      <c r="G2983" s="86" t="s">
        <v>1625</v>
      </c>
    </row>
    <row r="2984" spans="6:7" x14ac:dyDescent="0.35">
      <c r="F2984" s="70">
        <v>314653</v>
      </c>
      <c r="G2984" s="86" t="s">
        <v>1626</v>
      </c>
    </row>
    <row r="2985" spans="6:7" x14ac:dyDescent="0.35">
      <c r="F2985" s="70">
        <v>311311</v>
      </c>
      <c r="G2985" s="86" t="s">
        <v>1627</v>
      </c>
    </row>
    <row r="2986" spans="6:7" x14ac:dyDescent="0.35">
      <c r="F2986" s="70">
        <v>313427</v>
      </c>
      <c r="G2986" s="86" t="s">
        <v>1628</v>
      </c>
    </row>
    <row r="2987" spans="6:7" x14ac:dyDescent="0.35">
      <c r="F2987" s="70">
        <v>201518</v>
      </c>
      <c r="G2987" s="86" t="s">
        <v>1629</v>
      </c>
    </row>
    <row r="2988" spans="6:7" x14ac:dyDescent="0.35">
      <c r="F2988" s="70">
        <v>315266</v>
      </c>
      <c r="G2988" s="86" t="s">
        <v>1630</v>
      </c>
    </row>
    <row r="2989" spans="6:7" x14ac:dyDescent="0.35">
      <c r="F2989" s="70">
        <v>314223</v>
      </c>
      <c r="G2989" s="86" t="s">
        <v>1631</v>
      </c>
    </row>
    <row r="2990" spans="6:7" x14ac:dyDescent="0.35">
      <c r="F2990" s="70">
        <v>314959</v>
      </c>
      <c r="G2990" s="86" t="s">
        <v>1632</v>
      </c>
    </row>
    <row r="2991" spans="6:7" x14ac:dyDescent="0.35">
      <c r="F2991" s="70">
        <v>302592</v>
      </c>
      <c r="G2991" s="86" t="s">
        <v>1633</v>
      </c>
    </row>
    <row r="2992" spans="6:7" x14ac:dyDescent="0.35">
      <c r="F2992" s="70">
        <v>301700</v>
      </c>
      <c r="G2992" s="86" t="s">
        <v>1634</v>
      </c>
    </row>
    <row r="2993" spans="6:7" x14ac:dyDescent="0.35">
      <c r="F2993" s="70">
        <v>312111</v>
      </c>
      <c r="G2993" s="86" t="s">
        <v>1635</v>
      </c>
    </row>
    <row r="2994" spans="6:7" x14ac:dyDescent="0.35">
      <c r="F2994" s="70">
        <v>303538</v>
      </c>
      <c r="G2994" s="86" t="s">
        <v>1636</v>
      </c>
    </row>
    <row r="2995" spans="6:7" x14ac:dyDescent="0.35">
      <c r="F2995" s="70">
        <v>305223</v>
      </c>
      <c r="G2995" s="86" t="s">
        <v>1637</v>
      </c>
    </row>
    <row r="2996" spans="6:7" x14ac:dyDescent="0.35">
      <c r="F2996" s="70">
        <v>311423</v>
      </c>
      <c r="G2996" s="86" t="s">
        <v>1638</v>
      </c>
    </row>
    <row r="2997" spans="6:7" x14ac:dyDescent="0.35">
      <c r="F2997" s="70">
        <v>310510</v>
      </c>
      <c r="G2997" s="86" t="s">
        <v>1639</v>
      </c>
    </row>
    <row r="2998" spans="6:7" x14ac:dyDescent="0.35">
      <c r="F2998" s="70">
        <v>312587</v>
      </c>
      <c r="G2998" s="86" t="s">
        <v>1640</v>
      </c>
    </row>
    <row r="2999" spans="6:7" x14ac:dyDescent="0.35">
      <c r="F2999" s="70">
        <v>314745</v>
      </c>
      <c r="G2999" s="86" t="s">
        <v>1641</v>
      </c>
    </row>
    <row r="3000" spans="6:7" x14ac:dyDescent="0.35">
      <c r="F3000" s="70">
        <v>309809</v>
      </c>
      <c r="G3000" s="86" t="s">
        <v>1642</v>
      </c>
    </row>
    <row r="3001" spans="6:7" x14ac:dyDescent="0.35">
      <c r="F3001" s="70">
        <v>311261</v>
      </c>
      <c r="G3001" s="86" t="s">
        <v>1643</v>
      </c>
    </row>
    <row r="3002" spans="6:7" x14ac:dyDescent="0.35">
      <c r="F3002" s="70">
        <v>312545</v>
      </c>
      <c r="G3002" s="86" t="s">
        <v>1644</v>
      </c>
    </row>
    <row r="3003" spans="6:7" x14ac:dyDescent="0.35">
      <c r="F3003" s="70">
        <v>314192</v>
      </c>
      <c r="G3003" s="86" t="s">
        <v>1645</v>
      </c>
    </row>
    <row r="3004" spans="6:7" x14ac:dyDescent="0.35">
      <c r="F3004" s="70">
        <v>314024</v>
      </c>
      <c r="G3004" s="86" t="s">
        <v>1646</v>
      </c>
    </row>
    <row r="3005" spans="6:7" x14ac:dyDescent="0.35">
      <c r="F3005" s="70">
        <v>314913</v>
      </c>
      <c r="G3005" s="86" t="s">
        <v>1647</v>
      </c>
    </row>
    <row r="3006" spans="6:7" x14ac:dyDescent="0.35">
      <c r="F3006" s="70">
        <v>314631</v>
      </c>
      <c r="G3006" s="86" t="s">
        <v>1648</v>
      </c>
    </row>
    <row r="3007" spans="6:7" x14ac:dyDescent="0.35">
      <c r="F3007" s="70">
        <v>309216</v>
      </c>
      <c r="G3007" s="86" t="s">
        <v>1649</v>
      </c>
    </row>
    <row r="3008" spans="6:7" x14ac:dyDescent="0.35">
      <c r="F3008" s="70">
        <v>313499</v>
      </c>
      <c r="G3008" s="86" t="s">
        <v>1650</v>
      </c>
    </row>
    <row r="3009" spans="6:7" x14ac:dyDescent="0.35">
      <c r="F3009" s="70">
        <v>312176</v>
      </c>
      <c r="G3009" s="86" t="s">
        <v>1651</v>
      </c>
    </row>
    <row r="3010" spans="6:7" x14ac:dyDescent="0.35">
      <c r="F3010" s="70">
        <v>309178</v>
      </c>
      <c r="G3010" s="86" t="s">
        <v>1652</v>
      </c>
    </row>
    <row r="3011" spans="6:7" x14ac:dyDescent="0.35">
      <c r="F3011" s="70">
        <v>313878</v>
      </c>
      <c r="G3011" s="86" t="s">
        <v>1653</v>
      </c>
    </row>
    <row r="3012" spans="6:7" x14ac:dyDescent="0.35">
      <c r="F3012" s="70">
        <v>305532</v>
      </c>
      <c r="G3012" s="86" t="s">
        <v>1654</v>
      </c>
    </row>
    <row r="3013" spans="6:7" x14ac:dyDescent="0.35">
      <c r="F3013" s="70">
        <v>312763</v>
      </c>
      <c r="G3013" s="86" t="s">
        <v>1655</v>
      </c>
    </row>
    <row r="3014" spans="6:7" x14ac:dyDescent="0.35">
      <c r="F3014" s="70">
        <v>315413</v>
      </c>
      <c r="G3014" s="86" t="s">
        <v>1656</v>
      </c>
    </row>
    <row r="3015" spans="6:7" x14ac:dyDescent="0.35">
      <c r="F3015" s="70">
        <v>310907</v>
      </c>
      <c r="G3015" s="86" t="s">
        <v>1657</v>
      </c>
    </row>
    <row r="3016" spans="6:7" x14ac:dyDescent="0.35">
      <c r="F3016" s="70">
        <v>314818</v>
      </c>
      <c r="G3016" s="86" t="s">
        <v>1658</v>
      </c>
    </row>
    <row r="3017" spans="6:7" x14ac:dyDescent="0.35">
      <c r="F3017" s="70">
        <v>301486</v>
      </c>
      <c r="G3017" s="86" t="s">
        <v>1659</v>
      </c>
    </row>
    <row r="3018" spans="6:7" x14ac:dyDescent="0.35">
      <c r="F3018" s="70">
        <v>306850</v>
      </c>
      <c r="G3018" s="86" t="s">
        <v>1660</v>
      </c>
    </row>
    <row r="3019" spans="6:7" x14ac:dyDescent="0.35">
      <c r="F3019" s="70">
        <v>311624</v>
      </c>
      <c r="G3019" s="86" t="s">
        <v>1661</v>
      </c>
    </row>
    <row r="3020" spans="6:7" x14ac:dyDescent="0.35">
      <c r="F3020" s="70">
        <v>309912</v>
      </c>
      <c r="G3020" s="86" t="s">
        <v>1662</v>
      </c>
    </row>
    <row r="3021" spans="6:7" x14ac:dyDescent="0.35">
      <c r="F3021" s="70">
        <v>102045</v>
      </c>
      <c r="G3021" s="86" t="s">
        <v>1663</v>
      </c>
    </row>
    <row r="3022" spans="6:7" x14ac:dyDescent="0.35">
      <c r="F3022" s="70">
        <v>310375</v>
      </c>
      <c r="G3022" s="86" t="s">
        <v>1664</v>
      </c>
    </row>
    <row r="3023" spans="6:7" x14ac:dyDescent="0.35">
      <c r="F3023" s="70">
        <v>313429</v>
      </c>
      <c r="G3023" s="86" t="s">
        <v>1665</v>
      </c>
    </row>
    <row r="3024" spans="6:7" x14ac:dyDescent="0.35">
      <c r="F3024" s="70">
        <v>309744</v>
      </c>
      <c r="G3024" s="86" t="s">
        <v>1666</v>
      </c>
    </row>
    <row r="3025" spans="6:7" x14ac:dyDescent="0.35">
      <c r="F3025" s="70">
        <v>315554</v>
      </c>
      <c r="G3025" s="86" t="s">
        <v>1667</v>
      </c>
    </row>
    <row r="3026" spans="6:7" x14ac:dyDescent="0.35">
      <c r="F3026" s="70">
        <v>315037</v>
      </c>
      <c r="G3026" s="86" t="s">
        <v>1668</v>
      </c>
    </row>
    <row r="3027" spans="6:7" x14ac:dyDescent="0.35">
      <c r="F3027" s="70">
        <v>307511</v>
      </c>
      <c r="G3027" s="86" t="s">
        <v>1669</v>
      </c>
    </row>
    <row r="3028" spans="6:7" x14ac:dyDescent="0.35">
      <c r="F3028" s="70">
        <v>310763</v>
      </c>
      <c r="G3028" s="86" t="s">
        <v>1670</v>
      </c>
    </row>
    <row r="3029" spans="6:7" x14ac:dyDescent="0.35">
      <c r="F3029" s="70">
        <v>309989</v>
      </c>
      <c r="G3029" s="86" t="s">
        <v>1671</v>
      </c>
    </row>
    <row r="3030" spans="6:7" x14ac:dyDescent="0.35">
      <c r="F3030" s="70">
        <v>315281</v>
      </c>
      <c r="G3030" s="86" t="s">
        <v>1672</v>
      </c>
    </row>
    <row r="3031" spans="6:7" x14ac:dyDescent="0.35">
      <c r="F3031" s="70">
        <v>312972</v>
      </c>
      <c r="G3031" s="86" t="s">
        <v>1673</v>
      </c>
    </row>
    <row r="3032" spans="6:7" x14ac:dyDescent="0.35">
      <c r="F3032" s="70">
        <v>302263</v>
      </c>
      <c r="G3032" s="86" t="s">
        <v>1674</v>
      </c>
    </row>
    <row r="3033" spans="6:7" x14ac:dyDescent="0.35">
      <c r="F3033" s="70">
        <v>308263</v>
      </c>
      <c r="G3033" s="86" t="s">
        <v>1675</v>
      </c>
    </row>
    <row r="3034" spans="6:7" x14ac:dyDescent="0.35">
      <c r="F3034" s="70">
        <v>314104</v>
      </c>
      <c r="G3034" s="86" t="s">
        <v>1676</v>
      </c>
    </row>
    <row r="3035" spans="6:7" x14ac:dyDescent="0.35">
      <c r="F3035" s="70">
        <v>314270</v>
      </c>
      <c r="G3035" s="86" t="s">
        <v>1677</v>
      </c>
    </row>
    <row r="3036" spans="6:7" x14ac:dyDescent="0.35">
      <c r="F3036" s="70">
        <v>315507</v>
      </c>
      <c r="G3036" s="86" t="s">
        <v>1678</v>
      </c>
    </row>
    <row r="3037" spans="6:7" x14ac:dyDescent="0.35">
      <c r="F3037" s="70">
        <v>314914</v>
      </c>
      <c r="G3037" s="86" t="s">
        <v>1679</v>
      </c>
    </row>
    <row r="3038" spans="6:7" x14ac:dyDescent="0.35">
      <c r="F3038" s="70">
        <v>308805</v>
      </c>
      <c r="G3038" s="86" t="s">
        <v>1680</v>
      </c>
    </row>
    <row r="3039" spans="6:7" x14ac:dyDescent="0.35">
      <c r="F3039" s="70">
        <v>315115</v>
      </c>
      <c r="G3039" s="86" t="s">
        <v>1681</v>
      </c>
    </row>
    <row r="3040" spans="6:7" x14ac:dyDescent="0.35">
      <c r="F3040" s="70">
        <v>315497</v>
      </c>
      <c r="G3040" s="86" t="s">
        <v>1682</v>
      </c>
    </row>
    <row r="3041" spans="6:7" x14ac:dyDescent="0.35">
      <c r="F3041" s="70">
        <v>310031</v>
      </c>
      <c r="G3041" s="86" t="s">
        <v>1683</v>
      </c>
    </row>
    <row r="3042" spans="6:7" x14ac:dyDescent="0.35">
      <c r="F3042" s="70">
        <v>307209</v>
      </c>
      <c r="G3042" s="86" t="s">
        <v>1684</v>
      </c>
    </row>
    <row r="3043" spans="6:7" x14ac:dyDescent="0.35">
      <c r="F3043" s="70">
        <v>309656</v>
      </c>
      <c r="G3043" s="86" t="s">
        <v>1685</v>
      </c>
    </row>
    <row r="3044" spans="6:7" x14ac:dyDescent="0.35">
      <c r="F3044" s="70">
        <v>312335</v>
      </c>
      <c r="G3044" s="86" t="s">
        <v>1686</v>
      </c>
    </row>
    <row r="3045" spans="6:7" x14ac:dyDescent="0.35">
      <c r="F3045" s="70">
        <v>314894</v>
      </c>
      <c r="G3045" s="86" t="s">
        <v>1687</v>
      </c>
    </row>
    <row r="3046" spans="6:7" x14ac:dyDescent="0.35">
      <c r="F3046" s="70">
        <v>315122</v>
      </c>
      <c r="G3046" s="86" t="s">
        <v>1688</v>
      </c>
    </row>
    <row r="3047" spans="6:7" x14ac:dyDescent="0.35">
      <c r="F3047" s="70">
        <v>315454</v>
      </c>
      <c r="G3047" s="86" t="s">
        <v>1689</v>
      </c>
    </row>
    <row r="3048" spans="6:7" x14ac:dyDescent="0.35">
      <c r="F3048" s="70">
        <v>314010</v>
      </c>
      <c r="G3048" s="86" t="s">
        <v>1690</v>
      </c>
    </row>
    <row r="3049" spans="6:7" x14ac:dyDescent="0.35">
      <c r="F3049" s="70">
        <v>313530</v>
      </c>
      <c r="G3049" s="86" t="s">
        <v>1691</v>
      </c>
    </row>
    <row r="3050" spans="6:7" x14ac:dyDescent="0.35">
      <c r="F3050" s="70">
        <v>314884</v>
      </c>
      <c r="G3050" s="86" t="s">
        <v>1692</v>
      </c>
    </row>
    <row r="3051" spans="6:7" x14ac:dyDescent="0.35">
      <c r="F3051" s="70">
        <v>309035</v>
      </c>
      <c r="G3051" s="86" t="s">
        <v>1693</v>
      </c>
    </row>
    <row r="3052" spans="6:7" x14ac:dyDescent="0.35">
      <c r="F3052" s="70">
        <v>308158</v>
      </c>
      <c r="G3052" s="86" t="s">
        <v>1694</v>
      </c>
    </row>
    <row r="3053" spans="6:7" x14ac:dyDescent="0.35">
      <c r="F3053" s="70">
        <v>314694</v>
      </c>
      <c r="G3053" s="86" t="s">
        <v>1695</v>
      </c>
    </row>
    <row r="3054" spans="6:7" x14ac:dyDescent="0.35">
      <c r="F3054" s="70">
        <v>311221</v>
      </c>
      <c r="G3054" s="86" t="s">
        <v>1696</v>
      </c>
    </row>
    <row r="3055" spans="6:7" x14ac:dyDescent="0.35">
      <c r="F3055" s="70">
        <v>314951</v>
      </c>
      <c r="G3055" s="86" t="s">
        <v>1697</v>
      </c>
    </row>
    <row r="3056" spans="6:7" x14ac:dyDescent="0.35">
      <c r="F3056" s="70">
        <v>306911</v>
      </c>
      <c r="G3056" s="86" t="s">
        <v>1698</v>
      </c>
    </row>
    <row r="3057" spans="6:7" x14ac:dyDescent="0.35">
      <c r="F3057" s="70">
        <v>303664</v>
      </c>
      <c r="G3057" s="86" t="s">
        <v>1699</v>
      </c>
    </row>
    <row r="3058" spans="6:7" x14ac:dyDescent="0.35">
      <c r="F3058" s="70">
        <v>314450</v>
      </c>
      <c r="G3058" s="86" t="s">
        <v>1700</v>
      </c>
    </row>
    <row r="3059" spans="6:7" x14ac:dyDescent="0.35">
      <c r="F3059" s="70">
        <v>315367</v>
      </c>
      <c r="G3059" s="86" t="s">
        <v>1701</v>
      </c>
    </row>
    <row r="3060" spans="6:7" x14ac:dyDescent="0.35">
      <c r="F3060" s="70">
        <v>311720</v>
      </c>
      <c r="G3060" s="86" t="s">
        <v>1702</v>
      </c>
    </row>
    <row r="3061" spans="6:7" x14ac:dyDescent="0.35">
      <c r="F3061" s="70">
        <v>313341</v>
      </c>
      <c r="G3061" s="86" t="s">
        <v>1703</v>
      </c>
    </row>
    <row r="3062" spans="6:7" x14ac:dyDescent="0.35">
      <c r="F3062" s="70">
        <v>309191</v>
      </c>
      <c r="G3062" s="86" t="s">
        <v>1704</v>
      </c>
    </row>
    <row r="3063" spans="6:7" x14ac:dyDescent="0.35">
      <c r="F3063" s="70">
        <v>315321</v>
      </c>
      <c r="G3063" s="86" t="s">
        <v>1705</v>
      </c>
    </row>
    <row r="3064" spans="6:7" x14ac:dyDescent="0.35">
      <c r="F3064" s="70">
        <v>312312</v>
      </c>
      <c r="G3064" s="86" t="s">
        <v>1706</v>
      </c>
    </row>
    <row r="3065" spans="6:7" x14ac:dyDescent="0.35">
      <c r="F3065" s="70">
        <v>306619</v>
      </c>
      <c r="G3065" s="86" t="s">
        <v>1707</v>
      </c>
    </row>
    <row r="3066" spans="6:7" x14ac:dyDescent="0.35">
      <c r="F3066" s="70">
        <v>315347</v>
      </c>
      <c r="G3066" s="86" t="s">
        <v>1708</v>
      </c>
    </row>
    <row r="3067" spans="6:7" x14ac:dyDescent="0.35">
      <c r="F3067" s="70">
        <v>314960</v>
      </c>
      <c r="G3067" s="86" t="s">
        <v>1709</v>
      </c>
    </row>
    <row r="3068" spans="6:7" x14ac:dyDescent="0.35">
      <c r="F3068" s="70">
        <v>315170</v>
      </c>
      <c r="G3068" s="86" t="s">
        <v>1710</v>
      </c>
    </row>
    <row r="3069" spans="6:7" x14ac:dyDescent="0.35">
      <c r="F3069" s="70">
        <v>315179</v>
      </c>
      <c r="G3069" s="86" t="s">
        <v>1711</v>
      </c>
    </row>
    <row r="3070" spans="6:7" x14ac:dyDescent="0.35">
      <c r="F3070" s="70">
        <v>311846</v>
      </c>
      <c r="G3070" s="86" t="s">
        <v>1712</v>
      </c>
    </row>
    <row r="3071" spans="6:7" x14ac:dyDescent="0.35">
      <c r="F3071" s="70">
        <v>314666</v>
      </c>
      <c r="G3071" s="86" t="s">
        <v>1713</v>
      </c>
    </row>
    <row r="3072" spans="6:7" x14ac:dyDescent="0.35">
      <c r="F3072" s="70">
        <v>310610</v>
      </c>
      <c r="G3072" s="86" t="s">
        <v>1714</v>
      </c>
    </row>
    <row r="3073" spans="6:7" x14ac:dyDescent="0.35">
      <c r="F3073" s="70">
        <v>314813</v>
      </c>
      <c r="G3073" s="86" t="s">
        <v>1715</v>
      </c>
    </row>
    <row r="3074" spans="6:7" x14ac:dyDescent="0.35">
      <c r="F3074" s="70">
        <v>312901</v>
      </c>
      <c r="G3074" s="86" t="s">
        <v>1716</v>
      </c>
    </row>
    <row r="3075" spans="6:7" x14ac:dyDescent="0.35">
      <c r="F3075" s="70">
        <v>308852</v>
      </c>
      <c r="G3075" s="86" t="s">
        <v>1717</v>
      </c>
    </row>
    <row r="3076" spans="6:7" x14ac:dyDescent="0.35">
      <c r="F3076" s="70">
        <v>306098</v>
      </c>
      <c r="G3076" s="86" t="s">
        <v>1718</v>
      </c>
    </row>
    <row r="3077" spans="6:7" x14ac:dyDescent="0.35">
      <c r="F3077" s="70">
        <v>313517</v>
      </c>
      <c r="G3077" s="86" t="s">
        <v>1719</v>
      </c>
    </row>
    <row r="3078" spans="6:7" x14ac:dyDescent="0.35">
      <c r="F3078" s="70">
        <v>314945</v>
      </c>
      <c r="G3078" s="86" t="s">
        <v>1720</v>
      </c>
    </row>
    <row r="3079" spans="6:7" x14ac:dyDescent="0.35">
      <c r="F3079" s="70">
        <v>313403</v>
      </c>
      <c r="G3079" s="86" t="s">
        <v>1721</v>
      </c>
    </row>
    <row r="3080" spans="6:7" x14ac:dyDescent="0.35">
      <c r="F3080" s="70">
        <v>314776</v>
      </c>
      <c r="G3080" s="86" t="s">
        <v>1722</v>
      </c>
    </row>
    <row r="3081" spans="6:7" x14ac:dyDescent="0.35">
      <c r="F3081" s="70">
        <v>315539</v>
      </c>
      <c r="G3081" s="86" t="s">
        <v>1723</v>
      </c>
    </row>
    <row r="3082" spans="6:7" x14ac:dyDescent="0.35">
      <c r="F3082" s="70">
        <v>314096</v>
      </c>
      <c r="G3082" s="86" t="s">
        <v>1724</v>
      </c>
    </row>
    <row r="3083" spans="6:7" x14ac:dyDescent="0.35">
      <c r="F3083" s="70">
        <v>307943</v>
      </c>
      <c r="G3083" s="86" t="s">
        <v>1725</v>
      </c>
    </row>
    <row r="3084" spans="6:7" x14ac:dyDescent="0.35">
      <c r="F3084" s="70">
        <v>315118</v>
      </c>
      <c r="G3084" s="86" t="s">
        <v>1726</v>
      </c>
    </row>
    <row r="3085" spans="6:7" x14ac:dyDescent="0.35">
      <c r="F3085" s="70">
        <v>315165</v>
      </c>
      <c r="G3085" s="86" t="s">
        <v>1727</v>
      </c>
    </row>
    <row r="3086" spans="6:7" x14ac:dyDescent="0.35">
      <c r="F3086" s="70">
        <v>312877</v>
      </c>
      <c r="G3086" s="86" t="s">
        <v>1728</v>
      </c>
    </row>
    <row r="3087" spans="6:7" x14ac:dyDescent="0.35">
      <c r="F3087" s="70">
        <v>310267</v>
      </c>
      <c r="G3087" s="86" t="s">
        <v>1729</v>
      </c>
    </row>
    <row r="3088" spans="6:7" x14ac:dyDescent="0.35">
      <c r="F3088" s="70">
        <v>314930</v>
      </c>
      <c r="G3088" s="86" t="s">
        <v>1730</v>
      </c>
    </row>
    <row r="3089" spans="6:7" x14ac:dyDescent="0.35">
      <c r="F3089" s="70">
        <v>315305</v>
      </c>
      <c r="G3089" s="86" t="s">
        <v>1731</v>
      </c>
    </row>
    <row r="3090" spans="6:7" x14ac:dyDescent="0.35">
      <c r="F3090" s="70">
        <v>305255</v>
      </c>
      <c r="G3090" s="86" t="s">
        <v>1732</v>
      </c>
    </row>
    <row r="3091" spans="6:7" x14ac:dyDescent="0.35">
      <c r="F3091" s="70">
        <v>313771</v>
      </c>
      <c r="G3091" s="86" t="s">
        <v>1733</v>
      </c>
    </row>
    <row r="3092" spans="6:7" x14ac:dyDescent="0.35">
      <c r="F3092" s="70">
        <v>315353</v>
      </c>
      <c r="G3092" s="86" t="s">
        <v>1734</v>
      </c>
    </row>
    <row r="3093" spans="6:7" x14ac:dyDescent="0.35">
      <c r="F3093" s="70">
        <v>301835</v>
      </c>
      <c r="G3093" s="86" t="s">
        <v>1735</v>
      </c>
    </row>
    <row r="3094" spans="6:7" x14ac:dyDescent="0.35">
      <c r="F3094" s="70">
        <v>315389</v>
      </c>
      <c r="G3094" s="86" t="s">
        <v>1736</v>
      </c>
    </row>
    <row r="3095" spans="6:7" x14ac:dyDescent="0.35">
      <c r="F3095" s="70">
        <v>312729</v>
      </c>
      <c r="G3095" s="86" t="s">
        <v>1737</v>
      </c>
    </row>
    <row r="3096" spans="6:7" x14ac:dyDescent="0.35">
      <c r="F3096" s="70">
        <v>300594</v>
      </c>
      <c r="G3096" s="86" t="s">
        <v>1738</v>
      </c>
    </row>
    <row r="3097" spans="6:7" x14ac:dyDescent="0.35">
      <c r="F3097" s="70">
        <v>303901</v>
      </c>
      <c r="G3097" s="86" t="s">
        <v>1739</v>
      </c>
    </row>
    <row r="3098" spans="6:7" x14ac:dyDescent="0.35">
      <c r="F3098" s="70">
        <v>312040</v>
      </c>
      <c r="G3098" s="86" t="s">
        <v>1740</v>
      </c>
    </row>
    <row r="3099" spans="6:7" x14ac:dyDescent="0.35">
      <c r="F3099" s="70">
        <v>313606</v>
      </c>
      <c r="G3099" s="86" t="s">
        <v>1741</v>
      </c>
    </row>
    <row r="3100" spans="6:7" x14ac:dyDescent="0.35">
      <c r="F3100" s="70">
        <v>310534</v>
      </c>
      <c r="G3100" s="86" t="s">
        <v>1742</v>
      </c>
    </row>
    <row r="3101" spans="6:7" x14ac:dyDescent="0.35">
      <c r="F3101" s="70">
        <v>315045</v>
      </c>
      <c r="G3101" s="86" t="s">
        <v>1743</v>
      </c>
    </row>
    <row r="3102" spans="6:7" x14ac:dyDescent="0.35">
      <c r="F3102" s="70">
        <v>314308</v>
      </c>
      <c r="G3102" s="86" t="s">
        <v>1744</v>
      </c>
    </row>
    <row r="3103" spans="6:7" x14ac:dyDescent="0.35">
      <c r="F3103" s="70">
        <v>311511</v>
      </c>
      <c r="G3103" s="86" t="s">
        <v>1745</v>
      </c>
    </row>
    <row r="3104" spans="6:7" x14ac:dyDescent="0.35">
      <c r="F3104" s="70">
        <v>312888</v>
      </c>
      <c r="G3104" s="86" t="s">
        <v>1746</v>
      </c>
    </row>
    <row r="3105" spans="6:7" x14ac:dyDescent="0.35">
      <c r="F3105" s="70">
        <v>314814</v>
      </c>
      <c r="G3105" s="86" t="s">
        <v>1747</v>
      </c>
    </row>
    <row r="3106" spans="6:7" x14ac:dyDescent="0.35">
      <c r="F3106" s="70">
        <v>311551</v>
      </c>
      <c r="G3106" s="86" t="s">
        <v>1748</v>
      </c>
    </row>
    <row r="3107" spans="6:7" x14ac:dyDescent="0.35">
      <c r="F3107" s="70">
        <v>312546</v>
      </c>
      <c r="G3107" s="86" t="s">
        <v>1749</v>
      </c>
    </row>
    <row r="3108" spans="6:7" x14ac:dyDescent="0.35">
      <c r="F3108" s="70">
        <v>313599</v>
      </c>
      <c r="G3108" s="86" t="s">
        <v>1750</v>
      </c>
    </row>
    <row r="3109" spans="6:7" x14ac:dyDescent="0.35">
      <c r="F3109" s="70">
        <v>301658</v>
      </c>
      <c r="G3109" s="86" t="s">
        <v>1751</v>
      </c>
    </row>
    <row r="3110" spans="6:7" x14ac:dyDescent="0.35">
      <c r="F3110" s="70">
        <v>301786</v>
      </c>
      <c r="G3110" s="86" t="s">
        <v>1752</v>
      </c>
    </row>
    <row r="3111" spans="6:7" x14ac:dyDescent="0.35">
      <c r="F3111" s="70">
        <v>314606</v>
      </c>
      <c r="G3111" s="86" t="s">
        <v>1753</v>
      </c>
    </row>
    <row r="3112" spans="6:7" x14ac:dyDescent="0.35">
      <c r="F3112" s="70">
        <v>312383</v>
      </c>
      <c r="G3112" s="86" t="s">
        <v>1754</v>
      </c>
    </row>
    <row r="3113" spans="6:7" x14ac:dyDescent="0.35">
      <c r="F3113" s="70">
        <v>313592</v>
      </c>
      <c r="G3113" s="86" t="s">
        <v>1755</v>
      </c>
    </row>
    <row r="3114" spans="6:7" x14ac:dyDescent="0.35">
      <c r="F3114" s="70">
        <v>305099</v>
      </c>
      <c r="G3114" s="86" t="s">
        <v>1756</v>
      </c>
    </row>
    <row r="3115" spans="6:7" x14ac:dyDescent="0.35">
      <c r="F3115" s="70">
        <v>312923</v>
      </c>
      <c r="G3115" s="86" t="s">
        <v>1757</v>
      </c>
    </row>
    <row r="3116" spans="6:7" x14ac:dyDescent="0.35">
      <c r="F3116" s="70">
        <v>314420</v>
      </c>
      <c r="G3116" s="86" t="s">
        <v>1758</v>
      </c>
    </row>
    <row r="3117" spans="6:7" x14ac:dyDescent="0.35">
      <c r="F3117" s="70">
        <v>301460</v>
      </c>
      <c r="G3117" s="86" t="s">
        <v>1759</v>
      </c>
    </row>
    <row r="3118" spans="6:7" x14ac:dyDescent="0.35">
      <c r="F3118" s="70">
        <v>312012</v>
      </c>
      <c r="G3118" s="86" t="s">
        <v>1760</v>
      </c>
    </row>
    <row r="3119" spans="6:7" x14ac:dyDescent="0.35">
      <c r="F3119" s="70">
        <v>200872</v>
      </c>
      <c r="G3119" s="86" t="s">
        <v>1761</v>
      </c>
    </row>
    <row r="3120" spans="6:7" x14ac:dyDescent="0.35">
      <c r="F3120" s="70">
        <v>314820</v>
      </c>
      <c r="G3120" s="86" t="s">
        <v>1762</v>
      </c>
    </row>
    <row r="3121" spans="6:7" x14ac:dyDescent="0.35">
      <c r="F3121" s="70">
        <v>313875</v>
      </c>
      <c r="G3121" s="86" t="s">
        <v>1763</v>
      </c>
    </row>
    <row r="3122" spans="6:7" x14ac:dyDescent="0.35">
      <c r="F3122" s="70">
        <v>311092</v>
      </c>
      <c r="G3122" s="86" t="s">
        <v>1764</v>
      </c>
    </row>
    <row r="3123" spans="6:7" x14ac:dyDescent="0.35">
      <c r="F3123" s="70">
        <v>306416</v>
      </c>
      <c r="G3123" s="86" t="s">
        <v>1765</v>
      </c>
    </row>
    <row r="3124" spans="6:7" x14ac:dyDescent="0.35">
      <c r="F3124" s="70">
        <v>315024</v>
      </c>
      <c r="G3124" s="86" t="s">
        <v>1766</v>
      </c>
    </row>
    <row r="3125" spans="6:7" x14ac:dyDescent="0.35">
      <c r="F3125" s="70">
        <v>312908</v>
      </c>
      <c r="G3125" s="86" t="s">
        <v>1767</v>
      </c>
    </row>
    <row r="3126" spans="6:7" x14ac:dyDescent="0.35">
      <c r="F3126" s="70">
        <v>313078</v>
      </c>
      <c r="G3126" s="86" t="s">
        <v>1768</v>
      </c>
    </row>
    <row r="3127" spans="6:7" x14ac:dyDescent="0.35">
      <c r="F3127" s="70">
        <v>301438</v>
      </c>
      <c r="G3127" s="86" t="s">
        <v>1769</v>
      </c>
    </row>
    <row r="3128" spans="6:7" x14ac:dyDescent="0.35">
      <c r="F3128" s="70">
        <v>313622</v>
      </c>
      <c r="G3128" s="86" t="s">
        <v>1770</v>
      </c>
    </row>
    <row r="3129" spans="6:7" x14ac:dyDescent="0.35">
      <c r="F3129" s="70">
        <v>315408</v>
      </c>
      <c r="G3129" s="86" t="s">
        <v>1771</v>
      </c>
    </row>
    <row r="3130" spans="6:7" x14ac:dyDescent="0.35">
      <c r="F3130" s="70">
        <v>307105</v>
      </c>
      <c r="G3130" s="86" t="s">
        <v>1772</v>
      </c>
    </row>
    <row r="3131" spans="6:7" x14ac:dyDescent="0.35">
      <c r="F3131" s="70">
        <v>315254</v>
      </c>
      <c r="G3131" s="86" t="s">
        <v>1773</v>
      </c>
    </row>
    <row r="3132" spans="6:7" x14ac:dyDescent="0.35">
      <c r="F3132" s="70">
        <v>313402</v>
      </c>
      <c r="G3132" s="86" t="s">
        <v>1774</v>
      </c>
    </row>
    <row r="3133" spans="6:7" x14ac:dyDescent="0.35">
      <c r="F3133" s="70">
        <v>312501</v>
      </c>
      <c r="G3133" s="86" t="s">
        <v>1775</v>
      </c>
    </row>
    <row r="3134" spans="6:7" x14ac:dyDescent="0.35">
      <c r="F3134" s="70">
        <v>313492</v>
      </c>
      <c r="G3134" s="86" t="s">
        <v>1776</v>
      </c>
    </row>
    <row r="3135" spans="6:7" x14ac:dyDescent="0.35">
      <c r="F3135" s="70">
        <v>309816</v>
      </c>
      <c r="G3135" s="86" t="s">
        <v>1777</v>
      </c>
    </row>
    <row r="3136" spans="6:7" x14ac:dyDescent="0.35">
      <c r="F3136" s="70">
        <v>314956</v>
      </c>
      <c r="G3136" s="86" t="s">
        <v>1778</v>
      </c>
    </row>
    <row r="3137" spans="6:7" x14ac:dyDescent="0.35">
      <c r="F3137" s="70">
        <v>314855</v>
      </c>
      <c r="G3137" s="86" t="s">
        <v>1779</v>
      </c>
    </row>
    <row r="3138" spans="6:7" x14ac:dyDescent="0.35">
      <c r="F3138" s="70">
        <v>312294</v>
      </c>
      <c r="G3138" s="86" t="s">
        <v>1780</v>
      </c>
    </row>
    <row r="3139" spans="6:7" x14ac:dyDescent="0.35">
      <c r="F3139" s="70">
        <v>302278</v>
      </c>
      <c r="G3139" s="86" t="s">
        <v>1781</v>
      </c>
    </row>
    <row r="3140" spans="6:7" x14ac:dyDescent="0.35">
      <c r="F3140" s="70">
        <v>314266</v>
      </c>
      <c r="G3140" s="86" t="s">
        <v>1782</v>
      </c>
    </row>
    <row r="3141" spans="6:7" x14ac:dyDescent="0.35">
      <c r="F3141" s="70">
        <v>301308</v>
      </c>
      <c r="G3141" s="86" t="s">
        <v>1783</v>
      </c>
    </row>
    <row r="3142" spans="6:7" x14ac:dyDescent="0.35">
      <c r="F3142" s="70">
        <v>312346</v>
      </c>
      <c r="G3142" s="86" t="s">
        <v>1784</v>
      </c>
    </row>
    <row r="3143" spans="6:7" x14ac:dyDescent="0.35">
      <c r="F3143" s="70">
        <v>314559</v>
      </c>
      <c r="G3143" s="86" t="s">
        <v>1785</v>
      </c>
    </row>
    <row r="3144" spans="6:7" x14ac:dyDescent="0.35">
      <c r="F3144" s="70">
        <v>101896</v>
      </c>
      <c r="G3144" s="86" t="s">
        <v>1786</v>
      </c>
    </row>
    <row r="3145" spans="6:7" x14ac:dyDescent="0.35">
      <c r="F3145" s="70">
        <v>315294</v>
      </c>
      <c r="G3145" s="86" t="s">
        <v>1787</v>
      </c>
    </row>
    <row r="3146" spans="6:7" x14ac:dyDescent="0.35">
      <c r="F3146" s="70">
        <v>314079</v>
      </c>
      <c r="G3146" s="86" t="s">
        <v>1788</v>
      </c>
    </row>
    <row r="3147" spans="6:7" x14ac:dyDescent="0.35">
      <c r="F3147" s="70">
        <v>311147</v>
      </c>
      <c r="G3147" s="86" t="s">
        <v>1789</v>
      </c>
    </row>
    <row r="3148" spans="6:7" x14ac:dyDescent="0.35">
      <c r="F3148" s="70">
        <v>310599</v>
      </c>
      <c r="G3148" s="86" t="s">
        <v>1790</v>
      </c>
    </row>
    <row r="3149" spans="6:7" x14ac:dyDescent="0.35">
      <c r="F3149" s="70">
        <v>315541</v>
      </c>
      <c r="G3149" s="86" t="s">
        <v>1791</v>
      </c>
    </row>
    <row r="3150" spans="6:7" x14ac:dyDescent="0.35">
      <c r="F3150" s="70">
        <v>304805</v>
      </c>
      <c r="G3150" s="86" t="s">
        <v>1792</v>
      </c>
    </row>
    <row r="3151" spans="6:7" x14ac:dyDescent="0.35">
      <c r="F3151" s="70">
        <v>312357</v>
      </c>
      <c r="G3151" s="86" t="s">
        <v>1793</v>
      </c>
    </row>
    <row r="3152" spans="6:7" x14ac:dyDescent="0.35">
      <c r="F3152" s="70">
        <v>311646</v>
      </c>
      <c r="G3152" s="86" t="s">
        <v>1794</v>
      </c>
    </row>
    <row r="3153" spans="6:7" x14ac:dyDescent="0.35">
      <c r="F3153" s="70">
        <v>312096</v>
      </c>
      <c r="G3153" s="86" t="s">
        <v>1795</v>
      </c>
    </row>
    <row r="3154" spans="6:7" x14ac:dyDescent="0.35">
      <c r="F3154" s="70">
        <v>301371</v>
      </c>
      <c r="G3154" s="86" t="s">
        <v>1796</v>
      </c>
    </row>
    <row r="3155" spans="6:7" x14ac:dyDescent="0.35">
      <c r="F3155" s="70">
        <v>313328</v>
      </c>
      <c r="G3155" s="86" t="s">
        <v>1797</v>
      </c>
    </row>
    <row r="3156" spans="6:7" x14ac:dyDescent="0.35">
      <c r="F3156" s="70">
        <v>309948</v>
      </c>
      <c r="G3156" s="86" t="s">
        <v>1798</v>
      </c>
    </row>
    <row r="3157" spans="6:7" x14ac:dyDescent="0.35">
      <c r="F3157" s="70">
        <v>305230</v>
      </c>
      <c r="G3157" s="86" t="s">
        <v>1799</v>
      </c>
    </row>
    <row r="3158" spans="6:7" x14ac:dyDescent="0.35">
      <c r="F3158" s="70">
        <v>305427</v>
      </c>
      <c r="G3158" s="86" t="s">
        <v>1800</v>
      </c>
    </row>
    <row r="3159" spans="6:7" x14ac:dyDescent="0.35">
      <c r="F3159" s="70">
        <v>306034</v>
      </c>
      <c r="G3159" s="86" t="s">
        <v>1801</v>
      </c>
    </row>
    <row r="3160" spans="6:7" x14ac:dyDescent="0.35">
      <c r="F3160" s="70">
        <v>310105</v>
      </c>
      <c r="G3160" s="86" t="s">
        <v>1802</v>
      </c>
    </row>
    <row r="3161" spans="6:7" x14ac:dyDescent="0.35">
      <c r="F3161" s="70">
        <v>313981</v>
      </c>
      <c r="G3161" s="86" t="s">
        <v>1803</v>
      </c>
    </row>
    <row r="3162" spans="6:7" x14ac:dyDescent="0.35">
      <c r="F3162" s="70">
        <v>314976</v>
      </c>
      <c r="G3162" s="86" t="s">
        <v>1804</v>
      </c>
    </row>
    <row r="3163" spans="6:7" x14ac:dyDescent="0.35">
      <c r="F3163" s="70">
        <v>312881</v>
      </c>
      <c r="G3163" s="86" t="s">
        <v>1805</v>
      </c>
    </row>
    <row r="3164" spans="6:7" x14ac:dyDescent="0.35">
      <c r="F3164" s="70">
        <v>310066</v>
      </c>
      <c r="G3164" s="86" t="s">
        <v>1806</v>
      </c>
    </row>
    <row r="3165" spans="6:7" x14ac:dyDescent="0.35">
      <c r="F3165" s="70">
        <v>315466</v>
      </c>
      <c r="G3165" s="86" t="s">
        <v>1807</v>
      </c>
    </row>
    <row r="3166" spans="6:7" x14ac:dyDescent="0.35">
      <c r="F3166" s="70">
        <v>313593</v>
      </c>
      <c r="G3166" s="86" t="s">
        <v>1808</v>
      </c>
    </row>
    <row r="3167" spans="6:7" x14ac:dyDescent="0.35">
      <c r="F3167" s="70">
        <v>315439</v>
      </c>
      <c r="G3167" s="86" t="s">
        <v>1809</v>
      </c>
    </row>
    <row r="3168" spans="6:7" x14ac:dyDescent="0.35">
      <c r="F3168" s="70">
        <v>310731</v>
      </c>
      <c r="G3168" s="86" t="s">
        <v>1810</v>
      </c>
    </row>
    <row r="3169" spans="6:7" x14ac:dyDescent="0.35">
      <c r="F3169" s="70">
        <v>314735</v>
      </c>
      <c r="G3169" s="86" t="s">
        <v>1811</v>
      </c>
    </row>
    <row r="3170" spans="6:7" x14ac:dyDescent="0.35">
      <c r="F3170" s="70">
        <v>315340</v>
      </c>
      <c r="G3170" s="86" t="s">
        <v>1812</v>
      </c>
    </row>
    <row r="3171" spans="6:7" x14ac:dyDescent="0.35">
      <c r="F3171" s="70">
        <v>308054</v>
      </c>
      <c r="G3171" s="86" t="s">
        <v>1813</v>
      </c>
    </row>
    <row r="3172" spans="6:7" x14ac:dyDescent="0.35">
      <c r="F3172" s="70">
        <v>303382</v>
      </c>
      <c r="G3172" s="86" t="s">
        <v>1814</v>
      </c>
    </row>
    <row r="3173" spans="6:7" x14ac:dyDescent="0.35">
      <c r="F3173" s="70">
        <v>314787</v>
      </c>
      <c r="G3173" s="86" t="s">
        <v>1815</v>
      </c>
    </row>
    <row r="3174" spans="6:7" x14ac:dyDescent="0.35">
      <c r="F3174" s="70">
        <v>310671</v>
      </c>
      <c r="G3174" s="86" t="s">
        <v>1816</v>
      </c>
    </row>
    <row r="3175" spans="6:7" x14ac:dyDescent="0.35">
      <c r="F3175" s="70">
        <v>315386</v>
      </c>
      <c r="G3175" s="86" t="s">
        <v>1817</v>
      </c>
    </row>
    <row r="3176" spans="6:7" x14ac:dyDescent="0.35">
      <c r="F3176" s="70">
        <v>314347</v>
      </c>
      <c r="G3176" s="86" t="s">
        <v>1818</v>
      </c>
    </row>
    <row r="3177" spans="6:7" x14ac:dyDescent="0.35">
      <c r="F3177" s="70">
        <v>313630</v>
      </c>
      <c r="G3177" s="86" t="s">
        <v>1819</v>
      </c>
    </row>
    <row r="3178" spans="6:7" x14ac:dyDescent="0.35">
      <c r="F3178" s="70">
        <v>313395</v>
      </c>
      <c r="G3178" s="86" t="s">
        <v>1820</v>
      </c>
    </row>
    <row r="3179" spans="6:7" x14ac:dyDescent="0.35">
      <c r="F3179" s="70">
        <v>309883</v>
      </c>
      <c r="G3179" s="86" t="s">
        <v>1821</v>
      </c>
    </row>
    <row r="3180" spans="6:7" x14ac:dyDescent="0.35">
      <c r="F3180" s="70">
        <v>307664</v>
      </c>
      <c r="G3180" s="86" t="s">
        <v>1822</v>
      </c>
    </row>
    <row r="3181" spans="6:7" x14ac:dyDescent="0.35">
      <c r="F3181" s="70">
        <v>315313</v>
      </c>
      <c r="G3181" s="86" t="s">
        <v>1823</v>
      </c>
    </row>
    <row r="3182" spans="6:7" x14ac:dyDescent="0.35">
      <c r="F3182" s="70">
        <v>314575</v>
      </c>
      <c r="G3182" s="86" t="s">
        <v>1824</v>
      </c>
    </row>
    <row r="3183" spans="6:7" x14ac:dyDescent="0.35">
      <c r="F3183" s="70">
        <v>302658</v>
      </c>
      <c r="G3183" s="86" t="s">
        <v>1825</v>
      </c>
    </row>
    <row r="3184" spans="6:7" x14ac:dyDescent="0.35">
      <c r="F3184" s="70">
        <v>315048</v>
      </c>
      <c r="G3184" s="86" t="s">
        <v>1826</v>
      </c>
    </row>
    <row r="3185" spans="6:7" x14ac:dyDescent="0.35">
      <c r="F3185" s="70">
        <v>302332</v>
      </c>
      <c r="G3185" s="86" t="s">
        <v>1827</v>
      </c>
    </row>
    <row r="3186" spans="6:7" x14ac:dyDescent="0.35">
      <c r="F3186" s="70">
        <v>314108</v>
      </c>
      <c r="G3186" s="86" t="s">
        <v>1828</v>
      </c>
    </row>
    <row r="3187" spans="6:7" x14ac:dyDescent="0.35">
      <c r="F3187" s="70">
        <v>315049</v>
      </c>
      <c r="G3187" s="86" t="s">
        <v>1829</v>
      </c>
    </row>
    <row r="3188" spans="6:7" x14ac:dyDescent="0.35">
      <c r="F3188" s="70">
        <v>315373</v>
      </c>
      <c r="G3188" s="86" t="s">
        <v>1830</v>
      </c>
    </row>
    <row r="3189" spans="6:7" x14ac:dyDescent="0.35">
      <c r="F3189" s="70">
        <v>311866</v>
      </c>
      <c r="G3189" s="86" t="s">
        <v>1831</v>
      </c>
    </row>
    <row r="3190" spans="6:7" x14ac:dyDescent="0.35">
      <c r="F3190" s="70">
        <v>310220</v>
      </c>
      <c r="G3190" s="86" t="s">
        <v>1832</v>
      </c>
    </row>
    <row r="3191" spans="6:7" x14ac:dyDescent="0.35">
      <c r="F3191" s="70">
        <v>305903</v>
      </c>
      <c r="G3191" s="86" t="s">
        <v>1833</v>
      </c>
    </row>
    <row r="3192" spans="6:7" x14ac:dyDescent="0.35">
      <c r="F3192" s="70">
        <v>314544</v>
      </c>
      <c r="G3192" s="86" t="s">
        <v>1834</v>
      </c>
    </row>
    <row r="3193" spans="6:7" x14ac:dyDescent="0.35">
      <c r="F3193" s="70">
        <v>314405</v>
      </c>
      <c r="G3193" s="86" t="s">
        <v>1835</v>
      </c>
    </row>
    <row r="3194" spans="6:7" x14ac:dyDescent="0.35">
      <c r="F3194" s="70">
        <v>311048</v>
      </c>
      <c r="G3194" s="86" t="s">
        <v>1836</v>
      </c>
    </row>
    <row r="3195" spans="6:7" x14ac:dyDescent="0.35">
      <c r="F3195" s="70">
        <v>311005</v>
      </c>
      <c r="G3195" s="86" t="s">
        <v>1837</v>
      </c>
    </row>
    <row r="3196" spans="6:7" x14ac:dyDescent="0.35">
      <c r="F3196" s="70">
        <v>304024</v>
      </c>
      <c r="G3196" s="86" t="s">
        <v>1838</v>
      </c>
    </row>
    <row r="3197" spans="6:7" x14ac:dyDescent="0.35">
      <c r="F3197" s="70">
        <v>300999</v>
      </c>
      <c r="G3197" s="86" t="s">
        <v>1839</v>
      </c>
    </row>
    <row r="3198" spans="6:7" x14ac:dyDescent="0.35">
      <c r="F3198" s="70">
        <v>309689</v>
      </c>
      <c r="G3198" s="86" t="s">
        <v>1840</v>
      </c>
    </row>
    <row r="3199" spans="6:7" x14ac:dyDescent="0.35">
      <c r="F3199" s="70">
        <v>311258</v>
      </c>
      <c r="G3199" s="86" t="s">
        <v>1841</v>
      </c>
    </row>
    <row r="3200" spans="6:7" x14ac:dyDescent="0.35">
      <c r="F3200" s="70">
        <v>314367</v>
      </c>
      <c r="G3200" s="86" t="s">
        <v>1842</v>
      </c>
    </row>
    <row r="3201" spans="6:7" x14ac:dyDescent="0.35">
      <c r="F3201" s="70">
        <v>315399</v>
      </c>
      <c r="G3201" s="86" t="s">
        <v>1843</v>
      </c>
    </row>
    <row r="3202" spans="6:7" x14ac:dyDescent="0.35">
      <c r="F3202" s="70">
        <v>312875</v>
      </c>
      <c r="G3202" s="86" t="s">
        <v>1844</v>
      </c>
    </row>
    <row r="3203" spans="6:7" x14ac:dyDescent="0.35">
      <c r="F3203" s="70">
        <v>313671</v>
      </c>
      <c r="G3203" s="86" t="s">
        <v>1845</v>
      </c>
    </row>
    <row r="3204" spans="6:7" x14ac:dyDescent="0.35">
      <c r="F3204" s="70">
        <v>315529</v>
      </c>
      <c r="G3204" s="86" t="s">
        <v>1846</v>
      </c>
    </row>
    <row r="3205" spans="6:7" x14ac:dyDescent="0.35">
      <c r="F3205" s="70">
        <v>310009</v>
      </c>
      <c r="G3205" s="86" t="s">
        <v>1847</v>
      </c>
    </row>
    <row r="3206" spans="6:7" x14ac:dyDescent="0.35">
      <c r="F3206" s="70">
        <v>308693</v>
      </c>
      <c r="G3206" s="86" t="s">
        <v>1848</v>
      </c>
    </row>
    <row r="3207" spans="6:7" x14ac:dyDescent="0.35">
      <c r="F3207" s="70">
        <v>300347</v>
      </c>
      <c r="G3207" s="86" t="s">
        <v>1849</v>
      </c>
    </row>
    <row r="3208" spans="6:7" x14ac:dyDescent="0.35">
      <c r="F3208" s="70">
        <v>306597</v>
      </c>
      <c r="G3208" s="86" t="s">
        <v>1850</v>
      </c>
    </row>
    <row r="3209" spans="6:7" x14ac:dyDescent="0.35">
      <c r="F3209" s="70">
        <v>312772</v>
      </c>
      <c r="G3209" s="86" t="s">
        <v>1851</v>
      </c>
    </row>
    <row r="3210" spans="6:7" x14ac:dyDescent="0.35">
      <c r="F3210" s="70">
        <v>314636</v>
      </c>
      <c r="G3210" s="86" t="s">
        <v>1852</v>
      </c>
    </row>
    <row r="3211" spans="6:7" x14ac:dyDescent="0.35">
      <c r="F3211" s="70">
        <v>301033</v>
      </c>
      <c r="G3211" s="86" t="s">
        <v>1853</v>
      </c>
    </row>
    <row r="3212" spans="6:7" x14ac:dyDescent="0.35">
      <c r="F3212" s="70">
        <v>305935</v>
      </c>
      <c r="G3212" s="86" t="s">
        <v>1854</v>
      </c>
    </row>
    <row r="3213" spans="6:7" x14ac:dyDescent="0.35">
      <c r="F3213" s="70">
        <v>315324</v>
      </c>
      <c r="G3213" s="86" t="s">
        <v>1855</v>
      </c>
    </row>
    <row r="3214" spans="6:7" x14ac:dyDescent="0.35">
      <c r="F3214" s="70">
        <v>310994</v>
      </c>
      <c r="G3214" s="86" t="s">
        <v>1856</v>
      </c>
    </row>
    <row r="3215" spans="6:7" x14ac:dyDescent="0.35">
      <c r="F3215" s="70">
        <v>315577</v>
      </c>
      <c r="G3215" s="86" t="s">
        <v>1857</v>
      </c>
    </row>
    <row r="3216" spans="6:7" x14ac:dyDescent="0.35">
      <c r="F3216" s="70">
        <v>312305</v>
      </c>
      <c r="G3216" s="86" t="s">
        <v>1858</v>
      </c>
    </row>
    <row r="3217" spans="6:7" x14ac:dyDescent="0.35">
      <c r="F3217" s="70">
        <v>313388</v>
      </c>
      <c r="G3217" s="86" t="s">
        <v>1859</v>
      </c>
    </row>
    <row r="3218" spans="6:7" x14ac:dyDescent="0.35">
      <c r="F3218" s="70">
        <v>312738</v>
      </c>
      <c r="G3218" s="86" t="s">
        <v>1860</v>
      </c>
    </row>
    <row r="3219" spans="6:7" x14ac:dyDescent="0.35">
      <c r="F3219" s="70">
        <v>304802</v>
      </c>
      <c r="G3219" s="86" t="s">
        <v>1861</v>
      </c>
    </row>
    <row r="3220" spans="6:7" x14ac:dyDescent="0.35">
      <c r="F3220" s="70">
        <v>315438</v>
      </c>
      <c r="G3220" s="86" t="s">
        <v>1862</v>
      </c>
    </row>
    <row r="3221" spans="6:7" x14ac:dyDescent="0.35">
      <c r="F3221" s="70">
        <v>309177</v>
      </c>
      <c r="G3221" s="86" t="s">
        <v>1863</v>
      </c>
    </row>
    <row r="3222" spans="6:7" x14ac:dyDescent="0.35">
      <c r="F3222" s="70">
        <v>315364</v>
      </c>
      <c r="G3222" s="86" t="s">
        <v>1864</v>
      </c>
    </row>
    <row r="3223" spans="6:7" x14ac:dyDescent="0.35">
      <c r="F3223" s="70">
        <v>308431</v>
      </c>
      <c r="G3223" s="86" t="s">
        <v>1865</v>
      </c>
    </row>
    <row r="3224" spans="6:7" x14ac:dyDescent="0.35">
      <c r="F3224" s="70">
        <v>315096</v>
      </c>
      <c r="G3224" s="86" t="s">
        <v>1866</v>
      </c>
    </row>
    <row r="3225" spans="6:7" x14ac:dyDescent="0.35">
      <c r="F3225" s="70">
        <v>314551</v>
      </c>
      <c r="G3225" s="86" t="s">
        <v>1867</v>
      </c>
    </row>
    <row r="3226" spans="6:7" x14ac:dyDescent="0.35">
      <c r="F3226" s="70">
        <v>312886</v>
      </c>
      <c r="G3226" s="86" t="s">
        <v>1868</v>
      </c>
    </row>
    <row r="3227" spans="6:7" x14ac:dyDescent="0.35">
      <c r="F3227" s="70">
        <v>306851</v>
      </c>
      <c r="G3227" s="86" t="s">
        <v>1869</v>
      </c>
    </row>
    <row r="3228" spans="6:7" x14ac:dyDescent="0.35">
      <c r="F3228" s="70">
        <v>313707</v>
      </c>
      <c r="G3228" s="86" t="s">
        <v>1870</v>
      </c>
    </row>
    <row r="3229" spans="6:7" x14ac:dyDescent="0.35">
      <c r="F3229" s="70">
        <v>314055</v>
      </c>
      <c r="G3229" s="86" t="s">
        <v>1871</v>
      </c>
    </row>
    <row r="3230" spans="6:7" x14ac:dyDescent="0.35">
      <c r="F3230" s="70">
        <v>310388</v>
      </c>
      <c r="G3230" s="86" t="s">
        <v>1872</v>
      </c>
    </row>
    <row r="3231" spans="6:7" x14ac:dyDescent="0.35">
      <c r="F3231" s="70">
        <v>315106</v>
      </c>
      <c r="G3231" s="86" t="s">
        <v>1873</v>
      </c>
    </row>
    <row r="3232" spans="6:7" x14ac:dyDescent="0.35">
      <c r="F3232" s="70">
        <v>314063</v>
      </c>
      <c r="G3232" s="86" t="s">
        <v>1874</v>
      </c>
    </row>
    <row r="3233" spans="6:7" x14ac:dyDescent="0.35">
      <c r="F3233" s="70">
        <v>308069</v>
      </c>
      <c r="G3233" s="86" t="s">
        <v>1875</v>
      </c>
    </row>
    <row r="3234" spans="6:7" x14ac:dyDescent="0.35">
      <c r="F3234" s="70">
        <v>313300</v>
      </c>
      <c r="G3234" s="86" t="s">
        <v>1876</v>
      </c>
    </row>
    <row r="3235" spans="6:7" x14ac:dyDescent="0.35">
      <c r="F3235" s="70">
        <v>309284</v>
      </c>
      <c r="G3235" s="86" t="s">
        <v>1877</v>
      </c>
    </row>
    <row r="3236" spans="6:7" x14ac:dyDescent="0.35">
      <c r="F3236" s="70">
        <v>314821</v>
      </c>
      <c r="G3236" s="86" t="s">
        <v>1878</v>
      </c>
    </row>
    <row r="3237" spans="6:7" x14ac:dyDescent="0.35">
      <c r="F3237" s="70">
        <v>314881</v>
      </c>
      <c r="G3237" s="86" t="s">
        <v>1879</v>
      </c>
    </row>
    <row r="3238" spans="6:7" x14ac:dyDescent="0.35">
      <c r="F3238" s="70">
        <v>313027</v>
      </c>
      <c r="G3238" s="86" t="s">
        <v>1880</v>
      </c>
    </row>
    <row r="3239" spans="6:7" x14ac:dyDescent="0.35">
      <c r="F3239" s="70">
        <v>314221</v>
      </c>
      <c r="G3239" s="86" t="s">
        <v>1881</v>
      </c>
    </row>
    <row r="3240" spans="6:7" x14ac:dyDescent="0.35">
      <c r="F3240" s="70">
        <v>314947</v>
      </c>
      <c r="G3240" s="86" t="s">
        <v>1882</v>
      </c>
    </row>
    <row r="3241" spans="6:7" x14ac:dyDescent="0.35">
      <c r="F3241" s="70">
        <v>306656</v>
      </c>
      <c r="G3241" s="86" t="s">
        <v>1883</v>
      </c>
    </row>
    <row r="3242" spans="6:7" x14ac:dyDescent="0.35">
      <c r="F3242" s="70">
        <v>314391</v>
      </c>
      <c r="G3242" s="86" t="s">
        <v>1884</v>
      </c>
    </row>
    <row r="3243" spans="6:7" x14ac:dyDescent="0.35">
      <c r="F3243" s="70">
        <v>308506</v>
      </c>
      <c r="G3243" s="86" t="s">
        <v>1885</v>
      </c>
    </row>
    <row r="3244" spans="6:7" x14ac:dyDescent="0.35">
      <c r="F3244" s="70">
        <v>308686</v>
      </c>
      <c r="G3244" s="86" t="s">
        <v>1886</v>
      </c>
    </row>
    <row r="3245" spans="6:7" x14ac:dyDescent="0.35">
      <c r="F3245" s="70">
        <v>312770</v>
      </c>
      <c r="G3245" s="86" t="s">
        <v>1887</v>
      </c>
    </row>
    <row r="3246" spans="6:7" x14ac:dyDescent="0.35">
      <c r="F3246" s="70">
        <v>300978</v>
      </c>
      <c r="G3246" s="86" t="s">
        <v>1888</v>
      </c>
    </row>
    <row r="3247" spans="6:7" x14ac:dyDescent="0.35">
      <c r="F3247" s="70">
        <v>305989</v>
      </c>
      <c r="G3247" s="86" t="s">
        <v>1889</v>
      </c>
    </row>
    <row r="3248" spans="6:7" x14ac:dyDescent="0.35">
      <c r="F3248" s="70">
        <v>314819</v>
      </c>
      <c r="G3248" s="86" t="s">
        <v>1890</v>
      </c>
    </row>
    <row r="3249" spans="6:7" x14ac:dyDescent="0.35">
      <c r="F3249" s="70">
        <v>306493</v>
      </c>
      <c r="G3249" s="86" t="s">
        <v>1891</v>
      </c>
    </row>
    <row r="3250" spans="6:7" x14ac:dyDescent="0.35">
      <c r="F3250" s="70">
        <v>309963</v>
      </c>
      <c r="G3250" s="86" t="s">
        <v>1892</v>
      </c>
    </row>
    <row r="3251" spans="6:7" x14ac:dyDescent="0.35">
      <c r="F3251" s="70">
        <v>312248</v>
      </c>
      <c r="G3251" s="86" t="s">
        <v>1893</v>
      </c>
    </row>
    <row r="3252" spans="6:7" x14ac:dyDescent="0.35">
      <c r="F3252" s="70">
        <v>310159</v>
      </c>
      <c r="G3252" s="86" t="s">
        <v>1894</v>
      </c>
    </row>
    <row r="3253" spans="6:7" x14ac:dyDescent="0.35">
      <c r="F3253" s="70">
        <v>309920</v>
      </c>
      <c r="G3253" s="86" t="s">
        <v>1895</v>
      </c>
    </row>
    <row r="3254" spans="6:7" x14ac:dyDescent="0.35">
      <c r="F3254" s="70">
        <v>312505</v>
      </c>
      <c r="G3254" s="86" t="s">
        <v>1896</v>
      </c>
    </row>
    <row r="3255" spans="6:7" x14ac:dyDescent="0.35">
      <c r="F3255" s="70">
        <v>309463</v>
      </c>
      <c r="G3255" s="86" t="s">
        <v>1897</v>
      </c>
    </row>
    <row r="3256" spans="6:7" x14ac:dyDescent="0.35">
      <c r="F3256" s="70">
        <v>313857</v>
      </c>
      <c r="G3256" s="86" t="s">
        <v>1898</v>
      </c>
    </row>
    <row r="3257" spans="6:7" x14ac:dyDescent="0.35">
      <c r="F3257" s="70">
        <v>313628</v>
      </c>
      <c r="G3257" s="86" t="s">
        <v>1899</v>
      </c>
    </row>
    <row r="3258" spans="6:7" x14ac:dyDescent="0.35">
      <c r="F3258" s="70">
        <v>310318</v>
      </c>
      <c r="G3258" s="86" t="s">
        <v>1900</v>
      </c>
    </row>
    <row r="3259" spans="6:7" x14ac:dyDescent="0.35">
      <c r="F3259" s="70">
        <v>313558</v>
      </c>
      <c r="G3259" s="86" t="s">
        <v>1901</v>
      </c>
    </row>
    <row r="3260" spans="6:7" x14ac:dyDescent="0.35">
      <c r="F3260" s="70">
        <v>303083</v>
      </c>
      <c r="G3260" s="86" t="s">
        <v>1902</v>
      </c>
    </row>
    <row r="3261" spans="6:7" x14ac:dyDescent="0.35">
      <c r="F3261" s="70">
        <v>313221</v>
      </c>
      <c r="G3261" s="86" t="s">
        <v>1903</v>
      </c>
    </row>
    <row r="3262" spans="6:7" x14ac:dyDescent="0.35">
      <c r="F3262" s="70">
        <v>315374</v>
      </c>
      <c r="G3262" s="86" t="s">
        <v>1904</v>
      </c>
    </row>
    <row r="3263" spans="6:7" x14ac:dyDescent="0.35">
      <c r="F3263" s="70">
        <v>314613</v>
      </c>
      <c r="G3263" s="86" t="s">
        <v>1905</v>
      </c>
    </row>
    <row r="3264" spans="6:7" x14ac:dyDescent="0.35">
      <c r="F3264" s="70">
        <v>308434</v>
      </c>
      <c r="G3264" s="86" t="s">
        <v>1906</v>
      </c>
    </row>
    <row r="3265" spans="6:7" x14ac:dyDescent="0.35">
      <c r="F3265" s="70">
        <v>313725</v>
      </c>
      <c r="G3265" s="86" t="s">
        <v>1907</v>
      </c>
    </row>
    <row r="3266" spans="6:7" x14ac:dyDescent="0.35">
      <c r="F3266" s="70">
        <v>314562</v>
      </c>
      <c r="G3266" s="86" t="s">
        <v>1908</v>
      </c>
    </row>
    <row r="3267" spans="6:7" x14ac:dyDescent="0.35">
      <c r="F3267" s="70">
        <v>311581</v>
      </c>
      <c r="G3267" s="86" t="s">
        <v>1909</v>
      </c>
    </row>
    <row r="3268" spans="6:7" x14ac:dyDescent="0.35">
      <c r="F3268" s="70">
        <v>312579</v>
      </c>
      <c r="G3268" s="86" t="s">
        <v>1910</v>
      </c>
    </row>
    <row r="3269" spans="6:7" x14ac:dyDescent="0.35">
      <c r="F3269" s="70">
        <v>315433</v>
      </c>
      <c r="G3269" s="86" t="s">
        <v>1911</v>
      </c>
    </row>
    <row r="3270" spans="6:7" x14ac:dyDescent="0.35">
      <c r="F3270" s="70">
        <v>311486</v>
      </c>
      <c r="G3270" s="86" t="s">
        <v>1912</v>
      </c>
    </row>
    <row r="3271" spans="6:7" x14ac:dyDescent="0.35">
      <c r="F3271" s="70">
        <v>315060</v>
      </c>
      <c r="G3271" s="86" t="s">
        <v>1913</v>
      </c>
    </row>
    <row r="3272" spans="6:7" x14ac:dyDescent="0.35">
      <c r="F3272" s="70">
        <v>312632</v>
      </c>
      <c r="G3272" s="86" t="s">
        <v>1914</v>
      </c>
    </row>
    <row r="3273" spans="6:7" x14ac:dyDescent="0.35">
      <c r="F3273" s="70">
        <v>312988</v>
      </c>
      <c r="G3273" s="86" t="s">
        <v>1915</v>
      </c>
    </row>
    <row r="3274" spans="6:7" x14ac:dyDescent="0.35">
      <c r="F3274" s="70">
        <v>305872</v>
      </c>
      <c r="G3274" s="86" t="s">
        <v>1916</v>
      </c>
    </row>
    <row r="3275" spans="6:7" x14ac:dyDescent="0.35">
      <c r="F3275" s="70">
        <v>312087</v>
      </c>
      <c r="G3275" s="86" t="s">
        <v>1917</v>
      </c>
    </row>
    <row r="3276" spans="6:7" x14ac:dyDescent="0.35">
      <c r="F3276" s="70">
        <v>312317</v>
      </c>
      <c r="G3276" s="86" t="s">
        <v>1918</v>
      </c>
    </row>
    <row r="3277" spans="6:7" x14ac:dyDescent="0.35">
      <c r="F3277" s="70">
        <v>313057</v>
      </c>
      <c r="G3277" s="86" t="s">
        <v>1919</v>
      </c>
    </row>
    <row r="3278" spans="6:7" x14ac:dyDescent="0.35">
      <c r="F3278" s="70">
        <v>314700</v>
      </c>
      <c r="G3278" s="86" t="s">
        <v>1920</v>
      </c>
    </row>
    <row r="3279" spans="6:7" x14ac:dyDescent="0.35">
      <c r="F3279" s="70">
        <v>314280</v>
      </c>
      <c r="G3279" s="86" t="s">
        <v>1921</v>
      </c>
    </row>
    <row r="3280" spans="6:7" x14ac:dyDescent="0.35">
      <c r="F3280" s="70">
        <v>314388</v>
      </c>
      <c r="G3280" s="86" t="s">
        <v>1922</v>
      </c>
    </row>
    <row r="3281" spans="6:7" x14ac:dyDescent="0.35">
      <c r="F3281" s="70">
        <v>310717</v>
      </c>
      <c r="G3281" s="86" t="s">
        <v>1923</v>
      </c>
    </row>
    <row r="3282" spans="6:7" x14ac:dyDescent="0.35">
      <c r="F3282" s="70">
        <v>314472</v>
      </c>
      <c r="G3282" s="86" t="s">
        <v>1924</v>
      </c>
    </row>
    <row r="3283" spans="6:7" x14ac:dyDescent="0.35">
      <c r="F3283" s="70">
        <v>310871</v>
      </c>
      <c r="G3283" s="86" t="s">
        <v>1925</v>
      </c>
    </row>
    <row r="3284" spans="6:7" x14ac:dyDescent="0.35">
      <c r="F3284" s="70">
        <v>302802</v>
      </c>
      <c r="G3284" s="86" t="s">
        <v>1926</v>
      </c>
    </row>
    <row r="3285" spans="6:7" x14ac:dyDescent="0.35">
      <c r="F3285" s="70">
        <v>310778</v>
      </c>
      <c r="G3285" s="86" t="s">
        <v>1927</v>
      </c>
    </row>
    <row r="3286" spans="6:7" x14ac:dyDescent="0.35">
      <c r="F3286" s="70">
        <v>309651</v>
      </c>
      <c r="G3286" s="86" t="s">
        <v>1928</v>
      </c>
    </row>
    <row r="3287" spans="6:7" x14ac:dyDescent="0.35">
      <c r="F3287" s="70">
        <v>315308</v>
      </c>
      <c r="G3287" s="86" t="s">
        <v>1929</v>
      </c>
    </row>
    <row r="3288" spans="6:7" x14ac:dyDescent="0.35">
      <c r="F3288" s="70">
        <v>306856</v>
      </c>
      <c r="G3288" s="86" t="s">
        <v>1930</v>
      </c>
    </row>
    <row r="3289" spans="6:7" x14ac:dyDescent="0.35">
      <c r="F3289" s="70">
        <v>313411</v>
      </c>
      <c r="G3289" s="86" t="s">
        <v>1931</v>
      </c>
    </row>
    <row r="3290" spans="6:7" x14ac:dyDescent="0.35">
      <c r="F3290" s="70">
        <v>312665</v>
      </c>
      <c r="G3290" s="86" t="s">
        <v>1932</v>
      </c>
    </row>
    <row r="3291" spans="6:7" x14ac:dyDescent="0.35">
      <c r="F3291" s="70">
        <v>314042</v>
      </c>
      <c r="G3291" s="86" t="s">
        <v>1933</v>
      </c>
    </row>
    <row r="3292" spans="6:7" x14ac:dyDescent="0.35">
      <c r="F3292" s="70">
        <v>313161</v>
      </c>
      <c r="G3292" s="86" t="s">
        <v>1934</v>
      </c>
    </row>
    <row r="3293" spans="6:7" x14ac:dyDescent="0.35">
      <c r="F3293" s="94">
        <v>314783</v>
      </c>
      <c r="G3293" s="84" t="s">
        <v>1935</v>
      </c>
    </row>
    <row r="3294" spans="6:7" x14ac:dyDescent="0.35">
      <c r="F3294" s="94">
        <v>311880</v>
      </c>
      <c r="G3294" s="84" t="s">
        <v>1936</v>
      </c>
    </row>
    <row r="3295" spans="6:7" x14ac:dyDescent="0.35">
      <c r="F3295" s="94">
        <v>313031</v>
      </c>
      <c r="G3295" s="84" t="s">
        <v>1937</v>
      </c>
    </row>
    <row r="3296" spans="6:7" x14ac:dyDescent="0.35">
      <c r="F3296" s="94">
        <v>313155</v>
      </c>
      <c r="G3296" s="84" t="s">
        <v>1938</v>
      </c>
    </row>
    <row r="3297" spans="6:7" x14ac:dyDescent="0.35">
      <c r="F3297" s="94">
        <v>314858</v>
      </c>
      <c r="G3297" s="84" t="s">
        <v>1939</v>
      </c>
    </row>
    <row r="3298" spans="6:7" x14ac:dyDescent="0.35">
      <c r="F3298" s="94">
        <v>315188</v>
      </c>
      <c r="G3298" s="84" t="s">
        <v>1940</v>
      </c>
    </row>
    <row r="3299" spans="6:7" x14ac:dyDescent="0.35">
      <c r="F3299" s="94">
        <v>314690</v>
      </c>
      <c r="G3299" s="84" t="s">
        <v>1941</v>
      </c>
    </row>
    <row r="3300" spans="6:7" x14ac:dyDescent="0.35">
      <c r="F3300" s="94">
        <v>309417</v>
      </c>
      <c r="G3300" s="84" t="s">
        <v>1942</v>
      </c>
    </row>
    <row r="3301" spans="6:7" x14ac:dyDescent="0.35">
      <c r="F3301" s="94">
        <v>314284</v>
      </c>
      <c r="G3301" s="84" t="s">
        <v>1943</v>
      </c>
    </row>
    <row r="3302" spans="6:7" x14ac:dyDescent="0.35">
      <c r="F3302" s="94">
        <v>312424</v>
      </c>
      <c r="G3302" s="84" t="s">
        <v>1944</v>
      </c>
    </row>
    <row r="3303" spans="6:7" x14ac:dyDescent="0.35">
      <c r="F3303" s="94">
        <v>313081</v>
      </c>
      <c r="G3303" s="84" t="s">
        <v>1945</v>
      </c>
    </row>
    <row r="3304" spans="6:7" x14ac:dyDescent="0.35">
      <c r="F3304" s="94">
        <v>315184</v>
      </c>
      <c r="G3304" s="84" t="s">
        <v>1946</v>
      </c>
    </row>
    <row r="3305" spans="6:7" x14ac:dyDescent="0.35">
      <c r="F3305" s="94">
        <v>315248</v>
      </c>
      <c r="G3305" s="84" t="s">
        <v>1947</v>
      </c>
    </row>
    <row r="3306" spans="6:7" x14ac:dyDescent="0.35">
      <c r="F3306" s="94">
        <v>314982</v>
      </c>
      <c r="G3306" s="84" t="s">
        <v>1948</v>
      </c>
    </row>
    <row r="3307" spans="6:7" x14ac:dyDescent="0.35">
      <c r="F3307" s="94">
        <v>312859</v>
      </c>
      <c r="G3307" s="84" t="s">
        <v>1949</v>
      </c>
    </row>
    <row r="3308" spans="6:7" x14ac:dyDescent="0.35">
      <c r="F3308" s="94">
        <v>315040</v>
      </c>
      <c r="G3308" s="84" t="s">
        <v>1950</v>
      </c>
    </row>
    <row r="3309" spans="6:7" x14ac:dyDescent="0.35">
      <c r="F3309" s="94">
        <v>315061</v>
      </c>
      <c r="G3309" s="84" t="s">
        <v>1951</v>
      </c>
    </row>
    <row r="3310" spans="6:7" x14ac:dyDescent="0.35">
      <c r="F3310" s="94">
        <v>314923</v>
      </c>
      <c r="G3310" s="84" t="s">
        <v>1952</v>
      </c>
    </row>
    <row r="3311" spans="6:7" x14ac:dyDescent="0.35">
      <c r="F3311" s="94">
        <v>314511</v>
      </c>
      <c r="G3311" s="84" t="s">
        <v>1953</v>
      </c>
    </row>
    <row r="3312" spans="6:7" x14ac:dyDescent="0.35">
      <c r="F3312" s="94">
        <v>315316</v>
      </c>
      <c r="G3312" s="84" t="s">
        <v>1954</v>
      </c>
    </row>
    <row r="3313" spans="6:7" x14ac:dyDescent="0.35">
      <c r="F3313" s="94">
        <v>314538</v>
      </c>
      <c r="G3313" s="84" t="s">
        <v>1955</v>
      </c>
    </row>
    <row r="3314" spans="6:7" x14ac:dyDescent="0.35">
      <c r="F3314" s="94">
        <v>315046</v>
      </c>
      <c r="G3314" s="84" t="s">
        <v>1956</v>
      </c>
    </row>
    <row r="3315" spans="6:7" x14ac:dyDescent="0.35">
      <c r="F3315" s="94">
        <v>314652</v>
      </c>
      <c r="G3315" s="84" t="s">
        <v>1957</v>
      </c>
    </row>
    <row r="3316" spans="6:7" x14ac:dyDescent="0.35">
      <c r="F3316" s="94">
        <v>314440</v>
      </c>
      <c r="G3316" s="84" t="s">
        <v>1958</v>
      </c>
    </row>
    <row r="3317" spans="6:7" x14ac:dyDescent="0.35">
      <c r="F3317" s="94">
        <v>315249</v>
      </c>
      <c r="G3317" s="84" t="s">
        <v>1959</v>
      </c>
    </row>
    <row r="3318" spans="6:7" x14ac:dyDescent="0.35">
      <c r="F3318" s="94">
        <v>315301</v>
      </c>
      <c r="G3318" s="84" t="s">
        <v>1960</v>
      </c>
    </row>
    <row r="3319" spans="6:7" x14ac:dyDescent="0.35">
      <c r="F3319" s="94">
        <v>313008</v>
      </c>
      <c r="G3319" s="84" t="s">
        <v>1961</v>
      </c>
    </row>
    <row r="3320" spans="6:7" x14ac:dyDescent="0.35">
      <c r="F3320" s="94">
        <v>309110</v>
      </c>
      <c r="G3320" s="84" t="s">
        <v>1962</v>
      </c>
    </row>
    <row r="3321" spans="6:7" x14ac:dyDescent="0.35">
      <c r="F3321" s="94">
        <v>312944</v>
      </c>
      <c r="G3321" s="84" t="s">
        <v>1963</v>
      </c>
    </row>
    <row r="3322" spans="6:7" x14ac:dyDescent="0.35">
      <c r="F3322" s="94">
        <v>314043</v>
      </c>
      <c r="G3322" s="84" t="s">
        <v>1964</v>
      </c>
    </row>
    <row r="3323" spans="6:7" x14ac:dyDescent="0.35">
      <c r="F3323" s="94">
        <v>308753</v>
      </c>
      <c r="G3323" s="84" t="s">
        <v>1965</v>
      </c>
    </row>
    <row r="3324" spans="6:7" x14ac:dyDescent="0.35">
      <c r="F3324" s="94">
        <v>312219</v>
      </c>
      <c r="G3324" s="84" t="s">
        <v>1966</v>
      </c>
    </row>
    <row r="3325" spans="6:7" x14ac:dyDescent="0.35">
      <c r="F3325" s="94">
        <v>314664</v>
      </c>
      <c r="G3325" s="84" t="s">
        <v>1967</v>
      </c>
    </row>
    <row r="3326" spans="6:7" x14ac:dyDescent="0.35">
      <c r="F3326" s="94">
        <v>315314</v>
      </c>
      <c r="G3326" s="84" t="s">
        <v>1968</v>
      </c>
    </row>
    <row r="3327" spans="6:7" x14ac:dyDescent="0.35">
      <c r="F3327" s="94">
        <v>309750</v>
      </c>
      <c r="G3327" s="84" t="s">
        <v>1969</v>
      </c>
    </row>
    <row r="3328" spans="6:7" x14ac:dyDescent="0.35">
      <c r="F3328" s="94">
        <v>307867</v>
      </c>
      <c r="G3328" s="84" t="s">
        <v>1970</v>
      </c>
    </row>
    <row r="3329" spans="6:7" x14ac:dyDescent="0.35">
      <c r="F3329" s="94">
        <v>313410</v>
      </c>
      <c r="G3329" s="84" t="s">
        <v>1971</v>
      </c>
    </row>
    <row r="3330" spans="6:7" x14ac:dyDescent="0.35">
      <c r="F3330" s="94">
        <v>315157</v>
      </c>
      <c r="G3330" s="84" t="s">
        <v>1972</v>
      </c>
    </row>
    <row r="3331" spans="6:7" x14ac:dyDescent="0.35">
      <c r="F3331" s="94">
        <v>303878</v>
      </c>
      <c r="G3331" s="84" t="s">
        <v>1973</v>
      </c>
    </row>
    <row r="3332" spans="6:7" x14ac:dyDescent="0.35">
      <c r="F3332" s="94">
        <v>315187</v>
      </c>
      <c r="G3332" s="84" t="s">
        <v>1974</v>
      </c>
    </row>
    <row r="3333" spans="6:7" x14ac:dyDescent="0.35">
      <c r="F3333" s="94">
        <v>310537</v>
      </c>
      <c r="G3333" s="84" t="s">
        <v>1975</v>
      </c>
    </row>
    <row r="3334" spans="6:7" x14ac:dyDescent="0.35">
      <c r="F3334" s="94">
        <v>314578</v>
      </c>
      <c r="G3334" s="84" t="s">
        <v>1976</v>
      </c>
    </row>
    <row r="3335" spans="6:7" x14ac:dyDescent="0.35">
      <c r="F3335" s="94">
        <v>315331</v>
      </c>
      <c r="G3335" s="84" t="s">
        <v>1977</v>
      </c>
    </row>
    <row r="3336" spans="6:7" x14ac:dyDescent="0.35">
      <c r="F3336" s="94">
        <v>314950</v>
      </c>
      <c r="G3336" s="84" t="s">
        <v>1978</v>
      </c>
    </row>
    <row r="3337" spans="6:7" x14ac:dyDescent="0.35">
      <c r="F3337" s="94">
        <v>312575</v>
      </c>
      <c r="G3337" s="84" t="s">
        <v>1979</v>
      </c>
    </row>
    <row r="3338" spans="6:7" x14ac:dyDescent="0.35">
      <c r="F3338" s="94">
        <v>309102</v>
      </c>
      <c r="G3338" s="84" t="s">
        <v>1980</v>
      </c>
    </row>
    <row r="3339" spans="6:7" x14ac:dyDescent="0.35">
      <c r="F3339" s="94">
        <v>313516</v>
      </c>
      <c r="G3339" s="84" t="s">
        <v>1981</v>
      </c>
    </row>
    <row r="3340" spans="6:7" x14ac:dyDescent="0.35">
      <c r="F3340" s="94">
        <v>314786</v>
      </c>
      <c r="G3340" s="84" t="s">
        <v>1982</v>
      </c>
    </row>
    <row r="3341" spans="6:7" x14ac:dyDescent="0.35">
      <c r="F3341" s="94">
        <v>313482</v>
      </c>
      <c r="G3341" s="84" t="s">
        <v>1983</v>
      </c>
    </row>
    <row r="3342" spans="6:7" x14ac:dyDescent="0.35">
      <c r="F3342" s="94">
        <v>313642</v>
      </c>
      <c r="G3342" s="84" t="s">
        <v>1984</v>
      </c>
    </row>
    <row r="3343" spans="6:7" x14ac:dyDescent="0.35">
      <c r="F3343" s="94">
        <v>314734</v>
      </c>
      <c r="G3343" s="84" t="s">
        <v>1985</v>
      </c>
    </row>
    <row r="3344" spans="6:7" x14ac:dyDescent="0.35">
      <c r="F3344" s="94">
        <v>312551</v>
      </c>
      <c r="G3344" s="84" t="s">
        <v>1986</v>
      </c>
    </row>
    <row r="3345" spans="6:7" x14ac:dyDescent="0.35">
      <c r="F3345" s="94">
        <v>311524</v>
      </c>
      <c r="G3345" s="84" t="s">
        <v>1987</v>
      </c>
    </row>
    <row r="3346" spans="6:7" x14ac:dyDescent="0.35">
      <c r="F3346" s="94">
        <v>309360</v>
      </c>
      <c r="G3346" s="84" t="s">
        <v>1988</v>
      </c>
    </row>
    <row r="3347" spans="6:7" x14ac:dyDescent="0.35">
      <c r="F3347" s="94">
        <v>309560</v>
      </c>
      <c r="G3347" s="84" t="s">
        <v>1989</v>
      </c>
    </row>
    <row r="3348" spans="6:7" x14ac:dyDescent="0.35">
      <c r="F3348" s="94">
        <v>313834</v>
      </c>
      <c r="G3348" s="84" t="s">
        <v>1990</v>
      </c>
    </row>
    <row r="3349" spans="6:7" x14ac:dyDescent="0.35">
      <c r="F3349" s="94">
        <v>312983</v>
      </c>
      <c r="G3349" s="84" t="s">
        <v>1991</v>
      </c>
    </row>
    <row r="3350" spans="6:7" x14ac:dyDescent="0.35">
      <c r="F3350" s="94">
        <v>313043</v>
      </c>
      <c r="G3350" s="84" t="s">
        <v>1992</v>
      </c>
    </row>
    <row r="3351" spans="6:7" x14ac:dyDescent="0.35">
      <c r="F3351" s="94">
        <v>315052</v>
      </c>
      <c r="G3351" s="84" t="s">
        <v>1993</v>
      </c>
    </row>
    <row r="3352" spans="6:7" x14ac:dyDescent="0.35">
      <c r="F3352" s="94">
        <v>311322</v>
      </c>
      <c r="G3352" s="84" t="s">
        <v>1994</v>
      </c>
    </row>
    <row r="3353" spans="6:7" x14ac:dyDescent="0.35">
      <c r="F3353" s="94">
        <v>313852</v>
      </c>
      <c r="G3353" s="84" t="s">
        <v>1995</v>
      </c>
    </row>
    <row r="3354" spans="6:7" x14ac:dyDescent="0.35">
      <c r="F3354" s="94">
        <v>310326</v>
      </c>
      <c r="G3354" s="84" t="s">
        <v>1996</v>
      </c>
    </row>
    <row r="3355" spans="6:7" x14ac:dyDescent="0.35">
      <c r="F3355" s="94">
        <v>312039</v>
      </c>
      <c r="G3355" s="84" t="s">
        <v>1997</v>
      </c>
    </row>
    <row r="3356" spans="6:7" x14ac:dyDescent="0.35">
      <c r="F3356" s="94">
        <v>315030</v>
      </c>
      <c r="G3356" s="84" t="s">
        <v>1998</v>
      </c>
    </row>
    <row r="3357" spans="6:7" x14ac:dyDescent="0.35">
      <c r="F3357" s="94">
        <v>314898</v>
      </c>
      <c r="G3357" s="84" t="s">
        <v>1999</v>
      </c>
    </row>
    <row r="3358" spans="6:7" x14ac:dyDescent="0.35">
      <c r="F3358" s="94">
        <v>315306</v>
      </c>
      <c r="G3358" s="84" t="s">
        <v>2000</v>
      </c>
    </row>
    <row r="3359" spans="6:7" x14ac:dyDescent="0.35">
      <c r="F3359" s="94">
        <v>315370</v>
      </c>
      <c r="G3359" s="84" t="s">
        <v>2001</v>
      </c>
    </row>
    <row r="3360" spans="6:7" x14ac:dyDescent="0.35">
      <c r="F3360" s="94">
        <v>315354</v>
      </c>
      <c r="G3360" s="84" t="s">
        <v>2002</v>
      </c>
    </row>
    <row r="3361" spans="6:7" x14ac:dyDescent="0.35">
      <c r="F3361" s="94">
        <v>314676</v>
      </c>
      <c r="G3361" s="84" t="s">
        <v>2003</v>
      </c>
    </row>
    <row r="3362" spans="6:7" x14ac:dyDescent="0.35">
      <c r="F3362" s="94">
        <v>314069</v>
      </c>
      <c r="G3362" s="84" t="s">
        <v>2004</v>
      </c>
    </row>
    <row r="3363" spans="6:7" x14ac:dyDescent="0.35">
      <c r="F3363" s="94">
        <v>315328</v>
      </c>
      <c r="G3363" s="84" t="s">
        <v>2005</v>
      </c>
    </row>
    <row r="3364" spans="6:7" x14ac:dyDescent="0.35">
      <c r="F3364" s="94">
        <v>314629</v>
      </c>
      <c r="G3364" s="84" t="s">
        <v>2006</v>
      </c>
    </row>
    <row r="3365" spans="6:7" x14ac:dyDescent="0.35">
      <c r="F3365" s="94">
        <v>314358</v>
      </c>
      <c r="G3365" s="84" t="s">
        <v>2007</v>
      </c>
    </row>
    <row r="3366" spans="6:7" x14ac:dyDescent="0.35">
      <c r="F3366" s="94">
        <v>314090</v>
      </c>
      <c r="G3366" s="84" t="s">
        <v>2008</v>
      </c>
    </row>
    <row r="3367" spans="6:7" x14ac:dyDescent="0.35">
      <c r="F3367" s="94">
        <v>311202</v>
      </c>
      <c r="G3367" s="84" t="s">
        <v>2009</v>
      </c>
    </row>
    <row r="3368" spans="6:7" x14ac:dyDescent="0.35">
      <c r="F3368" s="94">
        <v>314693</v>
      </c>
      <c r="G3368" s="84" t="s">
        <v>2010</v>
      </c>
    </row>
    <row r="3369" spans="6:7" x14ac:dyDescent="0.35">
      <c r="F3369" s="94">
        <v>307008</v>
      </c>
      <c r="G3369" s="84" t="s">
        <v>2011</v>
      </c>
    </row>
    <row r="3370" spans="6:7" x14ac:dyDescent="0.35">
      <c r="F3370" s="94">
        <v>313003</v>
      </c>
      <c r="G3370" s="84" t="s">
        <v>2012</v>
      </c>
    </row>
    <row r="3371" spans="6:7" x14ac:dyDescent="0.35">
      <c r="F3371" s="94">
        <v>315224</v>
      </c>
      <c r="G3371" s="84" t="s">
        <v>2013</v>
      </c>
    </row>
    <row r="3372" spans="6:7" x14ac:dyDescent="0.35">
      <c r="F3372" s="94">
        <v>315178</v>
      </c>
      <c r="G3372" s="84" t="s">
        <v>2014</v>
      </c>
    </row>
    <row r="3373" spans="6:7" x14ac:dyDescent="0.35">
      <c r="F3373" s="94">
        <v>314040</v>
      </c>
      <c r="G3373" s="84" t="s">
        <v>2015</v>
      </c>
    </row>
    <row r="3374" spans="6:7" x14ac:dyDescent="0.35">
      <c r="F3374" s="94">
        <v>315172</v>
      </c>
      <c r="G3374" s="84" t="s">
        <v>2016</v>
      </c>
    </row>
    <row r="3375" spans="6:7" x14ac:dyDescent="0.35">
      <c r="F3375" s="94">
        <v>314726</v>
      </c>
      <c r="G3375" s="84" t="s">
        <v>2017</v>
      </c>
    </row>
    <row r="3376" spans="6:7" x14ac:dyDescent="0.35">
      <c r="F3376" s="94">
        <v>306350</v>
      </c>
      <c r="G3376" s="84" t="s">
        <v>2018</v>
      </c>
    </row>
    <row r="3377" spans="6:7" x14ac:dyDescent="0.35">
      <c r="F3377" s="94">
        <v>314282</v>
      </c>
      <c r="G3377" s="84" t="s">
        <v>2019</v>
      </c>
    </row>
    <row r="3378" spans="6:7" x14ac:dyDescent="0.35">
      <c r="F3378" s="94">
        <v>314675</v>
      </c>
      <c r="G3378" s="84" t="s">
        <v>2020</v>
      </c>
    </row>
    <row r="3379" spans="6:7" x14ac:dyDescent="0.35">
      <c r="F3379" s="94">
        <v>313056</v>
      </c>
      <c r="G3379" s="84" t="s">
        <v>2021</v>
      </c>
    </row>
    <row r="3380" spans="6:7" x14ac:dyDescent="0.35">
      <c r="F3380" s="94">
        <v>311573</v>
      </c>
      <c r="G3380" s="84" t="s">
        <v>2022</v>
      </c>
    </row>
    <row r="3381" spans="6:7" x14ac:dyDescent="0.35">
      <c r="F3381" s="94">
        <v>313661</v>
      </c>
      <c r="G3381" s="84" t="s">
        <v>2023</v>
      </c>
    </row>
    <row r="3382" spans="6:7" x14ac:dyDescent="0.35">
      <c r="F3382" s="94">
        <v>314134</v>
      </c>
      <c r="G3382" s="84" t="s">
        <v>2024</v>
      </c>
    </row>
    <row r="3383" spans="6:7" x14ac:dyDescent="0.35">
      <c r="F3383" s="94">
        <v>315207</v>
      </c>
      <c r="G3383" s="84" t="s">
        <v>2025</v>
      </c>
    </row>
    <row r="3384" spans="6:7" x14ac:dyDescent="0.35">
      <c r="F3384" s="94">
        <v>312659</v>
      </c>
      <c r="G3384" s="84" t="s">
        <v>2026</v>
      </c>
    </row>
    <row r="3385" spans="6:7" x14ac:dyDescent="0.35">
      <c r="F3385" s="94">
        <v>315587</v>
      </c>
      <c r="G3385" s="84" t="s">
        <v>2027</v>
      </c>
    </row>
    <row r="3386" spans="6:7" x14ac:dyDescent="0.35">
      <c r="F3386" s="94">
        <v>315590</v>
      </c>
      <c r="G3386" s="84" t="s">
        <v>2028</v>
      </c>
    </row>
    <row r="3387" spans="6:7" x14ac:dyDescent="0.35">
      <c r="F3387" s="94">
        <v>315602</v>
      </c>
      <c r="G3387" s="84" t="s">
        <v>2029</v>
      </c>
    </row>
    <row r="3388" spans="6:7" x14ac:dyDescent="0.35">
      <c r="F3388" s="94">
        <v>315607</v>
      </c>
      <c r="G3388" s="84" t="s">
        <v>2030</v>
      </c>
    </row>
    <row r="3389" spans="6:7" x14ac:dyDescent="0.35">
      <c r="F3389" s="94">
        <v>315611</v>
      </c>
      <c r="G3389" s="84" t="s">
        <v>2031</v>
      </c>
    </row>
    <row r="3390" spans="6:7" x14ac:dyDescent="0.35">
      <c r="F3390" s="94">
        <v>315612</v>
      </c>
      <c r="G3390" s="84" t="s">
        <v>2032</v>
      </c>
    </row>
    <row r="3391" spans="6:7" x14ac:dyDescent="0.35">
      <c r="F3391" s="94">
        <v>315616</v>
      </c>
      <c r="G3391" s="84" t="s">
        <v>2033</v>
      </c>
    </row>
    <row r="3392" spans="6:7" x14ac:dyDescent="0.35">
      <c r="F3392" s="94">
        <v>315629</v>
      </c>
      <c r="G3392" s="84" t="s">
        <v>2034</v>
      </c>
    </row>
    <row r="3393" spans="6:7" x14ac:dyDescent="0.35">
      <c r="F3393" s="94">
        <v>315630</v>
      </c>
      <c r="G3393" s="84" t="s">
        <v>2035</v>
      </c>
    </row>
    <row r="3394" spans="6:7" x14ac:dyDescent="0.35">
      <c r="F3394" s="94">
        <v>309658</v>
      </c>
      <c r="G3394" s="84" t="s">
        <v>2036</v>
      </c>
    </row>
    <row r="3395" spans="6:7" x14ac:dyDescent="0.35">
      <c r="F3395" s="84">
        <v>301291</v>
      </c>
      <c r="G3395" s="85" t="s">
        <v>2037</v>
      </c>
    </row>
    <row r="3396" spans="6:7" x14ac:dyDescent="0.35">
      <c r="F3396" s="84">
        <v>307550</v>
      </c>
      <c r="G3396" s="85" t="s">
        <v>2038</v>
      </c>
    </row>
    <row r="3397" spans="6:7" x14ac:dyDescent="0.35">
      <c r="F3397" s="84">
        <v>312210</v>
      </c>
      <c r="G3397" s="85" t="s">
        <v>2039</v>
      </c>
    </row>
    <row r="3398" spans="6:7" x14ac:dyDescent="0.35">
      <c r="F3398" s="84">
        <v>304801</v>
      </c>
      <c r="G3398" s="85" t="s">
        <v>2040</v>
      </c>
    </row>
    <row r="3399" spans="6:7" x14ac:dyDescent="0.35">
      <c r="F3399" s="84">
        <v>314684</v>
      </c>
      <c r="G3399" s="85" t="s">
        <v>2041</v>
      </c>
    </row>
    <row r="3400" spans="6:7" x14ac:dyDescent="0.35">
      <c r="F3400" s="84">
        <v>309956</v>
      </c>
      <c r="G3400" s="85" t="s">
        <v>2042</v>
      </c>
    </row>
    <row r="3401" spans="6:7" x14ac:dyDescent="0.35">
      <c r="F3401" s="84">
        <v>314978</v>
      </c>
      <c r="G3401" s="85" t="s">
        <v>2043</v>
      </c>
    </row>
    <row r="3402" spans="6:7" x14ac:dyDescent="0.35">
      <c r="F3402" s="84">
        <v>302674</v>
      </c>
      <c r="G3402" s="85" t="s">
        <v>2044</v>
      </c>
    </row>
    <row r="3403" spans="6:7" x14ac:dyDescent="0.35">
      <c r="F3403" s="84">
        <v>315147</v>
      </c>
      <c r="G3403" s="85" t="s">
        <v>2045</v>
      </c>
    </row>
    <row r="3404" spans="6:7" x14ac:dyDescent="0.35">
      <c r="F3404" s="84">
        <v>312838</v>
      </c>
      <c r="G3404" s="85" t="s">
        <v>2046</v>
      </c>
    </row>
    <row r="3405" spans="6:7" x14ac:dyDescent="0.35">
      <c r="F3405" s="84">
        <v>305064</v>
      </c>
      <c r="G3405" s="85" t="s">
        <v>2047</v>
      </c>
    </row>
    <row r="3406" spans="6:7" x14ac:dyDescent="0.35">
      <c r="F3406" s="84">
        <v>308754</v>
      </c>
      <c r="G3406" s="85" t="s">
        <v>2048</v>
      </c>
    </row>
    <row r="3407" spans="6:7" x14ac:dyDescent="0.35">
      <c r="F3407" s="84">
        <v>313396</v>
      </c>
      <c r="G3407" s="85" t="s">
        <v>2049</v>
      </c>
    </row>
    <row r="3408" spans="6:7" x14ac:dyDescent="0.35">
      <c r="F3408" s="84">
        <v>306330</v>
      </c>
      <c r="G3408" s="85" t="s">
        <v>2050</v>
      </c>
    </row>
    <row r="3409" spans="6:7" x14ac:dyDescent="0.35">
      <c r="F3409" s="84">
        <v>307198</v>
      </c>
      <c r="G3409" s="85" t="s">
        <v>2051</v>
      </c>
    </row>
    <row r="3410" spans="6:7" x14ac:dyDescent="0.35">
      <c r="F3410" s="89">
        <v>307786</v>
      </c>
      <c r="G3410" s="85" t="s">
        <v>2052</v>
      </c>
    </row>
    <row r="3411" spans="6:7" x14ac:dyDescent="0.35">
      <c r="F3411" s="84">
        <v>300268</v>
      </c>
      <c r="G3411" s="85" t="s">
        <v>2053</v>
      </c>
    </row>
    <row r="3412" spans="6:7" x14ac:dyDescent="0.35">
      <c r="F3412" s="84">
        <v>313636</v>
      </c>
      <c r="G3412" s="85" t="s">
        <v>2054</v>
      </c>
    </row>
    <row r="3413" spans="6:7" x14ac:dyDescent="0.35">
      <c r="F3413" s="84">
        <v>307702</v>
      </c>
      <c r="G3413" s="85" t="s">
        <v>2055</v>
      </c>
    </row>
    <row r="3414" spans="6:7" x14ac:dyDescent="0.35">
      <c r="F3414" s="84">
        <v>314648</v>
      </c>
      <c r="G3414" s="85" t="s">
        <v>2056</v>
      </c>
    </row>
    <row r="3415" spans="6:7" x14ac:dyDescent="0.35">
      <c r="F3415" s="84">
        <v>309567</v>
      </c>
      <c r="G3415" s="85" t="s">
        <v>2057</v>
      </c>
    </row>
    <row r="3416" spans="6:7" x14ac:dyDescent="0.35">
      <c r="F3416" s="84">
        <v>313649</v>
      </c>
      <c r="G3416" s="85" t="s">
        <v>2058</v>
      </c>
    </row>
    <row r="3417" spans="6:7" x14ac:dyDescent="0.35">
      <c r="F3417" s="84">
        <v>302684</v>
      </c>
      <c r="G3417" s="85" t="s">
        <v>2059</v>
      </c>
    </row>
    <row r="3418" spans="6:7" x14ac:dyDescent="0.35">
      <c r="F3418" s="84">
        <v>302866</v>
      </c>
      <c r="G3418" s="85" t="s">
        <v>2060</v>
      </c>
    </row>
    <row r="3419" spans="6:7" x14ac:dyDescent="0.35">
      <c r="F3419" s="84">
        <v>313111</v>
      </c>
      <c r="G3419" s="85" t="s">
        <v>2061</v>
      </c>
    </row>
    <row r="3420" spans="6:7" x14ac:dyDescent="0.35">
      <c r="F3420" s="84">
        <v>313203</v>
      </c>
      <c r="G3420" s="85" t="s">
        <v>2062</v>
      </c>
    </row>
    <row r="3421" spans="6:7" x14ac:dyDescent="0.35">
      <c r="F3421" s="84">
        <v>302596</v>
      </c>
      <c r="G3421" s="85" t="s">
        <v>2063</v>
      </c>
    </row>
    <row r="3422" spans="6:7" x14ac:dyDescent="0.35">
      <c r="F3422" s="84">
        <v>310241</v>
      </c>
      <c r="G3422" s="85" t="s">
        <v>2064</v>
      </c>
    </row>
    <row r="3423" spans="6:7" x14ac:dyDescent="0.35">
      <c r="F3423" s="84">
        <v>313342</v>
      </c>
      <c r="G3423" s="85" t="s">
        <v>2065</v>
      </c>
    </row>
    <row r="3424" spans="6:7" x14ac:dyDescent="0.35">
      <c r="F3424" s="84">
        <v>301234</v>
      </c>
      <c r="G3424" s="85" t="s">
        <v>2066</v>
      </c>
    </row>
    <row r="3425" spans="6:7" x14ac:dyDescent="0.35">
      <c r="F3425" s="84">
        <v>307154</v>
      </c>
      <c r="G3425" s="85" t="s">
        <v>2067</v>
      </c>
    </row>
    <row r="3426" spans="6:7" x14ac:dyDescent="0.35">
      <c r="F3426" s="84">
        <v>305181</v>
      </c>
      <c r="G3426" s="85" t="s">
        <v>2068</v>
      </c>
    </row>
    <row r="3427" spans="6:7" x14ac:dyDescent="0.35">
      <c r="F3427" s="84">
        <v>303552</v>
      </c>
      <c r="G3427" s="85" t="s">
        <v>2069</v>
      </c>
    </row>
    <row r="3428" spans="6:7" x14ac:dyDescent="0.35">
      <c r="F3428" s="84">
        <v>303704</v>
      </c>
      <c r="G3428" s="85" t="s">
        <v>2070</v>
      </c>
    </row>
    <row r="3429" spans="6:7" x14ac:dyDescent="0.35">
      <c r="F3429" s="84">
        <v>102171</v>
      </c>
      <c r="G3429" s="85" t="s">
        <v>2071</v>
      </c>
    </row>
    <row r="3430" spans="6:7" x14ac:dyDescent="0.35">
      <c r="F3430" s="84">
        <v>310126</v>
      </c>
      <c r="G3430" s="85" t="s">
        <v>2072</v>
      </c>
    </row>
    <row r="3431" spans="6:7" x14ac:dyDescent="0.35">
      <c r="F3431" s="84">
        <v>307812</v>
      </c>
      <c r="G3431" s="85" t="s">
        <v>2073</v>
      </c>
    </row>
    <row r="3432" spans="6:7" x14ac:dyDescent="0.35">
      <c r="F3432" s="89">
        <v>308137</v>
      </c>
      <c r="G3432" s="85" t="s">
        <v>2074</v>
      </c>
    </row>
    <row r="3433" spans="6:7" x14ac:dyDescent="0.35">
      <c r="F3433" s="84">
        <v>311466</v>
      </c>
      <c r="G3433" s="85" t="s">
        <v>2075</v>
      </c>
    </row>
    <row r="3434" spans="6:7" x14ac:dyDescent="0.35">
      <c r="F3434" s="84">
        <v>301374</v>
      </c>
      <c r="G3434" s="85" t="s">
        <v>2076</v>
      </c>
    </row>
    <row r="3435" spans="6:7" x14ac:dyDescent="0.35">
      <c r="F3435" s="84">
        <v>313446</v>
      </c>
      <c r="G3435" s="85" t="s">
        <v>2077</v>
      </c>
    </row>
    <row r="3436" spans="6:7" x14ac:dyDescent="0.35">
      <c r="F3436" s="84">
        <v>313780</v>
      </c>
      <c r="G3436" s="95" t="s">
        <v>2078</v>
      </c>
    </row>
    <row r="3437" spans="6:7" x14ac:dyDescent="0.35">
      <c r="F3437" s="84">
        <v>313576</v>
      </c>
      <c r="G3437" s="85" t="s">
        <v>2079</v>
      </c>
    </row>
    <row r="3438" spans="6:7" x14ac:dyDescent="0.35">
      <c r="F3438" s="84">
        <v>314171</v>
      </c>
      <c r="G3438" s="85" t="s">
        <v>2080</v>
      </c>
    </row>
    <row r="3439" spans="6:7" x14ac:dyDescent="0.35">
      <c r="F3439" s="84">
        <v>313022</v>
      </c>
      <c r="G3439" s="85" t="s">
        <v>2081</v>
      </c>
    </row>
    <row r="3440" spans="6:7" x14ac:dyDescent="0.35">
      <c r="F3440" s="84">
        <v>313141</v>
      </c>
      <c r="G3440" s="85" t="s">
        <v>2082</v>
      </c>
    </row>
    <row r="3441" spans="6:7" x14ac:dyDescent="0.35">
      <c r="F3441" s="84">
        <v>312615</v>
      </c>
      <c r="G3441" s="85" t="s">
        <v>2083</v>
      </c>
    </row>
    <row r="3442" spans="6:7" x14ac:dyDescent="0.35">
      <c r="F3442" s="84">
        <v>312858</v>
      </c>
      <c r="G3442" s="85" t="s">
        <v>2084</v>
      </c>
    </row>
    <row r="3443" spans="6:7" x14ac:dyDescent="0.35">
      <c r="F3443" s="84">
        <v>314739</v>
      </c>
      <c r="G3443" s="85" t="s">
        <v>2085</v>
      </c>
    </row>
    <row r="3444" spans="6:7" x14ac:dyDescent="0.35">
      <c r="F3444" s="84">
        <v>315299</v>
      </c>
      <c r="G3444" s="85" t="s">
        <v>2086</v>
      </c>
    </row>
    <row r="3445" spans="6:7" x14ac:dyDescent="0.35">
      <c r="F3445" s="84">
        <v>315357</v>
      </c>
      <c r="G3445" s="84" t="s">
        <v>2087</v>
      </c>
    </row>
    <row r="3446" spans="6:7" x14ac:dyDescent="0.35">
      <c r="F3446" s="84">
        <v>315315</v>
      </c>
      <c r="G3446" s="85" t="s">
        <v>2088</v>
      </c>
    </row>
    <row r="3447" spans="6:7" x14ac:dyDescent="0.35">
      <c r="F3447" s="84">
        <v>315477</v>
      </c>
      <c r="G3447" s="95" t="s">
        <v>2089</v>
      </c>
    </row>
    <row r="3448" spans="6:7" x14ac:dyDescent="0.35">
      <c r="F3448" s="84">
        <v>314170</v>
      </c>
      <c r="G3448" s="85" t="s">
        <v>2090</v>
      </c>
    </row>
    <row r="3449" spans="6:7" x14ac:dyDescent="0.35">
      <c r="F3449" s="94">
        <v>312053</v>
      </c>
      <c r="G3449" s="84" t="s">
        <v>2091</v>
      </c>
    </row>
    <row r="3450" spans="6:7" x14ac:dyDescent="0.35">
      <c r="F3450" s="94">
        <v>309795</v>
      </c>
      <c r="G3450" s="84" t="s">
        <v>2092</v>
      </c>
    </row>
    <row r="3451" spans="6:7" x14ac:dyDescent="0.35">
      <c r="F3451" s="94">
        <v>308490</v>
      </c>
      <c r="G3451" s="84" t="s">
        <v>2093</v>
      </c>
    </row>
    <row r="3452" spans="6:7" x14ac:dyDescent="0.35">
      <c r="F3452" s="94">
        <v>311663</v>
      </c>
      <c r="G3452" s="84" t="s">
        <v>2094</v>
      </c>
    </row>
    <row r="3453" spans="6:7" x14ac:dyDescent="0.35">
      <c r="F3453" s="94">
        <v>300878</v>
      </c>
      <c r="G3453" s="84" t="s">
        <v>2095</v>
      </c>
    </row>
    <row r="3454" spans="6:7" x14ac:dyDescent="0.35">
      <c r="F3454" s="94">
        <v>311195</v>
      </c>
      <c r="G3454" s="84" t="s">
        <v>2096</v>
      </c>
    </row>
    <row r="3455" spans="6:7" x14ac:dyDescent="0.35">
      <c r="F3455" s="94">
        <v>311073</v>
      </c>
      <c r="G3455" s="84" t="s">
        <v>2097</v>
      </c>
    </row>
    <row r="3456" spans="6:7" x14ac:dyDescent="0.35">
      <c r="F3456" s="94">
        <v>309602</v>
      </c>
      <c r="G3456" s="84" t="s">
        <v>2098</v>
      </c>
    </row>
    <row r="3457" spans="6:7" x14ac:dyDescent="0.35">
      <c r="F3457" s="94">
        <v>311706</v>
      </c>
      <c r="G3457" s="84" t="s">
        <v>2099</v>
      </c>
    </row>
    <row r="3458" spans="6:7" x14ac:dyDescent="0.35">
      <c r="F3458" s="94">
        <v>311347</v>
      </c>
      <c r="G3458" s="84" t="s">
        <v>2100</v>
      </c>
    </row>
    <row r="3459" spans="6:7" x14ac:dyDescent="0.35">
      <c r="F3459" s="94">
        <v>311236</v>
      </c>
      <c r="G3459" s="84" t="s">
        <v>2101</v>
      </c>
    </row>
    <row r="3460" spans="6:7" x14ac:dyDescent="0.35">
      <c r="F3460" s="94">
        <v>304620</v>
      </c>
      <c r="G3460" s="84" t="s">
        <v>2102</v>
      </c>
    </row>
    <row r="3461" spans="6:7" x14ac:dyDescent="0.35">
      <c r="F3461" s="94">
        <v>311196</v>
      </c>
      <c r="G3461" s="84" t="s">
        <v>2103</v>
      </c>
    </row>
    <row r="3462" spans="6:7" x14ac:dyDescent="0.35">
      <c r="F3462" s="94">
        <v>309398</v>
      </c>
      <c r="G3462" s="84" t="s">
        <v>2104</v>
      </c>
    </row>
    <row r="3463" spans="6:7" x14ac:dyDescent="0.35">
      <c r="F3463" s="94">
        <v>311588</v>
      </c>
      <c r="G3463" s="84" t="s">
        <v>2105</v>
      </c>
    </row>
    <row r="3464" spans="6:7" x14ac:dyDescent="0.35">
      <c r="F3464" s="94">
        <v>313885</v>
      </c>
      <c r="G3464" s="84" t="s">
        <v>2106</v>
      </c>
    </row>
    <row r="3465" spans="6:7" x14ac:dyDescent="0.35">
      <c r="F3465" s="94">
        <v>314224</v>
      </c>
      <c r="G3465" s="84" t="s">
        <v>2107</v>
      </c>
    </row>
    <row r="3466" spans="6:7" x14ac:dyDescent="0.35">
      <c r="F3466" s="94">
        <v>314304</v>
      </c>
      <c r="G3466" s="84" t="s">
        <v>2108</v>
      </c>
    </row>
    <row r="3467" spans="6:7" x14ac:dyDescent="0.35">
      <c r="F3467" s="94">
        <v>313839</v>
      </c>
      <c r="G3467" s="84" t="s">
        <v>2109</v>
      </c>
    </row>
    <row r="3468" spans="6:7" x14ac:dyDescent="0.35">
      <c r="F3468" s="94">
        <v>311901</v>
      </c>
      <c r="G3468" s="84" t="s">
        <v>2110</v>
      </c>
    </row>
    <row r="3469" spans="6:7" x14ac:dyDescent="0.35">
      <c r="F3469" s="94">
        <v>314439</v>
      </c>
      <c r="G3469" s="84" t="s">
        <v>2111</v>
      </c>
    </row>
    <row r="3470" spans="6:7" x14ac:dyDescent="0.35">
      <c r="F3470" s="94">
        <v>313884</v>
      </c>
      <c r="G3470" s="84" t="s">
        <v>2112</v>
      </c>
    </row>
    <row r="3471" spans="6:7" x14ac:dyDescent="0.35">
      <c r="F3471" s="94">
        <v>309852</v>
      </c>
      <c r="G3471" s="84" t="s">
        <v>2113</v>
      </c>
    </row>
    <row r="3472" spans="6:7" x14ac:dyDescent="0.35">
      <c r="F3472" s="94">
        <v>312709</v>
      </c>
      <c r="G3472" s="84" t="s">
        <v>2114</v>
      </c>
    </row>
    <row r="3473" spans="6:7" x14ac:dyDescent="0.35">
      <c r="F3473" s="94">
        <v>314436</v>
      </c>
      <c r="G3473" s="84" t="s">
        <v>2115</v>
      </c>
    </row>
    <row r="3474" spans="6:7" x14ac:dyDescent="0.35">
      <c r="F3474" s="94">
        <v>313114</v>
      </c>
      <c r="G3474" s="84" t="s">
        <v>2116</v>
      </c>
    </row>
    <row r="3475" spans="6:7" x14ac:dyDescent="0.35">
      <c r="F3475" s="94">
        <v>308558</v>
      </c>
      <c r="G3475" s="84" t="s">
        <v>2117</v>
      </c>
    </row>
    <row r="3476" spans="6:7" x14ac:dyDescent="0.35">
      <c r="F3476" s="94">
        <v>313233</v>
      </c>
      <c r="G3476" s="84" t="s">
        <v>2118</v>
      </c>
    </row>
    <row r="3477" spans="6:7" x14ac:dyDescent="0.35">
      <c r="F3477" s="94">
        <v>313739</v>
      </c>
      <c r="G3477" s="84" t="s">
        <v>2119</v>
      </c>
    </row>
    <row r="3478" spans="6:7" x14ac:dyDescent="0.35">
      <c r="F3478" s="94">
        <v>315361</v>
      </c>
      <c r="G3478" s="84" t="s">
        <v>2120</v>
      </c>
    </row>
    <row r="3479" spans="6:7" x14ac:dyDescent="0.35">
      <c r="F3479" s="94">
        <v>314103</v>
      </c>
      <c r="G3479" s="84" t="s">
        <v>2121</v>
      </c>
    </row>
    <row r="3480" spans="6:7" x14ac:dyDescent="0.35">
      <c r="F3480" s="94">
        <v>313680</v>
      </c>
      <c r="G3480" s="84" t="s">
        <v>2122</v>
      </c>
    </row>
    <row r="3481" spans="6:7" x14ac:dyDescent="0.35">
      <c r="F3481" s="94">
        <v>314359</v>
      </c>
      <c r="G3481" s="84" t="s">
        <v>2123</v>
      </c>
    </row>
    <row r="3482" spans="6:7" x14ac:dyDescent="0.35">
      <c r="F3482" s="94">
        <v>309332</v>
      </c>
      <c r="G3482" s="84" t="s">
        <v>2124</v>
      </c>
    </row>
    <row r="3483" spans="6:7" x14ac:dyDescent="0.35">
      <c r="F3483" s="94">
        <v>314547</v>
      </c>
      <c r="G3483" s="84" t="s">
        <v>2125</v>
      </c>
    </row>
    <row r="3484" spans="6:7" x14ac:dyDescent="0.35">
      <c r="F3484" s="94">
        <v>314370</v>
      </c>
      <c r="G3484" s="84" t="s">
        <v>2126</v>
      </c>
    </row>
    <row r="3485" spans="6:7" x14ac:dyDescent="0.35">
      <c r="F3485" s="94">
        <v>315419</v>
      </c>
      <c r="G3485" s="84" t="s">
        <v>2127</v>
      </c>
    </row>
    <row r="3486" spans="6:7" x14ac:dyDescent="0.35">
      <c r="F3486" s="94">
        <v>314769</v>
      </c>
      <c r="G3486" s="84" t="s">
        <v>2128</v>
      </c>
    </row>
    <row r="3487" spans="6:7" x14ac:dyDescent="0.35">
      <c r="F3487" s="94">
        <v>314839</v>
      </c>
      <c r="G3487" s="84" t="s">
        <v>2129</v>
      </c>
    </row>
    <row r="3488" spans="6:7" x14ac:dyDescent="0.35">
      <c r="F3488" s="94">
        <v>315422</v>
      </c>
      <c r="G3488" s="84" t="s">
        <v>2131</v>
      </c>
    </row>
    <row r="3489" spans="6:7" x14ac:dyDescent="0.35">
      <c r="F3489" s="94">
        <v>314836</v>
      </c>
      <c r="G3489" s="84" t="s">
        <v>2132</v>
      </c>
    </row>
    <row r="3490" spans="6:7" x14ac:dyDescent="0.35">
      <c r="F3490" s="94">
        <v>314759</v>
      </c>
      <c r="G3490" s="84" t="s">
        <v>2133</v>
      </c>
    </row>
    <row r="3491" spans="6:7" x14ac:dyDescent="0.35">
      <c r="F3491" s="94">
        <v>314757</v>
      </c>
      <c r="G3491" s="84" t="s">
        <v>2134</v>
      </c>
    </row>
    <row r="3492" spans="6:7" x14ac:dyDescent="0.35">
      <c r="F3492" s="94">
        <v>314817</v>
      </c>
      <c r="G3492" s="84" t="s">
        <v>2135</v>
      </c>
    </row>
    <row r="3493" spans="6:7" x14ac:dyDescent="0.35">
      <c r="F3493" s="94">
        <v>314815</v>
      </c>
      <c r="G3493" s="84" t="s">
        <v>2136</v>
      </c>
    </row>
    <row r="3494" spans="6:7" x14ac:dyDescent="0.35">
      <c r="F3494" s="94">
        <v>315421</v>
      </c>
      <c r="G3494" s="84" t="s">
        <v>2137</v>
      </c>
    </row>
    <row r="3495" spans="6:7" x14ac:dyDescent="0.35">
      <c r="F3495" s="94">
        <v>314794</v>
      </c>
      <c r="G3495" s="84" t="s">
        <v>2138</v>
      </c>
    </row>
    <row r="3496" spans="6:7" x14ac:dyDescent="0.35">
      <c r="F3496" s="94">
        <v>314760</v>
      </c>
      <c r="G3496" s="84" t="s">
        <v>2140</v>
      </c>
    </row>
    <row r="3497" spans="6:7" x14ac:dyDescent="0.35">
      <c r="F3497" s="94">
        <v>314838</v>
      </c>
      <c r="G3497" s="84" t="s">
        <v>2141</v>
      </c>
    </row>
    <row r="3498" spans="6:7" x14ac:dyDescent="0.35">
      <c r="F3498" s="94">
        <v>314790</v>
      </c>
      <c r="G3498" s="84" t="s">
        <v>2142</v>
      </c>
    </row>
    <row r="3499" spans="6:7" x14ac:dyDescent="0.35">
      <c r="F3499" s="94">
        <v>314846</v>
      </c>
      <c r="G3499" s="84" t="s">
        <v>2143</v>
      </c>
    </row>
    <row r="3500" spans="6:7" x14ac:dyDescent="0.35">
      <c r="F3500" s="94">
        <v>314761</v>
      </c>
      <c r="G3500" s="84" t="s">
        <v>2144</v>
      </c>
    </row>
    <row r="3501" spans="6:7" x14ac:dyDescent="0.35">
      <c r="F3501" s="94">
        <v>314842</v>
      </c>
      <c r="G3501" s="84" t="s">
        <v>2145</v>
      </c>
    </row>
    <row r="3502" spans="6:7" x14ac:dyDescent="0.35">
      <c r="F3502" s="94">
        <v>314756</v>
      </c>
      <c r="G3502" s="84" t="s">
        <v>2146</v>
      </c>
    </row>
    <row r="3503" spans="6:7" x14ac:dyDescent="0.35">
      <c r="F3503" s="94">
        <v>315366</v>
      </c>
      <c r="G3503" s="84" t="s">
        <v>2147</v>
      </c>
    </row>
    <row r="3504" spans="6:7" x14ac:dyDescent="0.35">
      <c r="F3504" s="94">
        <v>315392</v>
      </c>
      <c r="G3504" s="84" t="s">
        <v>2148</v>
      </c>
    </row>
    <row r="3505" spans="6:7" x14ac:dyDescent="0.35">
      <c r="F3505" s="94">
        <v>314843</v>
      </c>
      <c r="G3505" s="84" t="s">
        <v>2149</v>
      </c>
    </row>
    <row r="3506" spans="6:7" x14ac:dyDescent="0.35">
      <c r="F3506" s="94">
        <v>314791</v>
      </c>
      <c r="G3506" s="84" t="s">
        <v>2150</v>
      </c>
    </row>
    <row r="3507" spans="6:7" x14ac:dyDescent="0.35">
      <c r="F3507" s="94">
        <v>314799</v>
      </c>
      <c r="G3507" s="84" t="s">
        <v>2151</v>
      </c>
    </row>
    <row r="3508" spans="6:7" x14ac:dyDescent="0.35">
      <c r="F3508" s="94">
        <v>314751</v>
      </c>
      <c r="G3508" s="84" t="s">
        <v>2152</v>
      </c>
    </row>
    <row r="3509" spans="6:7" x14ac:dyDescent="0.35">
      <c r="F3509" s="94">
        <v>315169</v>
      </c>
      <c r="G3509" s="84" t="s">
        <v>2153</v>
      </c>
    </row>
    <row r="3510" spans="6:7" x14ac:dyDescent="0.35">
      <c r="F3510" s="94">
        <v>314903</v>
      </c>
      <c r="G3510" s="84" t="s">
        <v>2154</v>
      </c>
    </row>
    <row r="3511" spans="6:7" x14ac:dyDescent="0.35">
      <c r="F3511" s="94">
        <v>314800</v>
      </c>
      <c r="G3511" s="84" t="s">
        <v>2155</v>
      </c>
    </row>
    <row r="3512" spans="6:7" x14ac:dyDescent="0.35">
      <c r="F3512" s="94">
        <v>314748</v>
      </c>
      <c r="G3512" s="84" t="s">
        <v>2156</v>
      </c>
    </row>
    <row r="3513" spans="6:7" x14ac:dyDescent="0.35">
      <c r="F3513" s="94">
        <v>314795</v>
      </c>
      <c r="G3513" s="84" t="s">
        <v>2157</v>
      </c>
    </row>
    <row r="3514" spans="6:7" x14ac:dyDescent="0.35">
      <c r="F3514" s="94">
        <v>315148</v>
      </c>
      <c r="G3514" s="84" t="s">
        <v>2158</v>
      </c>
    </row>
    <row r="3515" spans="6:7" x14ac:dyDescent="0.35">
      <c r="F3515" s="94">
        <v>314906</v>
      </c>
      <c r="G3515" s="84" t="s">
        <v>2159</v>
      </c>
    </row>
    <row r="3516" spans="6:7" x14ac:dyDescent="0.35">
      <c r="F3516" s="94">
        <v>315322</v>
      </c>
      <c r="G3516" s="84" t="s">
        <v>2160</v>
      </c>
    </row>
    <row r="3517" spans="6:7" x14ac:dyDescent="0.35">
      <c r="F3517" s="94">
        <v>315368</v>
      </c>
      <c r="G3517" s="84" t="s">
        <v>2161</v>
      </c>
    </row>
    <row r="3518" spans="6:7" x14ac:dyDescent="0.35">
      <c r="F3518" s="94">
        <v>315093</v>
      </c>
      <c r="G3518" s="84" t="s">
        <v>2162</v>
      </c>
    </row>
    <row r="3519" spans="6:7" x14ac:dyDescent="0.35">
      <c r="F3519" s="94">
        <v>314902</v>
      </c>
      <c r="G3519" s="84" t="s">
        <v>2163</v>
      </c>
    </row>
    <row r="3520" spans="6:7" x14ac:dyDescent="0.35">
      <c r="F3520" s="94">
        <v>314755</v>
      </c>
      <c r="G3520" s="84" t="s">
        <v>2164</v>
      </c>
    </row>
    <row r="3521" spans="6:7" x14ac:dyDescent="0.35">
      <c r="F3521" s="94">
        <v>314967</v>
      </c>
      <c r="G3521" s="84" t="s">
        <v>2165</v>
      </c>
    </row>
    <row r="3522" spans="6:7" x14ac:dyDescent="0.35">
      <c r="F3522" s="94">
        <v>314968</v>
      </c>
      <c r="G3522" s="84" t="s">
        <v>2166</v>
      </c>
    </row>
    <row r="3523" spans="6:7" x14ac:dyDescent="0.35">
      <c r="F3523" s="94">
        <v>311961</v>
      </c>
      <c r="G3523" s="84" t="s">
        <v>2167</v>
      </c>
    </row>
    <row r="3524" spans="6:7" x14ac:dyDescent="0.35">
      <c r="F3524" s="94">
        <v>311188</v>
      </c>
      <c r="G3524" s="84" t="s">
        <v>2168</v>
      </c>
    </row>
    <row r="3525" spans="6:7" x14ac:dyDescent="0.35">
      <c r="F3525" s="94">
        <v>311894</v>
      </c>
      <c r="G3525" s="84" t="s">
        <v>2169</v>
      </c>
    </row>
    <row r="3526" spans="6:7" x14ac:dyDescent="0.35">
      <c r="F3526" s="94">
        <v>308901</v>
      </c>
      <c r="G3526" s="84" t="s">
        <v>2170</v>
      </c>
    </row>
    <row r="3527" spans="6:7" x14ac:dyDescent="0.35">
      <c r="F3527" s="94">
        <v>312069</v>
      </c>
      <c r="G3527" s="84" t="s">
        <v>2171</v>
      </c>
    </row>
    <row r="3528" spans="6:7" x14ac:dyDescent="0.35">
      <c r="F3528" s="94">
        <v>310331</v>
      </c>
      <c r="G3528" s="84" t="s">
        <v>2172</v>
      </c>
    </row>
    <row r="3529" spans="6:7" x14ac:dyDescent="0.35">
      <c r="F3529" s="94">
        <v>310822</v>
      </c>
      <c r="G3529" s="84" t="s">
        <v>2173</v>
      </c>
    </row>
    <row r="3530" spans="6:7" x14ac:dyDescent="0.35">
      <c r="F3530" s="94">
        <v>308012</v>
      </c>
      <c r="G3530" s="84" t="s">
        <v>2174</v>
      </c>
    </row>
    <row r="3531" spans="6:7" x14ac:dyDescent="0.35">
      <c r="F3531" s="94">
        <v>312160</v>
      </c>
      <c r="G3531" s="84" t="s">
        <v>2175</v>
      </c>
    </row>
    <row r="3532" spans="6:7" x14ac:dyDescent="0.35">
      <c r="F3532" s="94">
        <v>311465</v>
      </c>
      <c r="G3532" s="84" t="s">
        <v>2176</v>
      </c>
    </row>
    <row r="3533" spans="6:7" x14ac:dyDescent="0.35">
      <c r="F3533" s="94">
        <v>311294</v>
      </c>
      <c r="G3533" s="84" t="s">
        <v>2177</v>
      </c>
    </row>
    <row r="3534" spans="6:7" x14ac:dyDescent="0.35">
      <c r="F3534" s="94">
        <v>310910</v>
      </c>
      <c r="G3534" s="84" t="s">
        <v>2178</v>
      </c>
    </row>
    <row r="3535" spans="6:7" x14ac:dyDescent="0.35">
      <c r="F3535" s="94">
        <v>304279</v>
      </c>
      <c r="G3535" s="96" t="s">
        <v>2179</v>
      </c>
    </row>
    <row r="3536" spans="6:7" x14ac:dyDescent="0.35">
      <c r="F3536" s="94">
        <v>308911</v>
      </c>
      <c r="G3536" s="84" t="s">
        <v>2180</v>
      </c>
    </row>
    <row r="3537" spans="6:7" x14ac:dyDescent="0.35">
      <c r="F3537" s="94">
        <v>310214</v>
      </c>
      <c r="G3537" s="84" t="s">
        <v>2181</v>
      </c>
    </row>
    <row r="3538" spans="6:7" x14ac:dyDescent="0.35">
      <c r="F3538" s="94">
        <v>314928</v>
      </c>
      <c r="G3538" s="84" t="s">
        <v>2507</v>
      </c>
    </row>
    <row r="3539" spans="6:7" x14ac:dyDescent="0.35">
      <c r="F3539" s="94">
        <v>313239</v>
      </c>
      <c r="G3539" s="84" t="s">
        <v>2183</v>
      </c>
    </row>
    <row r="3540" spans="6:7" x14ac:dyDescent="0.35">
      <c r="F3540" s="94">
        <v>313694</v>
      </c>
      <c r="G3540" s="84" t="s">
        <v>2184</v>
      </c>
    </row>
    <row r="3541" spans="6:7" x14ac:dyDescent="0.35">
      <c r="F3541" s="94">
        <v>313241</v>
      </c>
      <c r="G3541" s="84" t="s">
        <v>2185</v>
      </c>
    </row>
    <row r="3542" spans="6:7" x14ac:dyDescent="0.35">
      <c r="F3542" s="94">
        <v>314323</v>
      </c>
      <c r="G3542" s="84" t="s">
        <v>2185</v>
      </c>
    </row>
    <row r="3543" spans="6:7" x14ac:dyDescent="0.35">
      <c r="F3543" s="94">
        <v>312327</v>
      </c>
      <c r="G3543" s="84" t="s">
        <v>2186</v>
      </c>
    </row>
    <row r="3544" spans="6:7" x14ac:dyDescent="0.35">
      <c r="F3544" s="94">
        <v>313749</v>
      </c>
      <c r="G3544" s="84" t="s">
        <v>2187</v>
      </c>
    </row>
    <row r="3545" spans="6:7" x14ac:dyDescent="0.35">
      <c r="F3545" s="94">
        <v>313840</v>
      </c>
      <c r="G3545" s="84" t="s">
        <v>2188</v>
      </c>
    </row>
    <row r="3546" spans="6:7" x14ac:dyDescent="0.35">
      <c r="F3546" s="94">
        <v>314119</v>
      </c>
      <c r="G3546" s="84" t="s">
        <v>2189</v>
      </c>
    </row>
    <row r="3547" spans="6:7" x14ac:dyDescent="0.35">
      <c r="F3547" s="94">
        <v>313242</v>
      </c>
      <c r="G3547" s="84" t="s">
        <v>2190</v>
      </c>
    </row>
    <row r="3548" spans="6:7" x14ac:dyDescent="0.35">
      <c r="F3548" s="94">
        <v>313539</v>
      </c>
      <c r="G3548" s="84" t="s">
        <v>2191</v>
      </c>
    </row>
    <row r="3549" spans="6:7" x14ac:dyDescent="0.35">
      <c r="F3549" s="94">
        <v>314082</v>
      </c>
      <c r="G3549" s="84" t="s">
        <v>2192</v>
      </c>
    </row>
    <row r="3550" spans="6:7" x14ac:dyDescent="0.35">
      <c r="F3550" s="94">
        <v>313983</v>
      </c>
      <c r="G3550" s="84" t="s">
        <v>2193</v>
      </c>
    </row>
    <row r="3551" spans="6:7" x14ac:dyDescent="0.35">
      <c r="F3551" s="94">
        <v>308875</v>
      </c>
      <c r="G3551" s="84" t="s">
        <v>2194</v>
      </c>
    </row>
    <row r="3552" spans="6:7" x14ac:dyDescent="0.35">
      <c r="F3552" s="94">
        <v>313240</v>
      </c>
      <c r="G3552" s="84" t="s">
        <v>2195</v>
      </c>
    </row>
    <row r="3553" spans="6:7" x14ac:dyDescent="0.35">
      <c r="F3553" s="94">
        <v>314083</v>
      </c>
      <c r="G3553" s="84" t="s">
        <v>2196</v>
      </c>
    </row>
    <row r="3554" spans="6:7" x14ac:dyDescent="0.35">
      <c r="F3554" s="94">
        <v>312489</v>
      </c>
      <c r="G3554" s="84" t="s">
        <v>2197</v>
      </c>
    </row>
    <row r="3555" spans="6:7" x14ac:dyDescent="0.35">
      <c r="F3555" s="94">
        <v>313823</v>
      </c>
      <c r="G3555" s="84" t="s">
        <v>2198</v>
      </c>
    </row>
    <row r="3556" spans="6:7" x14ac:dyDescent="0.35">
      <c r="F3556" s="94">
        <v>313289</v>
      </c>
      <c r="G3556" s="84" t="s">
        <v>2199</v>
      </c>
    </row>
    <row r="3557" spans="6:7" x14ac:dyDescent="0.35">
      <c r="F3557" s="94">
        <v>312476</v>
      </c>
      <c r="G3557" s="84" t="s">
        <v>2200</v>
      </c>
    </row>
    <row r="3558" spans="6:7" x14ac:dyDescent="0.35">
      <c r="F3558" s="94">
        <v>313392</v>
      </c>
      <c r="G3558" s="84" t="s">
        <v>2201</v>
      </c>
    </row>
    <row r="3559" spans="6:7" x14ac:dyDescent="0.35">
      <c r="F3559" s="94">
        <v>315101</v>
      </c>
      <c r="G3559" s="84" t="s">
        <v>2202</v>
      </c>
    </row>
    <row r="3560" spans="6:7" x14ac:dyDescent="0.35">
      <c r="F3560" s="94">
        <v>314905</v>
      </c>
      <c r="G3560" s="84" t="s">
        <v>2203</v>
      </c>
    </row>
    <row r="3561" spans="6:7" x14ac:dyDescent="0.35">
      <c r="F3561" s="94">
        <v>314885</v>
      </c>
      <c r="G3561" s="84" t="s">
        <v>2204</v>
      </c>
    </row>
    <row r="3562" spans="6:7" x14ac:dyDescent="0.35">
      <c r="F3562" s="94">
        <v>314750</v>
      </c>
      <c r="G3562" s="84" t="s">
        <v>2205</v>
      </c>
    </row>
    <row r="3563" spans="6:7" x14ac:dyDescent="0.35">
      <c r="F3563" s="94">
        <v>314753</v>
      </c>
      <c r="G3563" s="84" t="s">
        <v>2206</v>
      </c>
    </row>
    <row r="3564" spans="6:7" x14ac:dyDescent="0.35">
      <c r="F3564" s="94">
        <v>315318</v>
      </c>
      <c r="G3564" s="84" t="s">
        <v>2207</v>
      </c>
    </row>
    <row r="3565" spans="6:7" x14ac:dyDescent="0.35">
      <c r="F3565" s="94">
        <v>315164</v>
      </c>
      <c r="G3565" s="84" t="s">
        <v>2208</v>
      </c>
    </row>
    <row r="3566" spans="6:7" x14ac:dyDescent="0.35">
      <c r="F3566" s="97">
        <v>315149</v>
      </c>
      <c r="G3566" s="84" t="s">
        <v>2209</v>
      </c>
    </row>
    <row r="3567" spans="6:7" x14ac:dyDescent="0.35">
      <c r="F3567" s="94">
        <v>315065</v>
      </c>
      <c r="G3567" s="84" t="s">
        <v>2210</v>
      </c>
    </row>
    <row r="3568" spans="6:7" x14ac:dyDescent="0.35">
      <c r="F3568" s="94">
        <v>314797</v>
      </c>
      <c r="G3568" s="84" t="s">
        <v>2211</v>
      </c>
    </row>
    <row r="3569" spans="6:7" x14ac:dyDescent="0.35">
      <c r="F3569" s="94">
        <v>314746</v>
      </c>
      <c r="G3569" s="84" t="s">
        <v>2212</v>
      </c>
    </row>
    <row r="3570" spans="6:7" x14ac:dyDescent="0.35">
      <c r="F3570" s="94">
        <v>315231</v>
      </c>
      <c r="G3570" s="84" t="s">
        <v>2213</v>
      </c>
    </row>
    <row r="3571" spans="6:7" x14ac:dyDescent="0.35">
      <c r="F3571" s="94">
        <v>314752</v>
      </c>
      <c r="G3571" s="84" t="s">
        <v>2214</v>
      </c>
    </row>
    <row r="3572" spans="6:7" x14ac:dyDescent="0.35">
      <c r="F3572" s="94">
        <v>314990</v>
      </c>
      <c r="G3572" s="84" t="s">
        <v>2215</v>
      </c>
    </row>
    <row r="3573" spans="6:7" x14ac:dyDescent="0.35">
      <c r="F3573" s="94">
        <v>314966</v>
      </c>
      <c r="G3573" s="84" t="s">
        <v>2216</v>
      </c>
    </row>
    <row r="3574" spans="6:7" x14ac:dyDescent="0.35">
      <c r="F3574" s="94">
        <v>314904</v>
      </c>
      <c r="G3574" s="84" t="s">
        <v>2217</v>
      </c>
    </row>
    <row r="3575" spans="6:7" x14ac:dyDescent="0.35">
      <c r="F3575" s="94">
        <v>314796</v>
      </c>
      <c r="G3575" s="84" t="s">
        <v>2218</v>
      </c>
    </row>
    <row r="3576" spans="6:7" x14ac:dyDescent="0.35">
      <c r="F3576" s="94">
        <v>315365</v>
      </c>
      <c r="G3576" s="84" t="s">
        <v>2219</v>
      </c>
    </row>
    <row r="3577" spans="6:7" x14ac:dyDescent="0.35">
      <c r="F3577" s="94">
        <v>314758</v>
      </c>
      <c r="G3577" s="84" t="s">
        <v>2220</v>
      </c>
    </row>
    <row r="3578" spans="6:7" x14ac:dyDescent="0.35">
      <c r="F3578" s="94">
        <v>312045</v>
      </c>
      <c r="G3578" s="84" t="s">
        <v>2221</v>
      </c>
    </row>
    <row r="3579" spans="6:7" x14ac:dyDescent="0.35">
      <c r="F3579" s="94">
        <v>309496</v>
      </c>
      <c r="G3579" s="84" t="s">
        <v>2222</v>
      </c>
    </row>
    <row r="3580" spans="6:7" x14ac:dyDescent="0.35">
      <c r="F3580" s="94">
        <v>311750</v>
      </c>
      <c r="G3580" s="84" t="s">
        <v>2223</v>
      </c>
    </row>
    <row r="3581" spans="6:7" x14ac:dyDescent="0.35">
      <c r="F3581" s="94">
        <v>311539</v>
      </c>
      <c r="G3581" s="84" t="s">
        <v>2224</v>
      </c>
    </row>
    <row r="3582" spans="6:7" x14ac:dyDescent="0.35">
      <c r="F3582" s="94">
        <v>311898</v>
      </c>
      <c r="G3582" s="84" t="s">
        <v>2225</v>
      </c>
    </row>
    <row r="3583" spans="6:7" x14ac:dyDescent="0.35">
      <c r="F3583" s="94">
        <v>312283</v>
      </c>
      <c r="G3583" s="84" t="s">
        <v>2226</v>
      </c>
    </row>
    <row r="3584" spans="6:7" x14ac:dyDescent="0.35">
      <c r="F3584" s="94">
        <v>311190</v>
      </c>
      <c r="G3584" s="84" t="s">
        <v>2227</v>
      </c>
    </row>
    <row r="3585" spans="6:7" x14ac:dyDescent="0.35">
      <c r="F3585" s="94">
        <v>311632</v>
      </c>
      <c r="G3585" s="84" t="s">
        <v>2228</v>
      </c>
    </row>
    <row r="3586" spans="6:7" x14ac:dyDescent="0.35">
      <c r="F3586" s="94">
        <v>311906</v>
      </c>
      <c r="G3586" s="84" t="s">
        <v>2229</v>
      </c>
    </row>
    <row r="3587" spans="6:7" x14ac:dyDescent="0.35">
      <c r="F3587" s="94">
        <v>314705</v>
      </c>
      <c r="G3587" s="84" t="s">
        <v>2230</v>
      </c>
    </row>
    <row r="3588" spans="6:7" x14ac:dyDescent="0.35">
      <c r="F3588" s="94">
        <v>313182</v>
      </c>
      <c r="G3588" s="84" t="s">
        <v>2231</v>
      </c>
    </row>
    <row r="3589" spans="6:7" x14ac:dyDescent="0.35">
      <c r="F3589" s="94">
        <v>314363</v>
      </c>
      <c r="G3589" s="84" t="s">
        <v>2232</v>
      </c>
    </row>
    <row r="3590" spans="6:7" x14ac:dyDescent="0.35">
      <c r="F3590" s="94">
        <v>314241</v>
      </c>
      <c r="G3590" s="84" t="s">
        <v>2233</v>
      </c>
    </row>
    <row r="3591" spans="6:7" x14ac:dyDescent="0.35">
      <c r="F3591" s="94">
        <v>309341</v>
      </c>
      <c r="G3591" s="84" t="s">
        <v>2234</v>
      </c>
    </row>
    <row r="3592" spans="6:7" x14ac:dyDescent="0.35">
      <c r="F3592" s="94">
        <v>312093</v>
      </c>
      <c r="G3592" s="84" t="s">
        <v>2235</v>
      </c>
    </row>
    <row r="3593" spans="6:7" x14ac:dyDescent="0.35">
      <c r="F3593" s="94">
        <v>314080</v>
      </c>
      <c r="G3593" s="84" t="s">
        <v>2236</v>
      </c>
    </row>
    <row r="3594" spans="6:7" x14ac:dyDescent="0.35">
      <c r="F3594" s="94">
        <v>314704</v>
      </c>
      <c r="G3594" s="84" t="s">
        <v>2237</v>
      </c>
    </row>
    <row r="3595" spans="6:7" x14ac:dyDescent="0.35">
      <c r="F3595" s="94">
        <v>314085</v>
      </c>
      <c r="G3595" s="84" t="s">
        <v>2238</v>
      </c>
    </row>
    <row r="3596" spans="6:7" x14ac:dyDescent="0.35">
      <c r="F3596" s="94">
        <v>314364</v>
      </c>
      <c r="G3596" s="84" t="s">
        <v>2239</v>
      </c>
    </row>
    <row r="3597" spans="6:7" x14ac:dyDescent="0.35">
      <c r="F3597" s="94">
        <v>313373</v>
      </c>
      <c r="G3597" s="84" t="s">
        <v>2240</v>
      </c>
    </row>
    <row r="3598" spans="6:7" x14ac:dyDescent="0.35">
      <c r="F3598" s="94">
        <v>315056</v>
      </c>
      <c r="G3598" s="84" t="s">
        <v>2241</v>
      </c>
    </row>
    <row r="3599" spans="6:7" x14ac:dyDescent="0.35">
      <c r="F3599" s="94">
        <v>314118</v>
      </c>
      <c r="G3599" s="84" t="s">
        <v>2242</v>
      </c>
    </row>
    <row r="3600" spans="6:7" x14ac:dyDescent="0.35">
      <c r="F3600" s="94">
        <v>313049</v>
      </c>
      <c r="G3600" s="84" t="s">
        <v>2243</v>
      </c>
    </row>
    <row r="3601" spans="6:7" x14ac:dyDescent="0.35">
      <c r="F3601" s="94">
        <v>312162</v>
      </c>
      <c r="G3601" s="84" t="s">
        <v>2244</v>
      </c>
    </row>
    <row r="3602" spans="6:7" x14ac:dyDescent="0.35">
      <c r="F3602" s="94">
        <v>313692</v>
      </c>
      <c r="G3602" s="84" t="s">
        <v>2245</v>
      </c>
    </row>
    <row r="3603" spans="6:7" x14ac:dyDescent="0.35">
      <c r="F3603" s="94">
        <v>314500</v>
      </c>
      <c r="G3603" s="84" t="s">
        <v>2246</v>
      </c>
    </row>
    <row r="3604" spans="6:7" x14ac:dyDescent="0.35">
      <c r="F3604" s="94">
        <v>312369</v>
      </c>
      <c r="G3604" s="84" t="s">
        <v>2247</v>
      </c>
    </row>
    <row r="3605" spans="6:7" x14ac:dyDescent="0.35">
      <c r="F3605" s="94">
        <v>314039</v>
      </c>
      <c r="G3605" s="84" t="s">
        <v>2248</v>
      </c>
    </row>
    <row r="3606" spans="6:7" x14ac:dyDescent="0.35">
      <c r="F3606" s="94">
        <v>313540</v>
      </c>
      <c r="G3606" s="84" t="s">
        <v>2249</v>
      </c>
    </row>
    <row r="3607" spans="6:7" x14ac:dyDescent="0.35">
      <c r="F3607" s="94">
        <v>314355</v>
      </c>
      <c r="G3607" s="84" t="s">
        <v>2250</v>
      </c>
    </row>
    <row r="3608" spans="6:7" x14ac:dyDescent="0.35">
      <c r="F3608" s="94">
        <v>314299</v>
      </c>
      <c r="G3608" s="84" t="s">
        <v>2251</v>
      </c>
    </row>
    <row r="3609" spans="6:7" x14ac:dyDescent="0.35">
      <c r="F3609" s="94">
        <v>314747</v>
      </c>
      <c r="G3609" s="84" t="s">
        <v>2252</v>
      </c>
    </row>
    <row r="3610" spans="6:7" x14ac:dyDescent="0.35">
      <c r="F3610" s="94">
        <v>313572</v>
      </c>
      <c r="G3610" s="84" t="s">
        <v>2253</v>
      </c>
    </row>
    <row r="3611" spans="6:7" x14ac:dyDescent="0.35">
      <c r="F3611" s="94">
        <v>313541</v>
      </c>
      <c r="G3611" s="84" t="s">
        <v>2254</v>
      </c>
    </row>
    <row r="3612" spans="6:7" x14ac:dyDescent="0.35">
      <c r="F3612" s="94">
        <v>315319</v>
      </c>
      <c r="G3612" s="84" t="s">
        <v>2255</v>
      </c>
    </row>
    <row r="3613" spans="6:7" x14ac:dyDescent="0.35">
      <c r="F3613" s="94">
        <v>314502</v>
      </c>
      <c r="G3613" s="84" t="s">
        <v>2256</v>
      </c>
    </row>
    <row r="3614" spans="6:7" x14ac:dyDescent="0.35">
      <c r="F3614" s="94">
        <v>313284</v>
      </c>
      <c r="G3614" s="84" t="s">
        <v>2257</v>
      </c>
    </row>
    <row r="3615" spans="6:7" x14ac:dyDescent="0.35">
      <c r="F3615" s="94">
        <v>311460</v>
      </c>
      <c r="G3615" s="84" t="s">
        <v>2258</v>
      </c>
    </row>
    <row r="3616" spans="6:7" x14ac:dyDescent="0.35">
      <c r="F3616" s="94">
        <v>306579</v>
      </c>
      <c r="G3616" s="84" t="s">
        <v>2259</v>
      </c>
    </row>
    <row r="3617" spans="6:7" x14ac:dyDescent="0.35">
      <c r="F3617" s="94">
        <v>311234</v>
      </c>
      <c r="G3617" s="84" t="s">
        <v>2260</v>
      </c>
    </row>
    <row r="3618" spans="6:7" x14ac:dyDescent="0.35">
      <c r="F3618" s="94">
        <v>308361</v>
      </c>
      <c r="G3618" s="84" t="s">
        <v>2261</v>
      </c>
    </row>
    <row r="3619" spans="6:7" x14ac:dyDescent="0.35">
      <c r="F3619" s="94">
        <v>311060</v>
      </c>
      <c r="G3619" s="84" t="s">
        <v>2262</v>
      </c>
    </row>
    <row r="3620" spans="6:7" x14ac:dyDescent="0.35">
      <c r="F3620" s="94">
        <v>305555</v>
      </c>
      <c r="G3620" s="84" t="s">
        <v>2263</v>
      </c>
    </row>
    <row r="3621" spans="6:7" x14ac:dyDescent="0.35">
      <c r="F3621" s="94">
        <v>308210</v>
      </c>
      <c r="G3621" s="84" t="s">
        <v>2264</v>
      </c>
    </row>
    <row r="3622" spans="6:7" x14ac:dyDescent="0.35">
      <c r="F3622" s="94">
        <v>310790</v>
      </c>
      <c r="G3622" s="84" t="s">
        <v>2265</v>
      </c>
    </row>
    <row r="3623" spans="6:7" x14ac:dyDescent="0.35">
      <c r="F3623" s="94">
        <v>309544</v>
      </c>
      <c r="G3623" s="84" t="s">
        <v>2266</v>
      </c>
    </row>
    <row r="3624" spans="6:7" x14ac:dyDescent="0.35">
      <c r="F3624" s="94">
        <v>308493</v>
      </c>
      <c r="G3624" s="84" t="s">
        <v>2267</v>
      </c>
    </row>
    <row r="3625" spans="6:7" x14ac:dyDescent="0.35">
      <c r="F3625" s="94">
        <v>312483</v>
      </c>
      <c r="G3625" s="84" t="s">
        <v>2268</v>
      </c>
    </row>
    <row r="3626" spans="6:7" x14ac:dyDescent="0.35">
      <c r="F3626" s="94">
        <v>314431</v>
      </c>
      <c r="G3626" s="84" t="s">
        <v>2269</v>
      </c>
    </row>
    <row r="3627" spans="6:7" x14ac:dyDescent="0.35">
      <c r="F3627" s="94">
        <v>307394</v>
      </c>
      <c r="G3627" s="84" t="s">
        <v>2270</v>
      </c>
    </row>
    <row r="3628" spans="6:7" x14ac:dyDescent="0.35">
      <c r="F3628" s="94">
        <v>311082</v>
      </c>
      <c r="G3628" s="84" t="s">
        <v>2271</v>
      </c>
    </row>
    <row r="3629" spans="6:7" x14ac:dyDescent="0.35">
      <c r="F3629" s="94">
        <v>314301</v>
      </c>
      <c r="G3629" s="84" t="s">
        <v>2272</v>
      </c>
    </row>
    <row r="3630" spans="6:7" x14ac:dyDescent="0.35">
      <c r="F3630" s="94">
        <v>308405</v>
      </c>
      <c r="G3630" s="84" t="s">
        <v>2273</v>
      </c>
    </row>
    <row r="3631" spans="6:7" x14ac:dyDescent="0.35">
      <c r="F3631" s="94">
        <v>312485</v>
      </c>
      <c r="G3631" s="84" t="s">
        <v>2274</v>
      </c>
    </row>
    <row r="3632" spans="6:7" x14ac:dyDescent="0.35">
      <c r="F3632" s="94">
        <v>314527</v>
      </c>
      <c r="G3632" s="84" t="s">
        <v>2275</v>
      </c>
    </row>
    <row r="3633" spans="6:7" x14ac:dyDescent="0.35">
      <c r="F3633" s="94">
        <v>312481</v>
      </c>
      <c r="G3633" s="84" t="s">
        <v>2276</v>
      </c>
    </row>
    <row r="3634" spans="6:7" x14ac:dyDescent="0.35">
      <c r="F3634" s="94">
        <v>312482</v>
      </c>
      <c r="G3634" s="84" t="s">
        <v>2277</v>
      </c>
    </row>
    <row r="3635" spans="6:7" x14ac:dyDescent="0.35">
      <c r="F3635" s="94">
        <v>307005</v>
      </c>
      <c r="G3635" s="84" t="s">
        <v>2278</v>
      </c>
    </row>
    <row r="3636" spans="6:7" x14ac:dyDescent="0.35">
      <c r="F3636" s="94">
        <v>314227</v>
      </c>
      <c r="G3636" s="84" t="s">
        <v>2279</v>
      </c>
    </row>
    <row r="3637" spans="6:7" x14ac:dyDescent="0.35">
      <c r="F3637" s="94">
        <v>308474</v>
      </c>
      <c r="G3637" s="84" t="s">
        <v>2280</v>
      </c>
    </row>
    <row r="3638" spans="6:7" x14ac:dyDescent="0.35">
      <c r="F3638" s="94">
        <v>312480</v>
      </c>
      <c r="G3638" s="84" t="s">
        <v>2281</v>
      </c>
    </row>
    <row r="3639" spans="6:7" x14ac:dyDescent="0.35">
      <c r="F3639" s="94">
        <v>305051</v>
      </c>
      <c r="G3639" s="96" t="s">
        <v>2282</v>
      </c>
    </row>
    <row r="3640" spans="6:7" x14ac:dyDescent="0.35">
      <c r="F3640" s="94">
        <v>308201</v>
      </c>
      <c r="G3640" s="96" t="s">
        <v>2283</v>
      </c>
    </row>
    <row r="3641" spans="6:7" x14ac:dyDescent="0.35">
      <c r="F3641" s="94">
        <v>311232</v>
      </c>
      <c r="G3641" s="96" t="s">
        <v>2284</v>
      </c>
    </row>
    <row r="3642" spans="6:7" x14ac:dyDescent="0.35">
      <c r="F3642" s="94">
        <v>310382</v>
      </c>
      <c r="G3642" s="96" t="s">
        <v>2285</v>
      </c>
    </row>
    <row r="3643" spans="6:7" x14ac:dyDescent="0.35">
      <c r="F3643" s="94">
        <v>305796</v>
      </c>
      <c r="G3643" s="96" t="s">
        <v>2286</v>
      </c>
    </row>
    <row r="3644" spans="6:7" x14ac:dyDescent="0.35">
      <c r="F3644" s="94">
        <v>310823</v>
      </c>
      <c r="G3644" s="96" t="s">
        <v>2287</v>
      </c>
    </row>
    <row r="3645" spans="6:7" x14ac:dyDescent="0.35">
      <c r="F3645" s="94">
        <v>311152</v>
      </c>
      <c r="G3645" s="96" t="s">
        <v>2288</v>
      </c>
    </row>
    <row r="3646" spans="6:7" x14ac:dyDescent="0.35">
      <c r="F3646" s="94">
        <v>309785</v>
      </c>
      <c r="G3646" s="96" t="s">
        <v>2289</v>
      </c>
    </row>
    <row r="3647" spans="6:7" x14ac:dyDescent="0.35">
      <c r="F3647" s="94">
        <v>310787</v>
      </c>
      <c r="G3647" s="96" t="s">
        <v>2290</v>
      </c>
    </row>
    <row r="3648" spans="6:7" x14ac:dyDescent="0.35">
      <c r="F3648" s="94">
        <v>305520</v>
      </c>
      <c r="G3648" s="96" t="s">
        <v>2291</v>
      </c>
    </row>
    <row r="3649" spans="6:7" x14ac:dyDescent="0.35">
      <c r="F3649" s="94">
        <v>308978</v>
      </c>
      <c r="G3649" s="96" t="s">
        <v>2292</v>
      </c>
    </row>
    <row r="3650" spans="6:7" x14ac:dyDescent="0.35">
      <c r="F3650" s="94">
        <v>311776</v>
      </c>
      <c r="G3650" s="96" t="s">
        <v>2293</v>
      </c>
    </row>
    <row r="3651" spans="6:7" x14ac:dyDescent="0.35">
      <c r="F3651" s="94">
        <v>309732</v>
      </c>
      <c r="G3651" s="96" t="s">
        <v>2294</v>
      </c>
    </row>
    <row r="3652" spans="6:7" x14ac:dyDescent="0.35">
      <c r="F3652" s="94">
        <v>314741</v>
      </c>
      <c r="G3652" s="96" t="s">
        <v>2295</v>
      </c>
    </row>
    <row r="3653" spans="6:7" x14ac:dyDescent="0.35">
      <c r="F3653" s="94">
        <v>314546</v>
      </c>
      <c r="G3653" s="96" t="s">
        <v>2296</v>
      </c>
    </row>
    <row r="3654" spans="6:7" x14ac:dyDescent="0.35">
      <c r="F3654" s="94">
        <v>313746</v>
      </c>
      <c r="G3654" s="96" t="s">
        <v>2297</v>
      </c>
    </row>
    <row r="3655" spans="6:7" x14ac:dyDescent="0.35">
      <c r="F3655" s="94">
        <v>315327</v>
      </c>
      <c r="G3655" s="96" t="s">
        <v>2298</v>
      </c>
    </row>
    <row r="3656" spans="6:7" x14ac:dyDescent="0.35">
      <c r="F3656" s="94">
        <v>314084</v>
      </c>
      <c r="G3656" s="96" t="s">
        <v>2299</v>
      </c>
    </row>
    <row r="3657" spans="6:7" x14ac:dyDescent="0.35">
      <c r="F3657" s="94">
        <v>313195</v>
      </c>
      <c r="G3657" s="96" t="s">
        <v>2300</v>
      </c>
    </row>
    <row r="3658" spans="6:7" x14ac:dyDescent="0.35">
      <c r="F3658" s="94">
        <v>313259</v>
      </c>
      <c r="G3658" s="96" t="s">
        <v>2301</v>
      </c>
    </row>
    <row r="3659" spans="6:7" x14ac:dyDescent="0.35">
      <c r="F3659" s="94">
        <v>314524</v>
      </c>
      <c r="G3659" s="96" t="s">
        <v>2302</v>
      </c>
    </row>
    <row r="3660" spans="6:7" x14ac:dyDescent="0.35">
      <c r="F3660" s="94">
        <v>314329</v>
      </c>
      <c r="G3660" s="96" t="s">
        <v>2303</v>
      </c>
    </row>
    <row r="3661" spans="6:7" x14ac:dyDescent="0.35">
      <c r="F3661" s="94">
        <v>314305</v>
      </c>
      <c r="G3661" s="96" t="s">
        <v>2304</v>
      </c>
    </row>
    <row r="3662" spans="6:7" x14ac:dyDescent="0.35">
      <c r="F3662" s="94">
        <v>311962</v>
      </c>
      <c r="G3662" s="96" t="s">
        <v>2305</v>
      </c>
    </row>
    <row r="3663" spans="6:7" x14ac:dyDescent="0.35">
      <c r="F3663" s="94">
        <v>311075</v>
      </c>
      <c r="G3663" s="96" t="s">
        <v>2306</v>
      </c>
    </row>
    <row r="3664" spans="6:7" x14ac:dyDescent="0.35">
      <c r="F3664" s="94">
        <v>311233</v>
      </c>
      <c r="G3664" s="96" t="s">
        <v>2307</v>
      </c>
    </row>
    <row r="3665" spans="6:7" x14ac:dyDescent="0.35">
      <c r="F3665" s="94">
        <v>314811</v>
      </c>
      <c r="G3665" s="96" t="s">
        <v>2308</v>
      </c>
    </row>
    <row r="3666" spans="6:7" x14ac:dyDescent="0.35">
      <c r="F3666" s="94">
        <v>313745</v>
      </c>
      <c r="G3666" s="96" t="s">
        <v>2309</v>
      </c>
    </row>
    <row r="3667" spans="6:7" x14ac:dyDescent="0.35">
      <c r="F3667" s="94">
        <v>312288</v>
      </c>
      <c r="G3667" s="96" t="s">
        <v>2310</v>
      </c>
    </row>
    <row r="3668" spans="6:7" x14ac:dyDescent="0.35">
      <c r="F3668" s="94">
        <v>312474</v>
      </c>
      <c r="G3668" s="96" t="s">
        <v>2311</v>
      </c>
    </row>
    <row r="3669" spans="6:7" x14ac:dyDescent="0.35">
      <c r="F3669" s="94">
        <v>313756</v>
      </c>
      <c r="G3669" s="96" t="s">
        <v>2312</v>
      </c>
    </row>
    <row r="3670" spans="6:7" x14ac:dyDescent="0.35">
      <c r="F3670" s="94">
        <v>312284</v>
      </c>
      <c r="G3670" s="96" t="s">
        <v>2313</v>
      </c>
    </row>
    <row r="3671" spans="6:7" x14ac:dyDescent="0.35">
      <c r="F3671" s="94">
        <v>312015</v>
      </c>
      <c r="G3671" s="84" t="s">
        <v>2314</v>
      </c>
    </row>
    <row r="3672" spans="6:7" x14ac:dyDescent="0.35">
      <c r="F3672" s="94">
        <v>310710</v>
      </c>
      <c r="G3672" s="84" t="s">
        <v>2315</v>
      </c>
    </row>
    <row r="3673" spans="6:7" x14ac:dyDescent="0.35">
      <c r="F3673" s="94">
        <v>311459</v>
      </c>
      <c r="G3673" s="96" t="s">
        <v>2316</v>
      </c>
    </row>
    <row r="3674" spans="6:7" x14ac:dyDescent="0.35">
      <c r="F3674" s="94">
        <v>303585</v>
      </c>
      <c r="G3674" s="96" t="s">
        <v>2317</v>
      </c>
    </row>
    <row r="3675" spans="6:7" x14ac:dyDescent="0.35">
      <c r="F3675" s="94">
        <v>310704</v>
      </c>
      <c r="G3675" s="84" t="s">
        <v>2318</v>
      </c>
    </row>
    <row r="3676" spans="6:7" x14ac:dyDescent="0.35">
      <c r="F3676" s="94">
        <v>311359</v>
      </c>
      <c r="G3676" s="84" t="s">
        <v>2319</v>
      </c>
    </row>
    <row r="3677" spans="6:7" x14ac:dyDescent="0.35">
      <c r="F3677" s="94">
        <v>306643</v>
      </c>
      <c r="G3677" s="84" t="s">
        <v>2320</v>
      </c>
    </row>
    <row r="3678" spans="6:7" x14ac:dyDescent="0.35">
      <c r="F3678" s="94">
        <v>307846</v>
      </c>
      <c r="G3678" s="96" t="s">
        <v>2321</v>
      </c>
    </row>
    <row r="3679" spans="6:7" x14ac:dyDescent="0.35">
      <c r="F3679" s="94">
        <v>307962</v>
      </c>
      <c r="G3679" s="96" t="s">
        <v>2322</v>
      </c>
    </row>
    <row r="3680" spans="6:7" x14ac:dyDescent="0.35">
      <c r="F3680" s="94">
        <v>307891</v>
      </c>
      <c r="G3680" s="96" t="s">
        <v>2323</v>
      </c>
    </row>
    <row r="3681" spans="6:7" x14ac:dyDescent="0.35">
      <c r="F3681" s="94">
        <v>314936</v>
      </c>
      <c r="G3681" s="84" t="s">
        <v>2324</v>
      </c>
    </row>
    <row r="3682" spans="6:7" x14ac:dyDescent="0.35">
      <c r="F3682" s="94">
        <v>313295</v>
      </c>
      <c r="G3682" s="84" t="s">
        <v>2325</v>
      </c>
    </row>
    <row r="3683" spans="6:7" x14ac:dyDescent="0.35">
      <c r="F3683" s="94">
        <v>314413</v>
      </c>
      <c r="G3683" s="96" t="s">
        <v>2326</v>
      </c>
    </row>
    <row r="3684" spans="6:7" x14ac:dyDescent="0.35">
      <c r="F3684" s="94">
        <v>315237</v>
      </c>
      <c r="G3684" s="84" t="s">
        <v>2327</v>
      </c>
    </row>
    <row r="3685" spans="6:7" x14ac:dyDescent="0.35">
      <c r="F3685" s="94">
        <v>311345</v>
      </c>
      <c r="G3685" s="96" t="s">
        <v>2328</v>
      </c>
    </row>
    <row r="3686" spans="6:7" x14ac:dyDescent="0.35">
      <c r="F3686" s="94">
        <v>314250</v>
      </c>
      <c r="G3686" s="96" t="s">
        <v>2329</v>
      </c>
    </row>
    <row r="3687" spans="6:7" x14ac:dyDescent="0.35">
      <c r="F3687" s="94">
        <v>314281</v>
      </c>
      <c r="G3687" s="96" t="s">
        <v>2330</v>
      </c>
    </row>
    <row r="3688" spans="6:7" x14ac:dyDescent="0.35">
      <c r="F3688" s="94">
        <v>313451</v>
      </c>
      <c r="G3688" s="96" t="s">
        <v>2331</v>
      </c>
    </row>
    <row r="3689" spans="6:7" x14ac:dyDescent="0.35">
      <c r="F3689" s="94">
        <v>313497</v>
      </c>
      <c r="G3689" s="84" t="s">
        <v>2332</v>
      </c>
    </row>
    <row r="3690" spans="6:7" x14ac:dyDescent="0.35">
      <c r="F3690" s="94">
        <v>314013</v>
      </c>
      <c r="G3690" s="96" t="s">
        <v>2333</v>
      </c>
    </row>
    <row r="3691" spans="6:7" x14ac:dyDescent="0.35">
      <c r="F3691" s="94">
        <v>313262</v>
      </c>
      <c r="G3691" s="84" t="s">
        <v>2334</v>
      </c>
    </row>
    <row r="3692" spans="6:7" x14ac:dyDescent="0.35">
      <c r="F3692" s="94">
        <v>313583</v>
      </c>
      <c r="G3692" s="96" t="s">
        <v>2335</v>
      </c>
    </row>
    <row r="3693" spans="6:7" x14ac:dyDescent="0.35">
      <c r="F3693" s="94">
        <v>314762</v>
      </c>
      <c r="G3693" s="84" t="s">
        <v>2336</v>
      </c>
    </row>
    <row r="3694" spans="6:7" x14ac:dyDescent="0.35">
      <c r="F3694" s="94">
        <v>311902</v>
      </c>
      <c r="G3694" s="96" t="s">
        <v>2337</v>
      </c>
    </row>
    <row r="3695" spans="6:7" x14ac:dyDescent="0.35">
      <c r="F3695" s="94">
        <v>313251</v>
      </c>
      <c r="G3695" s="84" t="s">
        <v>2338</v>
      </c>
    </row>
    <row r="3696" spans="6:7" x14ac:dyDescent="0.35">
      <c r="F3696" s="94">
        <v>312564</v>
      </c>
      <c r="G3696" s="96" t="s">
        <v>2339</v>
      </c>
    </row>
    <row r="3697" spans="6:7" x14ac:dyDescent="0.35">
      <c r="F3697" s="94">
        <v>313011</v>
      </c>
      <c r="G3697" s="84" t="s">
        <v>2340</v>
      </c>
    </row>
    <row r="3698" spans="6:7" x14ac:dyDescent="0.35">
      <c r="F3698" s="94">
        <v>313750</v>
      </c>
      <c r="G3698" s="84" t="s">
        <v>2341</v>
      </c>
    </row>
    <row r="3699" spans="6:7" x14ac:dyDescent="0.35">
      <c r="F3699" s="94">
        <v>313212</v>
      </c>
      <c r="G3699" s="84" t="s">
        <v>2342</v>
      </c>
    </row>
    <row r="3700" spans="6:7" x14ac:dyDescent="0.35">
      <c r="F3700" s="94">
        <v>313261</v>
      </c>
      <c r="G3700" s="96" t="s">
        <v>2343</v>
      </c>
    </row>
    <row r="3701" spans="6:7" x14ac:dyDescent="0.35">
      <c r="F3701" s="94">
        <v>309678</v>
      </c>
      <c r="G3701" s="84" t="s">
        <v>2344</v>
      </c>
    </row>
    <row r="3702" spans="6:7" x14ac:dyDescent="0.35">
      <c r="F3702" s="94">
        <v>311704</v>
      </c>
      <c r="G3702" s="84" t="s">
        <v>2345</v>
      </c>
    </row>
    <row r="3703" spans="6:7" x14ac:dyDescent="0.35">
      <c r="F3703" s="94">
        <v>308464</v>
      </c>
      <c r="G3703" s="84" t="s">
        <v>2346</v>
      </c>
    </row>
    <row r="3704" spans="6:7" x14ac:dyDescent="0.35">
      <c r="F3704" s="94">
        <v>311964</v>
      </c>
      <c r="G3704" s="84" t="s">
        <v>2347</v>
      </c>
    </row>
    <row r="3705" spans="6:7" x14ac:dyDescent="0.35">
      <c r="F3705" s="94">
        <v>311963</v>
      </c>
      <c r="G3705" s="84" t="s">
        <v>2348</v>
      </c>
    </row>
    <row r="3706" spans="6:7" x14ac:dyDescent="0.35">
      <c r="F3706" s="94">
        <v>308771</v>
      </c>
      <c r="G3706" s="84" t="s">
        <v>2349</v>
      </c>
    </row>
    <row r="3707" spans="6:7" x14ac:dyDescent="0.35">
      <c r="F3707" s="94">
        <v>311530</v>
      </c>
      <c r="G3707" s="84" t="s">
        <v>2350</v>
      </c>
    </row>
    <row r="3708" spans="6:7" x14ac:dyDescent="0.35">
      <c r="F3708" s="94">
        <v>309348</v>
      </c>
      <c r="G3708" s="84" t="s">
        <v>2351</v>
      </c>
    </row>
    <row r="3709" spans="6:7" x14ac:dyDescent="0.35">
      <c r="F3709" s="94">
        <v>303093</v>
      </c>
      <c r="G3709" s="84" t="s">
        <v>2352</v>
      </c>
    </row>
    <row r="3710" spans="6:7" x14ac:dyDescent="0.35">
      <c r="F3710" s="94">
        <v>311838</v>
      </c>
      <c r="G3710" s="84" t="s">
        <v>2353</v>
      </c>
    </row>
    <row r="3711" spans="6:7" x14ac:dyDescent="0.35">
      <c r="F3711" s="94">
        <v>310071</v>
      </c>
      <c r="G3711" s="84" t="s">
        <v>2354</v>
      </c>
    </row>
    <row r="3712" spans="6:7" x14ac:dyDescent="0.35">
      <c r="F3712" s="94">
        <v>315129</v>
      </c>
      <c r="G3712" s="84" t="s">
        <v>2355</v>
      </c>
    </row>
    <row r="3713" spans="6:7" x14ac:dyDescent="0.35">
      <c r="F3713" s="94">
        <v>314522</v>
      </c>
      <c r="G3713" s="84" t="s">
        <v>2356</v>
      </c>
    </row>
    <row r="3714" spans="6:7" x14ac:dyDescent="0.35">
      <c r="F3714" s="94">
        <v>311595</v>
      </c>
      <c r="G3714" s="84" t="s">
        <v>2357</v>
      </c>
    </row>
    <row r="3715" spans="6:7" x14ac:dyDescent="0.35">
      <c r="F3715" s="94">
        <v>312457</v>
      </c>
      <c r="G3715" s="84" t="s">
        <v>2358</v>
      </c>
    </row>
    <row r="3716" spans="6:7" x14ac:dyDescent="0.35">
      <c r="F3716" s="94">
        <v>313314</v>
      </c>
      <c r="G3716" s="84" t="s">
        <v>2359</v>
      </c>
    </row>
    <row r="3717" spans="6:7" x14ac:dyDescent="0.35">
      <c r="F3717" s="94">
        <v>313108</v>
      </c>
      <c r="G3717" s="84" t="s">
        <v>2360</v>
      </c>
    </row>
    <row r="3718" spans="6:7" x14ac:dyDescent="0.35">
      <c r="F3718" s="94">
        <v>313313</v>
      </c>
      <c r="G3718" s="84" t="s">
        <v>2361</v>
      </c>
    </row>
    <row r="3719" spans="6:7" x14ac:dyDescent="0.35">
      <c r="F3719" s="94">
        <v>313757</v>
      </c>
      <c r="G3719" s="84" t="s">
        <v>2362</v>
      </c>
    </row>
    <row r="3720" spans="6:7" x14ac:dyDescent="0.35">
      <c r="F3720" s="94">
        <v>309122</v>
      </c>
      <c r="G3720" s="84" t="s">
        <v>2363</v>
      </c>
    </row>
    <row r="3721" spans="6:7" x14ac:dyDescent="0.35">
      <c r="F3721" s="94">
        <v>314362</v>
      </c>
      <c r="G3721" s="84" t="s">
        <v>2364</v>
      </c>
    </row>
    <row r="3722" spans="6:7" x14ac:dyDescent="0.35">
      <c r="F3722" s="94">
        <v>315073</v>
      </c>
      <c r="G3722" s="84" t="s">
        <v>2365</v>
      </c>
    </row>
    <row r="3723" spans="6:7" x14ac:dyDescent="0.35">
      <c r="F3723" s="94">
        <v>314490</v>
      </c>
      <c r="G3723" s="84" t="s">
        <v>2366</v>
      </c>
    </row>
    <row r="3724" spans="6:7" x14ac:dyDescent="0.35">
      <c r="F3724" s="94">
        <v>311662</v>
      </c>
      <c r="G3724" s="84" t="s">
        <v>2367</v>
      </c>
    </row>
    <row r="3725" spans="6:7" x14ac:dyDescent="0.35">
      <c r="F3725" s="94">
        <v>312848</v>
      </c>
      <c r="G3725" s="84" t="s">
        <v>2368</v>
      </c>
    </row>
    <row r="3726" spans="6:7" x14ac:dyDescent="0.35">
      <c r="F3726" s="94">
        <v>313196</v>
      </c>
      <c r="G3726" s="84" t="s">
        <v>2369</v>
      </c>
    </row>
    <row r="3727" spans="6:7" x14ac:dyDescent="0.35">
      <c r="F3727" s="94">
        <v>315406</v>
      </c>
      <c r="G3727" s="84" t="s">
        <v>2370</v>
      </c>
    </row>
    <row r="3728" spans="6:7" x14ac:dyDescent="0.35">
      <c r="F3728" s="94">
        <v>314302</v>
      </c>
      <c r="G3728" s="84" t="s">
        <v>2371</v>
      </c>
    </row>
    <row r="3729" spans="6:7" x14ac:dyDescent="0.35">
      <c r="F3729" s="94">
        <v>313758</v>
      </c>
      <c r="G3729" s="84" t="s">
        <v>2372</v>
      </c>
    </row>
    <row r="3730" spans="6:7" x14ac:dyDescent="0.35">
      <c r="F3730" s="94">
        <v>314656</v>
      </c>
      <c r="G3730" s="84" t="s">
        <v>2373</v>
      </c>
    </row>
    <row r="3731" spans="6:7" x14ac:dyDescent="0.35">
      <c r="F3731" s="94">
        <v>313835</v>
      </c>
      <c r="G3731" s="84" t="s">
        <v>2374</v>
      </c>
    </row>
    <row r="3732" spans="6:7" x14ac:dyDescent="0.35">
      <c r="F3732" s="94">
        <v>312478</v>
      </c>
      <c r="G3732" s="84" t="s">
        <v>2375</v>
      </c>
    </row>
    <row r="3733" spans="6:7" x14ac:dyDescent="0.35">
      <c r="F3733" s="94">
        <v>315200</v>
      </c>
      <c r="G3733" s="84" t="s">
        <v>2376</v>
      </c>
    </row>
    <row r="3734" spans="6:7" x14ac:dyDescent="0.35">
      <c r="F3734" s="94">
        <v>315029</v>
      </c>
      <c r="G3734" s="84" t="s">
        <v>2377</v>
      </c>
    </row>
    <row r="3735" spans="6:7" x14ac:dyDescent="0.35">
      <c r="F3735" s="94">
        <v>314847</v>
      </c>
      <c r="G3735" s="84" t="s">
        <v>2378</v>
      </c>
    </row>
    <row r="3736" spans="6:7" x14ac:dyDescent="0.35">
      <c r="F3736" s="94">
        <v>314911</v>
      </c>
      <c r="G3736" s="84" t="s">
        <v>2379</v>
      </c>
    </row>
    <row r="3737" spans="6:7" x14ac:dyDescent="0.35">
      <c r="F3737" s="94">
        <v>314907</v>
      </c>
      <c r="G3737" s="84" t="s">
        <v>2380</v>
      </c>
    </row>
    <row r="3738" spans="6:7" x14ac:dyDescent="0.35">
      <c r="F3738" s="94">
        <v>315190</v>
      </c>
      <c r="G3738" s="84" t="s">
        <v>2381</v>
      </c>
    </row>
    <row r="3739" spans="6:7" x14ac:dyDescent="0.35">
      <c r="F3739" s="94">
        <v>315176</v>
      </c>
      <c r="G3739" s="84" t="s">
        <v>2382</v>
      </c>
    </row>
    <row r="3740" spans="6:7" x14ac:dyDescent="0.35">
      <c r="F3740" s="94">
        <v>315080</v>
      </c>
      <c r="G3740" s="84" t="s">
        <v>2383</v>
      </c>
    </row>
    <row r="3741" spans="6:7" x14ac:dyDescent="0.35">
      <c r="F3741" s="94">
        <v>315177</v>
      </c>
      <c r="G3741" s="84" t="s">
        <v>2384</v>
      </c>
    </row>
    <row r="3742" spans="6:7" x14ac:dyDescent="0.35">
      <c r="F3742" s="94">
        <v>315189</v>
      </c>
      <c r="G3742" s="84" t="s">
        <v>2385</v>
      </c>
    </row>
    <row r="3743" spans="6:7" x14ac:dyDescent="0.35">
      <c r="F3743" s="94">
        <v>315469</v>
      </c>
      <c r="G3743" s="84" t="s">
        <v>2386</v>
      </c>
    </row>
    <row r="3744" spans="6:7" x14ac:dyDescent="0.35">
      <c r="F3744" s="94">
        <v>315360</v>
      </c>
      <c r="G3744" s="84" t="s">
        <v>2387</v>
      </c>
    </row>
    <row r="3745" spans="6:7" x14ac:dyDescent="0.35">
      <c r="F3745" s="94">
        <v>315461</v>
      </c>
      <c r="G3745" s="84" t="s">
        <v>2388</v>
      </c>
    </row>
    <row r="3746" spans="6:7" x14ac:dyDescent="0.35">
      <c r="F3746" s="94">
        <v>315390</v>
      </c>
      <c r="G3746" s="84" t="s">
        <v>2389</v>
      </c>
    </row>
    <row r="3747" spans="6:7" x14ac:dyDescent="0.35">
      <c r="F3747" s="94">
        <v>315464</v>
      </c>
      <c r="G3747" s="84" t="s">
        <v>2390</v>
      </c>
    </row>
    <row r="3748" spans="6:7" x14ac:dyDescent="0.35">
      <c r="F3748" s="94">
        <v>315574</v>
      </c>
      <c r="G3748" s="84" t="s">
        <v>2391</v>
      </c>
    </row>
    <row r="3749" spans="6:7" x14ac:dyDescent="0.35">
      <c r="F3749" s="94">
        <v>315596</v>
      </c>
      <c r="G3749" s="84" t="s">
        <v>2392</v>
      </c>
    </row>
    <row r="3750" spans="6:7" x14ac:dyDescent="0.35">
      <c r="F3750" s="94">
        <v>315593</v>
      </c>
      <c r="G3750" s="84" t="s">
        <v>2393</v>
      </c>
    </row>
    <row r="3751" spans="6:7" x14ac:dyDescent="0.35">
      <c r="F3751" s="94">
        <v>315595</v>
      </c>
      <c r="G3751" s="84" t="s">
        <v>2394</v>
      </c>
    </row>
    <row r="3752" spans="6:7" x14ac:dyDescent="0.35">
      <c r="F3752" s="94">
        <v>315292</v>
      </c>
      <c r="G3752" s="84" t="s">
        <v>2395</v>
      </c>
    </row>
    <row r="3753" spans="6:7" x14ac:dyDescent="0.35">
      <c r="F3753" s="98">
        <v>860486</v>
      </c>
      <c r="G3753" s="90" t="s">
        <v>2396</v>
      </c>
    </row>
    <row r="3754" spans="6:7" x14ac:dyDescent="0.35">
      <c r="F3754" s="98">
        <v>860236</v>
      </c>
      <c r="G3754" s="90" t="s">
        <v>2397</v>
      </c>
    </row>
    <row r="3755" spans="6:7" x14ac:dyDescent="0.35">
      <c r="F3755" t="s">
        <v>2398</v>
      </c>
      <c r="G3755" s="90" t="s">
        <v>2398</v>
      </c>
    </row>
    <row r="3756" spans="6:7" x14ac:dyDescent="0.35">
      <c r="F3756">
        <v>315625</v>
      </c>
      <c r="G3756" t="s">
        <v>2399</v>
      </c>
    </row>
    <row r="3757" spans="6:7" x14ac:dyDescent="0.35">
      <c r="F3757">
        <v>315666</v>
      </c>
      <c r="G3757" t="s">
        <v>2400</v>
      </c>
    </row>
    <row r="3758" spans="6:7" x14ac:dyDescent="0.35">
      <c r="F3758">
        <v>315691</v>
      </c>
      <c r="G3758" s="99" t="s">
        <v>2401</v>
      </c>
    </row>
    <row r="3759" spans="6:7" x14ac:dyDescent="0.35">
      <c r="F3759" s="100">
        <v>315750</v>
      </c>
      <c r="G3759" s="100" t="s">
        <v>2402</v>
      </c>
    </row>
    <row r="3760" spans="6:7" x14ac:dyDescent="0.35">
      <c r="F3760">
        <v>315721</v>
      </c>
      <c r="G3760" s="100" t="s">
        <v>2403</v>
      </c>
    </row>
    <row r="3761" spans="6:7" x14ac:dyDescent="0.35">
      <c r="F3761">
        <v>315847</v>
      </c>
      <c r="G3761" t="s">
        <v>2404</v>
      </c>
    </row>
    <row r="3762" spans="6:7" x14ac:dyDescent="0.35">
      <c r="F3762">
        <v>315833</v>
      </c>
      <c r="G3762" t="s">
        <v>2405</v>
      </c>
    </row>
    <row r="3763" spans="6:7" x14ac:dyDescent="0.35">
      <c r="F3763">
        <v>315621</v>
      </c>
      <c r="G3763" t="s">
        <v>2406</v>
      </c>
    </row>
    <row r="3764" spans="6:7" x14ac:dyDescent="0.35">
      <c r="F3764">
        <v>315816</v>
      </c>
      <c r="G3764" t="s">
        <v>2407</v>
      </c>
    </row>
    <row r="3765" spans="6:7" x14ac:dyDescent="0.35">
      <c r="F3765">
        <v>315692</v>
      </c>
      <c r="G3765" t="s">
        <v>2408</v>
      </c>
    </row>
    <row r="3766" spans="6:7" x14ac:dyDescent="0.35">
      <c r="F3766">
        <v>315801</v>
      </c>
      <c r="G3766" t="s">
        <v>2409</v>
      </c>
    </row>
    <row r="3767" spans="6:7" x14ac:dyDescent="0.35">
      <c r="F3767" s="10">
        <v>315649</v>
      </c>
      <c r="G3767" s="10" t="s">
        <v>2410</v>
      </c>
    </row>
    <row r="3768" spans="6:7" x14ac:dyDescent="0.35">
      <c r="F3768">
        <v>315986</v>
      </c>
      <c r="G3768" t="s">
        <v>2411</v>
      </c>
    </row>
    <row r="3769" spans="6:7" x14ac:dyDescent="0.35">
      <c r="F3769" s="9">
        <v>315693</v>
      </c>
      <c r="G3769" t="s">
        <v>2412</v>
      </c>
    </row>
    <row r="3770" spans="6:7" x14ac:dyDescent="0.35">
      <c r="F3770">
        <v>315974</v>
      </c>
      <c r="G3770" t="s">
        <v>2413</v>
      </c>
    </row>
    <row r="3771" spans="6:7" x14ac:dyDescent="0.35">
      <c r="F3771">
        <v>316040</v>
      </c>
      <c r="G3771" t="s">
        <v>2414</v>
      </c>
    </row>
    <row r="3772" spans="6:7" x14ac:dyDescent="0.35">
      <c r="F3772">
        <v>315825</v>
      </c>
      <c r="G3772" t="s">
        <v>2415</v>
      </c>
    </row>
    <row r="3773" spans="6:7" x14ac:dyDescent="0.35">
      <c r="F3773">
        <v>315597</v>
      </c>
      <c r="G3773" t="s">
        <v>2416</v>
      </c>
    </row>
    <row r="3774" spans="6:7" x14ac:dyDescent="0.35">
      <c r="F3774">
        <v>316083</v>
      </c>
      <c r="G3774" t="s">
        <v>2417</v>
      </c>
    </row>
    <row r="3775" spans="6:7" x14ac:dyDescent="0.35">
      <c r="F3775">
        <v>315665</v>
      </c>
      <c r="G3775" t="s">
        <v>2418</v>
      </c>
    </row>
    <row r="3776" spans="6:7" x14ac:dyDescent="0.35">
      <c r="F3776">
        <v>315913</v>
      </c>
      <c r="G3776" t="s">
        <v>2419</v>
      </c>
    </row>
    <row r="3777" spans="6:7" x14ac:dyDescent="0.35">
      <c r="F3777">
        <v>315765</v>
      </c>
      <c r="G3777" t="s">
        <v>2420</v>
      </c>
    </row>
    <row r="3778" spans="6:7" x14ac:dyDescent="0.35">
      <c r="F3778">
        <v>316051</v>
      </c>
      <c r="G3778" t="s">
        <v>2421</v>
      </c>
    </row>
    <row r="3779" spans="6:7" x14ac:dyDescent="0.35">
      <c r="F3779">
        <v>315939</v>
      </c>
      <c r="G3779" t="s">
        <v>2422</v>
      </c>
    </row>
    <row r="3780" spans="6:7" x14ac:dyDescent="0.35">
      <c r="F3780">
        <v>315744</v>
      </c>
      <c r="G3780" t="s">
        <v>2423</v>
      </c>
    </row>
    <row r="3781" spans="6:7" x14ac:dyDescent="0.35">
      <c r="F3781">
        <v>316187</v>
      </c>
      <c r="G3781" t="s">
        <v>2424</v>
      </c>
    </row>
    <row r="3782" spans="6:7" x14ac:dyDescent="0.35">
      <c r="F3782">
        <v>315786</v>
      </c>
      <c r="G3782" t="s">
        <v>2425</v>
      </c>
    </row>
    <row r="3783" spans="6:7" x14ac:dyDescent="0.35">
      <c r="F3783">
        <v>315803</v>
      </c>
      <c r="G3783" t="s">
        <v>2426</v>
      </c>
    </row>
    <row r="3784" spans="6:7" x14ac:dyDescent="0.35">
      <c r="F3784">
        <v>315893</v>
      </c>
      <c r="G3784" t="s">
        <v>2427</v>
      </c>
    </row>
    <row r="3785" spans="6:7" x14ac:dyDescent="0.35">
      <c r="F3785">
        <v>315890</v>
      </c>
      <c r="G3785" t="s">
        <v>2428</v>
      </c>
    </row>
    <row r="3786" spans="6:7" x14ac:dyDescent="0.35">
      <c r="F3786" s="9">
        <v>316190</v>
      </c>
      <c r="G3786" t="s">
        <v>2429</v>
      </c>
    </row>
    <row r="3787" spans="6:7" x14ac:dyDescent="0.35">
      <c r="F3787">
        <v>315843</v>
      </c>
      <c r="G3787" t="s">
        <v>2430</v>
      </c>
    </row>
    <row r="3788" spans="6:7" x14ac:dyDescent="0.35">
      <c r="F3788">
        <v>315840</v>
      </c>
      <c r="G3788" t="s">
        <v>2431</v>
      </c>
    </row>
    <row r="3789" spans="6:7" x14ac:dyDescent="0.35">
      <c r="F3789">
        <v>315697</v>
      </c>
      <c r="G3789" t="s">
        <v>2432</v>
      </c>
    </row>
    <row r="3790" spans="6:7" x14ac:dyDescent="0.35">
      <c r="F3790">
        <v>315946</v>
      </c>
      <c r="G3790" t="s">
        <v>2433</v>
      </c>
    </row>
    <row r="3791" spans="6:7" x14ac:dyDescent="0.35">
      <c r="F3791">
        <v>315784</v>
      </c>
      <c r="G3791" t="s">
        <v>2434</v>
      </c>
    </row>
    <row r="3792" spans="6:7" x14ac:dyDescent="0.35">
      <c r="F3792">
        <v>316001</v>
      </c>
      <c r="G3792" t="s">
        <v>2435</v>
      </c>
    </row>
    <row r="3793" spans="6:7" x14ac:dyDescent="0.35">
      <c r="F3793">
        <v>315777</v>
      </c>
      <c r="G3793" t="s">
        <v>2436</v>
      </c>
    </row>
    <row r="3794" spans="6:7" x14ac:dyDescent="0.35">
      <c r="F3794">
        <v>315699</v>
      </c>
      <c r="G3794" s="101" t="s">
        <v>2437</v>
      </c>
    </row>
    <row r="3795" spans="6:7" x14ac:dyDescent="0.35">
      <c r="F3795">
        <v>315994</v>
      </c>
      <c r="G3795" t="s">
        <v>2438</v>
      </c>
    </row>
    <row r="3796" spans="6:7" x14ac:dyDescent="0.35">
      <c r="F3796">
        <v>315766</v>
      </c>
      <c r="G3796" t="s">
        <v>2439</v>
      </c>
    </row>
    <row r="3797" spans="6:7" x14ac:dyDescent="0.35">
      <c r="F3797">
        <v>315987</v>
      </c>
      <c r="G3797" t="s">
        <v>2440</v>
      </c>
    </row>
    <row r="3798" spans="6:7" x14ac:dyDescent="0.35">
      <c r="F3798">
        <v>316208</v>
      </c>
      <c r="G3798" t="s">
        <v>2441</v>
      </c>
    </row>
    <row r="3799" spans="6:7" x14ac:dyDescent="0.35">
      <c r="F3799">
        <v>316193</v>
      </c>
      <c r="G3799" s="8" t="s">
        <v>2442</v>
      </c>
    </row>
    <row r="3800" spans="6:7" x14ac:dyDescent="0.35">
      <c r="F3800">
        <v>316176</v>
      </c>
      <c r="G3800" t="s">
        <v>2443</v>
      </c>
    </row>
    <row r="3801" spans="6:7" x14ac:dyDescent="0.35">
      <c r="F3801">
        <v>316293</v>
      </c>
      <c r="G3801" t="s">
        <v>2444</v>
      </c>
    </row>
    <row r="3802" spans="6:7" x14ac:dyDescent="0.35">
      <c r="F3802">
        <v>316090</v>
      </c>
      <c r="G3802" t="s">
        <v>2445</v>
      </c>
    </row>
    <row r="3803" spans="6:7" x14ac:dyDescent="0.35">
      <c r="F3803">
        <v>316057</v>
      </c>
      <c r="G3803" t="s">
        <v>2446</v>
      </c>
    </row>
    <row r="3804" spans="6:7" x14ac:dyDescent="0.35">
      <c r="F3804">
        <v>315962</v>
      </c>
      <c r="G3804" t="s">
        <v>2447</v>
      </c>
    </row>
    <row r="3805" spans="6:7" x14ac:dyDescent="0.35">
      <c r="F3805">
        <v>316237</v>
      </c>
      <c r="G3805" t="s">
        <v>2448</v>
      </c>
    </row>
    <row r="3806" spans="6:7" x14ac:dyDescent="0.35">
      <c r="F3806">
        <v>316054</v>
      </c>
      <c r="G3806" t="s">
        <v>2449</v>
      </c>
    </row>
    <row r="3807" spans="6:7" x14ac:dyDescent="0.35">
      <c r="F3807" s="9">
        <v>315734</v>
      </c>
      <c r="G3807" t="s">
        <v>2450</v>
      </c>
    </row>
    <row r="3808" spans="6:7" x14ac:dyDescent="0.35">
      <c r="F3808">
        <v>316098</v>
      </c>
      <c r="G3808" t="s">
        <v>2451</v>
      </c>
    </row>
    <row r="3809" spans="6:7" x14ac:dyDescent="0.35">
      <c r="F3809">
        <v>315679</v>
      </c>
      <c r="G3809" t="s">
        <v>2452</v>
      </c>
    </row>
    <row r="3810" spans="6:7" x14ac:dyDescent="0.35">
      <c r="F3810">
        <v>315769</v>
      </c>
      <c r="G3810" t="s">
        <v>2453</v>
      </c>
    </row>
    <row r="3811" spans="6:7" x14ac:dyDescent="0.35">
      <c r="F3811">
        <v>316174</v>
      </c>
      <c r="G3811" t="s">
        <v>2454</v>
      </c>
    </row>
    <row r="3812" spans="6:7" x14ac:dyDescent="0.35">
      <c r="F3812">
        <v>316152</v>
      </c>
      <c r="G3812" t="s">
        <v>2455</v>
      </c>
    </row>
    <row r="3813" spans="6:7" x14ac:dyDescent="0.35">
      <c r="F3813">
        <v>315882</v>
      </c>
      <c r="G3813" t="s">
        <v>2456</v>
      </c>
    </row>
    <row r="3814" spans="6:7" x14ac:dyDescent="0.35">
      <c r="F3814">
        <v>316241</v>
      </c>
      <c r="G3814" t="s">
        <v>2457</v>
      </c>
    </row>
    <row r="3815" spans="6:7" x14ac:dyDescent="0.35">
      <c r="F3815">
        <v>315651</v>
      </c>
      <c r="G3815" t="s">
        <v>2458</v>
      </c>
    </row>
    <row r="3816" spans="6:7" x14ac:dyDescent="0.35">
      <c r="F3816">
        <v>316011</v>
      </c>
      <c r="G3816" t="s">
        <v>2459</v>
      </c>
    </row>
    <row r="3817" spans="6:7" x14ac:dyDescent="0.35">
      <c r="F3817">
        <v>316263</v>
      </c>
      <c r="G3817" t="s">
        <v>2460</v>
      </c>
    </row>
    <row r="3818" spans="6:7" x14ac:dyDescent="0.35">
      <c r="F3818">
        <v>315661</v>
      </c>
      <c r="G3818" t="s">
        <v>2461</v>
      </c>
    </row>
    <row r="3819" spans="6:7" x14ac:dyDescent="0.35">
      <c r="F3819">
        <v>316060</v>
      </c>
      <c r="G3819" t="s">
        <v>2462</v>
      </c>
    </row>
    <row r="3820" spans="6:7" x14ac:dyDescent="0.35">
      <c r="F3820">
        <v>315992</v>
      </c>
      <c r="G3820" t="s">
        <v>2463</v>
      </c>
    </row>
    <row r="3821" spans="6:7" x14ac:dyDescent="0.35">
      <c r="F3821">
        <v>316191</v>
      </c>
      <c r="G3821" t="s">
        <v>2464</v>
      </c>
    </row>
    <row r="3822" spans="6:7" x14ac:dyDescent="0.35">
      <c r="F3822">
        <v>316294</v>
      </c>
      <c r="G3822" t="s">
        <v>2465</v>
      </c>
    </row>
    <row r="3823" spans="6:7" x14ac:dyDescent="0.35">
      <c r="F3823" s="10">
        <v>90012428</v>
      </c>
      <c r="G3823" t="s">
        <v>2466</v>
      </c>
    </row>
    <row r="3824" spans="6:7" x14ac:dyDescent="0.35">
      <c r="F3824" s="9">
        <v>90013944</v>
      </c>
      <c r="G3824" t="s">
        <v>2467</v>
      </c>
    </row>
    <row r="3825" spans="6:7" x14ac:dyDescent="0.35">
      <c r="F3825">
        <v>316240</v>
      </c>
      <c r="G3825" t="s">
        <v>2468</v>
      </c>
    </row>
    <row r="3826" spans="6:7" x14ac:dyDescent="0.35">
      <c r="F3826">
        <v>90014151</v>
      </c>
      <c r="G3826" t="s">
        <v>2469</v>
      </c>
    </row>
    <row r="3827" spans="6:7" x14ac:dyDescent="0.35">
      <c r="F3827" s="9">
        <v>90013720</v>
      </c>
      <c r="G3827" t="s">
        <v>2470</v>
      </c>
    </row>
    <row r="3828" spans="6:7" x14ac:dyDescent="0.35">
      <c r="F3828">
        <v>90012315</v>
      </c>
      <c r="G3828" t="s">
        <v>2471</v>
      </c>
    </row>
    <row r="3829" spans="6:7" x14ac:dyDescent="0.35">
      <c r="F3829" s="9">
        <v>90013833</v>
      </c>
      <c r="G3829" t="s">
        <v>2472</v>
      </c>
    </row>
    <row r="3830" spans="6:7" x14ac:dyDescent="0.35">
      <c r="F3830">
        <v>90018997</v>
      </c>
      <c r="G3830" t="s">
        <v>2473</v>
      </c>
    </row>
    <row r="3831" spans="6:7" x14ac:dyDescent="0.35">
      <c r="F3831" s="9">
        <v>90014269</v>
      </c>
      <c r="G3831" t="s">
        <v>2474</v>
      </c>
    </row>
    <row r="3832" spans="6:7" x14ac:dyDescent="0.35">
      <c r="F3832" s="8" t="s">
        <v>2475</v>
      </c>
      <c r="G3832" s="8" t="s">
        <v>2475</v>
      </c>
    </row>
    <row r="3833" spans="6:7" x14ac:dyDescent="0.35">
      <c r="F3833">
        <v>90014281</v>
      </c>
      <c r="G3833" t="s">
        <v>2476</v>
      </c>
    </row>
    <row r="3834" spans="6:7" x14ac:dyDescent="0.35">
      <c r="F3834">
        <v>316053</v>
      </c>
      <c r="G3834" t="s">
        <v>2508</v>
      </c>
    </row>
    <row r="3835" spans="6:7" x14ac:dyDescent="0.35">
      <c r="F3835">
        <v>315985</v>
      </c>
      <c r="G3835" t="s">
        <v>2509</v>
      </c>
    </row>
    <row r="3836" spans="6:7" x14ac:dyDescent="0.35">
      <c r="F3836">
        <v>90009270</v>
      </c>
      <c r="G3836" t="s">
        <v>2510</v>
      </c>
    </row>
    <row r="3837" spans="6:7" x14ac:dyDescent="0.35">
      <c r="F3837">
        <v>315809</v>
      </c>
      <c r="G3837" t="s">
        <v>2511</v>
      </c>
    </row>
    <row r="3838" spans="6:7" x14ac:dyDescent="0.35">
      <c r="F3838">
        <v>90009269</v>
      </c>
      <c r="G3838" t="s">
        <v>2512</v>
      </c>
    </row>
    <row r="3839" spans="6:7" x14ac:dyDescent="0.35">
      <c r="F3839">
        <v>90013521</v>
      </c>
      <c r="G3839" t="s">
        <v>2513</v>
      </c>
    </row>
    <row r="3840" spans="6:7" x14ac:dyDescent="0.35">
      <c r="F3840">
        <v>316124</v>
      </c>
      <c r="G3840" t="s">
        <v>2514</v>
      </c>
    </row>
    <row r="3841" spans="6:7" x14ac:dyDescent="0.35">
      <c r="F3841">
        <v>90009271</v>
      </c>
      <c r="G3841" t="s">
        <v>2515</v>
      </c>
    </row>
    <row r="3842" spans="6:7" x14ac:dyDescent="0.35">
      <c r="F3842">
        <v>316000</v>
      </c>
      <c r="G3842" t="s">
        <v>2516</v>
      </c>
    </row>
    <row r="3843" spans="6:7" x14ac:dyDescent="0.35">
      <c r="F3843">
        <v>316423</v>
      </c>
      <c r="G3843" t="s">
        <v>2517</v>
      </c>
    </row>
    <row r="3844" spans="6:7" x14ac:dyDescent="0.35">
      <c r="F3844">
        <v>316273</v>
      </c>
      <c r="G3844" t="s">
        <v>2518</v>
      </c>
    </row>
    <row r="3845" spans="6:7" x14ac:dyDescent="0.35">
      <c r="F3845">
        <v>90014168</v>
      </c>
      <c r="G3845" t="s">
        <v>2519</v>
      </c>
    </row>
    <row r="3846" spans="6:7" x14ac:dyDescent="0.35">
      <c r="F3846">
        <v>316424</v>
      </c>
      <c r="G3846" t="s">
        <v>2514</v>
      </c>
    </row>
    <row r="3847" spans="6:7" x14ac:dyDescent="0.35">
      <c r="F3847">
        <v>90013726</v>
      </c>
      <c r="G3847" t="s">
        <v>2520</v>
      </c>
    </row>
    <row r="3848" spans="6:7" x14ac:dyDescent="0.35">
      <c r="F3848">
        <v>900015498</v>
      </c>
      <c r="G3848" t="s">
        <v>2521</v>
      </c>
    </row>
    <row r="3849" spans="6:7" x14ac:dyDescent="0.35">
      <c r="F3849">
        <v>90009264</v>
      </c>
      <c r="G3849" t="s">
        <v>2522</v>
      </c>
    </row>
    <row r="3850" spans="6:7" x14ac:dyDescent="0.35">
      <c r="F3850" s="10">
        <v>90014229</v>
      </c>
      <c r="G3850" t="s">
        <v>2523</v>
      </c>
    </row>
    <row r="3851" spans="6:7" x14ac:dyDescent="0.35">
      <c r="F3851" s="8">
        <v>90012459</v>
      </c>
      <c r="G3851" t="s">
        <v>2524</v>
      </c>
    </row>
    <row r="3852" spans="6:7" x14ac:dyDescent="0.35">
      <c r="F3852" s="8">
        <v>90010411</v>
      </c>
      <c r="G3852" t="s">
        <v>2525</v>
      </c>
    </row>
    <row r="3853" spans="6:7" x14ac:dyDescent="0.35">
      <c r="F3853">
        <v>315812</v>
      </c>
      <c r="G3853" t="s">
        <v>2526</v>
      </c>
    </row>
    <row r="3854" spans="6:7" x14ac:dyDescent="0.35">
      <c r="F3854">
        <v>316379</v>
      </c>
      <c r="G3854" t="s">
        <v>2527</v>
      </c>
    </row>
    <row r="3855" spans="6:7" x14ac:dyDescent="0.35">
      <c r="F3855">
        <v>315619</v>
      </c>
      <c r="G3855" t="s">
        <v>2528</v>
      </c>
    </row>
    <row r="3856" spans="6:7" x14ac:dyDescent="0.35">
      <c r="F3856">
        <v>90009268</v>
      </c>
      <c r="G3856" t="s">
        <v>2529</v>
      </c>
    </row>
    <row r="3857" spans="6:7" x14ac:dyDescent="0.35">
      <c r="F3857">
        <v>315862</v>
      </c>
      <c r="G3857" t="s">
        <v>2530</v>
      </c>
    </row>
    <row r="3858" spans="6:7" x14ac:dyDescent="0.35">
      <c r="F3858">
        <v>316320</v>
      </c>
      <c r="G3858" t="s">
        <v>2531</v>
      </c>
    </row>
    <row r="3859" spans="6:7" x14ac:dyDescent="0.35">
      <c r="F3859">
        <v>316225</v>
      </c>
      <c r="G3859" t="s">
        <v>2532</v>
      </c>
    </row>
    <row r="3860" spans="6:7" x14ac:dyDescent="0.35">
      <c r="F3860">
        <v>316096</v>
      </c>
      <c r="G3860" t="s">
        <v>2533</v>
      </c>
    </row>
    <row r="3861" spans="6:7" x14ac:dyDescent="0.35">
      <c r="F3861">
        <v>316218</v>
      </c>
      <c r="G3861" t="s">
        <v>2534</v>
      </c>
    </row>
    <row r="3862" spans="6:7" x14ac:dyDescent="0.35">
      <c r="F3862">
        <v>316255</v>
      </c>
      <c r="G3862" t="s">
        <v>2535</v>
      </c>
    </row>
    <row r="3863" spans="6:7" x14ac:dyDescent="0.35">
      <c r="F3863">
        <v>315855</v>
      </c>
      <c r="G3863" t="s">
        <v>2536</v>
      </c>
    </row>
    <row r="3864" spans="6:7" x14ac:dyDescent="0.35">
      <c r="F3864">
        <v>315877</v>
      </c>
      <c r="G3864" t="s">
        <v>2537</v>
      </c>
    </row>
    <row r="3865" spans="6:7" x14ac:dyDescent="0.35">
      <c r="F3865" s="10">
        <v>90009267</v>
      </c>
      <c r="G3865" t="s">
        <v>2538</v>
      </c>
    </row>
    <row r="3866" spans="6:7" x14ac:dyDescent="0.35">
      <c r="F3866">
        <v>316304</v>
      </c>
      <c r="G3866" t="s">
        <v>2539</v>
      </c>
    </row>
    <row r="3867" spans="6:7" x14ac:dyDescent="0.35">
      <c r="F3867">
        <v>90015498</v>
      </c>
      <c r="G3867" t="s">
        <v>2521</v>
      </c>
    </row>
    <row r="3868" spans="6:7" x14ac:dyDescent="0.35">
      <c r="F3868">
        <v>90018946</v>
      </c>
      <c r="G3868" t="s">
        <v>2540</v>
      </c>
    </row>
    <row r="3869" spans="6:7" x14ac:dyDescent="0.35">
      <c r="F3869">
        <v>90015826</v>
      </c>
      <c r="G3869" t="s">
        <v>2541</v>
      </c>
    </row>
    <row r="3870" spans="6:7" x14ac:dyDescent="0.35">
      <c r="F3870">
        <v>315810</v>
      </c>
      <c r="G3870" t="s">
        <v>2542</v>
      </c>
    </row>
    <row r="3871" spans="6:7" x14ac:dyDescent="0.35">
      <c r="F3871">
        <v>315799</v>
      </c>
      <c r="G3871" t="s">
        <v>2543</v>
      </c>
    </row>
    <row r="3872" spans="6:7" x14ac:dyDescent="0.35">
      <c r="F3872">
        <v>315975</v>
      </c>
      <c r="G3872" t="s">
        <v>2544</v>
      </c>
    </row>
    <row r="3873" spans="6:7" x14ac:dyDescent="0.35">
      <c r="F3873">
        <v>316151</v>
      </c>
      <c r="G3873" t="s">
        <v>2545</v>
      </c>
    </row>
    <row r="3874" spans="6:7" x14ac:dyDescent="0.35">
      <c r="F3874">
        <v>315617</v>
      </c>
      <c r="G3874" t="s">
        <v>2546</v>
      </c>
    </row>
    <row r="3875" spans="6:7" x14ac:dyDescent="0.35">
      <c r="F3875" s="10">
        <v>315859</v>
      </c>
      <c r="G3875" t="s">
        <v>2547</v>
      </c>
    </row>
    <row r="3876" spans="6:7" x14ac:dyDescent="0.35">
      <c r="F3876" s="10">
        <v>316316</v>
      </c>
      <c r="G3876" t="s">
        <v>2548</v>
      </c>
    </row>
    <row r="3877" spans="6:7" x14ac:dyDescent="0.35">
      <c r="F3877">
        <v>90009273</v>
      </c>
      <c r="G3877" t="s">
        <v>2549</v>
      </c>
    </row>
    <row r="3878" spans="6:7" x14ac:dyDescent="0.35">
      <c r="F3878">
        <v>316140</v>
      </c>
      <c r="G3878" t="s">
        <v>2550</v>
      </c>
    </row>
    <row r="3879" spans="6:7" x14ac:dyDescent="0.35">
      <c r="F3879">
        <v>90024066</v>
      </c>
      <c r="G3879" t="s">
        <v>2551</v>
      </c>
    </row>
    <row r="3880" spans="6:7" x14ac:dyDescent="0.35">
      <c r="F3880">
        <v>316360</v>
      </c>
      <c r="G3880" t="s">
        <v>2552</v>
      </c>
    </row>
    <row r="3881" spans="6:7" x14ac:dyDescent="0.35">
      <c r="F3881">
        <v>90024501</v>
      </c>
      <c r="G3881" t="s">
        <v>2553</v>
      </c>
    </row>
    <row r="3882" spans="6:7" x14ac:dyDescent="0.35">
      <c r="F3882">
        <v>90023865</v>
      </c>
      <c r="G3882" t="s">
        <v>2554</v>
      </c>
    </row>
    <row r="3883" spans="6:7" x14ac:dyDescent="0.35">
      <c r="F3883">
        <v>90024074</v>
      </c>
      <c r="G3883" t="s">
        <v>2555</v>
      </c>
    </row>
    <row r="3884" spans="6:7" x14ac:dyDescent="0.35">
      <c r="F3884">
        <v>90023754</v>
      </c>
      <c r="G3884" t="s">
        <v>2556</v>
      </c>
    </row>
    <row r="3885" spans="6:7" x14ac:dyDescent="0.35">
      <c r="F3885">
        <v>90016326</v>
      </c>
      <c r="G3885" t="s">
        <v>2557</v>
      </c>
    </row>
    <row r="3886" spans="6:7" x14ac:dyDescent="0.35">
      <c r="F3886">
        <v>90024328</v>
      </c>
      <c r="G3886" t="s">
        <v>2558</v>
      </c>
    </row>
    <row r="3887" spans="6:7" x14ac:dyDescent="0.35">
      <c r="F3887">
        <v>90024495</v>
      </c>
      <c r="G3887" t="s">
        <v>2559</v>
      </c>
    </row>
    <row r="3888" spans="6:7" x14ac:dyDescent="0.35">
      <c r="F3888">
        <v>90025188</v>
      </c>
      <c r="G3888" t="s">
        <v>2560</v>
      </c>
    </row>
    <row r="3889" spans="6:7" x14ac:dyDescent="0.35">
      <c r="F3889">
        <v>90023754</v>
      </c>
      <c r="G3889" t="s">
        <v>2556</v>
      </c>
    </row>
    <row r="3890" spans="6:7" x14ac:dyDescent="0.35">
      <c r="F3890">
        <v>90028655</v>
      </c>
      <c r="G3890" t="s">
        <v>2561</v>
      </c>
    </row>
    <row r="3891" spans="6:7" x14ac:dyDescent="0.35">
      <c r="F3891">
        <v>90024122</v>
      </c>
      <c r="G3891" t="s">
        <v>2562</v>
      </c>
    </row>
    <row r="3892" spans="6:7" x14ac:dyDescent="0.35">
      <c r="F3892">
        <v>315709</v>
      </c>
      <c r="G3892" t="s">
        <v>2563</v>
      </c>
    </row>
    <row r="3893" spans="6:7" x14ac:dyDescent="0.35">
      <c r="F3893">
        <v>90025190</v>
      </c>
      <c r="G3893" t="s">
        <v>2564</v>
      </c>
    </row>
    <row r="3894" spans="6:7" x14ac:dyDescent="0.35">
      <c r="F3894">
        <v>90027833</v>
      </c>
      <c r="G3894" t="s">
        <v>2565</v>
      </c>
    </row>
    <row r="3895" spans="6:7" x14ac:dyDescent="0.35">
      <c r="F3895">
        <v>90024412</v>
      </c>
      <c r="G3895" t="s">
        <v>2566</v>
      </c>
    </row>
    <row r="3896" spans="6:7" x14ac:dyDescent="0.35">
      <c r="F3896">
        <v>90028954</v>
      </c>
      <c r="G3896" t="s">
        <v>2567</v>
      </c>
    </row>
    <row r="3897" spans="6:7" x14ac:dyDescent="0.35">
      <c r="F3897">
        <v>90025533</v>
      </c>
      <c r="G3897" t="s">
        <v>2568</v>
      </c>
    </row>
    <row r="3898" spans="6:7" x14ac:dyDescent="0.35">
      <c r="F3898">
        <v>90027823</v>
      </c>
      <c r="G3898" t="s">
        <v>2569</v>
      </c>
    </row>
    <row r="3899" spans="6:7" x14ac:dyDescent="0.35">
      <c r="F3899">
        <v>90027821</v>
      </c>
      <c r="G3899" t="s">
        <v>2570</v>
      </c>
    </row>
    <row r="3900" spans="6:7" x14ac:dyDescent="0.35">
      <c r="F3900">
        <v>90033087</v>
      </c>
      <c r="G3900" t="s">
        <v>2571</v>
      </c>
    </row>
    <row r="3901" spans="6:7" x14ac:dyDescent="0.35">
      <c r="F3901">
        <v>90034086</v>
      </c>
      <c r="G3901" t="s">
        <v>2572</v>
      </c>
    </row>
    <row r="3902" spans="6:7" x14ac:dyDescent="0.35">
      <c r="F3902">
        <v>90033088</v>
      </c>
      <c r="G3902" t="s">
        <v>2573</v>
      </c>
    </row>
    <row r="3903" spans="6:7" x14ac:dyDescent="0.35">
      <c r="F3903">
        <v>90033665</v>
      </c>
      <c r="G3903" t="s">
        <v>2574</v>
      </c>
    </row>
    <row r="3904" spans="6:7" x14ac:dyDescent="0.35">
      <c r="F3904">
        <v>90034445</v>
      </c>
      <c r="G3904" t="s">
        <v>2575</v>
      </c>
    </row>
    <row r="3905" spans="6:7" x14ac:dyDescent="0.35">
      <c r="F3905">
        <v>90033335</v>
      </c>
      <c r="G3905" t="s">
        <v>2576</v>
      </c>
    </row>
    <row r="3906" spans="6:7" x14ac:dyDescent="0.35">
      <c r="F3906">
        <v>90033500</v>
      </c>
      <c r="G3906" t="s">
        <v>2577</v>
      </c>
    </row>
    <row r="3907" spans="6:7" x14ac:dyDescent="0.35">
      <c r="F3907">
        <v>90034868</v>
      </c>
      <c r="G3907" t="s">
        <v>2578</v>
      </c>
    </row>
    <row r="3908" spans="6:7" x14ac:dyDescent="0.35">
      <c r="F3908">
        <v>90033763</v>
      </c>
      <c r="G3908" t="s">
        <v>2579</v>
      </c>
    </row>
    <row r="3909" spans="6:7" x14ac:dyDescent="0.35">
      <c r="F3909">
        <v>90028724</v>
      </c>
      <c r="G3909" t="s">
        <v>2580</v>
      </c>
    </row>
    <row r="3910" spans="6:7" x14ac:dyDescent="0.35">
      <c r="F3910">
        <v>90038417</v>
      </c>
      <c r="G3910" t="s">
        <v>2581</v>
      </c>
    </row>
    <row r="3911" spans="6:7" x14ac:dyDescent="0.35">
      <c r="F3911">
        <v>90028367</v>
      </c>
      <c r="G3911" t="s">
        <v>2582</v>
      </c>
    </row>
    <row r="3912" spans="6:7" x14ac:dyDescent="0.35">
      <c r="F3912">
        <v>90034140</v>
      </c>
      <c r="G3912" t="s">
        <v>2583</v>
      </c>
    </row>
    <row r="3913" spans="6:7" x14ac:dyDescent="0.35">
      <c r="F3913">
        <v>90038604</v>
      </c>
      <c r="G3913" t="s">
        <v>2584</v>
      </c>
    </row>
    <row r="3914" spans="6:7" x14ac:dyDescent="0.35">
      <c r="F3914">
        <v>90033871</v>
      </c>
      <c r="G3914" t="s">
        <v>2585</v>
      </c>
    </row>
    <row r="3915" spans="6:7" x14ac:dyDescent="0.35">
      <c r="F3915">
        <v>90034941</v>
      </c>
      <c r="G3915" t="s">
        <v>2586</v>
      </c>
    </row>
    <row r="3916" spans="6:7" x14ac:dyDescent="0.35">
      <c r="F3916" s="10">
        <v>90034374</v>
      </c>
      <c r="G3916" t="s">
        <v>2587</v>
      </c>
    </row>
    <row r="3917" spans="6:7" x14ac:dyDescent="0.35">
      <c r="F3917">
        <v>90033870</v>
      </c>
      <c r="G3917" t="s">
        <v>2588</v>
      </c>
    </row>
    <row r="3918" spans="6:7" x14ac:dyDescent="0.35">
      <c r="F3918" s="10">
        <v>90033656</v>
      </c>
      <c r="G3918" t="s">
        <v>2589</v>
      </c>
    </row>
    <row r="3919" spans="6:7" x14ac:dyDescent="0.35">
      <c r="F3919" s="10">
        <v>90034026</v>
      </c>
      <c r="G3919" t="s">
        <v>2590</v>
      </c>
    </row>
    <row r="3920" spans="6:7" x14ac:dyDescent="0.35">
      <c r="F3920" s="10">
        <v>90034447</v>
      </c>
      <c r="G3920" s="10" t="s">
        <v>2591</v>
      </c>
    </row>
    <row r="3921" spans="6:7" x14ac:dyDescent="0.35">
      <c r="F3921" s="10">
        <v>90038946</v>
      </c>
      <c r="G3921" s="10" t="s">
        <v>2592</v>
      </c>
    </row>
    <row r="3922" spans="6:7" x14ac:dyDescent="0.35">
      <c r="F3922" s="10">
        <v>90040467</v>
      </c>
      <c r="G3922" s="10" t="s">
        <v>2593</v>
      </c>
    </row>
    <row r="3923" spans="6:7" x14ac:dyDescent="0.35">
      <c r="F3923" s="10">
        <v>90039328</v>
      </c>
      <c r="G3923" s="10" t="s">
        <v>2594</v>
      </c>
    </row>
    <row r="3924" spans="6:7" x14ac:dyDescent="0.35">
      <c r="F3924" s="10">
        <v>90034565</v>
      </c>
      <c r="G3924" t="s">
        <v>2595</v>
      </c>
    </row>
    <row r="3925" spans="6:7" x14ac:dyDescent="0.35">
      <c r="F3925">
        <v>90040440</v>
      </c>
      <c r="G3925" t="s">
        <v>2596</v>
      </c>
    </row>
    <row r="3926" spans="6:7" x14ac:dyDescent="0.35">
      <c r="F3926">
        <v>90040435</v>
      </c>
      <c r="G3926" t="s">
        <v>2597</v>
      </c>
    </row>
    <row r="3927" spans="6:7" x14ac:dyDescent="0.35">
      <c r="F3927" s="10">
        <v>90038373</v>
      </c>
      <c r="G3927" s="10" t="s">
        <v>2598</v>
      </c>
    </row>
    <row r="3928" spans="6:7" x14ac:dyDescent="0.35">
      <c r="F3928" s="10">
        <v>316486</v>
      </c>
      <c r="G3928" t="s">
        <v>2599</v>
      </c>
    </row>
    <row r="3929" spans="6:7" x14ac:dyDescent="0.35">
      <c r="F3929">
        <v>90028608</v>
      </c>
      <c r="G3929" t="s">
        <v>2600</v>
      </c>
    </row>
    <row r="3930" spans="6:7" x14ac:dyDescent="0.35">
      <c r="F3930">
        <v>90035174</v>
      </c>
      <c r="G3930" t="s">
        <v>2601</v>
      </c>
    </row>
    <row r="3931" spans="6:7" x14ac:dyDescent="0.35">
      <c r="F3931">
        <v>90028187</v>
      </c>
      <c r="G3931" t="s">
        <v>2602</v>
      </c>
    </row>
    <row r="3932" spans="6:7" x14ac:dyDescent="0.35">
      <c r="F3932">
        <v>90028638</v>
      </c>
      <c r="G3932" t="s">
        <v>2603</v>
      </c>
    </row>
    <row r="3933" spans="6:7" x14ac:dyDescent="0.35">
      <c r="F3933" s="9">
        <v>90013782</v>
      </c>
      <c r="G3933" t="s">
        <v>2604</v>
      </c>
    </row>
    <row r="3934" spans="6:7" x14ac:dyDescent="0.35">
      <c r="F3934" s="9">
        <v>90024235</v>
      </c>
      <c r="G3934" t="s">
        <v>2487</v>
      </c>
    </row>
    <row r="3935" spans="6:7" x14ac:dyDescent="0.35">
      <c r="F3935">
        <v>315925</v>
      </c>
      <c r="G3935" t="s">
        <v>2504</v>
      </c>
    </row>
    <row r="3936" spans="6:7" x14ac:dyDescent="0.35">
      <c r="F3936">
        <v>90028638</v>
      </c>
      <c r="G3936" t="s">
        <v>2603</v>
      </c>
    </row>
    <row r="3937" spans="6:7" x14ac:dyDescent="0.35">
      <c r="F3937">
        <v>90039021</v>
      </c>
      <c r="G3937" t="s">
        <v>2605</v>
      </c>
    </row>
    <row r="3938" spans="6:7" x14ac:dyDescent="0.35">
      <c r="F3938" s="102">
        <v>90034859</v>
      </c>
      <c r="G3938" s="102" t="s">
        <v>2606</v>
      </c>
    </row>
    <row r="3939" spans="6:7" x14ac:dyDescent="0.35">
      <c r="F3939">
        <v>90025666</v>
      </c>
      <c r="G3939" t="s">
        <v>2496</v>
      </c>
    </row>
    <row r="3940" spans="6:7" x14ac:dyDescent="0.35">
      <c r="F3940">
        <v>90019011</v>
      </c>
      <c r="G3940" t="s">
        <v>2607</v>
      </c>
    </row>
    <row r="3941" spans="6:7" x14ac:dyDescent="0.35">
      <c r="F3941" s="10">
        <v>90038408</v>
      </c>
      <c r="G3941" t="s">
        <v>2608</v>
      </c>
    </row>
    <row r="3942" spans="6:7" x14ac:dyDescent="0.35">
      <c r="F3942">
        <v>90018838</v>
      </c>
      <c r="G3942" t="s">
        <v>2609</v>
      </c>
    </row>
    <row r="3943" spans="6:7" x14ac:dyDescent="0.35">
      <c r="F3943" s="10">
        <v>90040904</v>
      </c>
      <c r="G3943" t="s">
        <v>2610</v>
      </c>
    </row>
    <row r="3944" spans="6:7" ht="16" x14ac:dyDescent="0.4">
      <c r="F3944" s="103">
        <v>90040813</v>
      </c>
      <c r="G3944" s="103" t="s">
        <v>2611</v>
      </c>
    </row>
    <row r="3945" spans="6:7" x14ac:dyDescent="0.35">
      <c r="F3945">
        <v>90009250</v>
      </c>
      <c r="G3945" t="s">
        <v>2612</v>
      </c>
    </row>
    <row r="3946" spans="6:7" x14ac:dyDescent="0.35">
      <c r="F3946" s="10">
        <v>90024632</v>
      </c>
      <c r="G3946" t="s">
        <v>2613</v>
      </c>
    </row>
    <row r="3947" spans="6:7" x14ac:dyDescent="0.35">
      <c r="F3947">
        <v>90028491</v>
      </c>
      <c r="G3947" t="s">
        <v>2614</v>
      </c>
    </row>
    <row r="3948" spans="6:7" x14ac:dyDescent="0.35">
      <c r="F3948" s="104">
        <v>90013719</v>
      </c>
      <c r="G3948" s="104" t="s">
        <v>2615</v>
      </c>
    </row>
    <row r="3949" spans="6:7" x14ac:dyDescent="0.35">
      <c r="F3949">
        <v>90039301</v>
      </c>
      <c r="G3949" t="s">
        <v>2616</v>
      </c>
    </row>
    <row r="3950" spans="6:7" x14ac:dyDescent="0.35">
      <c r="F3950">
        <v>90046255</v>
      </c>
      <c r="G3950" t="s">
        <v>2617</v>
      </c>
    </row>
    <row r="3951" spans="6:7" x14ac:dyDescent="0.35">
      <c r="F3951">
        <v>90024719</v>
      </c>
      <c r="G3951" t="s">
        <v>2618</v>
      </c>
    </row>
    <row r="3952" spans="6:7" x14ac:dyDescent="0.35">
      <c r="F3952">
        <v>315841</v>
      </c>
      <c r="G3952" t="s">
        <v>2505</v>
      </c>
    </row>
    <row r="3953" spans="6:7" x14ac:dyDescent="0.35">
      <c r="F3953">
        <v>90039124</v>
      </c>
      <c r="G3953" t="s">
        <v>2619</v>
      </c>
    </row>
    <row r="3954" spans="6:7" ht="16" x14ac:dyDescent="0.4">
      <c r="F3954" s="105">
        <v>90039330</v>
      </c>
      <c r="G3954" t="s">
        <v>2620</v>
      </c>
    </row>
    <row r="3955" spans="6:7" x14ac:dyDescent="0.35">
      <c r="F3955">
        <v>315555</v>
      </c>
      <c r="G3955" t="s">
        <v>2621</v>
      </c>
    </row>
    <row r="3956" spans="6:7" x14ac:dyDescent="0.35">
      <c r="F3956" s="16">
        <v>90039321</v>
      </c>
      <c r="G3956" s="106" t="s">
        <v>2622</v>
      </c>
    </row>
    <row r="3957" spans="6:7" x14ac:dyDescent="0.35">
      <c r="F3957">
        <v>90023868</v>
      </c>
      <c r="G3957" t="s">
        <v>2623</v>
      </c>
    </row>
    <row r="3958" spans="6:7" x14ac:dyDescent="0.35">
      <c r="F3958">
        <v>315657</v>
      </c>
      <c r="G3958" t="s">
        <v>2624</v>
      </c>
    </row>
    <row r="3959" spans="6:7" x14ac:dyDescent="0.35">
      <c r="F3959">
        <v>90012180</v>
      </c>
      <c r="G3959" t="s">
        <v>2625</v>
      </c>
    </row>
    <row r="3960" spans="6:7" x14ac:dyDescent="0.35">
      <c r="F3960">
        <v>90015631</v>
      </c>
      <c r="G3960" t="s">
        <v>2626</v>
      </c>
    </row>
    <row r="3961" spans="6:7" x14ac:dyDescent="0.35">
      <c r="F3961">
        <v>90040461</v>
      </c>
      <c r="G3961" t="s">
        <v>2627</v>
      </c>
    </row>
    <row r="3962" spans="6:7" x14ac:dyDescent="0.35">
      <c r="F3962" s="10">
        <v>90028732</v>
      </c>
      <c r="G3962" t="s">
        <v>2628</v>
      </c>
    </row>
    <row r="3963" spans="6:7" x14ac:dyDescent="0.35">
      <c r="F3963" s="8">
        <v>90040627</v>
      </c>
      <c r="G3963" t="s">
        <v>2410</v>
      </c>
    </row>
    <row r="3964" spans="6:7" x14ac:dyDescent="0.35">
      <c r="F3964" s="10">
        <v>90034563</v>
      </c>
      <c r="G3964" t="s">
        <v>2629</v>
      </c>
    </row>
    <row r="3965" spans="6:7" x14ac:dyDescent="0.35">
      <c r="F3965" s="107">
        <v>90015630</v>
      </c>
      <c r="G3965" s="107" t="s">
        <v>2630</v>
      </c>
    </row>
    <row r="3966" spans="6:7" x14ac:dyDescent="0.35">
      <c r="F3966" s="10">
        <v>90035252</v>
      </c>
      <c r="G3966" t="s">
        <v>2631</v>
      </c>
    </row>
    <row r="3967" spans="6:7" x14ac:dyDescent="0.35">
      <c r="F3967" s="8">
        <v>90045911</v>
      </c>
      <c r="G3967" t="s">
        <v>2632</v>
      </c>
    </row>
    <row r="3968" spans="6:7" x14ac:dyDescent="0.35">
      <c r="F3968" s="10">
        <v>90039162</v>
      </c>
      <c r="G3968" t="s">
        <v>2633</v>
      </c>
    </row>
    <row r="3969" spans="6:7" x14ac:dyDescent="0.35">
      <c r="F3969">
        <v>90046332</v>
      </c>
      <c r="G3969" t="s">
        <v>2634</v>
      </c>
    </row>
    <row r="3970" spans="6:7" x14ac:dyDescent="0.35">
      <c r="F3970">
        <v>90048446</v>
      </c>
      <c r="G3970" t="s">
        <v>2635</v>
      </c>
    </row>
    <row r="3971" spans="6:7" x14ac:dyDescent="0.35">
      <c r="F3971" s="10">
        <v>90040567</v>
      </c>
      <c r="G3971" t="s">
        <v>2636</v>
      </c>
    </row>
    <row r="3972" spans="6:7" x14ac:dyDescent="0.35">
      <c r="F3972" s="10">
        <v>90040767</v>
      </c>
      <c r="G3972" t="s">
        <v>2637</v>
      </c>
    </row>
    <row r="3973" spans="6:7" x14ac:dyDescent="0.35">
      <c r="F3973">
        <v>90049488</v>
      </c>
      <c r="G3973" t="s">
        <v>2638</v>
      </c>
    </row>
    <row r="3974" spans="6:7" x14ac:dyDescent="0.35">
      <c r="F3974" s="10">
        <v>90046884</v>
      </c>
      <c r="G3974" t="s">
        <v>2639</v>
      </c>
    </row>
    <row r="3975" spans="6:7" x14ac:dyDescent="0.35">
      <c r="F3975" s="10">
        <v>90048444</v>
      </c>
      <c r="G3975" s="10" t="s">
        <v>2640</v>
      </c>
    </row>
    <row r="3976" spans="6:7" x14ac:dyDescent="0.35">
      <c r="F3976" s="108">
        <v>90021357</v>
      </c>
      <c r="G3976" t="s">
        <v>2641</v>
      </c>
    </row>
    <row r="3977" spans="6:7" x14ac:dyDescent="0.35">
      <c r="F3977" s="108">
        <v>307506</v>
      </c>
      <c r="G3977" t="s">
        <v>2642</v>
      </c>
    </row>
    <row r="3978" spans="6:7" ht="16" x14ac:dyDescent="0.4">
      <c r="F3978" s="105">
        <v>90049421</v>
      </c>
      <c r="G3978" s="109" t="s">
        <v>2643</v>
      </c>
    </row>
    <row r="3979" spans="6:7" x14ac:dyDescent="0.35">
      <c r="F3979" s="10">
        <v>90051364</v>
      </c>
      <c r="G3979" t="s">
        <v>2644</v>
      </c>
    </row>
    <row r="3980" spans="6:7" x14ac:dyDescent="0.35">
      <c r="F3980" s="10">
        <v>90050054</v>
      </c>
      <c r="G3980" t="s">
        <v>2645</v>
      </c>
    </row>
    <row r="3981" spans="6:7" x14ac:dyDescent="0.35">
      <c r="F3981" s="110">
        <v>90049072</v>
      </c>
      <c r="G3981" s="110" t="s">
        <v>2646</v>
      </c>
    </row>
    <row r="3982" spans="6:7" x14ac:dyDescent="0.35">
      <c r="F3982" s="9">
        <v>90050146</v>
      </c>
      <c r="G3982" t="s">
        <v>2647</v>
      </c>
    </row>
    <row r="3983" spans="6:7" x14ac:dyDescent="0.35">
      <c r="F3983" s="10">
        <v>90050413</v>
      </c>
      <c r="G3983" t="s">
        <v>2648</v>
      </c>
    </row>
    <row r="3984" spans="6:7" x14ac:dyDescent="0.35">
      <c r="F3984" s="9">
        <v>90033288</v>
      </c>
      <c r="G3984" s="10" t="s">
        <v>2649</v>
      </c>
    </row>
    <row r="3985" spans="6:7" x14ac:dyDescent="0.35">
      <c r="F3985">
        <v>90048461</v>
      </c>
      <c r="G3985" t="s">
        <v>2650</v>
      </c>
    </row>
    <row r="3986" spans="6:7" x14ac:dyDescent="0.35">
      <c r="F3986">
        <v>90046994</v>
      </c>
      <c r="G3986" t="s">
        <v>2651</v>
      </c>
    </row>
    <row r="3987" spans="6:7" x14ac:dyDescent="0.35">
      <c r="F3987" s="10">
        <v>90033492</v>
      </c>
      <c r="G3987" t="s">
        <v>2652</v>
      </c>
    </row>
    <row r="3988" spans="6:7" x14ac:dyDescent="0.35">
      <c r="F3988" s="10">
        <v>90059958</v>
      </c>
      <c r="G3988" t="s">
        <v>2653</v>
      </c>
    </row>
    <row r="3989" spans="6:7" x14ac:dyDescent="0.35">
      <c r="F3989">
        <v>90049807</v>
      </c>
      <c r="G3989" t="s">
        <v>2654</v>
      </c>
    </row>
    <row r="3990" spans="6:7" x14ac:dyDescent="0.35">
      <c r="F3990" s="10">
        <v>90049905</v>
      </c>
      <c r="G3990" t="s">
        <v>2655</v>
      </c>
    </row>
    <row r="3991" spans="6:7" x14ac:dyDescent="0.35">
      <c r="F3991" s="23">
        <v>315870</v>
      </c>
      <c r="G3991" t="str">
        <f>+VLOOKUP(F3991,[4]Datos!$F:$G,2,FALSE)</f>
        <v>ADOLFO RONALDO ALFARO RIVERA</v>
      </c>
    </row>
    <row r="3992" spans="6:7" x14ac:dyDescent="0.35">
      <c r="F3992" s="107">
        <v>90060252</v>
      </c>
      <c r="G3992" t="s">
        <v>2656</v>
      </c>
    </row>
    <row r="3993" spans="6:7" x14ac:dyDescent="0.35">
      <c r="F3993" s="10">
        <v>90051367</v>
      </c>
      <c r="G3993" t="s">
        <v>2657</v>
      </c>
    </row>
    <row r="3994" spans="6:7" x14ac:dyDescent="0.35">
      <c r="F3994" s="111">
        <v>90048797</v>
      </c>
      <c r="G3994" s="111" t="s">
        <v>2658</v>
      </c>
    </row>
    <row r="3995" spans="6:7" x14ac:dyDescent="0.35">
      <c r="F3995" s="10">
        <v>90049903</v>
      </c>
      <c r="G3995" t="s">
        <v>2659</v>
      </c>
    </row>
    <row r="3996" spans="6:7" x14ac:dyDescent="0.35">
      <c r="F3996" s="110">
        <v>90048711</v>
      </c>
      <c r="G3996" s="110" t="s">
        <v>2660</v>
      </c>
    </row>
    <row r="3997" spans="6:7" x14ac:dyDescent="0.35">
      <c r="F3997" s="112">
        <v>309415</v>
      </c>
      <c r="G3997" t="s">
        <v>2661</v>
      </c>
    </row>
    <row r="3998" spans="6:7" x14ac:dyDescent="0.35">
      <c r="F3998" s="108">
        <v>90035128</v>
      </c>
      <c r="G3998" t="s">
        <v>2662</v>
      </c>
    </row>
    <row r="3999" spans="6:7" x14ac:dyDescent="0.35">
      <c r="F3999" s="10">
        <v>90062502</v>
      </c>
      <c r="G3999" t="s">
        <v>2663</v>
      </c>
    </row>
    <row r="4000" spans="6:7" x14ac:dyDescent="0.35">
      <c r="F4000" s="10">
        <v>90063413</v>
      </c>
      <c r="G4000" s="10" t="s">
        <v>2664</v>
      </c>
    </row>
    <row r="4001" spans="6:7" x14ac:dyDescent="0.35">
      <c r="F4001">
        <v>90040281</v>
      </c>
      <c r="G4001" t="s">
        <v>2665</v>
      </c>
    </row>
    <row r="4002" spans="6:7" x14ac:dyDescent="0.35">
      <c r="F4002" s="10">
        <v>90038979</v>
      </c>
      <c r="G4002" t="s">
        <v>2666</v>
      </c>
    </row>
    <row r="4003" spans="6:7" x14ac:dyDescent="0.35">
      <c r="F4003">
        <v>90062598</v>
      </c>
      <c r="G4003" t="s">
        <v>2667</v>
      </c>
    </row>
    <row r="4004" spans="6:7" x14ac:dyDescent="0.35">
      <c r="F4004" s="10">
        <v>90064536</v>
      </c>
      <c r="G4004" t="s">
        <v>2668</v>
      </c>
    </row>
    <row r="4005" spans="6:7" x14ac:dyDescent="0.35">
      <c r="F4005" s="10">
        <v>90064214</v>
      </c>
      <c r="G4005" t="s">
        <v>2669</v>
      </c>
    </row>
    <row r="4006" spans="6:7" x14ac:dyDescent="0.35">
      <c r="F4006">
        <v>90065920</v>
      </c>
      <c r="G4006" t="s">
        <v>2670</v>
      </c>
    </row>
    <row r="4007" spans="6:7" x14ac:dyDescent="0.35">
      <c r="F4007" s="10">
        <v>90065921</v>
      </c>
      <c r="G4007" t="s">
        <v>2671</v>
      </c>
    </row>
    <row r="4008" spans="6:7" x14ac:dyDescent="0.35">
      <c r="F4008" s="113">
        <v>9006655</v>
      </c>
      <c r="G4008" s="10" t="s">
        <v>2672</v>
      </c>
    </row>
    <row r="4009" spans="6:7" x14ac:dyDescent="0.35">
      <c r="F4009" s="10">
        <v>90066518</v>
      </c>
      <c r="G4009" s="10" t="s">
        <v>2673</v>
      </c>
    </row>
    <row r="4010" spans="6:7" x14ac:dyDescent="0.35">
      <c r="F4010" s="10">
        <v>90066655</v>
      </c>
      <c r="G4010" t="s">
        <v>2674</v>
      </c>
    </row>
    <row r="4011" spans="6:7" x14ac:dyDescent="0.35">
      <c r="F4011" s="8">
        <v>90067339</v>
      </c>
      <c r="G4011" t="str">
        <f>+VLOOKUP(F4011,[5]Datos!$F:$G,2,FALSE)</f>
        <v>Basty Yolanda Perez Ambrocio</v>
      </c>
    </row>
    <row r="4012" spans="6:7" x14ac:dyDescent="0.35">
      <c r="F4012" s="10">
        <v>90027919</v>
      </c>
      <c r="G4012" s="12" t="s">
        <v>2675</v>
      </c>
    </row>
    <row r="4013" spans="6:7" x14ac:dyDescent="0.35">
      <c r="F4013" s="10">
        <v>316039</v>
      </c>
      <c r="G4013" s="12" t="s">
        <v>2676</v>
      </c>
    </row>
    <row r="4014" spans="6:7" x14ac:dyDescent="0.35">
      <c r="F4014" s="10">
        <v>90046882</v>
      </c>
      <c r="G4014" s="12" t="s">
        <v>2677</v>
      </c>
    </row>
    <row r="4015" spans="6:7" x14ac:dyDescent="0.35">
      <c r="F4015" s="10">
        <v>90064210</v>
      </c>
      <c r="G4015" s="12" t="s">
        <v>2678</v>
      </c>
    </row>
    <row r="4016" spans="6:7" x14ac:dyDescent="0.35">
      <c r="F4016" s="16">
        <v>90019118</v>
      </c>
      <c r="G4016" s="12" t="s">
        <v>2679</v>
      </c>
    </row>
    <row r="4017" spans="6:7" x14ac:dyDescent="0.35">
      <c r="F4017" s="10">
        <v>316292</v>
      </c>
      <c r="G4017" s="12" t="s">
        <v>2680</v>
      </c>
    </row>
    <row r="4018" spans="6:7" x14ac:dyDescent="0.35">
      <c r="F4018" s="10">
        <v>90046771</v>
      </c>
      <c r="G4018" t="s">
        <v>2681</v>
      </c>
    </row>
    <row r="4019" spans="6:7" x14ac:dyDescent="0.35">
      <c r="F4019" s="10">
        <v>90027882</v>
      </c>
      <c r="G4019" s="12" t="s">
        <v>2682</v>
      </c>
    </row>
    <row r="4020" spans="6:7" x14ac:dyDescent="0.35">
      <c r="F4020" s="10">
        <v>90046281</v>
      </c>
      <c r="G4020" s="12" t="s">
        <v>2683</v>
      </c>
    </row>
    <row r="4021" spans="6:7" x14ac:dyDescent="0.35">
      <c r="F4021" s="114">
        <v>90061141</v>
      </c>
      <c r="G4021" s="115" t="s">
        <v>2684</v>
      </c>
    </row>
    <row r="4022" spans="6:7" x14ac:dyDescent="0.35">
      <c r="F4022" s="10">
        <v>90034737</v>
      </c>
      <c r="G4022" s="12" t="s">
        <v>2685</v>
      </c>
    </row>
    <row r="4023" spans="6:7" x14ac:dyDescent="0.35">
      <c r="F4023" s="10">
        <v>90064688</v>
      </c>
      <c r="G4023" s="12" t="s">
        <v>2686</v>
      </c>
    </row>
    <row r="4024" spans="6:7" x14ac:dyDescent="0.35">
      <c r="F4024" s="10">
        <v>315881</v>
      </c>
      <c r="G4024" s="12" t="s">
        <v>2687</v>
      </c>
    </row>
    <row r="4025" spans="6:7" x14ac:dyDescent="0.35">
      <c r="F4025" s="10">
        <v>90018835</v>
      </c>
      <c r="G4025" s="12" t="s">
        <v>2688</v>
      </c>
    </row>
    <row r="4026" spans="6:7" x14ac:dyDescent="0.35">
      <c r="F4026" s="10">
        <v>90024418</v>
      </c>
      <c r="G4026" s="12" t="s">
        <v>2689</v>
      </c>
    </row>
    <row r="4027" spans="6:7" x14ac:dyDescent="0.35">
      <c r="F4027" s="10">
        <v>90034942</v>
      </c>
      <c r="G4027" s="12" t="s">
        <v>2690</v>
      </c>
    </row>
    <row r="4028" spans="6:7" x14ac:dyDescent="0.35">
      <c r="F4028" s="116">
        <v>9006141</v>
      </c>
      <c r="G4028" s="115" t="s">
        <v>2684</v>
      </c>
    </row>
    <row r="4029" spans="6:7" x14ac:dyDescent="0.35">
      <c r="F4029" s="10">
        <v>90067610</v>
      </c>
      <c r="G4029" s="12" t="s">
        <v>2691</v>
      </c>
    </row>
    <row r="4030" spans="6:7" x14ac:dyDescent="0.35">
      <c r="F4030" s="10">
        <v>90047699</v>
      </c>
      <c r="G4030" s="12" t="s">
        <v>2692</v>
      </c>
    </row>
    <row r="4031" spans="6:7" x14ac:dyDescent="0.35">
      <c r="F4031" s="10">
        <v>315742</v>
      </c>
      <c r="G4031" t="s">
        <v>2693</v>
      </c>
    </row>
    <row r="4032" spans="6:7" x14ac:dyDescent="0.35">
      <c r="F4032" s="9">
        <v>90033850</v>
      </c>
      <c r="G4032" s="12" t="s">
        <v>2694</v>
      </c>
    </row>
    <row r="4033" spans="6:7" x14ac:dyDescent="0.35">
      <c r="F4033" s="9">
        <v>315646</v>
      </c>
      <c r="G4033" s="12" t="s">
        <v>2695</v>
      </c>
    </row>
    <row r="4034" spans="6:7" x14ac:dyDescent="0.35">
      <c r="F4034" s="10">
        <v>315771</v>
      </c>
      <c r="G4034" t="s">
        <v>2696</v>
      </c>
    </row>
    <row r="4035" spans="6:7" x14ac:dyDescent="0.35">
      <c r="F4035" s="9">
        <v>90024489</v>
      </c>
      <c r="G4035" s="12" t="s">
        <v>2697</v>
      </c>
    </row>
    <row r="4036" spans="6:7" x14ac:dyDescent="0.35">
      <c r="F4036" s="10">
        <v>90019035</v>
      </c>
      <c r="G4036" t="s">
        <v>2698</v>
      </c>
    </row>
    <row r="4037" spans="6:7" x14ac:dyDescent="0.35">
      <c r="F4037" s="10">
        <v>316120</v>
      </c>
      <c r="G4037" s="12" t="s">
        <v>2699</v>
      </c>
    </row>
    <row r="4038" spans="6:7" x14ac:dyDescent="0.35">
      <c r="F4038" s="9">
        <v>90027915</v>
      </c>
      <c r="G4038" s="12" t="s">
        <v>2700</v>
      </c>
    </row>
    <row r="4039" spans="6:7" x14ac:dyDescent="0.35">
      <c r="F4039" s="10">
        <v>90059842</v>
      </c>
      <c r="G4039" s="12" t="s">
        <v>2701</v>
      </c>
    </row>
    <row r="4040" spans="6:7" x14ac:dyDescent="0.35">
      <c r="F4040" s="10">
        <v>315772</v>
      </c>
      <c r="G4040" s="12" t="s">
        <v>2702</v>
      </c>
    </row>
    <row r="4041" spans="6:7" x14ac:dyDescent="0.35">
      <c r="F4041" s="10">
        <v>90040102</v>
      </c>
      <c r="G4041" s="86" t="s">
        <v>2703</v>
      </c>
    </row>
    <row r="4042" spans="6:7" x14ac:dyDescent="0.35">
      <c r="F4042" s="117">
        <v>90040629</v>
      </c>
      <c r="G4042" s="118" t="s">
        <v>2704</v>
      </c>
    </row>
    <row r="4043" spans="6:7" x14ac:dyDescent="0.35">
      <c r="F4043" s="10">
        <v>90023724</v>
      </c>
      <c r="G4043" s="12" t="s">
        <v>2705</v>
      </c>
    </row>
    <row r="4044" spans="6:7" x14ac:dyDescent="0.35">
      <c r="F4044">
        <v>90049610</v>
      </c>
      <c r="G4044" t="s">
        <v>2706</v>
      </c>
    </row>
    <row r="4045" spans="6:7" x14ac:dyDescent="0.35">
      <c r="F4045" s="10">
        <v>90014082</v>
      </c>
      <c r="G4045" s="12" t="s">
        <v>2707</v>
      </c>
    </row>
    <row r="4046" spans="6:7" x14ac:dyDescent="0.35">
      <c r="F4046" s="10">
        <v>315652</v>
      </c>
      <c r="G4046" s="12" t="s">
        <v>2708</v>
      </c>
    </row>
    <row r="4047" spans="6:7" x14ac:dyDescent="0.35">
      <c r="F4047" s="16">
        <v>90023752</v>
      </c>
      <c r="G4047" s="12" t="s">
        <v>2709</v>
      </c>
    </row>
    <row r="4048" spans="6:7" x14ac:dyDescent="0.35">
      <c r="F4048" s="10">
        <v>90013868</v>
      </c>
      <c r="G4048" s="12" t="s">
        <v>2710</v>
      </c>
    </row>
    <row r="4049" spans="6:7" x14ac:dyDescent="0.35">
      <c r="F4049" s="10">
        <v>315743</v>
      </c>
      <c r="G4049" s="12" t="s">
        <v>2711</v>
      </c>
    </row>
    <row r="4050" spans="6:7" x14ac:dyDescent="0.35">
      <c r="F4050" s="10">
        <v>315944</v>
      </c>
      <c r="G4050" s="12" t="s">
        <v>2712</v>
      </c>
    </row>
    <row r="4051" spans="6:7" x14ac:dyDescent="0.35">
      <c r="F4051" s="10">
        <v>90051368</v>
      </c>
      <c r="G4051" s="12" t="s">
        <v>2713</v>
      </c>
    </row>
    <row r="4052" spans="6:7" x14ac:dyDescent="0.35">
      <c r="F4052" s="10">
        <v>90034373</v>
      </c>
      <c r="G4052" s="12" t="s">
        <v>2714</v>
      </c>
    </row>
    <row r="4053" spans="6:7" x14ac:dyDescent="0.35">
      <c r="F4053" s="10">
        <v>90065154</v>
      </c>
      <c r="G4053" s="12" t="s">
        <v>2715</v>
      </c>
    </row>
    <row r="4054" spans="6:7" x14ac:dyDescent="0.35">
      <c r="F4054" s="10">
        <v>315961</v>
      </c>
      <c r="G4054" s="44" t="s">
        <v>2716</v>
      </c>
    </row>
    <row r="4055" spans="6:7" x14ac:dyDescent="0.35">
      <c r="F4055" s="10">
        <v>90065999</v>
      </c>
      <c r="G4055" s="12" t="s">
        <v>2717</v>
      </c>
    </row>
    <row r="4056" spans="6:7" x14ac:dyDescent="0.35">
      <c r="F4056" s="10">
        <v>315686</v>
      </c>
      <c r="G4056" s="12" t="s">
        <v>2718</v>
      </c>
    </row>
    <row r="4057" spans="6:7" x14ac:dyDescent="0.35">
      <c r="F4057">
        <v>90065661</v>
      </c>
      <c r="G4057" t="s">
        <v>2719</v>
      </c>
    </row>
    <row r="4058" spans="6:7" x14ac:dyDescent="0.35">
      <c r="F4058" s="10">
        <v>90019192</v>
      </c>
      <c r="G4058" s="12" t="s">
        <v>2720</v>
      </c>
    </row>
    <row r="4059" spans="6:7" x14ac:dyDescent="0.35">
      <c r="F4059" s="10">
        <v>90066032</v>
      </c>
      <c r="G4059" s="12" t="s">
        <v>2721</v>
      </c>
    </row>
    <row r="4060" spans="6:7" x14ac:dyDescent="0.35">
      <c r="F4060" s="10">
        <v>90024340</v>
      </c>
      <c r="G4060" s="12" t="s">
        <v>2722</v>
      </c>
    </row>
    <row r="4061" spans="6:7" x14ac:dyDescent="0.35">
      <c r="F4061" s="9">
        <v>316285</v>
      </c>
      <c r="G4061" s="12" t="s">
        <v>2723</v>
      </c>
    </row>
    <row r="4062" spans="6:7" x14ac:dyDescent="0.35">
      <c r="F4062" s="16">
        <v>90066566</v>
      </c>
      <c r="G4062" s="12" t="s">
        <v>2724</v>
      </c>
    </row>
    <row r="4063" spans="6:7" x14ac:dyDescent="0.35">
      <c r="F4063" s="16">
        <v>316278</v>
      </c>
      <c r="G4063" s="12" t="s">
        <v>2725</v>
      </c>
    </row>
    <row r="4064" spans="6:7" x14ac:dyDescent="0.35">
      <c r="F4064">
        <v>90024339</v>
      </c>
      <c r="G4064" t="s">
        <v>2726</v>
      </c>
    </row>
    <row r="4065" spans="6:7" x14ac:dyDescent="0.35">
      <c r="F4065">
        <v>315947</v>
      </c>
      <c r="G4065" t="s">
        <v>2727</v>
      </c>
    </row>
    <row r="4066" spans="6:7" x14ac:dyDescent="0.35">
      <c r="F4066">
        <v>90059961</v>
      </c>
      <c r="G4066" t="s">
        <v>2728</v>
      </c>
    </row>
    <row r="4067" spans="6:7" x14ac:dyDescent="0.35">
      <c r="F4067" s="30">
        <v>90040129</v>
      </c>
      <c r="G4067" s="119" t="s">
        <v>2729</v>
      </c>
    </row>
    <row r="4068" spans="6:7" x14ac:dyDescent="0.35">
      <c r="F4068" s="10">
        <v>90063371</v>
      </c>
      <c r="G4068" s="12" t="s">
        <v>2730</v>
      </c>
    </row>
    <row r="4069" spans="6:7" x14ac:dyDescent="0.35">
      <c r="F4069" s="10">
        <v>90046711</v>
      </c>
      <c r="G4069" s="12" t="s">
        <v>2731</v>
      </c>
    </row>
    <row r="4070" spans="6:7" x14ac:dyDescent="0.35">
      <c r="F4070" s="16">
        <v>315944</v>
      </c>
      <c r="G4070" s="12" t="s">
        <v>2712</v>
      </c>
    </row>
    <row r="4071" spans="6:7" x14ac:dyDescent="0.35">
      <c r="F4071">
        <v>90033260</v>
      </c>
      <c r="G4071" t="s">
        <v>2732</v>
      </c>
    </row>
    <row r="4072" spans="6:7" x14ac:dyDescent="0.35">
      <c r="F4072" s="10">
        <v>90066167</v>
      </c>
      <c r="G4072" s="12" t="s">
        <v>2733</v>
      </c>
    </row>
    <row r="4073" spans="6:7" x14ac:dyDescent="0.35">
      <c r="F4073" s="10">
        <v>316215</v>
      </c>
      <c r="G4073" s="12" t="str">
        <f>+VLOOKUP(F4073,[6]Datos!$F:$G,2,FALSE)</f>
        <v>ANAYELI MARIBEL JIMENEZ GOMEZ</v>
      </c>
    </row>
    <row r="4074" spans="6:7" x14ac:dyDescent="0.35">
      <c r="F4074" s="16">
        <v>316487</v>
      </c>
      <c r="G4074" s="12" t="s">
        <v>2734</v>
      </c>
    </row>
    <row r="4075" spans="6:7" x14ac:dyDescent="0.35">
      <c r="F4075" s="10">
        <v>90085482</v>
      </c>
      <c r="G4075" t="s">
        <v>2735</v>
      </c>
    </row>
    <row r="4076" spans="6:7" x14ac:dyDescent="0.35">
      <c r="F4076" s="10">
        <v>90084483</v>
      </c>
      <c r="G4076" s="12" t="str">
        <f>+VLOOKUP(F4076,[7]Datos!$F:$G,2,FALSE)</f>
        <v>ASTRID MILETCHA RAYMUNDO HIDALGO</v>
      </c>
    </row>
    <row r="4077" spans="6:7" x14ac:dyDescent="0.35">
      <c r="F4077" s="10">
        <v>90045663</v>
      </c>
      <c r="G4077" s="12" t="str">
        <f>+VLOOKUP(F4077,[7]Datos!$F:$G,2,FALSE)</f>
        <v>MICHELLE JAMILETH MARTINEZ GARCIA</v>
      </c>
    </row>
    <row r="4078" spans="6:7" x14ac:dyDescent="0.35">
      <c r="F4078" s="9">
        <v>90049252</v>
      </c>
      <c r="G4078" s="12" t="s">
        <v>2736</v>
      </c>
    </row>
    <row r="4079" spans="6:7" x14ac:dyDescent="0.35">
      <c r="F4079" s="10">
        <v>90081008</v>
      </c>
      <c r="G4079" s="12" t="s">
        <v>2737</v>
      </c>
    </row>
    <row r="4080" spans="6:7" x14ac:dyDescent="0.35">
      <c r="F4080" s="10">
        <v>90009266</v>
      </c>
      <c r="G4080" s="12" t="s">
        <v>2738</v>
      </c>
    </row>
    <row r="4081" spans="6:7" x14ac:dyDescent="0.35">
      <c r="F4081" s="10">
        <v>90040633</v>
      </c>
      <c r="G4081" s="12" t="s">
        <v>2739</v>
      </c>
    </row>
    <row r="4082" spans="6:7" x14ac:dyDescent="0.35">
      <c r="F4082" s="10">
        <v>90087842</v>
      </c>
      <c r="G4082" s="12" t="s">
        <v>2740</v>
      </c>
    </row>
    <row r="4083" spans="6:7" x14ac:dyDescent="0.35">
      <c r="F4083" s="10">
        <v>90086179</v>
      </c>
      <c r="G4083" s="12" t="s">
        <v>2741</v>
      </c>
    </row>
    <row r="4084" spans="6:7" x14ac:dyDescent="0.35">
      <c r="F4084" s="10">
        <v>90087115</v>
      </c>
      <c r="G4084" s="12" t="s">
        <v>2742</v>
      </c>
    </row>
    <row r="4085" spans="6:7" x14ac:dyDescent="0.35">
      <c r="F4085" s="10">
        <v>90081234</v>
      </c>
      <c r="G4085" s="10" t="s">
        <v>2743</v>
      </c>
    </row>
    <row r="4086" spans="6:7" x14ac:dyDescent="0.35">
      <c r="F4086" s="10">
        <v>90087422</v>
      </c>
      <c r="G4086" s="10" t="s">
        <v>2744</v>
      </c>
    </row>
    <row r="4087" spans="6:7" x14ac:dyDescent="0.35">
      <c r="F4087" s="10">
        <v>90068267</v>
      </c>
      <c r="G4087" s="10" t="s">
        <v>2745</v>
      </c>
    </row>
    <row r="4088" spans="6:7" x14ac:dyDescent="0.35">
      <c r="F4088">
        <v>90087015</v>
      </c>
      <c r="G4088" t="s">
        <v>2746</v>
      </c>
    </row>
    <row r="4089" spans="6:7" x14ac:dyDescent="0.35">
      <c r="F4089" s="10">
        <v>90040632</v>
      </c>
      <c r="G4089" s="12" t="s">
        <v>2747</v>
      </c>
    </row>
    <row r="4090" spans="6:7" x14ac:dyDescent="0.35">
      <c r="F4090" s="10">
        <v>90084484</v>
      </c>
      <c r="G4090" s="12" t="str">
        <f>+VLOOKUP(F4090,[3]Datos!$F:$G,2,FALSE)</f>
        <v>JENIFER DANIELA ZACARIAS LOPEZ</v>
      </c>
    </row>
    <row r="4091" spans="6:7" x14ac:dyDescent="0.35">
      <c r="F4091" s="10">
        <v>90040711</v>
      </c>
      <c r="G4091" s="10" t="s">
        <v>2748</v>
      </c>
    </row>
    <row r="4092" spans="6:7" x14ac:dyDescent="0.35">
      <c r="F4092" s="10">
        <v>90083156</v>
      </c>
      <c r="G4092" s="12" t="s">
        <v>2749</v>
      </c>
    </row>
  </sheetData>
  <conditionalFormatting sqref="F1362:F1823">
    <cfRule type="duplicateValues" dxfId="16" priority="14"/>
    <cfRule type="duplicateValues" dxfId="15" priority="16"/>
    <cfRule type="duplicateValues" dxfId="14" priority="17"/>
  </conditionalFormatting>
  <conditionalFormatting sqref="F3293:F3754">
    <cfRule type="duplicateValues" dxfId="13" priority="6"/>
    <cfRule type="duplicateValues" dxfId="12" priority="8"/>
    <cfRule type="duplicateValues" dxfId="11" priority="9"/>
  </conditionalFormatting>
  <conditionalFormatting sqref="F4042">
    <cfRule type="duplicateValues" dxfId="10" priority="1"/>
    <cfRule type="duplicateValues" dxfId="9" priority="2"/>
    <cfRule type="duplicateValues" dxfId="8" priority="3"/>
    <cfRule type="duplicateValues" dxfId="7" priority="4"/>
  </conditionalFormatting>
  <conditionalFormatting sqref="F1362:G1823 G1824 G1827">
    <cfRule type="duplicateValues" dxfId="6" priority="15"/>
  </conditionalFormatting>
  <conditionalFormatting sqref="F3293:G3754 G3755 G3758">
    <cfRule type="duplicateValues" dxfId="5" priority="7"/>
  </conditionalFormatting>
  <conditionalFormatting sqref="G4042">
    <cfRule type="duplicateValues" dxfId="4" priority="5"/>
  </conditionalFormatting>
  <conditionalFormatting sqref="H1556 H1562 H1564 H1567 H1593:H1594 H1597:H1598 H1600 H1606:H1607 H1609 H1611 H1614 H1617 H1623 H1626 H1652:H1655 H1663:H1664 H1667:H1668 H1677:H1678 H1683 H1770:H1771 H1774:H1775 H1779 H1781 H1783 H1786 H1789 H1794 H1796:H1798 H1802">
    <cfRule type="duplicateValues" dxfId="3" priority="10"/>
    <cfRule type="duplicateValues" dxfId="2" priority="11"/>
    <cfRule type="duplicateValues" dxfId="1" priority="12"/>
    <cfRule type="duplicateValues" dxfId="0" priority="13"/>
  </conditionalFormatting>
  <dataValidations count="2">
    <dataValidation type="list" allowBlank="1" showInputMessage="1" showErrorMessage="1" sqref="J2:J13 P2:P13" xr:uid="{EF61E19F-BAE9-4082-841C-8EF713C18FF6}">
      <formula1>$A$1047931:$A$1047942</formula1>
    </dataValidation>
    <dataValidation type="whole" allowBlank="1" showInputMessage="1" showErrorMessage="1" sqref="F1838 F1854:F1855 F1876 F1893 F1896 F1898 F3769 F3785:F3786 F3807 F3824 F3827 F3829" xr:uid="{DBD8AFFF-80DE-4B46-BBEA-F9CD74AFAE09}">
      <formula1>111111</formula1>
      <formula2>999999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Mayo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David Couderec Benavides</dc:creator>
  <cp:lastModifiedBy>Jose David Couderec Benavides</cp:lastModifiedBy>
  <dcterms:created xsi:type="dcterms:W3CDTF">2026-09-21T21:07:43Z</dcterms:created>
  <dcterms:modified xsi:type="dcterms:W3CDTF">2026-09-21T21:08:37Z</dcterms:modified>
</cp:coreProperties>
</file>