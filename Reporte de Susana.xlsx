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oudere\Desktop\Informes_Mensuales_CD\Reportes de Ejecución\"/>
    </mc:Choice>
  </mc:AlternateContent>
  <xr:revisionPtr revIDLastSave="0" documentId="8_{B6AAD59F-5E31-4BFC-BAC2-FA36C71FB685}" xr6:coauthVersionLast="47" xr6:coauthVersionMax="47" xr10:uidLastSave="{00000000-0000-0000-0000-000000000000}"/>
  <bookViews>
    <workbookView xWindow="-110" yWindow="-110" windowWidth="19420" windowHeight="11500" xr2:uid="{52A8270B-526E-4678-A1AB-2502A637C6B0}"/>
  </bookViews>
  <sheets>
    <sheet name="Hoja1" sheetId="2" r:id="rId1"/>
  </sheets>
  <externalReferences>
    <externalReference r:id="rId2"/>
    <externalReference r:id="rId3"/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Z121" i="2" l="1"/>
  <c r="W121" i="2"/>
  <c r="V121" i="2"/>
  <c r="T121" i="2"/>
  <c r="Q121" i="2"/>
  <c r="O121" i="2"/>
  <c r="N121" i="2"/>
  <c r="L121" i="2"/>
  <c r="J121" i="2"/>
  <c r="Z120" i="2"/>
  <c r="W120" i="2"/>
  <c r="V120" i="2"/>
  <c r="T120" i="2"/>
  <c r="Q120" i="2"/>
  <c r="O120" i="2"/>
  <c r="N120" i="2"/>
  <c r="L120" i="2"/>
  <c r="J120" i="2"/>
  <c r="Z119" i="2"/>
  <c r="W119" i="2"/>
  <c r="V119" i="2"/>
  <c r="T119" i="2"/>
  <c r="Q119" i="2"/>
  <c r="O119" i="2"/>
  <c r="N119" i="2"/>
  <c r="L119" i="2"/>
  <c r="J119" i="2"/>
  <c r="Z118" i="2"/>
  <c r="W118" i="2"/>
  <c r="V118" i="2"/>
  <c r="T118" i="2"/>
  <c r="Q118" i="2"/>
  <c r="O118" i="2"/>
  <c r="N118" i="2"/>
  <c r="L118" i="2"/>
  <c r="J118" i="2"/>
  <c r="Z117" i="2"/>
  <c r="W117" i="2"/>
  <c r="V117" i="2"/>
  <c r="T117" i="2"/>
  <c r="Q117" i="2"/>
  <c r="O117" i="2"/>
  <c r="N117" i="2"/>
  <c r="L117" i="2"/>
  <c r="J117" i="2"/>
  <c r="Z116" i="2"/>
  <c r="W116" i="2"/>
  <c r="V116" i="2"/>
  <c r="T116" i="2"/>
  <c r="Q116" i="2"/>
  <c r="O116" i="2"/>
  <c r="N116" i="2"/>
  <c r="L116" i="2"/>
  <c r="J116" i="2"/>
  <c r="Z115" i="2"/>
  <c r="W115" i="2"/>
  <c r="V115" i="2"/>
  <c r="T115" i="2"/>
  <c r="Q115" i="2"/>
  <c r="O115" i="2"/>
  <c r="N115" i="2"/>
  <c r="L115" i="2"/>
  <c r="J115" i="2"/>
  <c r="Z114" i="2"/>
  <c r="W114" i="2"/>
  <c r="V114" i="2"/>
  <c r="T114" i="2"/>
  <c r="Q114" i="2"/>
  <c r="O114" i="2"/>
  <c r="N114" i="2"/>
  <c r="L114" i="2"/>
  <c r="J114" i="2"/>
  <c r="Z113" i="2"/>
  <c r="W113" i="2"/>
  <c r="V113" i="2"/>
  <c r="T113" i="2"/>
  <c r="Q113" i="2"/>
  <c r="O113" i="2"/>
  <c r="N113" i="2"/>
  <c r="L113" i="2"/>
  <c r="J113" i="2"/>
  <c r="Z112" i="2"/>
  <c r="W112" i="2"/>
  <c r="V112" i="2"/>
  <c r="T112" i="2"/>
  <c r="Q112" i="2"/>
  <c r="O112" i="2"/>
  <c r="N112" i="2"/>
  <c r="L112" i="2"/>
  <c r="J112" i="2"/>
  <c r="Z111" i="2"/>
  <c r="W111" i="2"/>
  <c r="V111" i="2"/>
  <c r="T111" i="2"/>
  <c r="Q111" i="2"/>
  <c r="O111" i="2"/>
  <c r="N111" i="2"/>
  <c r="L111" i="2"/>
  <c r="J111" i="2"/>
  <c r="Z110" i="2"/>
  <c r="W110" i="2"/>
  <c r="V110" i="2"/>
  <c r="T110" i="2"/>
  <c r="Q110" i="2"/>
  <c r="O110" i="2"/>
  <c r="N110" i="2"/>
  <c r="L110" i="2"/>
  <c r="J110" i="2"/>
  <c r="Z109" i="2"/>
  <c r="W109" i="2"/>
  <c r="V109" i="2"/>
  <c r="T109" i="2"/>
  <c r="Q109" i="2"/>
  <c r="O109" i="2"/>
  <c r="N109" i="2"/>
  <c r="L109" i="2"/>
  <c r="J109" i="2"/>
  <c r="Z108" i="2"/>
  <c r="W108" i="2"/>
  <c r="V108" i="2"/>
  <c r="T108" i="2"/>
  <c r="Q108" i="2"/>
  <c r="O108" i="2"/>
  <c r="N108" i="2"/>
  <c r="L108" i="2"/>
  <c r="J108" i="2"/>
  <c r="Z107" i="2"/>
  <c r="W107" i="2"/>
  <c r="V107" i="2"/>
  <c r="T107" i="2"/>
  <c r="Q107" i="2"/>
  <c r="O107" i="2"/>
  <c r="N107" i="2"/>
  <c r="L107" i="2"/>
  <c r="J107" i="2"/>
  <c r="Z106" i="2"/>
  <c r="W106" i="2"/>
  <c r="V106" i="2"/>
  <c r="T106" i="2"/>
  <c r="Q106" i="2"/>
  <c r="O106" i="2"/>
  <c r="N106" i="2"/>
  <c r="L106" i="2"/>
  <c r="J106" i="2"/>
  <c r="Z105" i="2"/>
  <c r="W105" i="2"/>
  <c r="V105" i="2"/>
  <c r="T105" i="2"/>
  <c r="Q105" i="2"/>
  <c r="O105" i="2"/>
  <c r="N105" i="2"/>
  <c r="L105" i="2"/>
  <c r="J105" i="2"/>
  <c r="Z104" i="2"/>
  <c r="W104" i="2"/>
  <c r="V104" i="2"/>
  <c r="T104" i="2"/>
  <c r="Q104" i="2"/>
  <c r="O104" i="2"/>
  <c r="N104" i="2"/>
  <c r="L104" i="2"/>
  <c r="J104" i="2"/>
  <c r="Z103" i="2"/>
  <c r="W103" i="2"/>
  <c r="V103" i="2"/>
  <c r="T103" i="2"/>
  <c r="Q103" i="2"/>
  <c r="O103" i="2"/>
  <c r="N103" i="2"/>
  <c r="L103" i="2"/>
  <c r="J103" i="2"/>
  <c r="W102" i="2"/>
  <c r="V102" i="2"/>
  <c r="T102" i="2"/>
  <c r="Q102" i="2"/>
  <c r="O102" i="2"/>
  <c r="N102" i="2"/>
  <c r="L102" i="2"/>
  <c r="J102" i="2"/>
  <c r="W101" i="2"/>
  <c r="V101" i="2"/>
  <c r="T101" i="2"/>
  <c r="Q101" i="2"/>
  <c r="O101" i="2"/>
  <c r="N101" i="2"/>
  <c r="L101" i="2"/>
  <c r="J101" i="2"/>
  <c r="W100" i="2"/>
  <c r="V100" i="2"/>
  <c r="T100" i="2"/>
  <c r="Q100" i="2"/>
  <c r="O100" i="2"/>
  <c r="N100" i="2"/>
  <c r="L100" i="2"/>
  <c r="J100" i="2"/>
  <c r="W99" i="2"/>
  <c r="V99" i="2"/>
  <c r="T99" i="2"/>
  <c r="Q99" i="2"/>
  <c r="O99" i="2"/>
  <c r="N99" i="2"/>
  <c r="L99" i="2"/>
  <c r="J99" i="2"/>
  <c r="W98" i="2"/>
  <c r="V98" i="2"/>
  <c r="T98" i="2"/>
  <c r="Q98" i="2"/>
  <c r="O98" i="2"/>
  <c r="N98" i="2"/>
  <c r="L98" i="2"/>
  <c r="J98" i="2"/>
  <c r="W97" i="2"/>
  <c r="V97" i="2"/>
  <c r="T97" i="2"/>
  <c r="Q97" i="2"/>
  <c r="O97" i="2"/>
  <c r="N97" i="2"/>
  <c r="L97" i="2"/>
  <c r="J97" i="2"/>
  <c r="W96" i="2"/>
  <c r="V96" i="2"/>
  <c r="T96" i="2"/>
  <c r="Q96" i="2"/>
  <c r="O96" i="2"/>
  <c r="N96" i="2"/>
  <c r="L96" i="2"/>
  <c r="J96" i="2"/>
  <c r="W95" i="2"/>
  <c r="V95" i="2"/>
  <c r="T95" i="2"/>
  <c r="Q95" i="2"/>
  <c r="O95" i="2"/>
  <c r="N95" i="2"/>
  <c r="L95" i="2"/>
  <c r="J95" i="2"/>
  <c r="W94" i="2"/>
  <c r="V94" i="2"/>
  <c r="T94" i="2"/>
  <c r="Q94" i="2"/>
  <c r="O94" i="2"/>
  <c r="N94" i="2"/>
  <c r="L94" i="2"/>
  <c r="J94" i="2"/>
  <c r="W93" i="2"/>
  <c r="V93" i="2"/>
  <c r="T93" i="2"/>
  <c r="Q93" i="2"/>
  <c r="O93" i="2"/>
  <c r="N93" i="2"/>
  <c r="L93" i="2"/>
  <c r="J93" i="2"/>
  <c r="W92" i="2"/>
  <c r="V92" i="2"/>
  <c r="T92" i="2"/>
  <c r="Q92" i="2"/>
  <c r="O92" i="2"/>
  <c r="N92" i="2"/>
  <c r="L92" i="2"/>
  <c r="J92" i="2"/>
  <c r="W91" i="2"/>
  <c r="V91" i="2"/>
  <c r="T91" i="2"/>
  <c r="Q91" i="2"/>
  <c r="O91" i="2"/>
  <c r="N91" i="2"/>
  <c r="L91" i="2"/>
  <c r="J91" i="2"/>
  <c r="W90" i="2"/>
  <c r="V90" i="2"/>
  <c r="T90" i="2"/>
  <c r="Q90" i="2"/>
  <c r="O90" i="2"/>
  <c r="N90" i="2"/>
  <c r="L90" i="2"/>
  <c r="J90" i="2"/>
  <c r="W89" i="2"/>
  <c r="V89" i="2"/>
  <c r="T89" i="2"/>
  <c r="Q89" i="2"/>
  <c r="O89" i="2"/>
  <c r="N89" i="2"/>
  <c r="L89" i="2"/>
  <c r="J89" i="2"/>
  <c r="W88" i="2"/>
  <c r="V88" i="2"/>
  <c r="T88" i="2"/>
  <c r="Q88" i="2"/>
  <c r="O88" i="2"/>
  <c r="N88" i="2"/>
  <c r="L88" i="2"/>
  <c r="J88" i="2"/>
  <c r="W87" i="2"/>
  <c r="V87" i="2"/>
  <c r="T87" i="2"/>
  <c r="Q87" i="2"/>
  <c r="O87" i="2"/>
  <c r="N87" i="2"/>
  <c r="L87" i="2"/>
  <c r="J87" i="2"/>
  <c r="W86" i="2"/>
  <c r="V86" i="2"/>
  <c r="T86" i="2"/>
  <c r="Q86" i="2"/>
  <c r="O86" i="2"/>
  <c r="N86" i="2"/>
  <c r="L86" i="2"/>
  <c r="J86" i="2"/>
  <c r="W85" i="2"/>
  <c r="V85" i="2"/>
  <c r="T85" i="2"/>
  <c r="Q85" i="2"/>
  <c r="O85" i="2"/>
  <c r="N85" i="2"/>
  <c r="L85" i="2"/>
  <c r="J85" i="2"/>
  <c r="W84" i="2"/>
  <c r="V84" i="2"/>
  <c r="T84" i="2"/>
  <c r="Q84" i="2"/>
  <c r="O84" i="2"/>
  <c r="N84" i="2"/>
  <c r="L84" i="2"/>
  <c r="J84" i="2"/>
  <c r="W83" i="2"/>
  <c r="V83" i="2"/>
  <c r="T83" i="2"/>
  <c r="Q83" i="2"/>
  <c r="O83" i="2"/>
  <c r="N83" i="2"/>
  <c r="L83" i="2"/>
  <c r="J83" i="2"/>
  <c r="W82" i="2"/>
  <c r="V82" i="2"/>
  <c r="T82" i="2"/>
  <c r="Q82" i="2"/>
  <c r="O82" i="2"/>
  <c r="N82" i="2"/>
  <c r="L82" i="2"/>
  <c r="J82" i="2"/>
  <c r="W81" i="2"/>
  <c r="V81" i="2"/>
  <c r="T81" i="2"/>
  <c r="Q81" i="2"/>
  <c r="O81" i="2"/>
  <c r="N81" i="2"/>
  <c r="L81" i="2"/>
  <c r="J81" i="2"/>
  <c r="W80" i="2"/>
  <c r="V80" i="2"/>
  <c r="T80" i="2"/>
  <c r="Q80" i="2"/>
  <c r="O80" i="2"/>
  <c r="N80" i="2"/>
  <c r="L80" i="2"/>
  <c r="J80" i="2"/>
  <c r="W79" i="2"/>
  <c r="V79" i="2"/>
  <c r="T79" i="2"/>
  <c r="Q79" i="2"/>
  <c r="O79" i="2"/>
  <c r="N79" i="2"/>
  <c r="L79" i="2"/>
  <c r="J79" i="2"/>
  <c r="W78" i="2"/>
  <c r="V78" i="2"/>
  <c r="T78" i="2"/>
  <c r="Q78" i="2"/>
  <c r="O78" i="2"/>
  <c r="N78" i="2"/>
  <c r="L78" i="2"/>
  <c r="J78" i="2"/>
  <c r="W77" i="2"/>
  <c r="V77" i="2"/>
  <c r="T77" i="2"/>
  <c r="Q77" i="2"/>
  <c r="O77" i="2"/>
  <c r="N77" i="2"/>
  <c r="L77" i="2"/>
  <c r="J77" i="2"/>
  <c r="W76" i="2"/>
  <c r="V76" i="2"/>
  <c r="T76" i="2"/>
  <c r="Q76" i="2"/>
  <c r="O76" i="2"/>
  <c r="N76" i="2"/>
  <c r="L76" i="2"/>
  <c r="J76" i="2"/>
  <c r="W75" i="2"/>
  <c r="V75" i="2"/>
  <c r="T75" i="2"/>
  <c r="Q75" i="2"/>
  <c r="O75" i="2"/>
  <c r="N75" i="2"/>
  <c r="L75" i="2"/>
  <c r="J75" i="2"/>
  <c r="I75" i="2"/>
  <c r="W74" i="2"/>
  <c r="V74" i="2"/>
  <c r="T74" i="2"/>
  <c r="Q74" i="2"/>
  <c r="O74" i="2"/>
  <c r="N74" i="2"/>
  <c r="L74" i="2"/>
  <c r="J74" i="2"/>
  <c r="W73" i="2"/>
  <c r="V73" i="2"/>
  <c r="T73" i="2"/>
  <c r="Q73" i="2"/>
  <c r="N73" i="2"/>
  <c r="L73" i="2"/>
  <c r="J73" i="2"/>
  <c r="W72" i="2"/>
  <c r="V72" i="2"/>
  <c r="T72" i="2"/>
  <c r="Q72" i="2"/>
  <c r="O72" i="2"/>
  <c r="N72" i="2"/>
  <c r="L72" i="2"/>
  <c r="J72" i="2"/>
  <c r="W71" i="2"/>
  <c r="V71" i="2"/>
  <c r="T71" i="2"/>
  <c r="Q71" i="2"/>
  <c r="O71" i="2"/>
  <c r="N71" i="2"/>
  <c r="L71" i="2"/>
  <c r="J71" i="2"/>
  <c r="W70" i="2"/>
  <c r="V70" i="2"/>
  <c r="T70" i="2"/>
  <c r="Q70" i="2"/>
  <c r="O70" i="2"/>
  <c r="N70" i="2"/>
  <c r="L70" i="2"/>
  <c r="J70" i="2"/>
  <c r="I70" i="2"/>
  <c r="W69" i="2"/>
  <c r="V69" i="2"/>
  <c r="T69" i="2"/>
  <c r="Q69" i="2"/>
  <c r="O69" i="2"/>
  <c r="N69" i="2"/>
  <c r="L69" i="2"/>
  <c r="J69" i="2"/>
  <c r="W68" i="2"/>
  <c r="V68" i="2"/>
  <c r="T68" i="2"/>
  <c r="Q68" i="2"/>
  <c r="O68" i="2"/>
  <c r="N68" i="2"/>
  <c r="L68" i="2"/>
  <c r="J68" i="2"/>
  <c r="I68" i="2"/>
  <c r="Z67" i="2"/>
  <c r="W67" i="2"/>
  <c r="V67" i="2"/>
  <c r="T67" i="2"/>
  <c r="Q67" i="2"/>
  <c r="O67" i="2"/>
  <c r="N67" i="2"/>
  <c r="L67" i="2"/>
  <c r="J67" i="2"/>
  <c r="Z66" i="2"/>
  <c r="W66" i="2"/>
  <c r="V66" i="2"/>
  <c r="T66" i="2"/>
  <c r="Q66" i="2"/>
  <c r="O66" i="2"/>
  <c r="N66" i="2"/>
  <c r="L66" i="2"/>
  <c r="J66" i="2"/>
  <c r="Z65" i="2"/>
  <c r="W65" i="2"/>
  <c r="V65" i="2"/>
  <c r="T65" i="2"/>
  <c r="Q65" i="2"/>
  <c r="O65" i="2"/>
  <c r="N65" i="2"/>
  <c r="L65" i="2"/>
  <c r="J65" i="2"/>
  <c r="Z64" i="2"/>
  <c r="W64" i="2"/>
  <c r="V64" i="2"/>
  <c r="T64" i="2"/>
  <c r="Q64" i="2"/>
  <c r="O64" i="2"/>
  <c r="N64" i="2"/>
  <c r="L64" i="2"/>
  <c r="J64" i="2"/>
  <c r="Z63" i="2"/>
  <c r="W63" i="2"/>
  <c r="V63" i="2"/>
  <c r="T63" i="2"/>
  <c r="Q63" i="2"/>
  <c r="O63" i="2"/>
  <c r="N63" i="2"/>
  <c r="L63" i="2"/>
  <c r="J63" i="2"/>
  <c r="Z62" i="2"/>
  <c r="W62" i="2"/>
  <c r="V62" i="2"/>
  <c r="T62" i="2"/>
  <c r="Q62" i="2"/>
  <c r="O62" i="2"/>
  <c r="N62" i="2"/>
  <c r="L62" i="2"/>
  <c r="J62" i="2"/>
  <c r="Z61" i="2"/>
  <c r="W61" i="2"/>
  <c r="V61" i="2"/>
  <c r="T61" i="2"/>
  <c r="Q61" i="2"/>
  <c r="O61" i="2"/>
  <c r="N61" i="2"/>
  <c r="L61" i="2"/>
  <c r="J61" i="2"/>
  <c r="Z60" i="2"/>
  <c r="W60" i="2"/>
  <c r="V60" i="2"/>
  <c r="T60" i="2"/>
  <c r="Q60" i="2"/>
  <c r="O60" i="2"/>
  <c r="N60" i="2"/>
  <c r="L60" i="2"/>
  <c r="J60" i="2"/>
  <c r="Z59" i="2"/>
  <c r="W59" i="2"/>
  <c r="V59" i="2"/>
  <c r="T59" i="2"/>
  <c r="Q59" i="2"/>
  <c r="O59" i="2"/>
  <c r="N59" i="2"/>
  <c r="L59" i="2"/>
  <c r="J59" i="2"/>
  <c r="Z58" i="2"/>
  <c r="W58" i="2"/>
  <c r="V58" i="2"/>
  <c r="T58" i="2"/>
  <c r="Q58" i="2"/>
  <c r="O58" i="2"/>
  <c r="N58" i="2"/>
  <c r="L58" i="2"/>
  <c r="J58" i="2"/>
  <c r="Z57" i="2"/>
  <c r="W57" i="2"/>
  <c r="V57" i="2"/>
  <c r="T57" i="2"/>
  <c r="Q57" i="2"/>
  <c r="O57" i="2"/>
  <c r="N57" i="2"/>
  <c r="L57" i="2"/>
  <c r="J57" i="2"/>
  <c r="Z56" i="2"/>
  <c r="W56" i="2"/>
  <c r="V56" i="2"/>
  <c r="T56" i="2"/>
  <c r="Q56" i="2"/>
  <c r="O56" i="2"/>
  <c r="N56" i="2"/>
  <c r="L56" i="2"/>
  <c r="J56" i="2"/>
  <c r="Z55" i="2"/>
  <c r="W55" i="2"/>
  <c r="V55" i="2"/>
  <c r="T55" i="2"/>
  <c r="Q55" i="2"/>
  <c r="O55" i="2"/>
  <c r="N55" i="2"/>
  <c r="L55" i="2"/>
  <c r="J55" i="2"/>
  <c r="Z54" i="2"/>
  <c r="W54" i="2"/>
  <c r="V54" i="2"/>
  <c r="T54" i="2"/>
  <c r="Q54" i="2"/>
  <c r="O54" i="2"/>
  <c r="N54" i="2"/>
  <c r="L54" i="2"/>
  <c r="J54" i="2"/>
  <c r="Z53" i="2"/>
  <c r="W53" i="2"/>
  <c r="V53" i="2"/>
  <c r="T53" i="2"/>
  <c r="Q53" i="2"/>
  <c r="O53" i="2"/>
  <c r="N53" i="2"/>
  <c r="L53" i="2"/>
  <c r="J53" i="2"/>
  <c r="Z52" i="2"/>
  <c r="W52" i="2"/>
  <c r="V52" i="2"/>
  <c r="T52" i="2"/>
  <c r="Q52" i="2"/>
  <c r="O52" i="2"/>
  <c r="N52" i="2"/>
  <c r="L52" i="2"/>
  <c r="J52" i="2"/>
  <c r="Z51" i="2"/>
  <c r="W51" i="2"/>
  <c r="V51" i="2"/>
  <c r="T51" i="2"/>
  <c r="Q51" i="2"/>
  <c r="O51" i="2"/>
  <c r="N51" i="2"/>
  <c r="L51" i="2"/>
  <c r="J51" i="2"/>
  <c r="Z50" i="2"/>
  <c r="W50" i="2"/>
  <c r="V50" i="2"/>
  <c r="T50" i="2"/>
  <c r="Q50" i="2"/>
  <c r="O50" i="2"/>
  <c r="N50" i="2"/>
  <c r="L50" i="2"/>
  <c r="J50" i="2"/>
  <c r="Z49" i="2"/>
  <c r="W49" i="2"/>
  <c r="V49" i="2"/>
  <c r="T49" i="2"/>
  <c r="Q49" i="2"/>
  <c r="N49" i="2"/>
  <c r="L49" i="2"/>
  <c r="J49" i="2"/>
  <c r="Z48" i="2"/>
  <c r="W48" i="2"/>
  <c r="V48" i="2"/>
  <c r="T48" i="2"/>
  <c r="Q48" i="2"/>
  <c r="O48" i="2"/>
  <c r="N48" i="2"/>
  <c r="L48" i="2"/>
  <c r="J48" i="2"/>
  <c r="Z47" i="2"/>
  <c r="W47" i="2"/>
  <c r="V47" i="2"/>
  <c r="T47" i="2"/>
  <c r="Q47" i="2"/>
  <c r="O47" i="2"/>
  <c r="N47" i="2"/>
  <c r="L47" i="2"/>
  <c r="J47" i="2"/>
  <c r="Z46" i="2"/>
  <c r="W46" i="2"/>
  <c r="V46" i="2"/>
  <c r="T46" i="2"/>
  <c r="Q46" i="2"/>
  <c r="O46" i="2"/>
  <c r="N46" i="2"/>
  <c r="L46" i="2"/>
  <c r="J46" i="2"/>
  <c r="Z45" i="2"/>
  <c r="W45" i="2"/>
  <c r="V45" i="2"/>
  <c r="T45" i="2"/>
  <c r="Q45" i="2"/>
  <c r="O45" i="2"/>
  <c r="N45" i="2"/>
  <c r="L45" i="2"/>
  <c r="J45" i="2"/>
  <c r="Z44" i="2"/>
  <c r="W44" i="2"/>
  <c r="V44" i="2"/>
  <c r="T44" i="2"/>
  <c r="Q44" i="2"/>
  <c r="O44" i="2"/>
  <c r="N44" i="2"/>
  <c r="L44" i="2"/>
  <c r="J44" i="2"/>
  <c r="Z43" i="2"/>
  <c r="W43" i="2"/>
  <c r="V43" i="2"/>
  <c r="T43" i="2"/>
  <c r="Q43" i="2"/>
  <c r="O43" i="2"/>
  <c r="N43" i="2"/>
  <c r="L43" i="2"/>
  <c r="J43" i="2"/>
  <c r="Z42" i="2"/>
  <c r="W42" i="2"/>
  <c r="V42" i="2"/>
  <c r="T42" i="2"/>
  <c r="Q42" i="2"/>
  <c r="O42" i="2"/>
  <c r="N42" i="2"/>
  <c r="L42" i="2"/>
  <c r="J42" i="2"/>
  <c r="Z41" i="2"/>
  <c r="W41" i="2"/>
  <c r="V41" i="2"/>
  <c r="T41" i="2"/>
  <c r="Q41" i="2"/>
  <c r="O41" i="2"/>
  <c r="N41" i="2"/>
  <c r="L41" i="2"/>
  <c r="J41" i="2"/>
  <c r="Z40" i="2"/>
  <c r="W40" i="2"/>
  <c r="V40" i="2"/>
  <c r="T40" i="2"/>
  <c r="Q40" i="2"/>
  <c r="O40" i="2"/>
  <c r="N40" i="2"/>
  <c r="L40" i="2"/>
  <c r="J40" i="2"/>
  <c r="Z39" i="2"/>
  <c r="W39" i="2"/>
  <c r="V39" i="2"/>
  <c r="T39" i="2"/>
  <c r="Q39" i="2"/>
  <c r="O39" i="2"/>
  <c r="N39" i="2"/>
  <c r="L39" i="2"/>
  <c r="J39" i="2"/>
  <c r="Z38" i="2"/>
  <c r="W38" i="2"/>
  <c r="V38" i="2"/>
  <c r="T38" i="2"/>
  <c r="Q38" i="2"/>
  <c r="O38" i="2"/>
  <c r="N38" i="2"/>
  <c r="L38" i="2"/>
  <c r="J38" i="2"/>
  <c r="Z37" i="2"/>
  <c r="W37" i="2"/>
  <c r="V37" i="2"/>
  <c r="T37" i="2"/>
  <c r="Q37" i="2"/>
  <c r="O37" i="2"/>
  <c r="N37" i="2"/>
  <c r="L37" i="2"/>
  <c r="J37" i="2"/>
  <c r="Z36" i="2"/>
  <c r="W36" i="2"/>
  <c r="V36" i="2"/>
  <c r="T36" i="2"/>
  <c r="Q36" i="2"/>
  <c r="N36" i="2"/>
  <c r="L36" i="2"/>
  <c r="J36" i="2"/>
  <c r="Z35" i="2"/>
  <c r="W35" i="2"/>
  <c r="V35" i="2"/>
  <c r="T35" i="2"/>
  <c r="Q35" i="2"/>
  <c r="O35" i="2"/>
  <c r="N35" i="2"/>
  <c r="L35" i="2"/>
  <c r="J35" i="2"/>
  <c r="Z34" i="2"/>
  <c r="W34" i="2"/>
  <c r="V34" i="2"/>
  <c r="T34" i="2"/>
  <c r="Q34" i="2"/>
  <c r="O34" i="2"/>
  <c r="N34" i="2"/>
  <c r="L34" i="2"/>
  <c r="J34" i="2"/>
  <c r="Z33" i="2"/>
  <c r="W33" i="2"/>
  <c r="V33" i="2"/>
  <c r="T33" i="2"/>
  <c r="Q33" i="2"/>
  <c r="O33" i="2"/>
  <c r="N33" i="2"/>
  <c r="L33" i="2"/>
  <c r="J33" i="2"/>
  <c r="H33" i="2"/>
  <c r="Z32" i="2"/>
  <c r="W32" i="2"/>
  <c r="V32" i="2"/>
  <c r="T32" i="2"/>
  <c r="Q32" i="2"/>
  <c r="O32" i="2"/>
  <c r="N32" i="2"/>
  <c r="L32" i="2"/>
  <c r="J32" i="2"/>
  <c r="Z31" i="2"/>
  <c r="W31" i="2"/>
  <c r="V31" i="2"/>
  <c r="T31" i="2"/>
  <c r="Q31" i="2"/>
  <c r="O31" i="2"/>
  <c r="N31" i="2"/>
  <c r="L31" i="2"/>
  <c r="J31" i="2"/>
  <c r="Z30" i="2"/>
  <c r="W30" i="2"/>
  <c r="V30" i="2"/>
  <c r="T30" i="2"/>
  <c r="Q30" i="2"/>
  <c r="O30" i="2"/>
  <c r="N30" i="2"/>
  <c r="L30" i="2"/>
  <c r="Z29" i="2"/>
  <c r="W29" i="2"/>
  <c r="V29" i="2"/>
  <c r="T29" i="2"/>
  <c r="Q29" i="2"/>
  <c r="O29" i="2"/>
  <c r="N29" i="2"/>
  <c r="L29" i="2"/>
  <c r="J29" i="2"/>
  <c r="Z28" i="2"/>
  <c r="W28" i="2"/>
  <c r="V28" i="2"/>
  <c r="T28" i="2"/>
  <c r="Q28" i="2"/>
  <c r="O28" i="2"/>
  <c r="N28" i="2"/>
  <c r="L28" i="2"/>
  <c r="J28" i="2"/>
  <c r="Z27" i="2"/>
  <c r="W27" i="2"/>
  <c r="V27" i="2"/>
  <c r="T27" i="2"/>
  <c r="Q27" i="2"/>
  <c r="O27" i="2"/>
  <c r="N27" i="2"/>
  <c r="L27" i="2"/>
  <c r="J27" i="2"/>
  <c r="Z26" i="2"/>
  <c r="W26" i="2"/>
  <c r="V26" i="2"/>
  <c r="T26" i="2"/>
  <c r="Q26" i="2"/>
  <c r="O26" i="2"/>
  <c r="N26" i="2"/>
  <c r="L26" i="2"/>
  <c r="J26" i="2"/>
  <c r="Z25" i="2"/>
  <c r="W25" i="2"/>
  <c r="V25" i="2"/>
  <c r="T25" i="2"/>
  <c r="Q25" i="2"/>
  <c r="O25" i="2"/>
  <c r="N25" i="2"/>
  <c r="L25" i="2"/>
  <c r="J25" i="2"/>
  <c r="H25" i="2"/>
  <c r="Z24" i="2"/>
  <c r="W24" i="2"/>
  <c r="V24" i="2"/>
  <c r="T24" i="2"/>
  <c r="Q24" i="2"/>
  <c r="O24" i="2"/>
  <c r="N24" i="2"/>
  <c r="L24" i="2"/>
  <c r="J24" i="2"/>
  <c r="H24" i="2"/>
  <c r="Z23" i="2"/>
  <c r="W23" i="2"/>
  <c r="V23" i="2"/>
  <c r="T23" i="2"/>
  <c r="Q23" i="2"/>
  <c r="O23" i="2"/>
  <c r="N23" i="2"/>
  <c r="L23" i="2"/>
  <c r="J23" i="2"/>
  <c r="H23" i="2"/>
  <c r="Z22" i="2"/>
  <c r="W22" i="2"/>
  <c r="V22" i="2"/>
  <c r="T22" i="2"/>
  <c r="Q22" i="2"/>
  <c r="O22" i="2"/>
  <c r="N22" i="2"/>
  <c r="L22" i="2"/>
  <c r="J22" i="2"/>
  <c r="H22" i="2"/>
  <c r="Z21" i="2"/>
  <c r="W21" i="2"/>
  <c r="V21" i="2"/>
  <c r="T21" i="2"/>
  <c r="Q21" i="2"/>
  <c r="O21" i="2"/>
  <c r="N21" i="2"/>
  <c r="L21" i="2"/>
  <c r="J21" i="2"/>
  <c r="Z20" i="2"/>
  <c r="W20" i="2"/>
  <c r="V20" i="2"/>
  <c r="T20" i="2"/>
  <c r="Q20" i="2"/>
  <c r="O20" i="2"/>
  <c r="N20" i="2"/>
  <c r="L20" i="2"/>
  <c r="J20" i="2"/>
  <c r="Z19" i="2"/>
  <c r="W19" i="2"/>
  <c r="V19" i="2"/>
  <c r="T19" i="2"/>
  <c r="Q19" i="2"/>
  <c r="O19" i="2"/>
  <c r="N19" i="2"/>
  <c r="L19" i="2"/>
  <c r="J19" i="2"/>
  <c r="Z18" i="2"/>
  <c r="W18" i="2"/>
  <c r="V18" i="2"/>
  <c r="T18" i="2"/>
  <c r="Q18" i="2"/>
  <c r="O18" i="2"/>
  <c r="N18" i="2"/>
  <c r="L18" i="2"/>
  <c r="J18" i="2"/>
  <c r="Z17" i="2"/>
  <c r="W17" i="2"/>
  <c r="V17" i="2"/>
  <c r="T17" i="2"/>
  <c r="Q17" i="2"/>
  <c r="O17" i="2"/>
  <c r="N17" i="2"/>
  <c r="L17" i="2"/>
  <c r="J17" i="2"/>
  <c r="Z16" i="2"/>
  <c r="W16" i="2"/>
  <c r="V16" i="2"/>
  <c r="T16" i="2"/>
  <c r="Q16" i="2"/>
  <c r="O16" i="2"/>
  <c r="N16" i="2"/>
  <c r="L16" i="2"/>
  <c r="J16" i="2"/>
  <c r="Z15" i="2"/>
  <c r="W15" i="2"/>
  <c r="V15" i="2"/>
  <c r="T15" i="2"/>
  <c r="Q15" i="2"/>
  <c r="O15" i="2"/>
  <c r="N15" i="2"/>
  <c r="L15" i="2"/>
  <c r="J15" i="2"/>
  <c r="Z14" i="2"/>
  <c r="W14" i="2"/>
  <c r="V14" i="2"/>
  <c r="T14" i="2"/>
  <c r="Q14" i="2"/>
  <c r="O14" i="2"/>
  <c r="N14" i="2"/>
  <c r="L14" i="2"/>
  <c r="J14" i="2"/>
  <c r="Z13" i="2"/>
  <c r="W13" i="2"/>
  <c r="V13" i="2"/>
  <c r="T13" i="2"/>
  <c r="Q13" i="2"/>
  <c r="O13" i="2"/>
  <c r="N13" i="2"/>
  <c r="L13" i="2"/>
  <c r="J13" i="2"/>
  <c r="Z12" i="2"/>
  <c r="W12" i="2"/>
  <c r="V12" i="2"/>
  <c r="T12" i="2"/>
  <c r="Q12" i="2"/>
  <c r="N12" i="2"/>
  <c r="L12" i="2"/>
  <c r="J12" i="2"/>
  <c r="W11" i="2"/>
  <c r="V11" i="2"/>
  <c r="T11" i="2"/>
  <c r="Q11" i="2"/>
  <c r="O11" i="2"/>
  <c r="N11" i="2"/>
  <c r="L11" i="2"/>
  <c r="J11" i="2"/>
  <c r="Z10" i="2"/>
  <c r="W10" i="2"/>
  <c r="V10" i="2"/>
  <c r="T10" i="2"/>
  <c r="Q10" i="2"/>
  <c r="N10" i="2"/>
  <c r="L10" i="2"/>
  <c r="J10" i="2"/>
  <c r="Z9" i="2"/>
  <c r="W9" i="2"/>
  <c r="V9" i="2"/>
  <c r="T9" i="2"/>
  <c r="Q9" i="2"/>
  <c r="O9" i="2"/>
  <c r="N9" i="2"/>
  <c r="L9" i="2"/>
  <c r="J9" i="2"/>
  <c r="Z8" i="2"/>
  <c r="W8" i="2"/>
  <c r="V8" i="2"/>
  <c r="T8" i="2"/>
  <c r="Q8" i="2"/>
  <c r="O8" i="2"/>
  <c r="N8" i="2"/>
  <c r="L8" i="2"/>
  <c r="J8" i="2"/>
  <c r="Z7" i="2"/>
  <c r="W7" i="2"/>
  <c r="V7" i="2"/>
  <c r="T7" i="2"/>
  <c r="Q7" i="2"/>
  <c r="N7" i="2"/>
  <c r="L7" i="2"/>
  <c r="J7" i="2"/>
  <c r="Z6" i="2"/>
  <c r="W6" i="2"/>
  <c r="V6" i="2"/>
  <c r="T6" i="2"/>
  <c r="Q6" i="2"/>
  <c r="O6" i="2"/>
  <c r="N6" i="2"/>
  <c r="L6" i="2"/>
  <c r="J6" i="2"/>
  <c r="Z5" i="2"/>
  <c r="W5" i="2"/>
  <c r="V5" i="2"/>
  <c r="T5" i="2"/>
  <c r="Q5" i="2"/>
  <c r="O5" i="2"/>
  <c r="N5" i="2"/>
  <c r="L5" i="2"/>
  <c r="J5" i="2"/>
  <c r="W4" i="2"/>
  <c r="V4" i="2"/>
  <c r="T4" i="2"/>
  <c r="Q4" i="2"/>
  <c r="O4" i="2"/>
  <c r="N4" i="2"/>
  <c r="L4" i="2"/>
  <c r="J4" i="2"/>
  <c r="Z3" i="2"/>
  <c r="W3" i="2"/>
  <c r="V3" i="2"/>
  <c r="T3" i="2"/>
  <c r="Q3" i="2"/>
  <c r="O3" i="2"/>
  <c r="N3" i="2"/>
  <c r="L3" i="2"/>
  <c r="J3" i="2"/>
  <c r="AA2" i="2"/>
  <c r="Z2" i="2"/>
  <c r="W2" i="2"/>
  <c r="V2" i="2"/>
  <c r="T2" i="2"/>
  <c r="Q2" i="2"/>
  <c r="O2" i="2"/>
  <c r="N2" i="2"/>
  <c r="L2" i="2"/>
  <c r="J2" i="2"/>
</calcChain>
</file>

<file path=xl/sharedStrings.xml><?xml version="1.0" encoding="utf-8"?>
<sst xmlns="http://schemas.openxmlformats.org/spreadsheetml/2006/main" count="631" uniqueCount="177">
  <si>
    <t>TARJETA BAM</t>
  </si>
  <si>
    <t>Pago</t>
  </si>
  <si>
    <t>Vigencia</t>
  </si>
  <si>
    <t>Tipo</t>
  </si>
  <si>
    <t>Poliza</t>
  </si>
  <si>
    <t>Certificado</t>
  </si>
  <si>
    <t>Nombre</t>
  </si>
  <si>
    <t>Fecha</t>
  </si>
  <si>
    <t>Fecha Cobro</t>
  </si>
  <si>
    <t>Zona</t>
  </si>
  <si>
    <t>Fuente</t>
  </si>
  <si>
    <t>Agencia</t>
  </si>
  <si>
    <t>Cod. Colaborador</t>
  </si>
  <si>
    <t>Nombre colaborador</t>
  </si>
  <si>
    <t>Prima</t>
  </si>
  <si>
    <t>Cod. Jefe</t>
  </si>
  <si>
    <t>Nombre Jefe</t>
  </si>
  <si>
    <t>Producto</t>
  </si>
  <si>
    <t>Puesto</t>
  </si>
  <si>
    <t>Modificaciones</t>
  </si>
  <si>
    <t>Control</t>
  </si>
  <si>
    <t>Equipo</t>
  </si>
  <si>
    <t>Enviada</t>
  </si>
  <si>
    <t>Meta campaña</t>
  </si>
  <si>
    <t>Asesor</t>
  </si>
  <si>
    <t>SI</t>
  </si>
  <si>
    <t>NUEVO</t>
  </si>
  <si>
    <t>VCB-20210003</t>
  </si>
  <si>
    <t>MARCIA DALILA PEREZ PEREZ</t>
  </si>
  <si>
    <t>VIDA+SEGURO</t>
  </si>
  <si>
    <t>VCB-20220010</t>
  </si>
  <si>
    <t>EDGAR YOVANI PIRIR DE LEON</t>
  </si>
  <si>
    <t>WENDY EMILIA GONZALEZ PAZ</t>
  </si>
  <si>
    <t>VCB-20220033</t>
  </si>
  <si>
    <t>DAVID ALESSANDRO SALAZAR ECHEVERRIA</t>
  </si>
  <si>
    <t>JUAN CARLOS GOMEZ ORDOÑEZ</t>
  </si>
  <si>
    <t>soloicitar cambio de agencia, de eskala a la 280, las puertas san lucas</t>
  </si>
  <si>
    <t>MIGUEL ESTUARDO QUIÑONEZ VASQUEZ</t>
  </si>
  <si>
    <t>HILDA ESPERANZA XOQUIC CAY</t>
  </si>
  <si>
    <t>ACPE-20210006</t>
  </si>
  <si>
    <t>AURA MARINA MOX ESCOBAR DE CALI</t>
  </si>
  <si>
    <t>AP BIENESTAR</t>
  </si>
  <si>
    <t>VCB-20210015</t>
  </si>
  <si>
    <t xml:space="preserve"> FLORENTINA AZUCENA CHAMAY GOMEZ </t>
  </si>
  <si>
    <t>PREVENCION+SEGURA</t>
  </si>
  <si>
    <t>VCB-20240008</t>
  </si>
  <si>
    <t>GERSON SAMUELITO SACTIC SACTIC</t>
  </si>
  <si>
    <t>GLORIA LETICIA SANTOS ALFARO</t>
  </si>
  <si>
    <t>JORGE MAURICIO VALDEZ</t>
  </si>
  <si>
    <t>HORACIO TUBAC SUBUYUJ</t>
  </si>
  <si>
    <t>ESTEFANY  MISHELL GARCIA CABRERA</t>
  </si>
  <si>
    <t>JOSE AXEL CHANQUIN ALONZO</t>
  </si>
  <si>
    <t>LUIS ANGEL MATZIR ROMERO</t>
  </si>
  <si>
    <t>JOSE ANTONIO ZAMORA PEREZ</t>
  </si>
  <si>
    <t>JOSE ANTONIO CASTELLANOS URBINA</t>
  </si>
  <si>
    <t>ACPE-20220038</t>
  </si>
  <si>
    <t>ORLANDO BALDOMERO TUYUC BAL</t>
  </si>
  <si>
    <t>MIRNA ELUVIA QUINILLA AGIN</t>
  </si>
  <si>
    <t>VCB -20220010</t>
  </si>
  <si>
    <t>ANA ISABEL SANCHEZ CEBALLOS</t>
  </si>
  <si>
    <t>FRANCISCA ELIZABETH DE LEON SANTIZO</t>
  </si>
  <si>
    <t>MARLON IVAN CANIZ  HERRERA</t>
  </si>
  <si>
    <t>VCB-20220034</t>
  </si>
  <si>
    <t>FREDY OLVERIO TUT SIQUIC</t>
  </si>
  <si>
    <t>ACPE-20210007</t>
  </si>
  <si>
    <t>CARMEN ANGELICA RAYMUNDO DE CAMO</t>
  </si>
  <si>
    <t>LUIS ESTUARDO REYES PIRIR</t>
  </si>
  <si>
    <t>ANA CECILIA MURALLES PAGLIARA</t>
  </si>
  <si>
    <t>MELANY ROXANA CHUQUIEJ BOC</t>
  </si>
  <si>
    <t>VIDA+SEGURO PLAN 1</t>
  </si>
  <si>
    <t>YOSELY YOHANA CUMATZ COBO</t>
  </si>
  <si>
    <t>ROOSEVELT</t>
  </si>
  <si>
    <t>AUTO-24000684</t>
  </si>
  <si>
    <t>MARIO SILVESTRE ARANGO MORALES</t>
  </si>
  <si>
    <t>AUTO+SEGURO (AUTO)</t>
  </si>
  <si>
    <t>RONALD DAVID JACINTO</t>
  </si>
  <si>
    <t>CEFERINO HERNANDEZ RAMOS</t>
  </si>
  <si>
    <t>VIDA+SEGURO PLAN 2</t>
  </si>
  <si>
    <t>ROSA LIDIA UMUL TEMAL</t>
  </si>
  <si>
    <t>IRINEO   ESCOBAR RAMOS</t>
  </si>
  <si>
    <t>APSS-20200009</t>
  </si>
  <si>
    <t xml:space="preserve"> LUIS RENE MORALES LOPEZ</t>
  </si>
  <si>
    <t>CONSULTA BASICO</t>
  </si>
  <si>
    <t>MARIA MATEA SINAY SEQUEN</t>
  </si>
  <si>
    <t>CELVIN ARTURO SUL RANCHO</t>
  </si>
  <si>
    <t xml:space="preserve">CRUZ COTZOJAY PIRIR </t>
  </si>
  <si>
    <t>VCB-20210002</t>
  </si>
  <si>
    <t>EDIN ESTUARDO JIMENEZ CANREY</t>
  </si>
  <si>
    <t>GERSON ELIU OROZCO VELARDE</t>
  </si>
  <si>
    <t>EDGAR FERNANDO GONZALEZ REYES</t>
  </si>
  <si>
    <t xml:space="preserve">DAMARIS ALEJANDRA CUMES SALES </t>
  </si>
  <si>
    <t xml:space="preserve">JORGE NEHEMIAS GODOY SALGUERO </t>
  </si>
  <si>
    <t xml:space="preserve">JOSE EDUARDO REYES GARCIA </t>
  </si>
  <si>
    <t>LUIS ARNOLDO PAZ SANDOVAL</t>
  </si>
  <si>
    <t>SALVADOR EMANUEL SOLARES SANTOS</t>
  </si>
  <si>
    <t>JOSE ANTONIO CHOJOLAN CAMPOS</t>
  </si>
  <si>
    <t>OSCAR JOSUE CORONADO MENDEZ</t>
  </si>
  <si>
    <t>WALTER RAMIRO JUAREZ CULAJAY</t>
  </si>
  <si>
    <t>VCB-20220009</t>
  </si>
  <si>
    <t xml:space="preserve">JUAN FRANCISCO SANTOS Y SANTOS </t>
  </si>
  <si>
    <t>JORGE ELISEO DE LA CRUZ CHAMALE</t>
  </si>
  <si>
    <t>CINDY JAZMIN IXCHOP ZAMORA</t>
  </si>
  <si>
    <t>JOSE ALEJANDRO CRUZ MENDEZ</t>
  </si>
  <si>
    <t xml:space="preserve"> KIMBERLY SUCELLY  SANTIAGO NAJERA</t>
  </si>
  <si>
    <t>JOSE AMILCAR SEQUEN IXJOTOP</t>
  </si>
  <si>
    <t>JORGE EDUDARDO CASTILLO FIGUEROA</t>
  </si>
  <si>
    <t>ALBA PATRICIA GIRON MENDEZ</t>
  </si>
  <si>
    <t>ACPE-20220074</t>
  </si>
  <si>
    <t>MARIA CECILIA CHALI YOOL</t>
  </si>
  <si>
    <t>TELMA JOHANA  LOPEZ RUCAL</t>
  </si>
  <si>
    <t>JUNIOR SAMUEL ELIAS BATZIN TOLEDO</t>
  </si>
  <si>
    <t xml:space="preserve"> INGRID MARILU GONZALEZ AMPEREZ DE GONZALEZ </t>
  </si>
  <si>
    <t>SODY DONATO VELASQUEZ CUC</t>
  </si>
  <si>
    <t>EDILBERTO MOISES PEREZ</t>
  </si>
  <si>
    <t>JEFERSON LEONEL ZACARIAS GUZMAN</t>
  </si>
  <si>
    <t>JAIME XICAY MICULAX</t>
  </si>
  <si>
    <t>JOSE ALBERTO LOPEZ RIVERA</t>
  </si>
  <si>
    <t>ALMA ELISA AGUEDA BARRIOS PAZ</t>
  </si>
  <si>
    <t>ALFREDO RUBEN CHINCHILLA PINEDA</t>
  </si>
  <si>
    <t>Carlos manuel quina sunum</t>
  </si>
  <si>
    <t>VCB-20220022</t>
  </si>
  <si>
    <t>SANTOS EMILIO  AZ MACARIO</t>
  </si>
  <si>
    <t>ACPE-20240016</t>
  </si>
  <si>
    <t>SANDY ARACELY PUAC CHOCOOJ</t>
  </si>
  <si>
    <t>JOSE  MORALES MORALES</t>
  </si>
  <si>
    <t>DILSON JOSE TACEN</t>
  </si>
  <si>
    <t>SERVANDO HERNANDEZ GUACHIN</t>
  </si>
  <si>
    <t>MIGUEL ANDRES  FRANCISCO</t>
  </si>
  <si>
    <t xml:space="preserve">	MENDEZ VELASQUEZ JOSE IGNACIO</t>
  </si>
  <si>
    <t>Susana la envo en el reporte del 16/8 pero la rechazaron por que escribieron mal el numero de poliza, se agrega nuevamente en reporte del 17/8</t>
  </si>
  <si>
    <t>CARLOS ENRIQUE FAHENA TOJ</t>
  </si>
  <si>
    <t>LUSBY ROSICELY UMUL XIA</t>
  </si>
  <si>
    <t>LUIS ENRIQUE ARZU RODAS</t>
  </si>
  <si>
    <t>DENNIS GUSTAVO GOMEZ MEDRANO</t>
  </si>
  <si>
    <t>INGRID MARIBEL MINAS HERNANDEZ</t>
  </si>
  <si>
    <t>EDVIN ROLANDO JIMENEZ CHAVEZ</t>
  </si>
  <si>
    <t>CONSULTA COMPLETO + BIENESTAR</t>
  </si>
  <si>
    <t>KIMBERLY SOFIA TEZEN DE LA ROSA</t>
  </si>
  <si>
    <t>JULIO ARMANDO GONZALEZ CURUCHICH</t>
  </si>
  <si>
    <t xml:space="preserve">BRENDA MARIBEL FELIPE ANDRINO </t>
  </si>
  <si>
    <t>AUTO-48000139</t>
  </si>
  <si>
    <t>EDUARDO HERNANDEZ CUTZAN</t>
  </si>
  <si>
    <t>CARLOS TZAMPOP SION</t>
  </si>
  <si>
    <t>AUTO-22004409</t>
  </si>
  <si>
    <t>CARLOS EMILIO VALDES PEREZ</t>
  </si>
  <si>
    <t xml:space="preserve">GUSTAVO ADOLFO OLIVA CAMPOS </t>
  </si>
  <si>
    <t>lo enviaron el 18/8 pero colocaron el numero de poliza incorrecto se vuelve a enviar en el reprote del 19</t>
  </si>
  <si>
    <t>HUGO ROLANDO RACZON TEJAXUN</t>
  </si>
  <si>
    <t>ADAN SANTOS SION</t>
  </si>
  <si>
    <t>mandaron excel correcto el 21/8</t>
  </si>
  <si>
    <t>CARMINA DOMINGUEZ ALVAREZ DE HERRERA</t>
  </si>
  <si>
    <t>MIGUEL DANYS  HERNANDEZ PINEDA</t>
  </si>
  <si>
    <t>CRUZ PIRIR GUAT</t>
  </si>
  <si>
    <t>EDGAR ROLANDO CUC ALVAREZ</t>
  </si>
  <si>
    <t>HECTOR AMILCAR RODRIGUEZ COJOLON</t>
  </si>
  <si>
    <t>MARTHA ALICIA SALAZAR MENCOS</t>
  </si>
  <si>
    <t>SABINO CHUY CANA</t>
  </si>
  <si>
    <t>JUAN LUCAS US</t>
  </si>
  <si>
    <t>DAYANA YAMILETH MURALLES ORTEGA</t>
  </si>
  <si>
    <t>VICTORIANO AGUSTIN MENDEZ</t>
  </si>
  <si>
    <t>PDF LO MANDARON EL 19/8 EXCEL LO MANDARON EL 21/8</t>
  </si>
  <si>
    <t>MYRA ELIZABETH ZULETA HERNANDEZ</t>
  </si>
  <si>
    <t>EDWIN LEONEL CHITIC PATA</t>
  </si>
  <si>
    <t>SARA LEYDANY GARCIA CAMACHO</t>
  </si>
  <si>
    <t>19/09/206</t>
  </si>
  <si>
    <t>ELIAS AJQUEJAY SET</t>
  </si>
  <si>
    <t>DANILO IVAN SUTUJ  SURIN</t>
  </si>
  <si>
    <t>JOSE MANUEL CORONADO RAXIQUE</t>
  </si>
  <si>
    <t>EDGAR OSWALDO TOLEDO AQUINO</t>
  </si>
  <si>
    <t>DENNISS GRANDE CANEL</t>
  </si>
  <si>
    <t>lo mansaron el 22/8 con numero de poliza incorrecto</t>
  </si>
  <si>
    <t>JOSE DANIEL REYNOSO YAX</t>
  </si>
  <si>
    <t>AMANDA ELIZABETH SABAN DIAZ</t>
  </si>
  <si>
    <t>merari jocabed llamas queme</t>
  </si>
  <si>
    <t>IRMA LETICIA ROSALES ROJAS</t>
  </si>
  <si>
    <t>RUDY ALEXANDER ETEC CHOPEN</t>
  </si>
  <si>
    <t>YOVANNY ALVAREZ RUMPICH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</si>
</sst>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;@"/>
    <numFmt numFmtId="165" formatCode="_-&quot;Q&quot;* #,##0.00_-;\-&quot;Q&quot;* #,##0.00_-;_-&quot;Q&quot;* &quot;-&quot;??_-;_-@_-"/>
    <numFmt numFmtId="166" formatCode="_-&quot;Q&quot;* #,##0_-;\-&quot;Q&quot;* #,##0_-;_-&quot;Q&quot;* &quot;-&quot;??_-;_-@_-"/>
    <numFmt numFmtId="167" formatCode="&quot;Q&quot;#,##0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Aptos"/>
      <family val="2"/>
    </font>
    <font>
      <b/>
      <sz val="8"/>
      <color theme="1"/>
      <name val="Arial"/>
      <family val="2"/>
    </font>
    <font>
      <sz val="11"/>
      <color theme="1"/>
      <name val="Arial"/>
      <family val="2"/>
    </font>
    <font>
      <sz val="11"/>
      <name val="Aptos Narrow"/>
      <family val="2"/>
      <scheme val="minor"/>
    </font>
    <font>
      <sz val="11"/>
      <color theme="1"/>
      <name val="Segoe UI"/>
      <family val="2"/>
    </font>
    <font>
      <sz val="12"/>
      <color theme="1"/>
      <name val="Aptos Narrow"/>
      <family val="2"/>
      <scheme val="minor"/>
    </font>
    <font>
      <sz val="9"/>
      <color rgb="FF666366"/>
      <name val="Arial"/>
      <family val="2"/>
    </font>
    <font>
      <sz val="12"/>
      <color theme="1"/>
      <name val="Calibri"/>
      <family val="2"/>
    </font>
    <font>
      <sz val="12"/>
      <color theme="1"/>
      <name val="Aptos"/>
      <family val="2"/>
    </font>
    <font>
      <u/>
      <sz val="11"/>
      <color theme="1"/>
      <name val="Aptos Narrow"/>
      <family val="2"/>
      <scheme val="minor"/>
    </font>
    <font>
      <sz val="12"/>
      <color rgb="FF000000"/>
      <name val="Aptos"/>
      <family val="2"/>
      <charset val="1"/>
    </font>
    <font>
      <sz val="11"/>
      <color rgb="FF000000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109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64" fontId="4" fillId="4" borderId="0" xfId="0" applyNumberFormat="1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165" fontId="2" fillId="6" borderId="0" xfId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7" borderId="0" xfId="0" applyFill="1"/>
    <xf numFmtId="0" fontId="0" fillId="0" borderId="0" xfId="0" applyAlignment="1">
      <alignment horizontal="center"/>
    </xf>
    <xf numFmtId="1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164" fontId="0" fillId="7" borderId="0" xfId="0" applyNumberFormat="1" applyFill="1" applyAlignment="1">
      <alignment horizontal="center"/>
    </xf>
    <xf numFmtId="0" fontId="0" fillId="8" borderId="0" xfId="0" applyFill="1" applyAlignment="1">
      <alignment horizontal="center" vertical="center"/>
    </xf>
    <xf numFmtId="0" fontId="5" fillId="0" borderId="0" xfId="0" applyFont="1" applyAlignment="1">
      <alignment horizontal="center" wrapText="1"/>
    </xf>
    <xf numFmtId="166" fontId="0" fillId="9" borderId="0" xfId="1" applyNumberFormat="1" applyFont="1" applyFill="1" applyBorder="1" applyAlignment="1">
      <alignment horizontal="center" vertical="center"/>
    </xf>
    <xf numFmtId="0" fontId="0" fillId="7" borderId="0" xfId="0" applyFill="1" applyAlignment="1">
      <alignment vertical="center"/>
    </xf>
    <xf numFmtId="167" fontId="0" fillId="0" borderId="0" xfId="0" applyNumberFormat="1"/>
    <xf numFmtId="0" fontId="0" fillId="7" borderId="0" xfId="0" applyFill="1" applyAlignment="1">
      <alignment horizontal="right"/>
    </xf>
    <xf numFmtId="0" fontId="0" fillId="10" borderId="0" xfId="0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6" fontId="0" fillId="10" borderId="0" xfId="1" applyNumberFormat="1" applyFont="1" applyFill="1" applyBorder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10" borderId="0" xfId="0" applyFill="1" applyAlignment="1">
      <alignment horizontal="center"/>
    </xf>
    <xf numFmtId="0" fontId="0" fillId="10" borderId="0" xfId="0" applyFill="1"/>
    <xf numFmtId="167" fontId="0" fillId="10" borderId="0" xfId="0" applyNumberFormat="1" applyFill="1"/>
    <xf numFmtId="0" fontId="0" fillId="0" borderId="0" xfId="0" applyAlignment="1">
      <alignment horizontal="right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right" vertical="center"/>
    </xf>
    <xf numFmtId="164" fontId="0" fillId="11" borderId="0" xfId="0" applyNumberFormat="1" applyFill="1" applyAlignment="1">
      <alignment horizontal="center"/>
    </xf>
    <xf numFmtId="0" fontId="7" fillId="0" borderId="0" xfId="0" applyFont="1" applyAlignment="1">
      <alignment horizontal="center"/>
    </xf>
    <xf numFmtId="167" fontId="0" fillId="7" borderId="0" xfId="0" applyNumberFormat="1" applyFill="1"/>
    <xf numFmtId="0" fontId="0" fillId="12" borderId="0" xfId="0" applyFill="1" applyAlignment="1">
      <alignment horizontal="center" vertical="center"/>
    </xf>
    <xf numFmtId="0" fontId="8" fillId="12" borderId="0" xfId="0" applyFont="1" applyFill="1" applyAlignment="1">
      <alignment horizontal="center" vertical="center"/>
    </xf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/>
    </xf>
    <xf numFmtId="164" fontId="0" fillId="12" borderId="0" xfId="0" applyNumberFormat="1" applyFill="1" applyAlignment="1">
      <alignment horizontal="center"/>
    </xf>
    <xf numFmtId="166" fontId="0" fillId="12" borderId="0" xfId="1" applyNumberFormat="1" applyFont="1" applyFill="1" applyBorder="1" applyAlignment="1">
      <alignment horizontal="center" vertical="center"/>
    </xf>
    <xf numFmtId="167" fontId="0" fillId="12" borderId="0" xfId="0" applyNumberFormat="1" applyFill="1" applyAlignment="1">
      <alignment horizontal="center"/>
    </xf>
    <xf numFmtId="0" fontId="5" fillId="0" borderId="0" xfId="0" applyFont="1" applyAlignment="1">
      <alignment horizontal="center"/>
    </xf>
    <xf numFmtId="167" fontId="0" fillId="7" borderId="0" xfId="0" applyNumberFormat="1" applyFill="1" applyAlignment="1">
      <alignment horizontal="center"/>
    </xf>
    <xf numFmtId="164" fontId="0" fillId="10" borderId="0" xfId="0" applyNumberFormat="1" applyFill="1" applyAlignment="1">
      <alignment horizontal="center"/>
    </xf>
    <xf numFmtId="164" fontId="0" fillId="0" borderId="0" xfId="0" applyNumberFormat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/>
    <xf numFmtId="167" fontId="10" fillId="7" borderId="0" xfId="0" applyNumberFormat="1" applyFont="1" applyFill="1"/>
    <xf numFmtId="0" fontId="10" fillId="7" borderId="0" xfId="0" applyFont="1" applyFill="1"/>
    <xf numFmtId="0" fontId="8" fillId="0" borderId="0" xfId="0" applyFont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8" fillId="0" borderId="0" xfId="0" applyFont="1" applyAlignment="1">
      <alignment horizontal="center"/>
    </xf>
    <xf numFmtId="167" fontId="8" fillId="7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11" fillId="0" borderId="0" xfId="0" applyFont="1" applyAlignment="1">
      <alignment horizontal="center"/>
    </xf>
    <xf numFmtId="14" fontId="0" fillId="13" borderId="0" xfId="0" applyNumberFormat="1" applyFill="1" applyAlignment="1">
      <alignment horizontal="center"/>
    </xf>
    <xf numFmtId="167" fontId="0" fillId="0" borderId="0" xfId="0" applyNumberForma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0" fillId="14" borderId="0" xfId="0" applyFill="1" applyAlignment="1">
      <alignment horizontal="center" vertical="center"/>
    </xf>
    <xf numFmtId="166" fontId="0" fillId="14" borderId="0" xfId="1" applyNumberFormat="1" applyFont="1" applyFill="1" applyBorder="1" applyAlignment="1">
      <alignment horizontal="center" vertical="center"/>
    </xf>
    <xf numFmtId="0" fontId="0" fillId="14" borderId="0" xfId="0" applyFill="1" applyAlignment="1">
      <alignment horizontal="center"/>
    </xf>
    <xf numFmtId="0" fontId="0" fillId="14" borderId="0" xfId="0" applyFill="1"/>
    <xf numFmtId="167" fontId="0" fillId="14" borderId="0" xfId="0" applyNumberFormat="1" applyFill="1"/>
    <xf numFmtId="0" fontId="14" fillId="7" borderId="0" xfId="0" applyFont="1" applyFill="1" applyAlignment="1">
      <alignment vertical="center"/>
    </xf>
    <xf numFmtId="0" fontId="0" fillId="15" borderId="0" xfId="0" applyFill="1" applyAlignment="1">
      <alignment horizontal="center" vertical="center"/>
    </xf>
    <xf numFmtId="0" fontId="0" fillId="15" borderId="0" xfId="0" applyFill="1"/>
    <xf numFmtId="0" fontId="0" fillId="15" borderId="0" xfId="0" applyFill="1" applyAlignment="1">
      <alignment horizontal="center"/>
    </xf>
    <xf numFmtId="164" fontId="0" fillId="15" borderId="0" xfId="0" applyNumberFormat="1" applyFill="1" applyAlignment="1">
      <alignment horizontal="center"/>
    </xf>
    <xf numFmtId="0" fontId="5" fillId="15" borderId="0" xfId="0" applyFont="1" applyFill="1" applyAlignment="1">
      <alignment horizontal="center"/>
    </xf>
    <xf numFmtId="166" fontId="0" fillId="15" borderId="0" xfId="1" applyNumberFormat="1" applyFont="1" applyFill="1" applyBorder="1" applyAlignment="1">
      <alignment horizontal="center" vertical="center"/>
    </xf>
    <xf numFmtId="0" fontId="0" fillId="15" borderId="0" xfId="0" applyFill="1" applyAlignment="1">
      <alignment vertical="center"/>
    </xf>
    <xf numFmtId="167" fontId="0" fillId="15" borderId="0" xfId="0" applyNumberFormat="1" applyFill="1" applyAlignment="1">
      <alignment horizontal="center"/>
    </xf>
    <xf numFmtId="0" fontId="0" fillId="15" borderId="0" xfId="0" applyFill="1" applyAlignment="1">
      <alignment horizontal="right"/>
    </xf>
    <xf numFmtId="0" fontId="10" fillId="15" borderId="0" xfId="0" applyFont="1" applyFill="1" applyAlignment="1">
      <alignment horizontal="center"/>
    </xf>
    <xf numFmtId="0" fontId="9" fillId="15" borderId="0" xfId="0" applyFont="1" applyFill="1" applyAlignment="1">
      <alignment horizontal="center"/>
    </xf>
    <xf numFmtId="167" fontId="0" fillId="15" borderId="0" xfId="0" applyNumberFormat="1" applyFill="1"/>
    <xf numFmtId="0" fontId="15" fillId="15" borderId="0" xfId="0" applyFont="1" applyFill="1" applyAlignment="1">
      <alignment horizontal="center"/>
    </xf>
    <xf numFmtId="164" fontId="0" fillId="15" borderId="0" xfId="0" applyNumberFormat="1" applyFill="1" applyAlignment="1">
      <alignment horizontal="center" vertical="center"/>
    </xf>
    <xf numFmtId="0" fontId="0" fillId="15" borderId="0" xfId="0" applyFill="1" applyAlignment="1">
      <alignment horizontal="right" vertical="center"/>
    </xf>
    <xf numFmtId="0" fontId="0" fillId="13" borderId="0" xfId="0" applyFill="1" applyAlignment="1">
      <alignment horizontal="center"/>
    </xf>
    <xf numFmtId="0" fontId="0" fillId="16" borderId="0" xfId="0" applyFill="1" applyAlignment="1">
      <alignment horizontal="center" vertical="center"/>
    </xf>
    <xf numFmtId="166" fontId="0" fillId="16" borderId="0" xfId="1" applyNumberFormat="1" applyFont="1" applyFill="1" applyBorder="1" applyAlignment="1">
      <alignment horizontal="center" vertical="center"/>
    </xf>
    <xf numFmtId="0" fontId="0" fillId="16" borderId="0" xfId="0" applyFill="1" applyAlignment="1">
      <alignment horizontal="center"/>
    </xf>
    <xf numFmtId="0" fontId="0" fillId="16" borderId="0" xfId="0" applyFill="1"/>
    <xf numFmtId="167" fontId="0" fillId="16" borderId="0" xfId="0" applyNumberFormat="1" applyFill="1"/>
    <xf numFmtId="0" fontId="0" fillId="17" borderId="0" xfId="0" applyFill="1" applyAlignment="1">
      <alignment horizontal="center"/>
    </xf>
    <xf numFmtId="0" fontId="8" fillId="0" borderId="0" xfId="0" applyFont="1"/>
    <xf numFmtId="0" fontId="0" fillId="18" borderId="0" xfId="0" applyFill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0" xfId="0" applyFill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8" borderId="0" xfId="0" applyFont="1" applyFill="1" applyAlignment="1">
      <alignment horizontal="center" vertical="center"/>
    </xf>
    <xf numFmtId="166" fontId="3" fillId="9" borderId="0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167" fontId="3" fillId="0" borderId="0" xfId="0" applyNumberFormat="1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0" fillId="19" borderId="0" xfId="0" applyFill="1" applyAlignment="1">
      <alignment horizontal="center"/>
    </xf>
    <xf numFmtId="0" fontId="0" fillId="19" borderId="0" xfId="0" applyFill="1"/>
    <xf numFmtId="0" fontId="0" fillId="7" borderId="0" xfId="0" applyFill="1" applyAlignment="1">
      <alignment horizontal="center" vertical="center"/>
    </xf>
    <xf numFmtId="49" fontId="0" fillId="17" borderId="0" xfId="0" applyNumberFormat="1" applyFill="1" applyAlignment="1">
      <alignment horizontal="center"/>
    </xf>
    <xf numFmtId="167" fontId="3" fillId="0" borderId="0" xfId="0" applyNumberFormat="1" applyFont="1" applyAlignment="1">
      <alignment horizontal="center"/>
    </xf>
  </cellXfs>
  <cellStyles count="2">
    <cellStyle name="Moneda 2" xfId="1" xr:uid="{45084590-3E80-484D-BDD0-0C1B9EF16FB7}"/>
    <cellStyle name="Normal" xfId="0" builtinId="0"/>
  </cellStyles>
  <dxfs count="32"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ancolombia-my.sharepoint.com/personal/susana_solares_bam_com_gt/Documents/ingresos%20SEPTIEMBRE%202026%20ZONA%20ROOSEVELT%20-%20Susana.xlsx" TargetMode="External"/><Relationship Id="rId1" Type="http://schemas.openxmlformats.org/officeDocument/2006/relationships/externalLinkPath" Target="https://bancolombia-my.sharepoint.com/personal/susana_solares_bam_com_gt/Documents/ingresos%20SEPTIEMBRE%202026%20ZONA%20ROOSEVELT%20-%20Susan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roca\AppData\Local\Microsoft\Windows\INetCache\Content.Outlook\JXP3P4XL\Ejecuci&#243;n%20BS%20Unidad%20de%20negocios%20al%2027-10-2024.xlsx" TargetMode="External"/><Relationship Id="rId1" Type="http://schemas.openxmlformats.org/officeDocument/2006/relationships/externalLinkPath" Target="https://bancolombia-my.sharepoint.com/Users/iroca/AppData/Local/Microsoft/Windows/INetCache/Content.Outlook/JXP3P4XL/Ejecuci&#243;n%20BS%20Unidad%20de%20negocios%20al%2027-10-2024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roca\AppData\Local\Microsoft\Windows\INetCache\Content.Outlook\JXP3P4XL\Ejecuci&#243;n%20BS%20Unidad%20de%20negocios%20al%2030-09-2024.xlsx" TargetMode="External"/><Relationship Id="rId1" Type="http://schemas.openxmlformats.org/officeDocument/2006/relationships/externalLinkPath" Target="https://bancolombia-my.sharepoint.com/Users/iroca/AppData/Local/Microsoft/Windows/INetCache/Content.Outlook/JXP3P4XL/Ejecuci&#243;n%20BS%20Unidad%20de%20negocios%20al%2030-09-202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roca\Desktop\ESCRITORIO\FORMATO%20POLIZAS%20ANUALIZADAS\REPORTES%202024\Formato%20de%20ingresos%20DICIEMBRE%202024%20ORIENTE.xlsx" TargetMode="External"/><Relationship Id="rId1" Type="http://schemas.openxmlformats.org/officeDocument/2006/relationships/externalLinkPath" Target="https://bancolombia-my.sharepoint.com/Users/iroca/Desktop/ESCRITORIO/FORMATO%20POLIZAS%20ANUALIZADAS/REPORTES%202024/Formato%20de%20ingresos%20DICIEMBRE%202024%20ORIEN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TIEMBRE 2026"/>
      <sheetName val="Datos"/>
      <sheetName val="fin de mes marzo"/>
      <sheetName val="fin de mes abril"/>
      <sheetName val="fin de mes mayo"/>
      <sheetName val="FIN DE MES JUNIO"/>
      <sheetName val="FIN DE MES JULIO"/>
      <sheetName val="FIN DE MES AGOSTO"/>
      <sheetName val="13 DE SEPT"/>
      <sheetName val="18 DE SEPT"/>
      <sheetName val="Datos ventas"/>
      <sheetName val="Dev"/>
      <sheetName val="COLABORADORES UN"/>
      <sheetName val="DEV EMMA"/>
    </sheetNames>
    <sheetDataSet>
      <sheetData sheetId="0"/>
      <sheetData sheetId="1">
        <row r="1">
          <cell r="A1" t="str">
            <v>FTE.</v>
          </cell>
          <cell r="B1" t="str">
            <v xml:space="preserve">AGENCIA  </v>
          </cell>
          <cell r="C1" t="str">
            <v>ZONA</v>
          </cell>
          <cell r="F1" t="str">
            <v>Codigo Empleado</v>
          </cell>
          <cell r="G1" t="str">
            <v>Nombre Empleado</v>
          </cell>
          <cell r="H1" t="str">
            <v>Codigo Empleado</v>
          </cell>
          <cell r="J1" t="str">
            <v>Producto</v>
          </cell>
          <cell r="K1" t="str">
            <v>1 año</v>
          </cell>
          <cell r="P1" t="str">
            <v>Producto</v>
          </cell>
          <cell r="Q1" t="str">
            <v>1 año</v>
          </cell>
          <cell r="R1" t="str">
            <v>2 años</v>
          </cell>
          <cell r="S1" t="str">
            <v>3 años</v>
          </cell>
          <cell r="T1" t="str">
            <v>4 años</v>
          </cell>
        </row>
        <row r="2">
          <cell r="A2">
            <v>14</v>
          </cell>
          <cell r="B2" t="str">
            <v>PRADERA</v>
          </cell>
          <cell r="C2" t="str">
            <v>AMERICAS</v>
          </cell>
          <cell r="F2">
            <v>314692</v>
          </cell>
          <cell r="G2" t="str">
            <v>Abi Susana Santos Alvarado</v>
          </cell>
          <cell r="H2">
            <v>0</v>
          </cell>
          <cell r="J2" t="str">
            <v>VIDA+SEGURO</v>
          </cell>
          <cell r="K2">
            <v>816</v>
          </cell>
          <cell r="P2" t="str">
            <v>VIDA+SEGURO</v>
          </cell>
          <cell r="Q2">
            <v>888</v>
          </cell>
          <cell r="R2">
            <v>1776</v>
          </cell>
          <cell r="S2">
            <v>2664</v>
          </cell>
          <cell r="T2">
            <v>3552</v>
          </cell>
        </row>
        <row r="3">
          <cell r="A3">
            <v>53</v>
          </cell>
          <cell r="B3" t="str">
            <v>PUERTA PARADA</v>
          </cell>
          <cell r="C3" t="str">
            <v>AMERICAS</v>
          </cell>
          <cell r="F3">
            <v>313537</v>
          </cell>
          <cell r="G3" t="str">
            <v>Abigail Nohemi Letona Lopez</v>
          </cell>
          <cell r="H3">
            <v>0</v>
          </cell>
          <cell r="J3" t="str">
            <v>CONSULTA COMPLETO + BIENESTAR</v>
          </cell>
          <cell r="K3">
            <v>2472</v>
          </cell>
          <cell r="P3" t="str">
            <v>CONSULTA COMPLETO + BIENESTAR</v>
          </cell>
          <cell r="Q3">
            <v>2676</v>
          </cell>
          <cell r="R3">
            <v>5352</v>
          </cell>
          <cell r="S3">
            <v>8028</v>
          </cell>
          <cell r="T3">
            <v>10704</v>
          </cell>
        </row>
        <row r="4">
          <cell r="A4">
            <v>54</v>
          </cell>
          <cell r="B4" t="str">
            <v>LAS CONCHAS ZONA 14</v>
          </cell>
          <cell r="C4" t="str">
            <v>AMERICAS</v>
          </cell>
          <cell r="F4">
            <v>314163</v>
          </cell>
          <cell r="G4" t="str">
            <v>Abner Amilcar Miguel Pedro</v>
          </cell>
          <cell r="H4">
            <v>0</v>
          </cell>
          <cell r="J4" t="str">
            <v>CONSULTA BASICO</v>
          </cell>
          <cell r="K4">
            <v>1428</v>
          </cell>
          <cell r="P4" t="str">
            <v>CONSULTA BASICO</v>
          </cell>
          <cell r="Q4">
            <v>1548</v>
          </cell>
          <cell r="R4">
            <v>3096</v>
          </cell>
          <cell r="S4">
            <v>4644</v>
          </cell>
          <cell r="T4">
            <v>6192</v>
          </cell>
        </row>
        <row r="5">
          <cell r="A5">
            <v>58</v>
          </cell>
          <cell r="B5" t="str">
            <v>EUROPLAZA</v>
          </cell>
          <cell r="C5" t="str">
            <v>AMERICAS</v>
          </cell>
          <cell r="F5">
            <v>300544</v>
          </cell>
          <cell r="G5" t="str">
            <v>Abner Enmanuel Perez Rodriguez</v>
          </cell>
          <cell r="H5">
            <v>0</v>
          </cell>
          <cell r="J5" t="str">
            <v>CONSULTA BASICO + BIENESTAR</v>
          </cell>
          <cell r="K5">
            <v>1908</v>
          </cell>
          <cell r="P5" t="str">
            <v>CONSULTA BASICO + BIENESTAR</v>
          </cell>
          <cell r="Q5">
            <v>2064</v>
          </cell>
          <cell r="R5">
            <v>4128</v>
          </cell>
          <cell r="S5">
            <v>6192</v>
          </cell>
          <cell r="T5">
            <v>8256</v>
          </cell>
        </row>
        <row r="6">
          <cell r="A6">
            <v>71</v>
          </cell>
          <cell r="B6" t="str">
            <v>VISTA HERMOSA</v>
          </cell>
          <cell r="C6" t="str">
            <v>AMERICAS</v>
          </cell>
          <cell r="F6">
            <v>315208</v>
          </cell>
          <cell r="G6" t="str">
            <v>Abner Juan Alexander Menchu Tiu</v>
          </cell>
          <cell r="H6">
            <v>0</v>
          </cell>
          <cell r="J6" t="str">
            <v>MULTIASISTENCIAS</v>
          </cell>
          <cell r="K6">
            <v>1704</v>
          </cell>
          <cell r="P6" t="str">
            <v>MULTIASISTENCIAS</v>
          </cell>
          <cell r="Q6">
            <v>1848</v>
          </cell>
          <cell r="R6">
            <v>3696</v>
          </cell>
          <cell r="S6">
            <v>5544</v>
          </cell>
          <cell r="T6">
            <v>7392</v>
          </cell>
        </row>
        <row r="7">
          <cell r="A7">
            <v>90</v>
          </cell>
          <cell r="B7" t="str">
            <v>CENTRO MEDICO</v>
          </cell>
          <cell r="C7" t="str">
            <v>AMERICAS</v>
          </cell>
          <cell r="F7">
            <v>315069</v>
          </cell>
          <cell r="G7" t="str">
            <v>Abner Rocael Sosa Escobar</v>
          </cell>
          <cell r="H7">
            <v>0</v>
          </cell>
          <cell r="J7" t="str">
            <v>AP DENTAL FAMILIAR</v>
          </cell>
          <cell r="K7">
            <v>1332</v>
          </cell>
          <cell r="P7" t="str">
            <v>AP DENTAL FAMILIAR</v>
          </cell>
          <cell r="Q7">
            <v>1440</v>
          </cell>
          <cell r="R7">
            <v>2880</v>
          </cell>
          <cell r="S7">
            <v>4320</v>
          </cell>
          <cell r="T7">
            <v>5760</v>
          </cell>
        </row>
        <row r="8">
          <cell r="A8">
            <v>92</v>
          </cell>
          <cell r="B8" t="str">
            <v>CONDADO CONCEPCION</v>
          </cell>
          <cell r="C8" t="str">
            <v>AMERICAS</v>
          </cell>
          <cell r="F8">
            <v>310864</v>
          </cell>
          <cell r="G8" t="str">
            <v>Adelaida Garcia Hernandez</v>
          </cell>
          <cell r="H8">
            <v>0</v>
          </cell>
          <cell r="J8" t="str">
            <v>AP BIENESTAR</v>
          </cell>
          <cell r="K8">
            <v>1008</v>
          </cell>
          <cell r="P8" t="str">
            <v>AP BIENESTAR</v>
          </cell>
          <cell r="Q8">
            <v>1092</v>
          </cell>
          <cell r="R8">
            <v>2184</v>
          </cell>
          <cell r="S8">
            <v>3276</v>
          </cell>
          <cell r="T8">
            <v>4368</v>
          </cell>
        </row>
        <row r="9">
          <cell r="A9">
            <v>224</v>
          </cell>
          <cell r="B9" t="str">
            <v>MINUTO CARRETERA A EL SALVADOR</v>
          </cell>
          <cell r="C9" t="str">
            <v>AMERICAS</v>
          </cell>
          <cell r="F9">
            <v>314604</v>
          </cell>
          <cell r="G9" t="str">
            <v>Adieny Moren Ramirez Gamboa</v>
          </cell>
          <cell r="H9">
            <v>0</v>
          </cell>
          <cell r="J9" t="str">
            <v>AUTO+SEGURO (AUTO)</v>
          </cell>
          <cell r="K9">
            <v>2052</v>
          </cell>
          <cell r="P9" t="str">
            <v>AUTO+SEGURO (AUTO)</v>
          </cell>
          <cell r="Q9">
            <v>2160</v>
          </cell>
          <cell r="R9">
            <v>4320</v>
          </cell>
          <cell r="S9">
            <v>6480</v>
          </cell>
          <cell r="T9">
            <v>8640</v>
          </cell>
        </row>
        <row r="10">
          <cell r="A10">
            <v>226</v>
          </cell>
          <cell r="B10" t="str">
            <v>SAN JOSE PINULA</v>
          </cell>
          <cell r="C10" t="str">
            <v>AMERICAS</v>
          </cell>
          <cell r="F10">
            <v>311687</v>
          </cell>
          <cell r="G10" t="str">
            <v>Aida Gabriela De Leon Carrascoza</v>
          </cell>
          <cell r="H10">
            <v>0</v>
          </cell>
          <cell r="J10" t="str">
            <v>PREVENCION+SEGURA</v>
          </cell>
          <cell r="K10">
            <v>1092</v>
          </cell>
          <cell r="P10" t="str">
            <v>PREVENCION+SEGURA</v>
          </cell>
          <cell r="Q10">
            <v>1200</v>
          </cell>
          <cell r="R10">
            <v>2400</v>
          </cell>
          <cell r="S10">
            <v>3600</v>
          </cell>
          <cell r="T10">
            <v>4800</v>
          </cell>
        </row>
        <row r="11">
          <cell r="A11">
            <v>231</v>
          </cell>
          <cell r="B11" t="str">
            <v>SANTA AMELIA ZONA 16</v>
          </cell>
          <cell r="C11" t="str">
            <v>AMERICAS</v>
          </cell>
          <cell r="F11">
            <v>315221</v>
          </cell>
          <cell r="G11" t="str">
            <v>Alan David Perez Muyus</v>
          </cell>
          <cell r="H11">
            <v>0</v>
          </cell>
          <cell r="J11" t="str">
            <v>AP DENTAL INDIVIDUAL</v>
          </cell>
          <cell r="K11">
            <v>1308</v>
          </cell>
          <cell r="P11" t="str">
            <v>AP DENTAL INDIVIDUAL</v>
          </cell>
          <cell r="Q11">
            <v>1416</v>
          </cell>
          <cell r="R11">
            <v>2832</v>
          </cell>
          <cell r="S11">
            <v>4248</v>
          </cell>
          <cell r="T11">
            <v>5664</v>
          </cell>
        </row>
        <row r="12">
          <cell r="A12">
            <v>278</v>
          </cell>
          <cell r="B12" t="str">
            <v>HINCAPIE</v>
          </cell>
          <cell r="C12" t="str">
            <v>AMERICAS</v>
          </cell>
          <cell r="F12">
            <v>311950</v>
          </cell>
          <cell r="G12" t="str">
            <v>Alan Javier Castillo Ordoñez</v>
          </cell>
          <cell r="H12">
            <v>0</v>
          </cell>
          <cell r="J12" t="str">
            <v>CONSULTA COMPLETO</v>
          </cell>
          <cell r="K12">
            <v>2004</v>
          </cell>
          <cell r="P12" t="str">
            <v>CONSULTA COMPLETO</v>
          </cell>
          <cell r="Q12">
            <v>2172</v>
          </cell>
          <cell r="R12">
            <v>4344</v>
          </cell>
          <cell r="S12">
            <v>6516</v>
          </cell>
          <cell r="T12">
            <v>8688</v>
          </cell>
        </row>
        <row r="13">
          <cell r="A13">
            <v>294</v>
          </cell>
          <cell r="B13" t="str">
            <v>PLAZA ZONA 14</v>
          </cell>
          <cell r="C13" t="str">
            <v>AMERICAS</v>
          </cell>
          <cell r="F13">
            <v>313765</v>
          </cell>
          <cell r="G13" t="str">
            <v>Alan Ricardo Flores Diaz</v>
          </cell>
          <cell r="H13">
            <v>0</v>
          </cell>
          <cell r="J13" t="str">
            <v>AUTO+SEGURO (PICK UP)</v>
          </cell>
          <cell r="K13">
            <v>1788</v>
          </cell>
          <cell r="P13" t="str">
            <v>AUTO+SEGURO (PICK UP)</v>
          </cell>
          <cell r="Q13">
            <v>1937</v>
          </cell>
          <cell r="R13">
            <v>3874</v>
          </cell>
          <cell r="S13">
            <v>5811</v>
          </cell>
          <cell r="T13">
            <v>7748</v>
          </cell>
        </row>
        <row r="14">
          <cell r="A14">
            <v>306</v>
          </cell>
          <cell r="B14" t="str">
            <v>PLAZA VARIETA</v>
          </cell>
          <cell r="C14" t="str">
            <v>AMERICAS</v>
          </cell>
          <cell r="F14">
            <v>312686</v>
          </cell>
          <cell r="G14" t="str">
            <v>Alba Azucena Santeliz Marin</v>
          </cell>
          <cell r="H14">
            <v>0</v>
          </cell>
          <cell r="J14" t="str">
            <v>VIDA+SEGURO PLAN 1</v>
          </cell>
          <cell r="K14">
            <v>1368</v>
          </cell>
        </row>
        <row r="15">
          <cell r="A15">
            <v>338</v>
          </cell>
          <cell r="B15" t="str">
            <v>SPAZIO</v>
          </cell>
          <cell r="C15" t="str">
            <v>AMERICAS</v>
          </cell>
          <cell r="F15">
            <v>313531</v>
          </cell>
          <cell r="G15" t="str">
            <v>Alejandra Gramajo Marroquin</v>
          </cell>
          <cell r="H15">
            <v>0</v>
          </cell>
          <cell r="J15" t="str">
            <v>VIDA+SEGURO PLAN 2</v>
          </cell>
          <cell r="K15">
            <v>2736</v>
          </cell>
        </row>
        <row r="16">
          <cell r="A16">
            <v>1000</v>
          </cell>
          <cell r="B16" t="str">
            <v>PLAZA FINANCIERA</v>
          </cell>
          <cell r="C16" t="str">
            <v>AMERICAS</v>
          </cell>
          <cell r="F16">
            <v>313714</v>
          </cell>
          <cell r="G16" t="str">
            <v>Alejandra Julissa Solis Aguilar</v>
          </cell>
          <cell r="H16">
            <v>0</v>
          </cell>
          <cell r="J16" t="str">
            <v>VIDA+SEGURO PLAN 3</v>
          </cell>
          <cell r="K16">
            <v>4104</v>
          </cell>
        </row>
        <row r="17">
          <cell r="A17">
            <v>1</v>
          </cell>
          <cell r="B17" t="str">
            <v>FUNDACION</v>
          </cell>
          <cell r="C17" t="str">
            <v>CENTRO HISTORICO</v>
          </cell>
          <cell r="F17">
            <v>313994</v>
          </cell>
          <cell r="G17" t="str">
            <v>Alejandra Naime Muñoz Letona</v>
          </cell>
          <cell r="H17">
            <v>0</v>
          </cell>
          <cell r="J17" t="str">
            <v>VIDA+SEGURO PLAN 4</v>
          </cell>
          <cell r="K17">
            <v>5460</v>
          </cell>
        </row>
        <row r="18">
          <cell r="A18">
            <v>2</v>
          </cell>
          <cell r="B18" t="str">
            <v>ZONA 1</v>
          </cell>
          <cell r="C18" t="str">
            <v>CENTRO HISTORICO</v>
          </cell>
          <cell r="F18">
            <v>314849</v>
          </cell>
          <cell r="G18" t="str">
            <v>Alejandro Enrique Mejicanos Ramos</v>
          </cell>
          <cell r="H18">
            <v>0</v>
          </cell>
          <cell r="J18" t="str">
            <v>VIDA+SEGURO PLAN 5</v>
          </cell>
          <cell r="K18">
            <v>6828</v>
          </cell>
        </row>
        <row r="19">
          <cell r="A19">
            <v>12</v>
          </cell>
          <cell r="B19" t="str">
            <v>PLAZA FLORIDA</v>
          </cell>
          <cell r="C19" t="str">
            <v>CENTRO HISTORICO</v>
          </cell>
          <cell r="F19">
            <v>315220</v>
          </cell>
          <cell r="G19" t="str">
            <v>Alejandro Jose Mont Diaz</v>
          </cell>
          <cell r="H19">
            <v>0</v>
          </cell>
          <cell r="J19" t="str">
            <v>MIGRANTE BAM</v>
          </cell>
          <cell r="K19">
            <v>1380</v>
          </cell>
        </row>
        <row r="20">
          <cell r="A20">
            <v>13</v>
          </cell>
          <cell r="B20" t="str">
            <v>METANORTE</v>
          </cell>
          <cell r="C20" t="str">
            <v>CENTRO HISTORICO</v>
          </cell>
          <cell r="F20">
            <v>311810</v>
          </cell>
          <cell r="G20" t="str">
            <v>Alexander Macario Gonzalez Monterroso</v>
          </cell>
          <cell r="H20">
            <v>0</v>
          </cell>
          <cell r="J20" t="str">
            <v>MOTO+SEGURA</v>
          </cell>
          <cell r="K20">
            <v>1500</v>
          </cell>
        </row>
        <row r="21">
          <cell r="A21">
            <v>19</v>
          </cell>
          <cell r="B21" t="str">
            <v>MORAZAN ZONA 2</v>
          </cell>
          <cell r="C21" t="str">
            <v>CENTRO HISTORICO</v>
          </cell>
          <cell r="F21">
            <v>300907</v>
          </cell>
          <cell r="G21" t="str">
            <v>Alexangel Quan Urrutia</v>
          </cell>
          <cell r="H21">
            <v>0</v>
          </cell>
        </row>
        <row r="22">
          <cell r="A22">
            <v>37</v>
          </cell>
          <cell r="B22" t="str">
            <v>SAN JUAN SACATEPEQUEZ</v>
          </cell>
          <cell r="C22" t="str">
            <v>ROOSEVELT</v>
          </cell>
          <cell r="F22">
            <v>312962</v>
          </cell>
          <cell r="G22" t="str">
            <v>Alexia Paola Marroquin Lopez</v>
          </cell>
          <cell r="H22">
            <v>0</v>
          </cell>
        </row>
        <row r="23">
          <cell r="A23">
            <v>61</v>
          </cell>
          <cell r="B23" t="str">
            <v>DEL CENTRO</v>
          </cell>
          <cell r="C23" t="str">
            <v>CENTRO HISTORICO</v>
          </cell>
          <cell r="F23">
            <v>314671</v>
          </cell>
          <cell r="G23" t="str">
            <v>Alexsandra Daniela Cano Garcia</v>
          </cell>
          <cell r="H23">
            <v>0</v>
          </cell>
        </row>
        <row r="24">
          <cell r="A24">
            <v>81</v>
          </cell>
          <cell r="B24" t="str">
            <v xml:space="preserve"> PEDRERA</v>
          </cell>
          <cell r="C24" t="str">
            <v>CENTRO HISTORICO</v>
          </cell>
          <cell r="F24">
            <v>311103</v>
          </cell>
          <cell r="G24" t="str">
            <v>Alfredo Chiyal Bocel</v>
          </cell>
          <cell r="H24">
            <v>0</v>
          </cell>
        </row>
        <row r="25">
          <cell r="A25">
            <v>83</v>
          </cell>
          <cell r="B25" t="str">
            <v>DISAGRO</v>
          </cell>
          <cell r="C25" t="str">
            <v>CENTRO HISTORICO</v>
          </cell>
          <cell r="F25">
            <v>311576</v>
          </cell>
          <cell r="G25" t="str">
            <v>Alfredo Gomez Lancerio</v>
          </cell>
          <cell r="H25">
            <v>0</v>
          </cell>
        </row>
        <row r="26">
          <cell r="A26">
            <v>87</v>
          </cell>
          <cell r="B26" t="str">
            <v>EL NARANJO</v>
          </cell>
          <cell r="C26" t="str">
            <v>CENTRO HISTORICO</v>
          </cell>
          <cell r="F26">
            <v>313014</v>
          </cell>
          <cell r="G26" t="str">
            <v>Alfredo Monsanto Santos</v>
          </cell>
          <cell r="H26">
            <v>0</v>
          </cell>
        </row>
        <row r="27">
          <cell r="A27">
            <v>98</v>
          </cell>
          <cell r="B27" t="str">
            <v>CALLE MARTI</v>
          </cell>
          <cell r="C27" t="str">
            <v>CENTRO HISTORICO</v>
          </cell>
          <cell r="F27">
            <v>315223</v>
          </cell>
          <cell r="G27" t="str">
            <v>Alicia Magaly Juarez Quiacain</v>
          </cell>
          <cell r="H27">
            <v>0</v>
          </cell>
        </row>
        <row r="28">
          <cell r="A28">
            <v>103</v>
          </cell>
          <cell r="B28" t="str">
            <v>LOS ALAMOS</v>
          </cell>
          <cell r="C28" t="str">
            <v>CENTRO HISTORICO</v>
          </cell>
          <cell r="F28">
            <v>314035</v>
          </cell>
          <cell r="G28" t="str">
            <v>Alisson Andrea Jacobo Castro</v>
          </cell>
          <cell r="H28">
            <v>0</v>
          </cell>
        </row>
        <row r="29">
          <cell r="A29">
            <v>113</v>
          </cell>
          <cell r="B29" t="str">
            <v>PARQUE COLON</v>
          </cell>
          <cell r="C29" t="str">
            <v>CENTRO HISTORICO</v>
          </cell>
          <cell r="F29">
            <v>315214</v>
          </cell>
          <cell r="G29" t="str">
            <v>Allan David Galdamez De Leon</v>
          </cell>
          <cell r="H29">
            <v>0</v>
          </cell>
        </row>
        <row r="30">
          <cell r="A30">
            <v>166</v>
          </cell>
          <cell r="B30" t="str">
            <v>23 CALLE</v>
          </cell>
          <cell r="C30" t="str">
            <v>CENTRO HISTORICO</v>
          </cell>
          <cell r="F30">
            <v>306902</v>
          </cell>
          <cell r="G30" t="str">
            <v>Allan Kalleb Garcia Cahuex</v>
          </cell>
          <cell r="H30">
            <v>0</v>
          </cell>
        </row>
        <row r="31">
          <cell r="A31">
            <v>296</v>
          </cell>
          <cell r="B31" t="str">
            <v>PORTALES</v>
          </cell>
          <cell r="C31" t="str">
            <v>CENTRO HISTORICO</v>
          </cell>
          <cell r="F31">
            <v>315434</v>
          </cell>
          <cell r="G31" t="str">
            <v>Alma Carolina Herrera Pirir</v>
          </cell>
          <cell r="H31">
            <v>0</v>
          </cell>
        </row>
        <row r="32">
          <cell r="A32">
            <v>302</v>
          </cell>
          <cell r="B32" t="str">
            <v>CENTRANORTE</v>
          </cell>
          <cell r="C32" t="str">
            <v>CENTRO HISTORICO</v>
          </cell>
          <cell r="F32">
            <v>315280</v>
          </cell>
          <cell r="G32" t="str">
            <v>Alma Rosa Valle Blandon</v>
          </cell>
          <cell r="H32">
            <v>0</v>
          </cell>
        </row>
        <row r="33">
          <cell r="A33">
            <v>21</v>
          </cell>
          <cell r="B33" t="str">
            <v>SANTA LU</v>
          </cell>
          <cell r="C33" t="str">
            <v>COSTA SUR</v>
          </cell>
          <cell r="F33">
            <v>302247</v>
          </cell>
          <cell r="G33" t="str">
            <v>Alma Yecenia Ramon Oroxon</v>
          </cell>
          <cell r="H33">
            <v>0</v>
          </cell>
        </row>
        <row r="34">
          <cell r="A34">
            <v>24</v>
          </cell>
          <cell r="B34" t="str">
            <v>ESCUINTLA</v>
          </cell>
          <cell r="C34" t="str">
            <v>COSTA SUR</v>
          </cell>
          <cell r="F34">
            <v>310433</v>
          </cell>
          <cell r="G34" t="str">
            <v>Alma Zucely Sarceño Peralta</v>
          </cell>
          <cell r="H34">
            <v>0</v>
          </cell>
        </row>
        <row r="35">
          <cell r="A35">
            <v>30</v>
          </cell>
          <cell r="B35" t="str">
            <v>BARBERENA</v>
          </cell>
          <cell r="C35" t="str">
            <v>COSTA SUR</v>
          </cell>
          <cell r="F35">
            <v>313286</v>
          </cell>
          <cell r="G35" t="str">
            <v>Alvaro Fernando Acte Mérida</v>
          </cell>
          <cell r="H35">
            <v>0</v>
          </cell>
        </row>
        <row r="36">
          <cell r="A36">
            <v>34</v>
          </cell>
          <cell r="B36" t="str">
            <v>CHIQUIMULILLA</v>
          </cell>
          <cell r="C36" t="str">
            <v>COSTA SUR</v>
          </cell>
          <cell r="F36">
            <v>313119</v>
          </cell>
          <cell r="G36" t="str">
            <v>Alvaro Luis Carias Gonzalez</v>
          </cell>
          <cell r="H36">
            <v>0</v>
          </cell>
        </row>
        <row r="37">
          <cell r="A37">
            <v>72</v>
          </cell>
          <cell r="B37" t="str">
            <v>TAXISCO</v>
          </cell>
          <cell r="C37" t="str">
            <v>COSTA SUR</v>
          </cell>
          <cell r="F37">
            <v>313528</v>
          </cell>
          <cell r="G37" t="str">
            <v>Amairani Lilibeth Escobar Maquin</v>
          </cell>
          <cell r="H37">
            <v>0</v>
          </cell>
        </row>
        <row r="38">
          <cell r="A38">
            <v>73</v>
          </cell>
          <cell r="B38" t="str">
            <v>PATULUL</v>
          </cell>
          <cell r="C38" t="str">
            <v>COSTA SUR</v>
          </cell>
          <cell r="F38">
            <v>309338</v>
          </cell>
          <cell r="G38" t="str">
            <v>Amalia Rebeca Son Juarez</v>
          </cell>
          <cell r="H38">
            <v>0</v>
          </cell>
        </row>
        <row r="39">
          <cell r="A39">
            <v>160</v>
          </cell>
          <cell r="B39" t="str">
            <v>PRADERA ESCUINTLA</v>
          </cell>
          <cell r="C39" t="str">
            <v>COSTA SUR</v>
          </cell>
          <cell r="F39">
            <v>309664</v>
          </cell>
          <cell r="G39" t="str">
            <v>Amarilis Sarita Ajtun Lopez</v>
          </cell>
          <cell r="H39">
            <v>0</v>
          </cell>
        </row>
        <row r="40">
          <cell r="A40">
            <v>171</v>
          </cell>
          <cell r="B40" t="str">
            <v>SANTA LUCIA CENTRO</v>
          </cell>
          <cell r="C40" t="str">
            <v>COSTA SUR</v>
          </cell>
          <cell r="F40">
            <v>309337</v>
          </cell>
          <cell r="G40" t="str">
            <v>Amauri Santillano Catalan</v>
          </cell>
          <cell r="H40">
            <v>0</v>
          </cell>
        </row>
        <row r="41">
          <cell r="A41">
            <v>172</v>
          </cell>
          <cell r="B41" t="str">
            <v>NUEVA CONCEPCION</v>
          </cell>
          <cell r="C41" t="str">
            <v>COSTA SUR</v>
          </cell>
          <cell r="F41">
            <v>315553</v>
          </cell>
          <cell r="G41" t="str">
            <v>Amed Isram Rodas Garcia</v>
          </cell>
          <cell r="H41">
            <v>0</v>
          </cell>
        </row>
        <row r="42">
          <cell r="A42">
            <v>191</v>
          </cell>
          <cell r="B42" t="str">
            <v>SAN LUCAS TOLIMAN</v>
          </cell>
          <cell r="C42" t="str">
            <v>COSTA SUR</v>
          </cell>
          <cell r="F42">
            <v>301503</v>
          </cell>
          <cell r="G42" t="str">
            <v>America Romilia Martinez Ramirez</v>
          </cell>
          <cell r="H42">
            <v>0</v>
          </cell>
        </row>
        <row r="43">
          <cell r="A43">
            <v>212</v>
          </cell>
          <cell r="B43" t="str">
            <v>PUERTO DE SAN JOSE</v>
          </cell>
          <cell r="C43" t="str">
            <v>COSTA SUR</v>
          </cell>
          <cell r="F43">
            <v>311055</v>
          </cell>
          <cell r="G43" t="str">
            <v>Amram Dodanim Lopez Cahuec</v>
          </cell>
          <cell r="H43">
            <v>0</v>
          </cell>
        </row>
        <row r="44">
          <cell r="A44">
            <v>216</v>
          </cell>
          <cell r="B44" t="str">
            <v>LA DEMOCRACIA ESCUINTLA</v>
          </cell>
          <cell r="C44" t="str">
            <v>COSTA SUR</v>
          </cell>
          <cell r="F44">
            <v>307790</v>
          </cell>
          <cell r="G44" t="str">
            <v>Ana Cecilia Navichoc Chiquival</v>
          </cell>
          <cell r="H44">
            <v>0</v>
          </cell>
        </row>
        <row r="45">
          <cell r="A45">
            <v>217</v>
          </cell>
          <cell r="B45" t="str">
            <v>LA GOMERA</v>
          </cell>
          <cell r="C45" t="str">
            <v>COSTA SUR</v>
          </cell>
          <cell r="F45">
            <v>315044</v>
          </cell>
          <cell r="G45" t="str">
            <v>Ana Celeste Garcia Garcia</v>
          </cell>
          <cell r="H45">
            <v>0</v>
          </cell>
        </row>
        <row r="46">
          <cell r="A46">
            <v>253</v>
          </cell>
          <cell r="B46" t="str">
            <v>PRADERA EXPRESS PALIN</v>
          </cell>
          <cell r="C46" t="str">
            <v>COSTA SUR</v>
          </cell>
          <cell r="F46">
            <v>309527</v>
          </cell>
          <cell r="G46" t="str">
            <v>Ana Gabriela Caal Cruz</v>
          </cell>
          <cell r="H46">
            <v>0</v>
          </cell>
        </row>
        <row r="47">
          <cell r="A47">
            <v>292</v>
          </cell>
          <cell r="B47" t="str">
            <v xml:space="preserve"> COINCO</v>
          </cell>
          <cell r="C47" t="str">
            <v>COSTA SUR</v>
          </cell>
          <cell r="F47">
            <v>313217</v>
          </cell>
          <cell r="G47" t="str">
            <v>Ana Gabriela Damian Ixbalan</v>
          </cell>
          <cell r="H47">
            <v>0</v>
          </cell>
        </row>
        <row r="48">
          <cell r="A48">
            <v>22</v>
          </cell>
          <cell r="B48" t="str">
            <v>COBAN PLAZA DEL PARQUE</v>
          </cell>
          <cell r="C48" t="str">
            <v>NORTE</v>
          </cell>
          <cell r="F48">
            <v>305932</v>
          </cell>
          <cell r="G48" t="str">
            <v>Ana Gabriela De La Cruz Aguilar</v>
          </cell>
          <cell r="H48">
            <v>0</v>
          </cell>
        </row>
        <row r="49">
          <cell r="A49">
            <v>38</v>
          </cell>
          <cell r="B49" t="str">
            <v>CARCHA</v>
          </cell>
          <cell r="C49" t="str">
            <v>NORTE</v>
          </cell>
          <cell r="F49">
            <v>314984</v>
          </cell>
          <cell r="G49" t="str">
            <v>Ana Gabriela Equite Diaz</v>
          </cell>
          <cell r="H49">
            <v>0</v>
          </cell>
        </row>
        <row r="50">
          <cell r="A50">
            <v>80</v>
          </cell>
          <cell r="B50" t="str">
            <v>TACTIC</v>
          </cell>
          <cell r="C50" t="str">
            <v>NORTE</v>
          </cell>
          <cell r="F50">
            <v>307751</v>
          </cell>
          <cell r="G50" t="str">
            <v>Ana Gabriela Gonzalez Herrera</v>
          </cell>
          <cell r="H50">
            <v>0</v>
          </cell>
        </row>
        <row r="51">
          <cell r="A51">
            <v>146</v>
          </cell>
          <cell r="B51" t="str">
            <v>SAN LUIS PETEN</v>
          </cell>
          <cell r="C51" t="str">
            <v>NORTE</v>
          </cell>
          <cell r="F51">
            <v>310329</v>
          </cell>
          <cell r="G51" t="str">
            <v>Ana Leticia Lux Say</v>
          </cell>
          <cell r="H51">
            <v>0</v>
          </cell>
        </row>
        <row r="52">
          <cell r="A52">
            <v>162</v>
          </cell>
          <cell r="B52" t="str">
            <v>CHISEC</v>
          </cell>
          <cell r="C52" t="str">
            <v>NORTE</v>
          </cell>
          <cell r="F52">
            <v>311761</v>
          </cell>
          <cell r="G52" t="str">
            <v>Ana Lourdes Muñoz Pensamiento</v>
          </cell>
          <cell r="H52">
            <v>0</v>
          </cell>
        </row>
        <row r="53">
          <cell r="A53">
            <v>163</v>
          </cell>
          <cell r="B53" t="str">
            <v>LA TINTA</v>
          </cell>
          <cell r="C53" t="str">
            <v>NORTE</v>
          </cell>
          <cell r="F53">
            <v>311111</v>
          </cell>
          <cell r="G53" t="str">
            <v>Ana Lucia Donis Franco</v>
          </cell>
          <cell r="H53">
            <v>0</v>
          </cell>
        </row>
        <row r="54">
          <cell r="A54">
            <v>188</v>
          </cell>
          <cell r="B54" t="str">
            <v>SANTA ELENA CENTRO</v>
          </cell>
          <cell r="C54" t="str">
            <v>NORTE</v>
          </cell>
          <cell r="F54">
            <v>313991</v>
          </cell>
          <cell r="G54" t="str">
            <v>Ana Lucia Gudiel Vasquez</v>
          </cell>
          <cell r="H54">
            <v>0</v>
          </cell>
        </row>
        <row r="55">
          <cell r="A55">
            <v>194</v>
          </cell>
          <cell r="B55" t="str">
            <v>PLAYA GRANDE</v>
          </cell>
          <cell r="C55" t="str">
            <v>NORTE</v>
          </cell>
          <cell r="F55">
            <v>307442</v>
          </cell>
          <cell r="G55" t="str">
            <v>Ana Lucia Ramirez Aquino</v>
          </cell>
          <cell r="H55">
            <v>0</v>
          </cell>
        </row>
        <row r="56">
          <cell r="A56">
            <v>195</v>
          </cell>
          <cell r="B56" t="str">
            <v>TELEMAN</v>
          </cell>
          <cell r="C56" t="str">
            <v>NORTE</v>
          </cell>
          <cell r="F56">
            <v>306767</v>
          </cell>
          <cell r="G56" t="str">
            <v>Ana Marcela Castillo Rodriguez</v>
          </cell>
          <cell r="H56">
            <v>0</v>
          </cell>
        </row>
        <row r="57">
          <cell r="A57">
            <v>203</v>
          </cell>
          <cell r="B57" t="str">
            <v>PLAZA MAGDALENA</v>
          </cell>
          <cell r="C57" t="str">
            <v>NORTE</v>
          </cell>
          <cell r="F57">
            <v>312249</v>
          </cell>
          <cell r="G57" t="str">
            <v>Ana Margarita Barrera Estrada</v>
          </cell>
          <cell r="H57">
            <v>0</v>
          </cell>
        </row>
        <row r="58">
          <cell r="A58">
            <v>205</v>
          </cell>
          <cell r="B58" t="str">
            <v>SAN CRISTOBAL VERAPAZ</v>
          </cell>
          <cell r="C58" t="str">
            <v>NORTE</v>
          </cell>
          <cell r="F58">
            <v>202795</v>
          </cell>
          <cell r="G58" t="str">
            <v>Ana Maria Barrios Alejos</v>
          </cell>
          <cell r="H58">
            <v>0</v>
          </cell>
        </row>
        <row r="59">
          <cell r="A59">
            <v>215</v>
          </cell>
          <cell r="B59" t="str">
            <v>FRAY BARTOLOME DE LAS CASAS</v>
          </cell>
          <cell r="C59" t="str">
            <v>NORTE</v>
          </cell>
          <cell r="F59">
            <v>315474</v>
          </cell>
          <cell r="G59" t="str">
            <v>Ana Merced Arriola Gomez</v>
          </cell>
          <cell r="H59">
            <v>0</v>
          </cell>
        </row>
        <row r="60">
          <cell r="A60">
            <v>240</v>
          </cell>
          <cell r="B60" t="str">
            <v>SALAMA</v>
          </cell>
          <cell r="C60" t="str">
            <v>NORTE</v>
          </cell>
          <cell r="F60">
            <v>308129</v>
          </cell>
          <cell r="G60" t="str">
            <v>Ana Mercedes Tiul Caal</v>
          </cell>
          <cell r="H60">
            <v>0</v>
          </cell>
        </row>
        <row r="61">
          <cell r="A61">
            <v>334</v>
          </cell>
          <cell r="B61" t="str">
            <v>COBAN LA PISTA</v>
          </cell>
          <cell r="C61" t="str">
            <v>NORTE</v>
          </cell>
          <cell r="F61">
            <v>314191</v>
          </cell>
          <cell r="G61" t="str">
            <v>Ana Patricia Escobar Cardona</v>
          </cell>
          <cell r="H61">
            <v>0</v>
          </cell>
        </row>
        <row r="62">
          <cell r="A62">
            <v>28</v>
          </cell>
          <cell r="B62" t="str">
            <v>SUCURSAL QUETZALTENANGO</v>
          </cell>
          <cell r="C62" t="str">
            <v>OCCIDENTE</v>
          </cell>
          <cell r="F62">
            <v>310191</v>
          </cell>
          <cell r="G62" t="str">
            <v>Ana Paulina Macario Del Cid</v>
          </cell>
          <cell r="H62">
            <v>0</v>
          </cell>
        </row>
        <row r="63">
          <cell r="A63">
            <v>29</v>
          </cell>
          <cell r="B63" t="str">
            <v>SAN PEDRO SACATEPEQUEZ S.M.</v>
          </cell>
          <cell r="C63" t="str">
            <v>OCCIDENTE</v>
          </cell>
          <cell r="F63">
            <v>310728</v>
          </cell>
          <cell r="G63" t="str">
            <v>Ana Rita Morales Mata</v>
          </cell>
          <cell r="H63">
            <v>0</v>
          </cell>
        </row>
        <row r="64">
          <cell r="A64">
            <v>33</v>
          </cell>
          <cell r="B64" t="str">
            <v>HUEHUETENANGO</v>
          </cell>
          <cell r="C64" t="str">
            <v>OCCIDENTE</v>
          </cell>
          <cell r="F64">
            <v>314469</v>
          </cell>
          <cell r="G64" t="str">
            <v>Ana Sofia Castillo Armas</v>
          </cell>
          <cell r="H64">
            <v>0</v>
          </cell>
        </row>
        <row r="65">
          <cell r="A65">
            <v>55</v>
          </cell>
          <cell r="B65" t="str">
            <v>ZENTROPLAZA</v>
          </cell>
          <cell r="C65" t="str">
            <v>OCCIDENTE</v>
          </cell>
          <cell r="F65">
            <v>312945</v>
          </cell>
          <cell r="G65" t="str">
            <v>Ana Victoria Gonzalez Garcia</v>
          </cell>
          <cell r="H65">
            <v>0</v>
          </cell>
        </row>
        <row r="66">
          <cell r="A66">
            <v>56</v>
          </cell>
          <cell r="B66" t="str">
            <v>LOS ALTOS</v>
          </cell>
          <cell r="C66" t="str">
            <v>OCCIDENTE</v>
          </cell>
          <cell r="F66">
            <v>314019</v>
          </cell>
          <cell r="G66" t="str">
            <v>Anali Guadalupe Salazar Rodriguez</v>
          </cell>
          <cell r="H66">
            <v>0</v>
          </cell>
        </row>
        <row r="67">
          <cell r="A67">
            <v>65</v>
          </cell>
          <cell r="B67" t="str">
            <v>PANAJACHEL</v>
          </cell>
          <cell r="C67" t="str">
            <v>OCCIDENTE</v>
          </cell>
          <cell r="F67">
            <v>315372</v>
          </cell>
          <cell r="G67" t="str">
            <v>Andrea Ayalett Ochoa Lopez</v>
          </cell>
          <cell r="H67">
            <v>0</v>
          </cell>
        </row>
        <row r="68">
          <cell r="A68">
            <v>126</v>
          </cell>
          <cell r="B68" t="str">
            <v>CHICHICASTENANGO</v>
          </cell>
          <cell r="C68" t="str">
            <v>OCCIDENTE</v>
          </cell>
          <cell r="F68">
            <v>311505</v>
          </cell>
          <cell r="G68" t="str">
            <v>Andrea Dayana Ordoñez Mendez</v>
          </cell>
          <cell r="H68">
            <v>0</v>
          </cell>
        </row>
        <row r="69">
          <cell r="A69">
            <v>127</v>
          </cell>
          <cell r="B69" t="str">
            <v>CHIMALTENANGO 2</v>
          </cell>
          <cell r="C69" t="str">
            <v>ROOSEVELT</v>
          </cell>
          <cell r="F69">
            <v>315215</v>
          </cell>
          <cell r="G69" t="str">
            <v>Andrea Fernanda Villela Hernandez</v>
          </cell>
          <cell r="H69">
            <v>0</v>
          </cell>
        </row>
        <row r="70">
          <cell r="A70">
            <v>135</v>
          </cell>
          <cell r="B70" t="str">
            <v>HUEHUETENANGO TERMINAL</v>
          </cell>
          <cell r="C70" t="str">
            <v>OCCIDENTE</v>
          </cell>
          <cell r="F70">
            <v>311380</v>
          </cell>
          <cell r="G70" t="str">
            <v>Andrea Lisbeth Ruiz Rodas</v>
          </cell>
          <cell r="H70">
            <v>0</v>
          </cell>
        </row>
        <row r="71">
          <cell r="A71">
            <v>150</v>
          </cell>
          <cell r="B71" t="str">
            <v>SANTA CRUZ DEL QUICHE</v>
          </cell>
          <cell r="C71" t="str">
            <v>OCCIDENTE</v>
          </cell>
          <cell r="F71">
            <v>311137</v>
          </cell>
          <cell r="G71" t="str">
            <v>Andrea Lucia Lopez Ajin</v>
          </cell>
          <cell r="H71">
            <v>0</v>
          </cell>
        </row>
        <row r="72">
          <cell r="A72">
            <v>155</v>
          </cell>
          <cell r="B72" t="str">
            <v>TECPAN</v>
          </cell>
          <cell r="C72" t="str">
            <v>OCCIDENTE</v>
          </cell>
          <cell r="F72">
            <v>303012</v>
          </cell>
          <cell r="G72" t="str">
            <v>Andrea Marbely Letran Juarez</v>
          </cell>
          <cell r="H72">
            <v>0</v>
          </cell>
        </row>
        <row r="73">
          <cell r="A73">
            <v>157</v>
          </cell>
          <cell r="B73" t="str">
            <v>TOTONICAPAN</v>
          </cell>
          <cell r="C73" t="str">
            <v>OCCIDENTE</v>
          </cell>
          <cell r="F73">
            <v>315264</v>
          </cell>
          <cell r="G73" t="str">
            <v>Andrea Margarita Gomez Morales</v>
          </cell>
          <cell r="H73">
            <v>0</v>
          </cell>
        </row>
        <row r="74">
          <cell r="A74">
            <v>202</v>
          </cell>
          <cell r="B74" t="str">
            <v>SAN MARCOS CENTRO</v>
          </cell>
          <cell r="C74" t="str">
            <v>OCCIDENTE</v>
          </cell>
          <cell r="F74">
            <v>302630</v>
          </cell>
          <cell r="G74" t="str">
            <v>Andrea Maria Alvarez Calderon</v>
          </cell>
          <cell r="H74">
            <v>0</v>
          </cell>
        </row>
        <row r="75">
          <cell r="A75">
            <v>209</v>
          </cell>
          <cell r="B75" t="str">
            <v>SALCAJA</v>
          </cell>
          <cell r="C75" t="str">
            <v>OCCIDENTE</v>
          </cell>
          <cell r="F75">
            <v>314057</v>
          </cell>
          <cell r="G75" t="str">
            <v>Andrea Michelle Urbina Solorzano</v>
          </cell>
          <cell r="H75">
            <v>0</v>
          </cell>
        </row>
        <row r="76">
          <cell r="A76">
            <v>243</v>
          </cell>
          <cell r="B76" t="str">
            <v>PRADERA XELA</v>
          </cell>
          <cell r="C76" t="str">
            <v>OCCIDENTE</v>
          </cell>
          <cell r="F76">
            <v>312310</v>
          </cell>
          <cell r="G76" t="str">
            <v>Andrea Paola Santisteban Per</v>
          </cell>
          <cell r="H76">
            <v>0</v>
          </cell>
        </row>
        <row r="77">
          <cell r="A77">
            <v>246</v>
          </cell>
          <cell r="B77" t="str">
            <v>SANTA CRUZ BARILLAS</v>
          </cell>
          <cell r="C77" t="str">
            <v>OCCIDENTE</v>
          </cell>
          <cell r="F77">
            <v>311079</v>
          </cell>
          <cell r="G77" t="str">
            <v>Andrea Sucely Ortiz Villavicencio</v>
          </cell>
          <cell r="H77">
            <v>0</v>
          </cell>
        </row>
        <row r="78">
          <cell r="A78">
            <v>339</v>
          </cell>
          <cell r="B78" t="str">
            <v>ANDARIA</v>
          </cell>
          <cell r="C78" t="str">
            <v>ROOSEVELT</v>
          </cell>
          <cell r="F78">
            <v>311759</v>
          </cell>
          <cell r="G78" t="str">
            <v>Andrea Yesenia Carpio Ramirez</v>
          </cell>
          <cell r="H78">
            <v>0</v>
          </cell>
        </row>
        <row r="79">
          <cell r="A79">
            <v>41</v>
          </cell>
          <cell r="B79" t="str">
            <v>JUTIAPA</v>
          </cell>
          <cell r="C79" t="str">
            <v>ORIENTE</v>
          </cell>
          <cell r="F79">
            <v>313301</v>
          </cell>
          <cell r="G79" t="str">
            <v>Andreina Antonieta Velasquez Fuentes</v>
          </cell>
          <cell r="H79">
            <v>0</v>
          </cell>
        </row>
        <row r="80">
          <cell r="A80">
            <v>42</v>
          </cell>
          <cell r="B80" t="str">
            <v>JALAPA</v>
          </cell>
          <cell r="C80" t="str">
            <v>ORIENTE</v>
          </cell>
          <cell r="F80">
            <v>315450</v>
          </cell>
          <cell r="G80" t="str">
            <v>Andreina Nataly Canahui Ochoa</v>
          </cell>
          <cell r="H80">
            <v>0</v>
          </cell>
        </row>
        <row r="81">
          <cell r="A81">
            <v>77</v>
          </cell>
          <cell r="B81" t="str">
            <v>PUERTO BARRIOS</v>
          </cell>
          <cell r="C81" t="str">
            <v>ORIENTE</v>
          </cell>
          <cell r="F81">
            <v>314933</v>
          </cell>
          <cell r="G81" t="str">
            <v>Angel Eliu Humberto Caal Lopez</v>
          </cell>
          <cell r="H81">
            <v>0</v>
          </cell>
        </row>
        <row r="82">
          <cell r="A82">
            <v>122</v>
          </cell>
          <cell r="B82" t="str">
            <v>AGUA BLANCA</v>
          </cell>
          <cell r="C82" t="str">
            <v>ORIENTE</v>
          </cell>
          <cell r="F82">
            <v>306471</v>
          </cell>
          <cell r="G82" t="str">
            <v>Angel Enmanuel Quim Macz</v>
          </cell>
          <cell r="H82">
            <v>0</v>
          </cell>
        </row>
        <row r="83">
          <cell r="A83">
            <v>128</v>
          </cell>
          <cell r="B83" t="str">
            <v>CHIQUIMULA 2</v>
          </cell>
          <cell r="C83" t="str">
            <v>ORIENTE</v>
          </cell>
          <cell r="F83">
            <v>309415</v>
          </cell>
          <cell r="G83" t="str">
            <v>Angel Jose Figueroa Garcia</v>
          </cell>
          <cell r="H83">
            <v>0</v>
          </cell>
        </row>
        <row r="84">
          <cell r="A84">
            <v>132</v>
          </cell>
          <cell r="B84" t="str">
            <v>ESQUIPULAS</v>
          </cell>
          <cell r="C84" t="str">
            <v>ORIENTE</v>
          </cell>
          <cell r="F84">
            <v>315312</v>
          </cell>
          <cell r="G84" t="str">
            <v>Angel Josue Ortiz De Leon</v>
          </cell>
          <cell r="H84">
            <v>0</v>
          </cell>
        </row>
        <row r="85">
          <cell r="A85">
            <v>134</v>
          </cell>
          <cell r="B85" t="str">
            <v>GUASTATOYA</v>
          </cell>
          <cell r="C85" t="str">
            <v>ORIENTE</v>
          </cell>
          <cell r="F85">
            <v>305814</v>
          </cell>
          <cell r="G85" t="str">
            <v>Angel Josue Perez Rivera</v>
          </cell>
          <cell r="H85">
            <v>0</v>
          </cell>
        </row>
        <row r="86">
          <cell r="A86">
            <v>144</v>
          </cell>
          <cell r="B86" t="str">
            <v>RIO DULCE 2</v>
          </cell>
          <cell r="C86" t="str">
            <v>ORIENTE</v>
          </cell>
          <cell r="F86">
            <v>314564</v>
          </cell>
          <cell r="G86" t="str">
            <v>Angel Raderyk Vasquez Ovando</v>
          </cell>
          <cell r="H86">
            <v>0</v>
          </cell>
        </row>
        <row r="87">
          <cell r="A87">
            <v>148</v>
          </cell>
          <cell r="B87" t="str">
            <v>SANARATE</v>
          </cell>
          <cell r="C87" t="str">
            <v>ORIENTE</v>
          </cell>
          <cell r="F87">
            <v>312055</v>
          </cell>
          <cell r="G87" t="str">
            <v>Angela Daniela Mazariegos Herrera</v>
          </cell>
          <cell r="H87">
            <v>0</v>
          </cell>
        </row>
        <row r="88">
          <cell r="A88">
            <v>156</v>
          </cell>
          <cell r="B88" t="str">
            <v>TECULUTAN</v>
          </cell>
          <cell r="C88" t="str">
            <v>ORIENTE</v>
          </cell>
          <cell r="F88">
            <v>311086</v>
          </cell>
          <cell r="G88" t="str">
            <v>Angela Esmeralda Reyes Arriaza</v>
          </cell>
          <cell r="H88">
            <v>0</v>
          </cell>
        </row>
        <row r="89">
          <cell r="A89">
            <v>159</v>
          </cell>
          <cell r="B89" t="str">
            <v>PRADERA PUERTO BARRIOS</v>
          </cell>
          <cell r="C89" t="str">
            <v>ORIENTE</v>
          </cell>
          <cell r="F89">
            <v>309859</v>
          </cell>
          <cell r="G89" t="str">
            <v>Angela Ester Gramajo Galicia</v>
          </cell>
          <cell r="H89">
            <v>0</v>
          </cell>
        </row>
        <row r="90">
          <cell r="A90">
            <v>179</v>
          </cell>
          <cell r="B90" t="str">
            <v>ZACAPA CATEDRAL</v>
          </cell>
          <cell r="C90" t="str">
            <v>ORIENTE</v>
          </cell>
          <cell r="F90">
            <v>315026</v>
          </cell>
          <cell r="G90" t="str">
            <v>Angela Marizol Ramon Escobar</v>
          </cell>
          <cell r="H90">
            <v>0</v>
          </cell>
        </row>
        <row r="91">
          <cell r="A91">
            <v>180</v>
          </cell>
          <cell r="B91" t="str">
            <v>MONJAS</v>
          </cell>
          <cell r="C91" t="str">
            <v>ORIENTE</v>
          </cell>
          <cell r="F91">
            <v>314696</v>
          </cell>
          <cell r="G91" t="str">
            <v>Angelica Sol Ortiz</v>
          </cell>
          <cell r="H91">
            <v>0</v>
          </cell>
        </row>
        <row r="92">
          <cell r="A92">
            <v>181</v>
          </cell>
          <cell r="B92" t="str">
            <v>SAN LUIS JILOTEPEQUE CENTRO</v>
          </cell>
          <cell r="C92" t="str">
            <v>ORIENTE</v>
          </cell>
          <cell r="F92">
            <v>311699</v>
          </cell>
          <cell r="G92" t="str">
            <v>Anika Beira Domingo Escobar</v>
          </cell>
          <cell r="H92">
            <v>0</v>
          </cell>
        </row>
        <row r="93">
          <cell r="A93">
            <v>182</v>
          </cell>
          <cell r="B93" t="str">
            <v>ASUNCION MITA</v>
          </cell>
          <cell r="C93" t="str">
            <v>ORIENTE</v>
          </cell>
          <cell r="F93">
            <v>315556</v>
          </cell>
          <cell r="G93" t="str">
            <v>Anthony Enrique Castellanos Perez</v>
          </cell>
          <cell r="H93">
            <v>0</v>
          </cell>
        </row>
        <row r="94">
          <cell r="A94">
            <v>228</v>
          </cell>
          <cell r="B94" t="str">
            <v>PRADERA CHIQUIMULA</v>
          </cell>
          <cell r="C94" t="str">
            <v>ORIENTE</v>
          </cell>
          <cell r="F94">
            <v>315121</v>
          </cell>
          <cell r="G94" t="str">
            <v>Antoni Alexis Del Cid Sian</v>
          </cell>
          <cell r="H94">
            <v>0</v>
          </cell>
        </row>
        <row r="95">
          <cell r="A95">
            <v>325</v>
          </cell>
          <cell r="B95" t="str">
            <v>UMG JUTIAPA</v>
          </cell>
          <cell r="C95" t="str">
            <v>ORIENTE</v>
          </cell>
          <cell r="F95">
            <v>311557</v>
          </cell>
          <cell r="G95" t="str">
            <v>Aracely Nohemy Fuentes Alonzo</v>
          </cell>
          <cell r="H95">
            <v>0</v>
          </cell>
        </row>
        <row r="96">
          <cell r="A96">
            <v>7</v>
          </cell>
          <cell r="B96" t="str">
            <v>ZONA 8</v>
          </cell>
          <cell r="C96" t="str">
            <v>PETAPA</v>
          </cell>
          <cell r="F96">
            <v>102256</v>
          </cell>
          <cell r="G96" t="str">
            <v>Arelis Noemi Gonzalez Vivar</v>
          </cell>
          <cell r="H96">
            <v>0</v>
          </cell>
        </row>
        <row r="97">
          <cell r="A97">
            <v>11</v>
          </cell>
          <cell r="B97" t="str">
            <v>PETAPA</v>
          </cell>
          <cell r="C97" t="str">
            <v>PETAPA</v>
          </cell>
          <cell r="F97">
            <v>315150</v>
          </cell>
          <cell r="G97" t="str">
            <v>Arely Maoly Aguilar Y Aguilar</v>
          </cell>
          <cell r="H97">
            <v>0</v>
          </cell>
        </row>
        <row r="98">
          <cell r="A98">
            <v>51</v>
          </cell>
          <cell r="B98" t="str">
            <v>SAN CRISTOBAL</v>
          </cell>
          <cell r="C98" t="str">
            <v>PETAPA</v>
          </cell>
          <cell r="F98">
            <v>309908</v>
          </cell>
          <cell r="G98" t="str">
            <v>Arleth Julissa Paredez Ramirez</v>
          </cell>
          <cell r="H98">
            <v>0</v>
          </cell>
        </row>
        <row r="99">
          <cell r="A99">
            <v>57</v>
          </cell>
          <cell r="B99" t="str">
            <v>VILLA NUEVA</v>
          </cell>
          <cell r="C99" t="str">
            <v>PETAPA</v>
          </cell>
          <cell r="F99">
            <v>315532</v>
          </cell>
          <cell r="G99" t="str">
            <v>Ashley Dayana Franco Sandoval</v>
          </cell>
          <cell r="H99">
            <v>0</v>
          </cell>
        </row>
        <row r="100">
          <cell r="A100">
            <v>67</v>
          </cell>
          <cell r="B100" t="str">
            <v>QUETZAL</v>
          </cell>
          <cell r="C100" t="str">
            <v>PETAPA</v>
          </cell>
          <cell r="F100">
            <v>315493</v>
          </cell>
          <cell r="G100" t="str">
            <v>Astrid Carolina Lopez Lopez</v>
          </cell>
          <cell r="H100">
            <v>0</v>
          </cell>
        </row>
        <row r="101">
          <cell r="A101">
            <v>86</v>
          </cell>
          <cell r="B101" t="str">
            <v>EL FRUTAL</v>
          </cell>
          <cell r="C101" t="str">
            <v>PETAPA</v>
          </cell>
          <cell r="F101">
            <v>310020</v>
          </cell>
          <cell r="G101" t="str">
            <v>Astrid Elena Alvarado Lopez</v>
          </cell>
          <cell r="H101">
            <v>0</v>
          </cell>
        </row>
        <row r="102">
          <cell r="A102">
            <v>88</v>
          </cell>
          <cell r="B102" t="str">
            <v>ATANASIO TZUL</v>
          </cell>
          <cell r="C102" t="str">
            <v>PETAPA</v>
          </cell>
          <cell r="F102">
            <v>315277</v>
          </cell>
          <cell r="G102" t="str">
            <v>Astrid Guadalupe Fernandez Perez</v>
          </cell>
          <cell r="H102">
            <v>0</v>
          </cell>
        </row>
        <row r="103">
          <cell r="A103">
            <v>94</v>
          </cell>
          <cell r="B103" t="str">
            <v>BOULEVARD SAN CRISTOBAL</v>
          </cell>
          <cell r="C103" t="str">
            <v>PETAPA</v>
          </cell>
          <cell r="F103">
            <v>310483</v>
          </cell>
          <cell r="G103" t="str">
            <v>Astrid Ivone Hernandez</v>
          </cell>
          <cell r="H103">
            <v>0</v>
          </cell>
        </row>
        <row r="104">
          <cell r="A104">
            <v>95</v>
          </cell>
          <cell r="B104" t="str">
            <v>AGUILAR BATRES 2</v>
          </cell>
          <cell r="C104" t="str">
            <v>PETAPA</v>
          </cell>
          <cell r="F104">
            <v>309804</v>
          </cell>
          <cell r="G104" t="str">
            <v>Astrid Leonela Barrios Velasquez</v>
          </cell>
          <cell r="H104">
            <v>0</v>
          </cell>
        </row>
        <row r="105">
          <cell r="A105">
            <v>112</v>
          </cell>
          <cell r="B105" t="str">
            <v>PACIFIC CENTER</v>
          </cell>
          <cell r="C105" t="str">
            <v>PETAPA</v>
          </cell>
          <cell r="F105">
            <v>312146</v>
          </cell>
          <cell r="G105" t="str">
            <v>Astrid Lisbeth Morales Morales</v>
          </cell>
          <cell r="H105">
            <v>0</v>
          </cell>
        </row>
        <row r="106">
          <cell r="A106">
            <v>119</v>
          </cell>
          <cell r="B106" t="str">
            <v>VILLA HERMOSA</v>
          </cell>
          <cell r="C106" t="str">
            <v>PETAPA</v>
          </cell>
          <cell r="F106">
            <v>310967</v>
          </cell>
          <cell r="G106" t="str">
            <v>Astrid Marielena Mendez Garcia</v>
          </cell>
          <cell r="H106">
            <v>0</v>
          </cell>
        </row>
        <row r="107">
          <cell r="A107">
            <v>120</v>
          </cell>
          <cell r="B107" t="str">
            <v>VILLA NUEVA 2</v>
          </cell>
          <cell r="C107" t="str">
            <v>PETAPA</v>
          </cell>
          <cell r="F107">
            <v>311328</v>
          </cell>
          <cell r="G107" t="str">
            <v>Astrid Yohana Escobar Oliva</v>
          </cell>
          <cell r="H107">
            <v>0</v>
          </cell>
        </row>
        <row r="108">
          <cell r="A108">
            <v>213</v>
          </cell>
          <cell r="B108" t="str">
            <v>AMATITLAN</v>
          </cell>
          <cell r="C108" t="str">
            <v>PETAPA</v>
          </cell>
          <cell r="F108">
            <v>314277</v>
          </cell>
          <cell r="G108" t="str">
            <v>Aura Josefina Coy Tiul</v>
          </cell>
          <cell r="H108">
            <v>0</v>
          </cell>
        </row>
        <row r="109">
          <cell r="A109">
            <v>223</v>
          </cell>
          <cell r="B109" t="str">
            <v>PLAZA MADERO</v>
          </cell>
          <cell r="C109" t="str">
            <v>PETAPA</v>
          </cell>
          <cell r="F109">
            <v>202265</v>
          </cell>
          <cell r="G109" t="str">
            <v>Aura Leticia Aparicio Marin</v>
          </cell>
          <cell r="H109">
            <v>0</v>
          </cell>
        </row>
        <row r="110">
          <cell r="A110">
            <v>250</v>
          </cell>
          <cell r="B110" t="str">
            <v>BOCA DEL MONTE</v>
          </cell>
          <cell r="C110" t="str">
            <v>PETAPA</v>
          </cell>
          <cell r="F110">
            <v>314986</v>
          </cell>
          <cell r="G110" t="str">
            <v>Aura Lourdes Garcia Gomez</v>
          </cell>
          <cell r="H110">
            <v>0</v>
          </cell>
        </row>
        <row r="111">
          <cell r="A111">
            <v>290</v>
          </cell>
          <cell r="B111" t="str">
            <v xml:space="preserve"> COMAYMA</v>
          </cell>
          <cell r="C111" t="str">
            <v>PETAPA</v>
          </cell>
          <cell r="F111">
            <v>314350</v>
          </cell>
          <cell r="G111" t="str">
            <v>Aura Mirthala Castillo Castillo</v>
          </cell>
          <cell r="H111">
            <v>0</v>
          </cell>
        </row>
        <row r="112">
          <cell r="A112">
            <v>295</v>
          </cell>
          <cell r="B112" t="str">
            <v>CENTRASUR</v>
          </cell>
          <cell r="C112" t="str">
            <v>PETAPA</v>
          </cell>
          <cell r="F112">
            <v>313666</v>
          </cell>
          <cell r="G112" t="str">
            <v>Avner Josue Merida Molina</v>
          </cell>
          <cell r="H112">
            <v>0</v>
          </cell>
        </row>
        <row r="113">
          <cell r="A113">
            <v>340</v>
          </cell>
          <cell r="B113" t="str">
            <v>LUMINOVA</v>
          </cell>
          <cell r="C113" t="str">
            <v>PETAPA</v>
          </cell>
          <cell r="F113">
            <v>315388</v>
          </cell>
          <cell r="G113" t="str">
            <v>Axel Anderson Montufar Roca</v>
          </cell>
          <cell r="H113">
            <v>0</v>
          </cell>
        </row>
        <row r="114">
          <cell r="A114">
            <v>3</v>
          </cell>
          <cell r="B114" t="str">
            <v>ZONA 4</v>
          </cell>
          <cell r="C114" t="str">
            <v>REFORMA</v>
          </cell>
          <cell r="F114">
            <v>314730</v>
          </cell>
          <cell r="G114" t="str">
            <v>Axel Denilson Hernandez Tocay</v>
          </cell>
          <cell r="H114">
            <v>0</v>
          </cell>
        </row>
        <row r="115">
          <cell r="A115">
            <v>4</v>
          </cell>
          <cell r="B115" t="str">
            <v>TIVOLI  ZONA 9</v>
          </cell>
          <cell r="C115" t="str">
            <v>REFORMA</v>
          </cell>
          <cell r="F115">
            <v>315271</v>
          </cell>
          <cell r="G115" t="str">
            <v>Axel Roberto Guzman Coro</v>
          </cell>
          <cell r="H115">
            <v>0</v>
          </cell>
        </row>
        <row r="116">
          <cell r="A116">
            <v>6</v>
          </cell>
          <cell r="B116" t="str">
            <v>ZONA 5</v>
          </cell>
          <cell r="C116" t="str">
            <v>REFORMA</v>
          </cell>
          <cell r="F116">
            <v>308798</v>
          </cell>
          <cell r="G116" t="str">
            <v>Axel Wilfredo Caal Coy</v>
          </cell>
          <cell r="H116">
            <v>0</v>
          </cell>
        </row>
        <row r="117">
          <cell r="A117">
            <v>8</v>
          </cell>
          <cell r="B117" t="str">
            <v>REFORMA</v>
          </cell>
          <cell r="C117" t="str">
            <v>REFORMA</v>
          </cell>
          <cell r="F117">
            <v>307068</v>
          </cell>
          <cell r="G117" t="str">
            <v>Azucena Raquel Luis Perez</v>
          </cell>
          <cell r="H117">
            <v>0</v>
          </cell>
        </row>
        <row r="118">
          <cell r="A118">
            <v>10</v>
          </cell>
          <cell r="B118" t="str">
            <v>MARGARITAS</v>
          </cell>
          <cell r="C118" t="str">
            <v>REFORMA</v>
          </cell>
          <cell r="F118">
            <v>313706</v>
          </cell>
          <cell r="G118" t="str">
            <v>Barbara Alejandra Toj Romero</v>
          </cell>
          <cell r="H118">
            <v>0</v>
          </cell>
        </row>
        <row r="119">
          <cell r="A119">
            <v>15</v>
          </cell>
          <cell r="B119" t="str">
            <v>TERMINAL ZONA 9</v>
          </cell>
          <cell r="C119" t="str">
            <v>REFORMA</v>
          </cell>
          <cell r="F119">
            <v>311943</v>
          </cell>
          <cell r="G119" t="str">
            <v>Beberli Yuceli Gomez Davila</v>
          </cell>
          <cell r="H119">
            <v>0</v>
          </cell>
        </row>
        <row r="120">
          <cell r="A120">
            <v>16</v>
          </cell>
          <cell r="B120" t="str">
            <v>AGENCIA CENTRAL</v>
          </cell>
          <cell r="C120" t="str">
            <v>REFORMA</v>
          </cell>
          <cell r="F120">
            <v>311141</v>
          </cell>
          <cell r="G120" t="str">
            <v>Beberlin Dayana Veron Garcia</v>
          </cell>
          <cell r="H120">
            <v>0</v>
          </cell>
        </row>
        <row r="121">
          <cell r="A121">
            <v>18</v>
          </cell>
          <cell r="B121" t="str">
            <v>CAMINO REAL</v>
          </cell>
          <cell r="C121" t="str">
            <v>REFORMA</v>
          </cell>
          <cell r="F121">
            <v>312544</v>
          </cell>
          <cell r="G121" t="str">
            <v>Beberly Angeaneth Gonzalez Ruiz</v>
          </cell>
          <cell r="H121">
            <v>0</v>
          </cell>
        </row>
        <row r="122">
          <cell r="A122">
            <v>62</v>
          </cell>
          <cell r="B122" t="str">
            <v>LA TORRE</v>
          </cell>
          <cell r="C122" t="str">
            <v>REFORMA</v>
          </cell>
          <cell r="F122">
            <v>309965</v>
          </cell>
          <cell r="G122" t="str">
            <v>Beberly Karina Ramirez Ismatul</v>
          </cell>
          <cell r="H122">
            <v>0</v>
          </cell>
        </row>
        <row r="123">
          <cell r="A123">
            <v>106</v>
          </cell>
          <cell r="B123" t="str">
            <v>FUNDACION 2</v>
          </cell>
          <cell r="C123" t="str">
            <v>REFORMA</v>
          </cell>
          <cell r="F123">
            <v>313675</v>
          </cell>
          <cell r="G123" t="str">
            <v>Beberly Salvador Zuñiga</v>
          </cell>
          <cell r="H123">
            <v>0</v>
          </cell>
        </row>
        <row r="124">
          <cell r="A124">
            <v>199</v>
          </cell>
          <cell r="B124" t="str">
            <v>MONTUFAR</v>
          </cell>
          <cell r="C124" t="str">
            <v>REFORMA</v>
          </cell>
          <cell r="F124">
            <v>311623</v>
          </cell>
          <cell r="G124" t="str">
            <v>Belgica Lizeth Can Guitz</v>
          </cell>
          <cell r="H124">
            <v>0</v>
          </cell>
        </row>
        <row r="125">
          <cell r="A125">
            <v>282</v>
          </cell>
          <cell r="B125" t="str">
            <v>OAKLAND MALL</v>
          </cell>
          <cell r="C125" t="str">
            <v>REFORMA</v>
          </cell>
          <cell r="F125">
            <v>314219</v>
          </cell>
          <cell r="G125" t="str">
            <v>Berta Leticia Yapan Pelen</v>
          </cell>
          <cell r="H125">
            <v>0</v>
          </cell>
        </row>
        <row r="126">
          <cell r="A126">
            <v>317</v>
          </cell>
          <cell r="B126" t="str">
            <v>AVIA</v>
          </cell>
          <cell r="C126" t="str">
            <v>REFORMA</v>
          </cell>
          <cell r="F126">
            <v>314495</v>
          </cell>
          <cell r="G126" t="str">
            <v>Bertha Lidia Morataya Diaz</v>
          </cell>
          <cell r="H126">
            <v>0</v>
          </cell>
        </row>
        <row r="127">
          <cell r="A127">
            <v>323</v>
          </cell>
          <cell r="B127" t="str">
            <v>FONTABELLA</v>
          </cell>
          <cell r="C127" t="str">
            <v>REFORMA</v>
          </cell>
          <cell r="F127">
            <v>310116</v>
          </cell>
          <cell r="G127" t="str">
            <v>Bertha Rosalba Gabriel Vasquez</v>
          </cell>
          <cell r="H127">
            <v>0</v>
          </cell>
        </row>
        <row r="128">
          <cell r="A128">
            <v>324</v>
          </cell>
          <cell r="B128" t="str">
            <v>PLAZA 6-17</v>
          </cell>
          <cell r="C128" t="str">
            <v>REFORMA</v>
          </cell>
          <cell r="F128">
            <v>312164</v>
          </cell>
          <cell r="G128" t="str">
            <v>Betzy Dayana Gutierrez Chon</v>
          </cell>
          <cell r="H128">
            <v>0</v>
          </cell>
        </row>
        <row r="129">
          <cell r="A129">
            <v>9</v>
          </cell>
          <cell r="B129" t="str">
            <v>ROOSEVELT</v>
          </cell>
          <cell r="C129" t="str">
            <v>ROOSEVELT</v>
          </cell>
          <cell r="F129">
            <v>314695</v>
          </cell>
          <cell r="G129" t="str">
            <v>Beverly Jeanette Panjoj Tiriquiz</v>
          </cell>
          <cell r="H129">
            <v>0</v>
          </cell>
        </row>
        <row r="130">
          <cell r="A130">
            <v>26</v>
          </cell>
          <cell r="B130" t="str">
            <v>ANTIGUA EL PORTAL</v>
          </cell>
          <cell r="C130" t="str">
            <v>ROOSEVELT</v>
          </cell>
          <cell r="F130">
            <v>305070</v>
          </cell>
          <cell r="G130" t="str">
            <v>Beverly Walesca Morales Ibarra</v>
          </cell>
          <cell r="H130">
            <v>0</v>
          </cell>
        </row>
        <row r="131">
          <cell r="A131">
            <v>32</v>
          </cell>
          <cell r="B131" t="str">
            <v>ANTIGUA LANDIVAR</v>
          </cell>
          <cell r="C131" t="str">
            <v>ROOSEVELT</v>
          </cell>
          <cell r="F131">
            <v>314496</v>
          </cell>
          <cell r="G131" t="str">
            <v>Blanca Cristina Saquic Ac</v>
          </cell>
          <cell r="H131">
            <v>0</v>
          </cell>
        </row>
        <row r="132">
          <cell r="A132">
            <v>52</v>
          </cell>
          <cell r="B132" t="str">
            <v>MIRAFLORES</v>
          </cell>
          <cell r="C132" t="str">
            <v>ROOSEVELT</v>
          </cell>
          <cell r="F132">
            <v>310463</v>
          </cell>
          <cell r="G132" t="str">
            <v>Blanca Olinda Quintanilla Godoy</v>
          </cell>
          <cell r="H132">
            <v>0</v>
          </cell>
        </row>
        <row r="133">
          <cell r="A133">
            <v>60</v>
          </cell>
          <cell r="B133" t="str">
            <v>UTATLAN</v>
          </cell>
          <cell r="C133" t="str">
            <v>ROOSEVELT</v>
          </cell>
          <cell r="F133">
            <v>315542</v>
          </cell>
          <cell r="G133" t="str">
            <v>Brandon Alberto Jerez Cajas</v>
          </cell>
          <cell r="H133">
            <v>0</v>
          </cell>
        </row>
        <row r="134">
          <cell r="A134">
            <v>69</v>
          </cell>
          <cell r="B134" t="str">
            <v>PERI-ROOSEVELT</v>
          </cell>
          <cell r="C134" t="str">
            <v>ROOSEVELT</v>
          </cell>
          <cell r="F134">
            <v>313655</v>
          </cell>
          <cell r="G134" t="str">
            <v>Brandon Antonio Alvarez Lopez</v>
          </cell>
          <cell r="H134">
            <v>0</v>
          </cell>
        </row>
        <row r="135">
          <cell r="A135">
            <v>74</v>
          </cell>
          <cell r="B135" t="str">
            <v>CALZADA SAN JUAN</v>
          </cell>
          <cell r="C135" t="str">
            <v>ROOSEVELT</v>
          </cell>
          <cell r="F135">
            <v>311035</v>
          </cell>
          <cell r="G135" t="str">
            <v>Brandon Ivan De Mata Monzon</v>
          </cell>
          <cell r="H135">
            <v>0</v>
          </cell>
        </row>
        <row r="136">
          <cell r="A136">
            <v>200</v>
          </cell>
          <cell r="B136" t="str">
            <v>GALERIAS MIRAFLORES</v>
          </cell>
          <cell r="C136" t="str">
            <v>ROOSEVELT</v>
          </cell>
          <cell r="F136">
            <v>315227</v>
          </cell>
          <cell r="G136" t="str">
            <v>Brayan Alexander Lopez Garcia</v>
          </cell>
          <cell r="H136">
            <v>0</v>
          </cell>
        </row>
        <row r="137">
          <cell r="A137">
            <v>220</v>
          </cell>
          <cell r="B137" t="str">
            <v>JOCOTENANGO</v>
          </cell>
          <cell r="C137" t="str">
            <v>ROOSEVELT</v>
          </cell>
          <cell r="F137">
            <v>311689</v>
          </cell>
          <cell r="G137" t="str">
            <v>Brayan Alexander Recancoy Ramos</v>
          </cell>
          <cell r="H137">
            <v>0</v>
          </cell>
        </row>
        <row r="138">
          <cell r="A138">
            <v>252</v>
          </cell>
          <cell r="B138" t="str">
            <v>ESKALA ROOSEVELT</v>
          </cell>
          <cell r="C138" t="str">
            <v>ROOSEVELT</v>
          </cell>
          <cell r="F138">
            <v>314853</v>
          </cell>
          <cell r="G138" t="str">
            <v>Brayan Dennis Lopez Puac</v>
          </cell>
          <cell r="H138">
            <v>0</v>
          </cell>
        </row>
        <row r="139">
          <cell r="A139">
            <v>260</v>
          </cell>
          <cell r="B139" t="str">
            <v>ANTIGUA LOS ENCINOS</v>
          </cell>
          <cell r="C139" t="str">
            <v>ROOSEVELT</v>
          </cell>
          <cell r="F139">
            <v>310812</v>
          </cell>
          <cell r="G139" t="str">
            <v>Brayan Franklin Lopez Alvarez</v>
          </cell>
          <cell r="H139">
            <v>0</v>
          </cell>
        </row>
        <row r="140">
          <cell r="A140">
            <v>273</v>
          </cell>
          <cell r="B140" t="str">
            <v>CIUDAD VIEJA</v>
          </cell>
          <cell r="C140" t="str">
            <v>ROOSEVELT</v>
          </cell>
          <cell r="F140">
            <v>308857</v>
          </cell>
          <cell r="G140" t="str">
            <v>Brenda Elizabeth Sanchez Barrientos</v>
          </cell>
          <cell r="H140">
            <v>0</v>
          </cell>
        </row>
        <row r="141">
          <cell r="A141">
            <v>280</v>
          </cell>
          <cell r="B141" t="str">
            <v>LAS PUERTAS SAN LUCAS</v>
          </cell>
          <cell r="C141" t="str">
            <v>ROOSEVELT</v>
          </cell>
          <cell r="F141">
            <v>305633</v>
          </cell>
          <cell r="G141" t="str">
            <v>Brenda Esmeralda Alvarado Pascual</v>
          </cell>
          <cell r="H141">
            <v>0</v>
          </cell>
        </row>
        <row r="142">
          <cell r="A142">
            <v>91</v>
          </cell>
          <cell r="B142" t="str">
            <v xml:space="preserve"> AGENCIA CUADRES</v>
          </cell>
          <cell r="C142" t="str">
            <v>SIN ZONA</v>
          </cell>
          <cell r="F142">
            <v>311220</v>
          </cell>
          <cell r="G142" t="str">
            <v>Brenda Karina Coxaj Peinado</v>
          </cell>
          <cell r="H142">
            <v>0</v>
          </cell>
        </row>
        <row r="143">
          <cell r="A143">
            <v>285</v>
          </cell>
          <cell r="B143" t="str">
            <v xml:space="preserve"> AGENCIA BANCA PRIVADA  5to Niv</v>
          </cell>
          <cell r="C143" t="str">
            <v>SIN ZONA</v>
          </cell>
          <cell r="F143">
            <v>314642</v>
          </cell>
          <cell r="G143" t="str">
            <v>Brenda Liseth Ixcoy Tulujan</v>
          </cell>
          <cell r="H143">
            <v>0</v>
          </cell>
        </row>
        <row r="144">
          <cell r="A144">
            <v>291</v>
          </cell>
          <cell r="B144" t="str">
            <v xml:space="preserve"> AGENCIA BANCA PRIVADA</v>
          </cell>
          <cell r="C144" t="str">
            <v>SIN ZONA</v>
          </cell>
          <cell r="F144">
            <v>304427</v>
          </cell>
          <cell r="G144" t="str">
            <v>Brenda Lucrecia Lopez Gonzalez</v>
          </cell>
          <cell r="H144">
            <v>0</v>
          </cell>
        </row>
        <row r="145">
          <cell r="A145">
            <v>293</v>
          </cell>
          <cell r="B145" t="str">
            <v xml:space="preserve"> BANCA PRIVADA PLAZA ZONA 14</v>
          </cell>
          <cell r="C145" t="str">
            <v>SIN ZONA</v>
          </cell>
          <cell r="F145">
            <v>315536</v>
          </cell>
          <cell r="G145" t="str">
            <v>Brenda Lucrecia Ruiz Sanchez</v>
          </cell>
          <cell r="H145">
            <v>0</v>
          </cell>
        </row>
        <row r="146">
          <cell r="A146">
            <v>307</v>
          </cell>
          <cell r="B146" t="str">
            <v xml:space="preserve"> Banca Privada Plaza Varieta</v>
          </cell>
          <cell r="C146" t="str">
            <v>SIN ZONA</v>
          </cell>
          <cell r="F146">
            <v>310019</v>
          </cell>
          <cell r="G146" t="str">
            <v>Brenda Maribel Montenegro Reyes</v>
          </cell>
          <cell r="H146">
            <v>0</v>
          </cell>
        </row>
        <row r="147">
          <cell r="A147">
            <v>315</v>
          </cell>
          <cell r="B147" t="str">
            <v xml:space="preserve"> Operaciones de Agencias</v>
          </cell>
          <cell r="C147" t="str">
            <v>SIN ZONA</v>
          </cell>
          <cell r="F147">
            <v>301074</v>
          </cell>
          <cell r="G147" t="str">
            <v>Brenda Marisol Aguilar Patzan</v>
          </cell>
          <cell r="H147">
            <v>0</v>
          </cell>
        </row>
        <row r="148">
          <cell r="A148">
            <v>316</v>
          </cell>
          <cell r="B148" t="str">
            <v xml:space="preserve"> AGENCIA BANCA DE EMPRESAS</v>
          </cell>
          <cell r="C148" t="str">
            <v>SIN ZONA</v>
          </cell>
          <cell r="F148">
            <v>313843</v>
          </cell>
          <cell r="G148" t="str">
            <v>Brenda Marisol Sanchez Chivalan</v>
          </cell>
          <cell r="H148">
            <v>0</v>
          </cell>
        </row>
        <row r="149">
          <cell r="A149">
            <v>20</v>
          </cell>
          <cell r="B149" t="str">
            <v>MALACATAN</v>
          </cell>
          <cell r="C149" t="str">
            <v>SUROCCIDENTE</v>
          </cell>
          <cell r="F149">
            <v>309042</v>
          </cell>
          <cell r="G149" t="str">
            <v>Brenda Perez Morales</v>
          </cell>
          <cell r="H149">
            <v>0</v>
          </cell>
        </row>
        <row r="150">
          <cell r="A150">
            <v>25</v>
          </cell>
          <cell r="B150" t="str">
            <v>TIQUISATE</v>
          </cell>
          <cell r="C150" t="str">
            <v>SUROCCIDENTE</v>
          </cell>
          <cell r="F150">
            <v>306259</v>
          </cell>
          <cell r="G150" t="str">
            <v>Brenda Raquel Ramirez Sanchez</v>
          </cell>
          <cell r="H150">
            <v>0</v>
          </cell>
        </row>
        <row r="151">
          <cell r="A151">
            <v>31</v>
          </cell>
          <cell r="B151" t="str">
            <v>COATEPEQUE</v>
          </cell>
          <cell r="C151" t="str">
            <v>SUROCCIDENTE</v>
          </cell>
          <cell r="F151">
            <v>315398</v>
          </cell>
          <cell r="G151" t="str">
            <v>Bretany Celeste Ramirez Monroy</v>
          </cell>
          <cell r="H151">
            <v>0</v>
          </cell>
        </row>
        <row r="152">
          <cell r="A152">
            <v>43</v>
          </cell>
          <cell r="B152" t="str">
            <v>MAZATENANGO TERMINAL</v>
          </cell>
          <cell r="C152" t="str">
            <v>SUROCCIDENTE</v>
          </cell>
          <cell r="F152">
            <v>313436</v>
          </cell>
          <cell r="G152" t="str">
            <v>Brian Baudilio Orozco Perez</v>
          </cell>
          <cell r="H152">
            <v>0</v>
          </cell>
        </row>
        <row r="153">
          <cell r="A153">
            <v>48</v>
          </cell>
          <cell r="B153" t="str">
            <v>TECUN UMAN SAN MARCOS</v>
          </cell>
          <cell r="C153" t="str">
            <v>SUROCCIDENTE</v>
          </cell>
          <cell r="F153">
            <v>310691</v>
          </cell>
          <cell r="G153" t="str">
            <v>Brisley Cristina Ortiz Zelada</v>
          </cell>
          <cell r="H153">
            <v>0</v>
          </cell>
        </row>
        <row r="154">
          <cell r="A154">
            <v>63</v>
          </cell>
          <cell r="B154" t="str">
            <v>MAZATENANGO CENTRO</v>
          </cell>
          <cell r="C154" t="str">
            <v>SUROCCIDENTE</v>
          </cell>
          <cell r="F154">
            <v>314290</v>
          </cell>
          <cell r="G154" t="str">
            <v>Bryan Alexander Emanuel Orozco Lancerio</v>
          </cell>
          <cell r="H154">
            <v>0</v>
          </cell>
        </row>
        <row r="155">
          <cell r="A155">
            <v>89</v>
          </cell>
          <cell r="B155" t="str">
            <v>LA TRINIDAD RETALHULEU</v>
          </cell>
          <cell r="C155" t="str">
            <v>SUROCCIDENTE</v>
          </cell>
          <cell r="F155">
            <v>315133</v>
          </cell>
          <cell r="G155" t="str">
            <v>Bryan Daniel Milián De Leon</v>
          </cell>
          <cell r="H155">
            <v>0</v>
          </cell>
        </row>
        <row r="156">
          <cell r="A156">
            <v>130</v>
          </cell>
          <cell r="B156" t="str">
            <v>COBIGUA TIQUISATE</v>
          </cell>
          <cell r="C156" t="str">
            <v>SUROCCIDENTE</v>
          </cell>
          <cell r="F156">
            <v>307335</v>
          </cell>
          <cell r="G156" t="str">
            <v>Bryllan Armando Sierra Sierra</v>
          </cell>
          <cell r="H156">
            <v>0</v>
          </cell>
        </row>
        <row r="157">
          <cell r="A157">
            <v>143</v>
          </cell>
          <cell r="B157" t="str">
            <v>RETALHULEU LA SIRENA</v>
          </cell>
          <cell r="C157" t="str">
            <v>SUROCCIDENTE</v>
          </cell>
          <cell r="F157">
            <v>314864</v>
          </cell>
          <cell r="G157" t="str">
            <v>Byron Estuardo Paredes Villela</v>
          </cell>
          <cell r="H157">
            <v>0</v>
          </cell>
        </row>
        <row r="158">
          <cell r="A158">
            <v>176</v>
          </cell>
          <cell r="B158" t="str">
            <v>LA MAQUINA</v>
          </cell>
          <cell r="C158" t="str">
            <v>SUROCCIDENTE</v>
          </cell>
          <cell r="F158">
            <v>313648</v>
          </cell>
          <cell r="G158" t="str">
            <v>Byron Giovanni Veliz Vasquez</v>
          </cell>
          <cell r="H158">
            <v>0</v>
          </cell>
        </row>
        <row r="159">
          <cell r="A159">
            <v>178</v>
          </cell>
          <cell r="B159" t="str">
            <v>LA TRINIDAD MALACATAN</v>
          </cell>
          <cell r="C159" t="str">
            <v>SUROCCIDENTE</v>
          </cell>
          <cell r="F159">
            <v>303766</v>
          </cell>
          <cell r="G159" t="str">
            <v>Byron Josue Moscoso Vega</v>
          </cell>
          <cell r="H159">
            <v>0</v>
          </cell>
        </row>
        <row r="160">
          <cell r="A160">
            <v>227</v>
          </cell>
          <cell r="B160" t="str">
            <v>PAJAPITA</v>
          </cell>
          <cell r="C160" t="str">
            <v>SUROCCIDENTE</v>
          </cell>
          <cell r="F160">
            <v>313985</v>
          </cell>
          <cell r="G160" t="str">
            <v>Byron Mauricio Amezquita Rivas</v>
          </cell>
          <cell r="H160">
            <v>0</v>
          </cell>
        </row>
        <row r="161">
          <cell r="A161">
            <v>236</v>
          </cell>
          <cell r="B161" t="str">
            <v>CHICACAO PAMAXAN</v>
          </cell>
          <cell r="C161" t="str">
            <v>SUROCCIDENTE</v>
          </cell>
          <cell r="F161">
            <v>315267</v>
          </cell>
          <cell r="G161" t="str">
            <v>Carla Esmeralda Candido Gonzalez</v>
          </cell>
          <cell r="H161">
            <v>0</v>
          </cell>
        </row>
        <row r="162">
          <cell r="A162">
            <v>257</v>
          </cell>
          <cell r="B162" t="str">
            <v>LA MAQUINA CENTRO II</v>
          </cell>
          <cell r="C162" t="str">
            <v>SUROCCIDENTE</v>
          </cell>
          <cell r="F162">
            <v>314451</v>
          </cell>
          <cell r="G162" t="str">
            <v>Carla Fernanda Fernandez Lopez</v>
          </cell>
          <cell r="H162">
            <v>0</v>
          </cell>
        </row>
        <row r="163">
          <cell r="A163">
            <v>297</v>
          </cell>
          <cell r="B163" t="str">
            <v>LA TRINIDAD COATEPEQUE</v>
          </cell>
          <cell r="C163" t="str">
            <v>SUROCCIDENTE</v>
          </cell>
          <cell r="F163">
            <v>312153</v>
          </cell>
          <cell r="G163" t="str">
            <v>Carlos Adalberto Diaz Escobar</v>
          </cell>
          <cell r="H163">
            <v>0</v>
          </cell>
        </row>
        <row r="164">
          <cell r="A164">
            <v>400</v>
          </cell>
          <cell r="B164" t="str">
            <v>PLAZA BARISTA</v>
          </cell>
          <cell r="C164" t="str">
            <v>AMERICAS</v>
          </cell>
          <cell r="F164">
            <v>315125</v>
          </cell>
          <cell r="G164" t="str">
            <v>Carlos Alberto Galvez Hernandez</v>
          </cell>
          <cell r="H164">
            <v>0</v>
          </cell>
        </row>
        <row r="165">
          <cell r="A165">
            <v>93</v>
          </cell>
          <cell r="B165" t="str">
            <v>BANCA PERSONAL</v>
          </cell>
          <cell r="C165" t="str">
            <v>BANCA PERSONAL</v>
          </cell>
          <cell r="F165">
            <v>314135</v>
          </cell>
          <cell r="G165" t="str">
            <v>Carlos Alberto Guzman Hernandez</v>
          </cell>
          <cell r="H165">
            <v>0</v>
          </cell>
        </row>
        <row r="166">
          <cell r="A166">
            <v>345</v>
          </cell>
          <cell r="B166" t="str">
            <v>PLAZA AMERICAS</v>
          </cell>
          <cell r="C166" t="str">
            <v>SUROCCIDENTE</v>
          </cell>
          <cell r="F166">
            <v>315051</v>
          </cell>
          <cell r="G166" t="str">
            <v>Carlos Alfredo Catun Rax</v>
          </cell>
          <cell r="H166">
            <v>0</v>
          </cell>
        </row>
        <row r="167">
          <cell r="A167">
            <v>354</v>
          </cell>
          <cell r="B167" t="str">
            <v>PLAZA COCALES</v>
          </cell>
          <cell r="C167" t="str">
            <v>COSTA SUR</v>
          </cell>
          <cell r="F167">
            <v>309822</v>
          </cell>
          <cell r="G167" t="str">
            <v>Carlos Anibal Caal Tux</v>
          </cell>
          <cell r="H167">
            <v>0</v>
          </cell>
        </row>
        <row r="168">
          <cell r="A168">
            <v>301</v>
          </cell>
          <cell r="B168" t="str">
            <v>PLAZA MUSICAL</v>
          </cell>
          <cell r="C168" t="str">
            <v>AMERICAS</v>
          </cell>
          <cell r="F168">
            <v>302371</v>
          </cell>
          <cell r="G168" t="str">
            <v>Carlos Arturo Straube Lopez</v>
          </cell>
          <cell r="H168">
            <v>0</v>
          </cell>
        </row>
        <row r="169">
          <cell r="A169">
            <v>351</v>
          </cell>
          <cell r="B169" t="str">
            <v xml:space="preserve">EL PARADOR ANTIGUA </v>
          </cell>
          <cell r="C169" t="str">
            <v>ROOSEVELT</v>
          </cell>
          <cell r="F169">
            <v>314738</v>
          </cell>
          <cell r="G169" t="str">
            <v>Carlos David Castillo Gamboa</v>
          </cell>
          <cell r="H169">
            <v>0</v>
          </cell>
        </row>
        <row r="170">
          <cell r="A170">
            <v>357</v>
          </cell>
          <cell r="B170" t="str">
            <v xml:space="preserve"> PASEO ANTIGUA</v>
          </cell>
          <cell r="C170" t="str">
            <v>ROOSEVELT</v>
          </cell>
          <cell r="F170">
            <v>315158</v>
          </cell>
          <cell r="G170" t="str">
            <v>Carlos Emilio Cumez Chenol</v>
          </cell>
          <cell r="H170">
            <v>0</v>
          </cell>
        </row>
        <row r="171">
          <cell r="A171">
            <v>347</v>
          </cell>
          <cell r="B171" t="str">
            <v>ANTIGUA LOS TELARES</v>
          </cell>
          <cell r="C171" t="str">
            <v>ROOSEVELT</v>
          </cell>
          <cell r="F171">
            <v>312533</v>
          </cell>
          <cell r="G171" t="str">
            <v>Carlos Enrique Coz Toc</v>
          </cell>
          <cell r="H171">
            <v>0</v>
          </cell>
        </row>
        <row r="172">
          <cell r="A172">
            <v>1005</v>
          </cell>
          <cell r="B172" t="str">
            <v>UN</v>
          </cell>
          <cell r="C172" t="str">
            <v>ROOSEVELT</v>
          </cell>
          <cell r="F172">
            <v>314773</v>
          </cell>
          <cell r="G172" t="str">
            <v>Carlos Enrique Ramirez Lopez</v>
          </cell>
          <cell r="H172">
            <v>0</v>
          </cell>
        </row>
        <row r="173">
          <cell r="F173">
            <v>313303</v>
          </cell>
          <cell r="G173" t="str">
            <v>Carlos Enrique Vasquez Esteban</v>
          </cell>
          <cell r="H173">
            <v>0</v>
          </cell>
        </row>
        <row r="174">
          <cell r="F174">
            <v>314841</v>
          </cell>
          <cell r="G174" t="str">
            <v>Carlos Estuardo Campos Asig</v>
          </cell>
          <cell r="H174">
            <v>0</v>
          </cell>
        </row>
        <row r="175">
          <cell r="F175">
            <v>308075</v>
          </cell>
          <cell r="G175" t="str">
            <v>Carlos Humberto De Paz Paiz</v>
          </cell>
          <cell r="H175">
            <v>0</v>
          </cell>
        </row>
        <row r="176">
          <cell r="F176">
            <v>314441</v>
          </cell>
          <cell r="G176" t="str">
            <v>Carlos Josue Perez Garcia</v>
          </cell>
          <cell r="H176">
            <v>0</v>
          </cell>
        </row>
        <row r="177">
          <cell r="F177">
            <v>202153</v>
          </cell>
          <cell r="G177" t="str">
            <v>Carlos Leonel Corado Sosa</v>
          </cell>
          <cell r="H177">
            <v>0</v>
          </cell>
        </row>
        <row r="178">
          <cell r="F178">
            <v>313324</v>
          </cell>
          <cell r="G178" t="str">
            <v>Carlos Miguel Carrillo Perez</v>
          </cell>
          <cell r="H178">
            <v>0</v>
          </cell>
        </row>
        <row r="179">
          <cell r="F179">
            <v>310535</v>
          </cell>
          <cell r="G179" t="str">
            <v>Carlos Oliverio Ortiz Villalobos</v>
          </cell>
          <cell r="H179">
            <v>0</v>
          </cell>
        </row>
        <row r="180">
          <cell r="F180">
            <v>315501</v>
          </cell>
          <cell r="G180" t="str">
            <v>Carlos Onofre Sierra Vasquez</v>
          </cell>
          <cell r="H180">
            <v>0</v>
          </cell>
        </row>
        <row r="181">
          <cell r="F181">
            <v>313844</v>
          </cell>
          <cell r="G181" t="str">
            <v>Carlos Raul Pedroza Lopez</v>
          </cell>
          <cell r="H181">
            <v>0</v>
          </cell>
        </row>
        <row r="182">
          <cell r="F182">
            <v>315111</v>
          </cell>
          <cell r="G182" t="str">
            <v>Carlos Roberto Arana Garcia</v>
          </cell>
          <cell r="H182">
            <v>0</v>
          </cell>
        </row>
        <row r="183">
          <cell r="F183">
            <v>304522</v>
          </cell>
          <cell r="G183" t="str">
            <v>Carlos Saul Santizo Lopez</v>
          </cell>
          <cell r="H183">
            <v>0</v>
          </cell>
        </row>
        <row r="184">
          <cell r="F184">
            <v>315182</v>
          </cell>
          <cell r="G184" t="str">
            <v>Carmen Amalia Macario Rixtun</v>
          </cell>
          <cell r="H184">
            <v>0</v>
          </cell>
        </row>
        <row r="185">
          <cell r="F185">
            <v>311800</v>
          </cell>
          <cell r="G185" t="str">
            <v>Carmen Elizabeth Vargas Tun</v>
          </cell>
          <cell r="H185">
            <v>0</v>
          </cell>
        </row>
        <row r="186">
          <cell r="F186">
            <v>312849</v>
          </cell>
          <cell r="G186" t="str">
            <v>Carmen Liliana Subuyuj Ordoñez</v>
          </cell>
          <cell r="H186">
            <v>0</v>
          </cell>
        </row>
        <row r="187">
          <cell r="F187">
            <v>315498</v>
          </cell>
          <cell r="G187" t="str">
            <v>Carolina Azucena Lima Contreras</v>
          </cell>
          <cell r="H187">
            <v>0</v>
          </cell>
        </row>
        <row r="188">
          <cell r="F188">
            <v>312692</v>
          </cell>
          <cell r="G188" t="str">
            <v>Catarina Del Rosario Lopez Taquiej</v>
          </cell>
          <cell r="H188">
            <v>0</v>
          </cell>
        </row>
        <row r="189">
          <cell r="F189">
            <v>314287</v>
          </cell>
          <cell r="G189" t="str">
            <v>Caterin Berenise Cayax Atz</v>
          </cell>
          <cell r="H189">
            <v>0</v>
          </cell>
        </row>
        <row r="190">
          <cell r="F190">
            <v>313662</v>
          </cell>
          <cell r="G190" t="str">
            <v>Catirin Marbella Juarez Garcia</v>
          </cell>
          <cell r="H190">
            <v>0</v>
          </cell>
        </row>
        <row r="191">
          <cell r="F191">
            <v>307766</v>
          </cell>
          <cell r="G191" t="str">
            <v>Cecia Amabil Lopez Valencia</v>
          </cell>
          <cell r="H191">
            <v>0</v>
          </cell>
        </row>
        <row r="192">
          <cell r="F192">
            <v>311730</v>
          </cell>
          <cell r="G192" t="str">
            <v>Cecilia Margoth Lopez Raymundo</v>
          </cell>
          <cell r="H192">
            <v>0</v>
          </cell>
        </row>
        <row r="193">
          <cell r="F193">
            <v>314955</v>
          </cell>
          <cell r="G193" t="str">
            <v>Celia Esperanza Arroyo Chiche</v>
          </cell>
          <cell r="H193">
            <v>0</v>
          </cell>
        </row>
        <row r="194">
          <cell r="F194">
            <v>310950</v>
          </cell>
          <cell r="G194" t="str">
            <v>Cendy Regina Axulen Gonzalez</v>
          </cell>
          <cell r="H194">
            <v>0</v>
          </cell>
        </row>
        <row r="195">
          <cell r="F195">
            <v>314640</v>
          </cell>
          <cell r="G195" t="str">
            <v>Cesar Estuardo Perez Monterroso</v>
          </cell>
          <cell r="H195">
            <v>0</v>
          </cell>
        </row>
        <row r="196">
          <cell r="F196">
            <v>300192</v>
          </cell>
          <cell r="G196" t="str">
            <v>Cesar Fernando Reyna Almengor</v>
          </cell>
          <cell r="H196">
            <v>0</v>
          </cell>
        </row>
        <row r="197">
          <cell r="F197">
            <v>313484</v>
          </cell>
          <cell r="G197" t="str">
            <v>Cesar Geovanni Tuc Sum</v>
          </cell>
          <cell r="H197">
            <v>0</v>
          </cell>
        </row>
        <row r="198">
          <cell r="F198">
            <v>303330</v>
          </cell>
          <cell r="G198" t="str">
            <v>Cesar Geovanny De Leon Palacios</v>
          </cell>
          <cell r="H198">
            <v>0</v>
          </cell>
        </row>
        <row r="199">
          <cell r="F199">
            <v>314446</v>
          </cell>
          <cell r="G199" t="str">
            <v>Cesar Humberto Cazun Hernandez</v>
          </cell>
          <cell r="H199">
            <v>0</v>
          </cell>
        </row>
        <row r="200">
          <cell r="F200">
            <v>314900</v>
          </cell>
          <cell r="G200" t="str">
            <v>Cesar Oliverio Orozco Flores</v>
          </cell>
          <cell r="H200">
            <v>0</v>
          </cell>
        </row>
        <row r="201">
          <cell r="F201">
            <v>311692</v>
          </cell>
          <cell r="G201" t="str">
            <v>Cesia Paola Marroquin Sanchez</v>
          </cell>
          <cell r="H201">
            <v>0</v>
          </cell>
        </row>
        <row r="202">
          <cell r="F202">
            <v>315401</v>
          </cell>
          <cell r="G202" t="str">
            <v>Christa Maria Belen Barrera Mazariegos</v>
          </cell>
          <cell r="H202">
            <v>0</v>
          </cell>
        </row>
        <row r="203">
          <cell r="F203">
            <v>315509</v>
          </cell>
          <cell r="G203" t="str">
            <v>Christiam Daniel Arroyo Cisneros</v>
          </cell>
          <cell r="H203">
            <v>0</v>
          </cell>
        </row>
        <row r="204">
          <cell r="F204">
            <v>310362</v>
          </cell>
          <cell r="G204" t="str">
            <v>Christian Alejandro Tistoj Lopez</v>
          </cell>
          <cell r="H204">
            <v>0</v>
          </cell>
        </row>
        <row r="205">
          <cell r="F205">
            <v>315525</v>
          </cell>
          <cell r="G205" t="str">
            <v>Christian Bladimir Panjoj Mejia</v>
          </cell>
          <cell r="H205">
            <v>0</v>
          </cell>
        </row>
        <row r="206">
          <cell r="F206">
            <v>314565</v>
          </cell>
          <cell r="G206" t="str">
            <v>Christian Eduardo Celada Orellana</v>
          </cell>
          <cell r="H206">
            <v>0</v>
          </cell>
        </row>
        <row r="207">
          <cell r="F207">
            <v>309907</v>
          </cell>
          <cell r="G207" t="str">
            <v>Christofer Antonio Chali Bacajol</v>
          </cell>
          <cell r="H207">
            <v>0</v>
          </cell>
        </row>
        <row r="208">
          <cell r="F208">
            <v>312703</v>
          </cell>
          <cell r="G208" t="str">
            <v>Cindy Aracely Ruano Can</v>
          </cell>
          <cell r="H208">
            <v>0</v>
          </cell>
        </row>
        <row r="209">
          <cell r="F209">
            <v>307760</v>
          </cell>
          <cell r="G209" t="str">
            <v>Cindy Beatriz Reyes De Leon</v>
          </cell>
          <cell r="H209">
            <v>0</v>
          </cell>
        </row>
        <row r="210">
          <cell r="F210">
            <v>312950</v>
          </cell>
          <cell r="G210" t="str">
            <v>Cindy Carolina Sandoval Ruiz</v>
          </cell>
          <cell r="H210">
            <v>0</v>
          </cell>
        </row>
        <row r="211">
          <cell r="F211">
            <v>312302</v>
          </cell>
          <cell r="G211" t="str">
            <v>Cindy Gabriela Chanchavac Mejia</v>
          </cell>
          <cell r="H211">
            <v>0</v>
          </cell>
        </row>
        <row r="212">
          <cell r="F212">
            <v>315484</v>
          </cell>
          <cell r="G212" t="str">
            <v>Cindy Gabriela Perez</v>
          </cell>
          <cell r="H212">
            <v>0</v>
          </cell>
        </row>
        <row r="213">
          <cell r="F213">
            <v>312872</v>
          </cell>
          <cell r="G213" t="str">
            <v>Cindy Judith Urizar Davila</v>
          </cell>
          <cell r="H213">
            <v>0</v>
          </cell>
        </row>
        <row r="214">
          <cell r="F214">
            <v>312532</v>
          </cell>
          <cell r="G214" t="str">
            <v>Cindy Melissa Cordon Alfaro</v>
          </cell>
          <cell r="H214">
            <v>0</v>
          </cell>
        </row>
        <row r="215">
          <cell r="F215">
            <v>314028</v>
          </cell>
          <cell r="G215" t="str">
            <v>Cindy Paola Garcia Monroy</v>
          </cell>
          <cell r="H215">
            <v>0</v>
          </cell>
        </row>
        <row r="216">
          <cell r="F216">
            <v>314689</v>
          </cell>
          <cell r="G216" t="str">
            <v>Cindy Veronica Bran Polanco</v>
          </cell>
          <cell r="H216">
            <v>0</v>
          </cell>
        </row>
        <row r="217">
          <cell r="F217">
            <v>314409</v>
          </cell>
          <cell r="G217" t="str">
            <v>Cindy Yenibeth Cano Claudio</v>
          </cell>
          <cell r="H217">
            <v>0</v>
          </cell>
        </row>
        <row r="218">
          <cell r="F218">
            <v>310946</v>
          </cell>
          <cell r="G218" t="str">
            <v>Cindy Yesenia Morales Quevedo De Abril</v>
          </cell>
          <cell r="H218">
            <v>0</v>
          </cell>
        </row>
        <row r="219">
          <cell r="F219">
            <v>312831</v>
          </cell>
          <cell r="G219" t="str">
            <v>Cindy Yojana Mendoza Cajas</v>
          </cell>
          <cell r="H219">
            <v>0</v>
          </cell>
        </row>
        <row r="220">
          <cell r="F220">
            <v>312181</v>
          </cell>
          <cell r="G220" t="str">
            <v>Clara Elizabeth Joge Torres</v>
          </cell>
          <cell r="H220">
            <v>0</v>
          </cell>
        </row>
        <row r="221">
          <cell r="F221">
            <v>310768</v>
          </cell>
          <cell r="G221" t="str">
            <v>Clara Lorena Perez Hernandez</v>
          </cell>
          <cell r="H221">
            <v>0</v>
          </cell>
        </row>
        <row r="222">
          <cell r="F222">
            <v>315453</v>
          </cell>
          <cell r="G222" t="str">
            <v>Claudia Analy Argueta Matias</v>
          </cell>
          <cell r="H222">
            <v>0</v>
          </cell>
        </row>
        <row r="223">
          <cell r="F223">
            <v>306444</v>
          </cell>
          <cell r="G223" t="str">
            <v>Claudia Dolores Barcenas Guillen</v>
          </cell>
          <cell r="H223">
            <v>0</v>
          </cell>
        </row>
        <row r="224">
          <cell r="F224">
            <v>301809</v>
          </cell>
          <cell r="G224" t="str">
            <v>Claudia Eugenia Chavarria Ramos</v>
          </cell>
          <cell r="H224">
            <v>0</v>
          </cell>
        </row>
        <row r="225">
          <cell r="F225">
            <v>311808</v>
          </cell>
          <cell r="G225" t="str">
            <v>Claudia Lorena Quino Isaguirre</v>
          </cell>
          <cell r="H225">
            <v>0</v>
          </cell>
        </row>
        <row r="226">
          <cell r="F226">
            <v>314574</v>
          </cell>
          <cell r="G226" t="str">
            <v>Claudia Marisol Esquivel Ramirez</v>
          </cell>
          <cell r="H226">
            <v>0</v>
          </cell>
        </row>
        <row r="227">
          <cell r="F227">
            <v>313613</v>
          </cell>
          <cell r="G227" t="str">
            <v>Claudia Noemi Marroquin Perez</v>
          </cell>
          <cell r="H227">
            <v>0</v>
          </cell>
        </row>
        <row r="228">
          <cell r="F228">
            <v>306569</v>
          </cell>
          <cell r="G228" t="str">
            <v>Claudia Susana Garcia</v>
          </cell>
          <cell r="H228">
            <v>0</v>
          </cell>
        </row>
        <row r="229">
          <cell r="F229">
            <v>311441</v>
          </cell>
          <cell r="G229" t="str">
            <v>Claudia Yaneth Hidalgo Gonzalez</v>
          </cell>
          <cell r="H229">
            <v>0</v>
          </cell>
        </row>
        <row r="230">
          <cell r="F230">
            <v>303265</v>
          </cell>
          <cell r="G230" t="str">
            <v>Claudia Yesenia Pinto Picen</v>
          </cell>
          <cell r="H230">
            <v>0</v>
          </cell>
        </row>
        <row r="231">
          <cell r="F231">
            <v>313318</v>
          </cell>
          <cell r="G231" t="str">
            <v>Claudia Yesenia Ramos Perez</v>
          </cell>
          <cell r="H231">
            <v>0</v>
          </cell>
        </row>
        <row r="232">
          <cell r="F232">
            <v>309535</v>
          </cell>
          <cell r="G232" t="str">
            <v>Coralia Brenda Judith Ruano Hernandez</v>
          </cell>
          <cell r="H232">
            <v>0</v>
          </cell>
        </row>
        <row r="233">
          <cell r="F233">
            <v>310711</v>
          </cell>
          <cell r="G233" t="str">
            <v>Cristian Alfredo Jimenez Quino</v>
          </cell>
          <cell r="H233">
            <v>0</v>
          </cell>
        </row>
        <row r="234">
          <cell r="F234">
            <v>312995</v>
          </cell>
          <cell r="G234" t="str">
            <v>Cristian Esleiter Zuleta Batres</v>
          </cell>
          <cell r="H234">
            <v>0</v>
          </cell>
        </row>
        <row r="235">
          <cell r="F235">
            <v>314701</v>
          </cell>
          <cell r="G235" t="str">
            <v>Cristian Orlando Leonardo Cortez</v>
          </cell>
          <cell r="H235">
            <v>0</v>
          </cell>
        </row>
        <row r="236">
          <cell r="F236">
            <v>314612</v>
          </cell>
          <cell r="G236" t="str">
            <v>Cristian Romulo Rolando Cojulun Barrera</v>
          </cell>
          <cell r="H236">
            <v>0</v>
          </cell>
        </row>
        <row r="237">
          <cell r="F237">
            <v>314468</v>
          </cell>
          <cell r="G237" t="str">
            <v>Cristian Salvador Perez Quiroa</v>
          </cell>
          <cell r="H237">
            <v>0</v>
          </cell>
        </row>
        <row r="238">
          <cell r="F238">
            <v>314670</v>
          </cell>
          <cell r="G238" t="str">
            <v>Cristian Tomas Chuc Perez</v>
          </cell>
          <cell r="H238">
            <v>0</v>
          </cell>
        </row>
        <row r="239">
          <cell r="F239">
            <v>315578</v>
          </cell>
          <cell r="G239" t="str">
            <v>Cristian Ubaldo De Leon Ramirez</v>
          </cell>
          <cell r="H239">
            <v>0</v>
          </cell>
        </row>
        <row r="240">
          <cell r="F240">
            <v>307449</v>
          </cell>
          <cell r="G240" t="str">
            <v>Cristina De Jesus Hernandez Macajola</v>
          </cell>
          <cell r="H240">
            <v>0</v>
          </cell>
        </row>
        <row r="241">
          <cell r="F241">
            <v>306823</v>
          </cell>
          <cell r="G241" t="str">
            <v>Cristina Mariela Sapon Morales</v>
          </cell>
          <cell r="H241">
            <v>0</v>
          </cell>
        </row>
        <row r="242">
          <cell r="F242">
            <v>313589</v>
          </cell>
          <cell r="G242" t="str">
            <v>Cristobal Vinicio Chacon Rosana</v>
          </cell>
          <cell r="H242">
            <v>0</v>
          </cell>
        </row>
        <row r="243">
          <cell r="F243">
            <v>310386</v>
          </cell>
          <cell r="G243" t="str">
            <v>Cristy Charito Bran Guerra</v>
          </cell>
          <cell r="H243">
            <v>0</v>
          </cell>
        </row>
        <row r="244">
          <cell r="F244">
            <v>314883</v>
          </cell>
          <cell r="G244" t="str">
            <v>Cynthia Guisela Samayoa Aldana</v>
          </cell>
          <cell r="H244">
            <v>0</v>
          </cell>
        </row>
        <row r="245">
          <cell r="F245">
            <v>313709</v>
          </cell>
          <cell r="G245" t="str">
            <v>Cynthia Marisol Gonzalez Vargas</v>
          </cell>
          <cell r="H245">
            <v>0</v>
          </cell>
        </row>
        <row r="246">
          <cell r="F246">
            <v>314097</v>
          </cell>
          <cell r="G246" t="str">
            <v>Cynthia Rosaura Cruz Cosajay</v>
          </cell>
          <cell r="H246">
            <v>0</v>
          </cell>
        </row>
        <row r="247">
          <cell r="F247">
            <v>314981</v>
          </cell>
          <cell r="G247" t="str">
            <v>Dalila Marisol Ramos Galan</v>
          </cell>
          <cell r="H247">
            <v>0</v>
          </cell>
        </row>
        <row r="248">
          <cell r="F248">
            <v>308765</v>
          </cell>
          <cell r="G248" t="str">
            <v>Damaris Abigail Garcia Perez</v>
          </cell>
          <cell r="H248">
            <v>0</v>
          </cell>
        </row>
        <row r="249">
          <cell r="F249">
            <v>315256</v>
          </cell>
          <cell r="G249" t="str">
            <v>Damaris Abigail Urizar Martinez</v>
          </cell>
          <cell r="H249">
            <v>0</v>
          </cell>
        </row>
        <row r="250">
          <cell r="F250">
            <v>312949</v>
          </cell>
          <cell r="G250" t="str">
            <v>Damaris Liseth Sagastume Pinto</v>
          </cell>
          <cell r="H250">
            <v>0</v>
          </cell>
        </row>
        <row r="251">
          <cell r="F251">
            <v>314411</v>
          </cell>
          <cell r="G251" t="str">
            <v>Damaris Paola Gonzalez Gallardo</v>
          </cell>
          <cell r="H251">
            <v>0</v>
          </cell>
        </row>
        <row r="252">
          <cell r="F252">
            <v>314179</v>
          </cell>
          <cell r="G252" t="str">
            <v>Damaris Sucely Mendez Roche</v>
          </cell>
          <cell r="H252">
            <v>0</v>
          </cell>
        </row>
        <row r="253">
          <cell r="F253">
            <v>314276</v>
          </cell>
          <cell r="G253" t="str">
            <v>Damaris Violeta Gonzalez Miguel</v>
          </cell>
          <cell r="H253">
            <v>0</v>
          </cell>
        </row>
        <row r="254">
          <cell r="F254">
            <v>313514</v>
          </cell>
          <cell r="G254" t="str">
            <v>Danae Melissa Xitumul Ruiz</v>
          </cell>
          <cell r="H254">
            <v>0</v>
          </cell>
        </row>
        <row r="255">
          <cell r="F255">
            <v>313868</v>
          </cell>
          <cell r="G255" t="str">
            <v>Danely Arleth Rubin Escobar</v>
          </cell>
          <cell r="H255">
            <v>0</v>
          </cell>
        </row>
        <row r="256">
          <cell r="F256">
            <v>315480</v>
          </cell>
          <cell r="G256" t="str">
            <v>Daneylie Abigalie Dardon Gomez</v>
          </cell>
          <cell r="H256">
            <v>0</v>
          </cell>
        </row>
        <row r="257">
          <cell r="F257">
            <v>314406</v>
          </cell>
          <cell r="G257" t="str">
            <v>Daniel Abrahan Castillo Hernandez</v>
          </cell>
          <cell r="H257">
            <v>0</v>
          </cell>
        </row>
        <row r="258">
          <cell r="F258">
            <v>314646</v>
          </cell>
          <cell r="G258" t="str">
            <v>Daniel Alfredo Aguirre Marroquin</v>
          </cell>
          <cell r="H258">
            <v>0</v>
          </cell>
        </row>
        <row r="259">
          <cell r="F259">
            <v>305521</v>
          </cell>
          <cell r="G259" t="str">
            <v>Daniel Antonio Aceituno Paredes</v>
          </cell>
          <cell r="H259">
            <v>0</v>
          </cell>
        </row>
        <row r="260">
          <cell r="F260">
            <v>315568</v>
          </cell>
          <cell r="G260" t="str">
            <v>Daniel Isai Moran Lima</v>
          </cell>
          <cell r="H260">
            <v>0</v>
          </cell>
        </row>
        <row r="261">
          <cell r="F261">
            <v>310374</v>
          </cell>
          <cell r="G261" t="str">
            <v>Daniela Amarilis Davila Juarez</v>
          </cell>
          <cell r="H261">
            <v>0</v>
          </cell>
        </row>
        <row r="262">
          <cell r="F262">
            <v>315104</v>
          </cell>
          <cell r="G262" t="str">
            <v>Dany Adalberto Choc Bac</v>
          </cell>
          <cell r="H262">
            <v>0</v>
          </cell>
        </row>
        <row r="263">
          <cell r="F263">
            <v>314807</v>
          </cell>
          <cell r="G263" t="str">
            <v>Daomi Mishel Larios Morales</v>
          </cell>
          <cell r="H263">
            <v>0</v>
          </cell>
        </row>
        <row r="264">
          <cell r="F264">
            <v>312391</v>
          </cell>
          <cell r="G264" t="str">
            <v>Daphne Pamela Lopez Rodriguez</v>
          </cell>
          <cell r="H264">
            <v>0</v>
          </cell>
        </row>
        <row r="265">
          <cell r="F265">
            <v>312172</v>
          </cell>
          <cell r="G265" t="str">
            <v>Darbin Alejandro Soto Rodriguez</v>
          </cell>
          <cell r="H265">
            <v>0</v>
          </cell>
        </row>
        <row r="266">
          <cell r="F266">
            <v>314845</v>
          </cell>
          <cell r="G266" t="str">
            <v>Darissa Anahi Galindo Monzon</v>
          </cell>
          <cell r="H266">
            <v>0</v>
          </cell>
        </row>
        <row r="267">
          <cell r="F267">
            <v>312419</v>
          </cell>
          <cell r="G267" t="str">
            <v>Darli Asuceli Florian Garcia</v>
          </cell>
          <cell r="H267">
            <v>0</v>
          </cell>
        </row>
        <row r="268">
          <cell r="F268">
            <v>312836</v>
          </cell>
          <cell r="G268" t="str">
            <v>Darlin Estefany Coyoy Rivas</v>
          </cell>
          <cell r="H268">
            <v>0</v>
          </cell>
        </row>
        <row r="269">
          <cell r="F269">
            <v>312077</v>
          </cell>
          <cell r="G269" t="str">
            <v>Darlin Pamela Aguilar De La Cruz</v>
          </cell>
          <cell r="H269">
            <v>0</v>
          </cell>
        </row>
        <row r="270">
          <cell r="F270">
            <v>314775</v>
          </cell>
          <cell r="G270" t="str">
            <v>Darlyn Dayanara Cortez Ramirez</v>
          </cell>
          <cell r="H270">
            <v>0</v>
          </cell>
        </row>
        <row r="271">
          <cell r="F271">
            <v>312223</v>
          </cell>
          <cell r="G271" t="str">
            <v>Darlyn Guadalupe Barrios Yax</v>
          </cell>
          <cell r="H271">
            <v>0</v>
          </cell>
        </row>
        <row r="272">
          <cell r="F272">
            <v>309926</v>
          </cell>
          <cell r="G272" t="str">
            <v>Darwin Alexis Ponciano Cruz</v>
          </cell>
          <cell r="H272">
            <v>0</v>
          </cell>
        </row>
        <row r="273">
          <cell r="F273">
            <v>315167</v>
          </cell>
          <cell r="G273" t="str">
            <v>Darwin Omar Cabrera Cheguen</v>
          </cell>
          <cell r="H273">
            <v>0</v>
          </cell>
        </row>
        <row r="274">
          <cell r="F274">
            <v>310390</v>
          </cell>
          <cell r="G274" t="str">
            <v>Dauris Yomira Tellechea Lopez</v>
          </cell>
          <cell r="H274">
            <v>0</v>
          </cell>
        </row>
        <row r="275">
          <cell r="F275">
            <v>202076</v>
          </cell>
          <cell r="G275" t="str">
            <v>David De Jesus Quel Orozco</v>
          </cell>
          <cell r="H275">
            <v>0</v>
          </cell>
        </row>
        <row r="276">
          <cell r="F276">
            <v>314891</v>
          </cell>
          <cell r="G276" t="str">
            <v>David Emanuel Cachin Morales</v>
          </cell>
          <cell r="H276">
            <v>0</v>
          </cell>
        </row>
        <row r="277">
          <cell r="F277">
            <v>309831</v>
          </cell>
          <cell r="G277" t="str">
            <v>David Mejia Vicente</v>
          </cell>
          <cell r="H277">
            <v>0</v>
          </cell>
        </row>
        <row r="278">
          <cell r="F278">
            <v>315533</v>
          </cell>
          <cell r="G278" t="str">
            <v>Dayana Paola Lopez Bolanos</v>
          </cell>
          <cell r="H278">
            <v>0</v>
          </cell>
        </row>
        <row r="279">
          <cell r="F279">
            <v>314017</v>
          </cell>
          <cell r="G279" t="str">
            <v>Dayanna Beatriz Cachupe Chavac</v>
          </cell>
          <cell r="H279">
            <v>0</v>
          </cell>
        </row>
        <row r="280">
          <cell r="F280">
            <v>314852</v>
          </cell>
          <cell r="G280" t="str">
            <v>Daylin Ambrocia Cruz Lopez</v>
          </cell>
          <cell r="H280">
            <v>0</v>
          </cell>
        </row>
        <row r="281">
          <cell r="F281">
            <v>313408</v>
          </cell>
          <cell r="G281" t="str">
            <v>Dayne Dalu Sanchez Hernandez</v>
          </cell>
          <cell r="H281">
            <v>0</v>
          </cell>
        </row>
        <row r="282">
          <cell r="F282">
            <v>315552</v>
          </cell>
          <cell r="G282" t="str">
            <v>Debora Eunice Tzay Chuluc</v>
          </cell>
          <cell r="H282">
            <v>0</v>
          </cell>
        </row>
        <row r="283">
          <cell r="F283">
            <v>313629</v>
          </cell>
          <cell r="G283" t="str">
            <v>Debora Madahi Escobar Gomez</v>
          </cell>
          <cell r="H283">
            <v>0</v>
          </cell>
        </row>
        <row r="284">
          <cell r="F284">
            <v>315270</v>
          </cell>
          <cell r="G284" t="str">
            <v>Debora Paola Sepez Cuc</v>
          </cell>
          <cell r="H284">
            <v>0</v>
          </cell>
        </row>
        <row r="285">
          <cell r="F285">
            <v>314353</v>
          </cell>
          <cell r="G285" t="str">
            <v>Deisy Gabriela Pineda Paiz</v>
          </cell>
          <cell r="H285">
            <v>0</v>
          </cell>
        </row>
        <row r="286">
          <cell r="F286">
            <v>302751</v>
          </cell>
          <cell r="G286" t="str">
            <v>Delia Virginia Piedrasanta Parra</v>
          </cell>
          <cell r="H286">
            <v>0</v>
          </cell>
        </row>
        <row r="287">
          <cell r="F287">
            <v>201031</v>
          </cell>
          <cell r="G287" t="str">
            <v>Delio Maynor Lopez Barrios</v>
          </cell>
          <cell r="H287">
            <v>0</v>
          </cell>
        </row>
        <row r="288">
          <cell r="F288">
            <v>311758</v>
          </cell>
          <cell r="G288" t="str">
            <v>Delmy Fabiola Orellana Barrientos</v>
          </cell>
          <cell r="H288">
            <v>0</v>
          </cell>
        </row>
        <row r="289">
          <cell r="F289">
            <v>307870</v>
          </cell>
          <cell r="G289" t="str">
            <v>Delmy Francisca Lopez Perez</v>
          </cell>
          <cell r="H289">
            <v>0</v>
          </cell>
        </row>
        <row r="290">
          <cell r="F290">
            <v>314901</v>
          </cell>
          <cell r="G290" t="str">
            <v>Delmy Vanesa Morales Ramirez</v>
          </cell>
          <cell r="H290">
            <v>0</v>
          </cell>
        </row>
        <row r="291">
          <cell r="F291">
            <v>306256</v>
          </cell>
          <cell r="G291" t="str">
            <v>Delwin Leonel Vasquez Barrera</v>
          </cell>
          <cell r="H291">
            <v>0</v>
          </cell>
        </row>
        <row r="292">
          <cell r="F292">
            <v>314540</v>
          </cell>
          <cell r="G292" t="str">
            <v>Denilson Laureano De Paz Galdamez</v>
          </cell>
          <cell r="H292">
            <v>0</v>
          </cell>
        </row>
        <row r="293">
          <cell r="F293">
            <v>312158</v>
          </cell>
          <cell r="G293" t="str">
            <v>Derick Juan David Coti Camas</v>
          </cell>
          <cell r="H293">
            <v>0</v>
          </cell>
        </row>
        <row r="294">
          <cell r="F294">
            <v>315437</v>
          </cell>
          <cell r="G294" t="str">
            <v>Deysi Liliana Caal Oxom</v>
          </cell>
          <cell r="H294">
            <v>0</v>
          </cell>
        </row>
        <row r="295">
          <cell r="F295">
            <v>309692</v>
          </cell>
          <cell r="G295" t="str">
            <v>Deysi Margoth Lopez Monroy</v>
          </cell>
          <cell r="H295">
            <v>0</v>
          </cell>
        </row>
        <row r="296">
          <cell r="F296">
            <v>309418</v>
          </cell>
          <cell r="G296" t="str">
            <v>Deysi Noemi Aranoli Carias Pimentel</v>
          </cell>
          <cell r="H296">
            <v>0</v>
          </cell>
        </row>
        <row r="297">
          <cell r="F297">
            <v>313797</v>
          </cell>
          <cell r="G297" t="str">
            <v>Deysi Paola Lopez Yanes De Conde</v>
          </cell>
          <cell r="H297">
            <v>0</v>
          </cell>
        </row>
        <row r="298">
          <cell r="F298">
            <v>312166</v>
          </cell>
          <cell r="G298" t="str">
            <v>Deysi Roxana Pablo Ramirez</v>
          </cell>
          <cell r="H298">
            <v>0</v>
          </cell>
        </row>
        <row r="299">
          <cell r="F299">
            <v>313856</v>
          </cell>
          <cell r="G299" t="str">
            <v>Diana Andrea Castillo Mejia</v>
          </cell>
          <cell r="H299">
            <v>0</v>
          </cell>
        </row>
        <row r="300">
          <cell r="F300">
            <v>310411</v>
          </cell>
          <cell r="G300" t="str">
            <v>Diana Elizabeth Ayfan Del Cid</v>
          </cell>
          <cell r="H300">
            <v>0</v>
          </cell>
        </row>
        <row r="301">
          <cell r="F301">
            <v>315070</v>
          </cell>
          <cell r="G301" t="str">
            <v>Diana Guisela Satey De Leon</v>
          </cell>
          <cell r="H301">
            <v>0</v>
          </cell>
        </row>
        <row r="302">
          <cell r="F302">
            <v>315089</v>
          </cell>
          <cell r="G302" t="str">
            <v>Diana Lizeth Acabal Pansay</v>
          </cell>
          <cell r="H302">
            <v>0</v>
          </cell>
        </row>
        <row r="303">
          <cell r="F303">
            <v>315209</v>
          </cell>
          <cell r="G303" t="str">
            <v>Diana Mishel Perez Flores</v>
          </cell>
          <cell r="H303">
            <v>0</v>
          </cell>
        </row>
        <row r="304">
          <cell r="F304">
            <v>314964</v>
          </cell>
          <cell r="G304" t="str">
            <v>Diana Priscila Reyes Bran</v>
          </cell>
          <cell r="H304">
            <v>0</v>
          </cell>
        </row>
        <row r="305">
          <cell r="F305">
            <v>315545</v>
          </cell>
          <cell r="G305" t="str">
            <v>Diego Alejandro Monroy Barillas</v>
          </cell>
          <cell r="H305">
            <v>0</v>
          </cell>
        </row>
        <row r="306">
          <cell r="F306">
            <v>314603</v>
          </cell>
          <cell r="G306" t="str">
            <v>Diego Antonio Dubon Suyen</v>
          </cell>
          <cell r="H306">
            <v>0</v>
          </cell>
        </row>
        <row r="307">
          <cell r="F307">
            <v>314912</v>
          </cell>
          <cell r="G307" t="str">
            <v>Diego Ezequiel Samayoa Toledo</v>
          </cell>
          <cell r="H307">
            <v>0</v>
          </cell>
        </row>
        <row r="308">
          <cell r="F308">
            <v>314021</v>
          </cell>
          <cell r="G308" t="str">
            <v>Diego Josue David Dieguez Vivar</v>
          </cell>
          <cell r="H308">
            <v>0</v>
          </cell>
        </row>
        <row r="309">
          <cell r="F309">
            <v>314609</v>
          </cell>
          <cell r="G309" t="str">
            <v>Dilma Carolina Zetino Zepeda</v>
          </cell>
          <cell r="H309">
            <v>0</v>
          </cell>
        </row>
        <row r="310">
          <cell r="F310">
            <v>315393</v>
          </cell>
          <cell r="G310" t="str">
            <v>Dina Azucena Ortiz Crispin</v>
          </cell>
          <cell r="H310">
            <v>0</v>
          </cell>
        </row>
        <row r="311">
          <cell r="F311">
            <v>301534</v>
          </cell>
          <cell r="G311" t="str">
            <v>Donald Alejandro Mendez Mayen</v>
          </cell>
          <cell r="H311">
            <v>0</v>
          </cell>
        </row>
        <row r="312">
          <cell r="F312">
            <v>314070</v>
          </cell>
          <cell r="G312" t="str">
            <v>Donetta Diaz Oroman</v>
          </cell>
          <cell r="H312">
            <v>0</v>
          </cell>
        </row>
        <row r="313">
          <cell r="F313">
            <v>313316</v>
          </cell>
          <cell r="G313" t="str">
            <v>Dora Estefany Garcia Zetino</v>
          </cell>
          <cell r="H313">
            <v>0</v>
          </cell>
        </row>
        <row r="314">
          <cell r="F314">
            <v>308707</v>
          </cell>
          <cell r="G314" t="str">
            <v>Dorcas Raquel Palacios Reyes</v>
          </cell>
          <cell r="H314">
            <v>0</v>
          </cell>
        </row>
        <row r="315">
          <cell r="F315">
            <v>308921</v>
          </cell>
          <cell r="G315" t="str">
            <v>Doris Elizabeth Sandoval Gonzalez</v>
          </cell>
          <cell r="H315">
            <v>0</v>
          </cell>
        </row>
        <row r="316">
          <cell r="F316">
            <v>315057</v>
          </cell>
          <cell r="G316" t="str">
            <v>Dorman Fernando Gomez Perez</v>
          </cell>
          <cell r="H316">
            <v>0</v>
          </cell>
        </row>
        <row r="317">
          <cell r="F317">
            <v>312651</v>
          </cell>
          <cell r="G317" t="str">
            <v>Douglas Alberto Luna</v>
          </cell>
          <cell r="H317">
            <v>0</v>
          </cell>
        </row>
        <row r="318">
          <cell r="F318">
            <v>314635</v>
          </cell>
          <cell r="G318" t="str">
            <v>Douglas Armando Garcia Machic</v>
          </cell>
          <cell r="H318">
            <v>0</v>
          </cell>
        </row>
        <row r="319">
          <cell r="F319">
            <v>313351</v>
          </cell>
          <cell r="G319" t="str">
            <v>Douglas Nehemias Paz Agustin</v>
          </cell>
          <cell r="H319">
            <v>0</v>
          </cell>
        </row>
        <row r="320">
          <cell r="F320">
            <v>309154</v>
          </cell>
          <cell r="G320" t="str">
            <v>Duglas Alexander Ramirez</v>
          </cell>
          <cell r="H320">
            <v>0</v>
          </cell>
        </row>
        <row r="321">
          <cell r="F321">
            <v>310593</v>
          </cell>
          <cell r="G321" t="str">
            <v>Dulce Estrellita Boche Pineda</v>
          </cell>
          <cell r="H321">
            <v>0</v>
          </cell>
        </row>
        <row r="322">
          <cell r="F322">
            <v>312578</v>
          </cell>
          <cell r="G322" t="str">
            <v>Dulce Fabiola Cabrera Alvarado</v>
          </cell>
          <cell r="H322">
            <v>0</v>
          </cell>
        </row>
        <row r="323">
          <cell r="F323">
            <v>314977</v>
          </cell>
          <cell r="G323" t="str">
            <v>Dulce Gollin Garcia</v>
          </cell>
          <cell r="H323">
            <v>0</v>
          </cell>
        </row>
        <row r="324">
          <cell r="F324">
            <v>315028</v>
          </cell>
          <cell r="G324" t="str">
            <v>Dulce Maria Barillas Pineda</v>
          </cell>
          <cell r="H324">
            <v>0</v>
          </cell>
        </row>
        <row r="325">
          <cell r="F325">
            <v>314016</v>
          </cell>
          <cell r="G325" t="str">
            <v>Dulce Maria De Los Angeles Carranza Poitan</v>
          </cell>
          <cell r="H325">
            <v>0</v>
          </cell>
        </row>
        <row r="326">
          <cell r="F326">
            <v>314338</v>
          </cell>
          <cell r="G326" t="str">
            <v>Dulce Maria Sican Galicia</v>
          </cell>
          <cell r="H326">
            <v>0</v>
          </cell>
        </row>
        <row r="327">
          <cell r="F327">
            <v>301052</v>
          </cell>
          <cell r="G327" t="str">
            <v>Dulsse Gabriela Muñoz Giordano</v>
          </cell>
          <cell r="H327">
            <v>0</v>
          </cell>
        </row>
        <row r="328">
          <cell r="F328">
            <v>313406</v>
          </cell>
          <cell r="G328" t="str">
            <v>Duncan Vladimir Fuentes Marroquin</v>
          </cell>
          <cell r="H328">
            <v>0</v>
          </cell>
        </row>
        <row r="329">
          <cell r="F329">
            <v>315551</v>
          </cell>
          <cell r="G329" t="str">
            <v>Dylan Anderson Rodriguez Paredes</v>
          </cell>
          <cell r="H329">
            <v>0</v>
          </cell>
        </row>
        <row r="330">
          <cell r="F330">
            <v>301579</v>
          </cell>
          <cell r="G330" t="str">
            <v>Eber Manuel Valdes Samayoa</v>
          </cell>
          <cell r="H330">
            <v>0</v>
          </cell>
        </row>
        <row r="331">
          <cell r="F331">
            <v>314077</v>
          </cell>
          <cell r="G331" t="str">
            <v>Eddy Estuardo Lool Calderon</v>
          </cell>
          <cell r="H331">
            <v>0</v>
          </cell>
        </row>
        <row r="332">
          <cell r="F332">
            <v>304630</v>
          </cell>
          <cell r="G332" t="str">
            <v>Eddy Jose Cabrera Rivas</v>
          </cell>
          <cell r="H332">
            <v>0</v>
          </cell>
        </row>
        <row r="333">
          <cell r="F333">
            <v>315163</v>
          </cell>
          <cell r="G333" t="str">
            <v>Edgar Alejandro Alvarado Juarez</v>
          </cell>
          <cell r="H333">
            <v>0</v>
          </cell>
        </row>
        <row r="334">
          <cell r="F334">
            <v>314231</v>
          </cell>
          <cell r="G334" t="str">
            <v>Edgar Alfonso Escoto Asig</v>
          </cell>
          <cell r="H334">
            <v>0</v>
          </cell>
        </row>
        <row r="335">
          <cell r="F335">
            <v>312910</v>
          </cell>
          <cell r="G335" t="str">
            <v>Edgar Augusto Lara Joachin</v>
          </cell>
          <cell r="H335">
            <v>0</v>
          </cell>
        </row>
        <row r="336">
          <cell r="F336">
            <v>314531</v>
          </cell>
          <cell r="G336" t="str">
            <v>Edgar Josue Lopez Cahuec</v>
          </cell>
          <cell r="H336">
            <v>0</v>
          </cell>
        </row>
        <row r="337">
          <cell r="F337">
            <v>309428</v>
          </cell>
          <cell r="G337" t="str">
            <v>Edgar Manrique Flores Sanchez</v>
          </cell>
          <cell r="H337">
            <v>0</v>
          </cell>
        </row>
        <row r="338">
          <cell r="F338">
            <v>313559</v>
          </cell>
          <cell r="G338" t="str">
            <v>Edgar Ricardo Lopez Valenzuela</v>
          </cell>
          <cell r="H338">
            <v>0</v>
          </cell>
        </row>
        <row r="339">
          <cell r="F339">
            <v>314916</v>
          </cell>
          <cell r="G339" t="str">
            <v>Edgar Samuel Chavez Garcia</v>
          </cell>
          <cell r="H339">
            <v>0</v>
          </cell>
        </row>
        <row r="340">
          <cell r="F340">
            <v>313861</v>
          </cell>
          <cell r="G340" t="str">
            <v>Edith Guadalupe Del Cid Orellana</v>
          </cell>
          <cell r="H340">
            <v>0</v>
          </cell>
        </row>
        <row r="341">
          <cell r="F341">
            <v>304240</v>
          </cell>
          <cell r="G341" t="str">
            <v>Edna Fabiola Miranda Nufio</v>
          </cell>
          <cell r="H341">
            <v>0</v>
          </cell>
        </row>
        <row r="342">
          <cell r="F342">
            <v>313770</v>
          </cell>
          <cell r="G342" t="str">
            <v>Edna Rubi Hernandez Retana</v>
          </cell>
          <cell r="H342">
            <v>0</v>
          </cell>
        </row>
        <row r="343">
          <cell r="F343">
            <v>308533</v>
          </cell>
          <cell r="G343" t="str">
            <v>Eduardo Antonio Sotoj Zepeda</v>
          </cell>
          <cell r="H343">
            <v>0</v>
          </cell>
        </row>
        <row r="344">
          <cell r="F344">
            <v>315502</v>
          </cell>
          <cell r="G344" t="str">
            <v>Eduardo Eliu Camey Coyoy</v>
          </cell>
          <cell r="H344">
            <v>0</v>
          </cell>
        </row>
        <row r="345">
          <cell r="F345">
            <v>315483</v>
          </cell>
          <cell r="G345" t="str">
            <v>Eduardo Jose Perez Pichilla</v>
          </cell>
          <cell r="H345">
            <v>0</v>
          </cell>
        </row>
        <row r="346">
          <cell r="F346">
            <v>306695</v>
          </cell>
          <cell r="G346" t="str">
            <v>Eduvina Lisbeth Chilel Garcia</v>
          </cell>
          <cell r="H346">
            <v>0</v>
          </cell>
        </row>
        <row r="347">
          <cell r="F347">
            <v>313804</v>
          </cell>
          <cell r="G347" t="str">
            <v>Edvin Daniel Compa Oroxom</v>
          </cell>
          <cell r="H347">
            <v>0</v>
          </cell>
        </row>
        <row r="348">
          <cell r="F348">
            <v>305736</v>
          </cell>
          <cell r="G348" t="str">
            <v>Edvin Estuardo Ordoñez Gonzalez</v>
          </cell>
          <cell r="H348">
            <v>0</v>
          </cell>
        </row>
        <row r="349">
          <cell r="F349">
            <v>313327</v>
          </cell>
          <cell r="G349" t="str">
            <v>Edvin Raul Chavez Monroy</v>
          </cell>
          <cell r="H349">
            <v>0</v>
          </cell>
        </row>
        <row r="350">
          <cell r="F350">
            <v>309209</v>
          </cell>
          <cell r="G350" t="str">
            <v>Edward Andoni Alvarez Agueda</v>
          </cell>
          <cell r="H350">
            <v>0</v>
          </cell>
        </row>
        <row r="351">
          <cell r="F351">
            <v>311219</v>
          </cell>
          <cell r="G351" t="str">
            <v>Edward Oswaldo Mo Macz</v>
          </cell>
          <cell r="H351">
            <v>0</v>
          </cell>
        </row>
        <row r="352">
          <cell r="F352">
            <v>315174</v>
          </cell>
          <cell r="G352" t="str">
            <v>Edwin Adolfo Soberanis Mazariegos</v>
          </cell>
          <cell r="H352">
            <v>0</v>
          </cell>
        </row>
        <row r="353">
          <cell r="F353">
            <v>312540</v>
          </cell>
          <cell r="G353" t="str">
            <v>Edwin Alexander Davila Xitumul</v>
          </cell>
          <cell r="H353">
            <v>0</v>
          </cell>
        </row>
        <row r="354">
          <cell r="F354">
            <v>313701</v>
          </cell>
          <cell r="G354" t="str">
            <v>Edwin Ernesto Sut Chinol</v>
          </cell>
          <cell r="H354">
            <v>0</v>
          </cell>
        </row>
        <row r="355">
          <cell r="F355">
            <v>312557</v>
          </cell>
          <cell r="G355" t="str">
            <v>Edwin Romeo Eleazar Ochoa Lopez</v>
          </cell>
          <cell r="H355">
            <v>0</v>
          </cell>
        </row>
        <row r="356">
          <cell r="F356">
            <v>311167</v>
          </cell>
          <cell r="G356" t="str">
            <v>Edy Giancarlo Moreno Pineda</v>
          </cell>
          <cell r="H356">
            <v>0</v>
          </cell>
        </row>
        <row r="357">
          <cell r="F357">
            <v>312542</v>
          </cell>
          <cell r="G357" t="str">
            <v>Elba Eulalia Esquite Lemus</v>
          </cell>
          <cell r="H357">
            <v>0</v>
          </cell>
        </row>
        <row r="358">
          <cell r="F358">
            <v>303412</v>
          </cell>
          <cell r="G358" t="str">
            <v>Elder Antonio Mendez Tobar</v>
          </cell>
          <cell r="H358">
            <v>0</v>
          </cell>
        </row>
        <row r="359">
          <cell r="F359">
            <v>315436</v>
          </cell>
          <cell r="G359" t="str">
            <v>Elder Frankiln Cax Dionicio</v>
          </cell>
          <cell r="H359">
            <v>0</v>
          </cell>
        </row>
        <row r="360">
          <cell r="F360">
            <v>311891</v>
          </cell>
          <cell r="G360" t="str">
            <v>Elder Uzias Jordan Perez</v>
          </cell>
          <cell r="H360">
            <v>0</v>
          </cell>
        </row>
        <row r="361">
          <cell r="F361">
            <v>309812</v>
          </cell>
          <cell r="G361" t="str">
            <v>Elena Yazmin Valdez Gallegos</v>
          </cell>
          <cell r="H361">
            <v>0</v>
          </cell>
        </row>
        <row r="362">
          <cell r="F362">
            <v>314275</v>
          </cell>
          <cell r="G362" t="str">
            <v>Elias Jose Daniel Estrada Nufio</v>
          </cell>
          <cell r="H362">
            <v>0</v>
          </cell>
        </row>
        <row r="363">
          <cell r="F363">
            <v>307588</v>
          </cell>
          <cell r="G363" t="str">
            <v>Elida Noemi Monroy Ortega</v>
          </cell>
          <cell r="H363">
            <v>0</v>
          </cell>
        </row>
        <row r="364">
          <cell r="F364">
            <v>315463</v>
          </cell>
          <cell r="G364" t="str">
            <v>Elin Magali Gallardo Velasquez</v>
          </cell>
          <cell r="H364">
            <v>0</v>
          </cell>
        </row>
        <row r="365">
          <cell r="F365">
            <v>310755</v>
          </cell>
          <cell r="G365" t="str">
            <v>Elisa Clementina Mazariegos Andrade</v>
          </cell>
          <cell r="H365">
            <v>0</v>
          </cell>
        </row>
        <row r="366">
          <cell r="F366">
            <v>314466</v>
          </cell>
          <cell r="G366" t="str">
            <v>Eliseo Gonzalez De Leon</v>
          </cell>
          <cell r="H366">
            <v>0</v>
          </cell>
        </row>
        <row r="367">
          <cell r="F367">
            <v>310043</v>
          </cell>
          <cell r="G367" t="str">
            <v>Elizangela Jazmin Barillas Ramirez</v>
          </cell>
          <cell r="H367">
            <v>0</v>
          </cell>
        </row>
        <row r="368">
          <cell r="F368">
            <v>314443</v>
          </cell>
          <cell r="G368" t="str">
            <v>Elmer Antonio Muñoz Alvarez</v>
          </cell>
          <cell r="H368">
            <v>0</v>
          </cell>
        </row>
        <row r="369">
          <cell r="F369">
            <v>314763</v>
          </cell>
          <cell r="G369" t="str">
            <v>Elsa Edith Alixjandra Morales Cordon</v>
          </cell>
          <cell r="H369">
            <v>0</v>
          </cell>
        </row>
        <row r="370">
          <cell r="F370">
            <v>311227</v>
          </cell>
          <cell r="G370" t="str">
            <v>Elsa Karina Siquibache Perez</v>
          </cell>
          <cell r="H370">
            <v>0</v>
          </cell>
        </row>
        <row r="371">
          <cell r="F371">
            <v>308968</v>
          </cell>
          <cell r="G371" t="str">
            <v>Eluizer Amadeus De Leon De Leon</v>
          </cell>
          <cell r="H371">
            <v>0</v>
          </cell>
        </row>
        <row r="372">
          <cell r="F372">
            <v>314871</v>
          </cell>
          <cell r="G372" t="str">
            <v>Elvis Ariel Juarez Solis</v>
          </cell>
          <cell r="H372">
            <v>0</v>
          </cell>
        </row>
        <row r="373">
          <cell r="F373">
            <v>313368</v>
          </cell>
          <cell r="G373" t="str">
            <v>Elvis Orlando Lopez Marroquin</v>
          </cell>
          <cell r="H373">
            <v>0</v>
          </cell>
        </row>
        <row r="374">
          <cell r="F374">
            <v>314342</v>
          </cell>
          <cell r="G374" t="str">
            <v>Emanuel Perez Garnillo</v>
          </cell>
          <cell r="H374">
            <v>0</v>
          </cell>
        </row>
        <row r="375">
          <cell r="F375">
            <v>312736</v>
          </cell>
          <cell r="G375" t="str">
            <v>Emely Johanna Urbina Beltran</v>
          </cell>
          <cell r="H375">
            <v>0</v>
          </cell>
        </row>
        <row r="376">
          <cell r="F376">
            <v>312762</v>
          </cell>
          <cell r="G376" t="str">
            <v>Emerson Ezequiel Giron Lopez</v>
          </cell>
          <cell r="H376">
            <v>0</v>
          </cell>
        </row>
        <row r="377">
          <cell r="F377">
            <v>303591</v>
          </cell>
          <cell r="G377" t="str">
            <v>Emerson Josue Lopez Hernandez</v>
          </cell>
          <cell r="H377">
            <v>0</v>
          </cell>
        </row>
        <row r="378">
          <cell r="F378">
            <v>312165</v>
          </cell>
          <cell r="G378" t="str">
            <v>Emily Jisselle Rosales Paz</v>
          </cell>
          <cell r="H378">
            <v>0</v>
          </cell>
        </row>
        <row r="379">
          <cell r="F379">
            <v>313560</v>
          </cell>
          <cell r="G379" t="str">
            <v>Emy Noemi Vicente Herrera</v>
          </cell>
          <cell r="H379">
            <v>0</v>
          </cell>
        </row>
        <row r="380">
          <cell r="F380">
            <v>315047</v>
          </cell>
          <cell r="G380" t="str">
            <v>Erick Adolfo Orellana Lopez</v>
          </cell>
          <cell r="H380">
            <v>0</v>
          </cell>
        </row>
        <row r="381">
          <cell r="F381">
            <v>311598</v>
          </cell>
          <cell r="G381" t="str">
            <v>Erick Antonio Perez Perez</v>
          </cell>
          <cell r="H381">
            <v>0</v>
          </cell>
        </row>
        <row r="382">
          <cell r="F382">
            <v>311742</v>
          </cell>
          <cell r="G382" t="str">
            <v>Erick Estuardo Morales Samayoa</v>
          </cell>
          <cell r="H382">
            <v>0</v>
          </cell>
        </row>
        <row r="383">
          <cell r="F383">
            <v>308758</v>
          </cell>
          <cell r="G383" t="str">
            <v>Erick Gamaliel Pineda Mendez</v>
          </cell>
          <cell r="H383">
            <v>0</v>
          </cell>
        </row>
        <row r="384">
          <cell r="F384">
            <v>314371</v>
          </cell>
          <cell r="G384" t="str">
            <v>Erick Guillermo Sierra Escobar</v>
          </cell>
          <cell r="H384">
            <v>0</v>
          </cell>
        </row>
        <row r="385">
          <cell r="F385">
            <v>314095</v>
          </cell>
          <cell r="G385" t="str">
            <v>Erick Joel Diaz Barrera</v>
          </cell>
          <cell r="H385">
            <v>0</v>
          </cell>
        </row>
        <row r="386">
          <cell r="F386">
            <v>314408</v>
          </cell>
          <cell r="G386" t="str">
            <v>Erick Josue Martinez Pineda</v>
          </cell>
          <cell r="H386">
            <v>0</v>
          </cell>
        </row>
        <row r="387">
          <cell r="F387">
            <v>312434</v>
          </cell>
          <cell r="G387" t="str">
            <v>Erick Manuel Umul Quiej</v>
          </cell>
          <cell r="H387">
            <v>0</v>
          </cell>
        </row>
        <row r="388">
          <cell r="F388">
            <v>202410</v>
          </cell>
          <cell r="G388" t="str">
            <v>Erick Oswaldo Aguilar Santiago</v>
          </cell>
          <cell r="H388">
            <v>0</v>
          </cell>
        </row>
        <row r="389">
          <cell r="F389">
            <v>310750</v>
          </cell>
          <cell r="G389" t="str">
            <v>Erick Uriel Sandoval Herrera</v>
          </cell>
          <cell r="H389">
            <v>0</v>
          </cell>
        </row>
        <row r="390">
          <cell r="F390">
            <v>304557</v>
          </cell>
          <cell r="G390" t="str">
            <v>Ericka Arceli Gonzalez Astorga</v>
          </cell>
          <cell r="H390">
            <v>0</v>
          </cell>
        </row>
        <row r="391">
          <cell r="F391">
            <v>308593</v>
          </cell>
          <cell r="G391" t="str">
            <v>Ericka Beatriz Tiu Arriola</v>
          </cell>
          <cell r="H391">
            <v>0</v>
          </cell>
        </row>
        <row r="392">
          <cell r="F392">
            <v>310893</v>
          </cell>
          <cell r="G392" t="str">
            <v>Ericka Florentina Hernandez Bermudes</v>
          </cell>
          <cell r="H392">
            <v>0</v>
          </cell>
        </row>
        <row r="393">
          <cell r="F393">
            <v>310845</v>
          </cell>
          <cell r="G393" t="str">
            <v>Ericka Gricelda Beatriz Calderon Lopez</v>
          </cell>
          <cell r="H393">
            <v>0</v>
          </cell>
        </row>
        <row r="394">
          <cell r="F394">
            <v>313654</v>
          </cell>
          <cell r="G394" t="str">
            <v>Ericka Mabel Choc Vasquez</v>
          </cell>
          <cell r="H394">
            <v>0</v>
          </cell>
        </row>
        <row r="395">
          <cell r="F395">
            <v>308152</v>
          </cell>
          <cell r="G395" t="str">
            <v>Ericka Nathali Huitz Ortega</v>
          </cell>
          <cell r="H395">
            <v>0</v>
          </cell>
        </row>
        <row r="396">
          <cell r="F396">
            <v>313812</v>
          </cell>
          <cell r="G396" t="str">
            <v>Erickson Amilcar Vasquez Garrido</v>
          </cell>
          <cell r="H396">
            <v>0</v>
          </cell>
        </row>
        <row r="397">
          <cell r="F397">
            <v>303616</v>
          </cell>
          <cell r="G397" t="str">
            <v>Erik Leonel Alva</v>
          </cell>
          <cell r="H397">
            <v>0</v>
          </cell>
        </row>
        <row r="398">
          <cell r="F398">
            <v>310011</v>
          </cell>
          <cell r="G398" t="str">
            <v>Erika Alejandra Hernandez Vega</v>
          </cell>
          <cell r="H398">
            <v>0</v>
          </cell>
        </row>
        <row r="399">
          <cell r="F399">
            <v>314808</v>
          </cell>
          <cell r="G399" t="str">
            <v>Erika Carolina Lopez Chiroy</v>
          </cell>
          <cell r="H399">
            <v>0</v>
          </cell>
        </row>
        <row r="400">
          <cell r="F400">
            <v>306497</v>
          </cell>
          <cell r="G400" t="str">
            <v>Erika Ixtan Canil</v>
          </cell>
          <cell r="H400">
            <v>0</v>
          </cell>
        </row>
        <row r="401">
          <cell r="F401">
            <v>314703</v>
          </cell>
          <cell r="G401" t="str">
            <v>Erlinda Elizabeth Cabrera</v>
          </cell>
          <cell r="H401">
            <v>0</v>
          </cell>
        </row>
        <row r="402">
          <cell r="F402">
            <v>315535</v>
          </cell>
          <cell r="G402" t="str">
            <v>Ernesto Perez Tecun</v>
          </cell>
          <cell r="H402">
            <v>0</v>
          </cell>
        </row>
        <row r="403">
          <cell r="F403">
            <v>313727</v>
          </cell>
          <cell r="G403" t="str">
            <v>Erwin Antonio Lorenzo Zamora</v>
          </cell>
          <cell r="H403">
            <v>0</v>
          </cell>
        </row>
        <row r="404">
          <cell r="F404">
            <v>315123</v>
          </cell>
          <cell r="G404" t="str">
            <v>Esdras Daniel Pablo Solis</v>
          </cell>
          <cell r="H404">
            <v>0</v>
          </cell>
        </row>
        <row r="405">
          <cell r="F405">
            <v>315491</v>
          </cell>
          <cell r="G405" t="str">
            <v>Esdras Eduardo Hernadez Morales</v>
          </cell>
          <cell r="H405">
            <v>0</v>
          </cell>
        </row>
        <row r="406">
          <cell r="F406">
            <v>314068</v>
          </cell>
          <cell r="G406" t="str">
            <v>Esdras Manases Vasquez Vasquez</v>
          </cell>
          <cell r="H406">
            <v>0</v>
          </cell>
        </row>
        <row r="407">
          <cell r="F407">
            <v>313871</v>
          </cell>
          <cell r="G407" t="str">
            <v>Eskarleth Julieta Coloma Camey</v>
          </cell>
          <cell r="H407">
            <v>0</v>
          </cell>
        </row>
        <row r="408">
          <cell r="F408">
            <v>312554</v>
          </cell>
          <cell r="G408" t="str">
            <v>Esmaylin Alexis Melchor Lopez</v>
          </cell>
          <cell r="H408">
            <v>0</v>
          </cell>
        </row>
        <row r="409">
          <cell r="F409">
            <v>315510</v>
          </cell>
          <cell r="G409" t="str">
            <v>Esteban Alfonso Gonzalez Osuna</v>
          </cell>
          <cell r="H409">
            <v>0</v>
          </cell>
        </row>
        <row r="410">
          <cell r="F410">
            <v>313644</v>
          </cell>
          <cell r="G410" t="str">
            <v>Estefani Elizabeth Tzul Macario</v>
          </cell>
          <cell r="H410">
            <v>0</v>
          </cell>
        </row>
        <row r="411">
          <cell r="F411">
            <v>312323</v>
          </cell>
          <cell r="G411" t="str">
            <v>Estefani Mishel Carpio Alvarado</v>
          </cell>
          <cell r="H411">
            <v>0</v>
          </cell>
        </row>
        <row r="412">
          <cell r="F412">
            <v>313428</v>
          </cell>
          <cell r="G412" t="str">
            <v>Estefany Catalina Suazo Garcia</v>
          </cell>
          <cell r="H412">
            <v>0</v>
          </cell>
        </row>
        <row r="413">
          <cell r="F413">
            <v>311094</v>
          </cell>
          <cell r="G413" t="str">
            <v>Estefany Virginia Perez Leiva</v>
          </cell>
          <cell r="H413">
            <v>0</v>
          </cell>
        </row>
        <row r="414">
          <cell r="F414">
            <v>313151</v>
          </cell>
          <cell r="G414" t="str">
            <v>Ester Yulissa Salazar Sanches</v>
          </cell>
          <cell r="H414">
            <v>0</v>
          </cell>
        </row>
        <row r="415">
          <cell r="F415">
            <v>308702</v>
          </cell>
          <cell r="G415" t="str">
            <v>Estuardo Alejandro Us Chanchavac</v>
          </cell>
          <cell r="H415">
            <v>0</v>
          </cell>
        </row>
        <row r="416">
          <cell r="F416">
            <v>315564</v>
          </cell>
          <cell r="G416" t="str">
            <v>Esvin Rolando Orozco Mulul</v>
          </cell>
          <cell r="H416">
            <v>0</v>
          </cell>
        </row>
        <row r="417">
          <cell r="F417">
            <v>314285</v>
          </cell>
          <cell r="G417" t="str">
            <v>Eswin Antonio Carrillo Barrera</v>
          </cell>
          <cell r="H417">
            <v>0</v>
          </cell>
        </row>
        <row r="418">
          <cell r="F418">
            <v>311882</v>
          </cell>
          <cell r="G418" t="str">
            <v>Eswin Aroldo Ordoñez Robles</v>
          </cell>
          <cell r="H418">
            <v>0</v>
          </cell>
        </row>
        <row r="419">
          <cell r="F419">
            <v>315041</v>
          </cell>
          <cell r="G419" t="str">
            <v>Eugenia Azucely Lopez De De Aguirre</v>
          </cell>
          <cell r="H419">
            <v>0</v>
          </cell>
        </row>
        <row r="420">
          <cell r="F420">
            <v>313219</v>
          </cell>
          <cell r="G420" t="str">
            <v>Eunice Alejandrina Simon Gonzalez</v>
          </cell>
          <cell r="H420">
            <v>0</v>
          </cell>
        </row>
        <row r="421">
          <cell r="F421">
            <v>314553</v>
          </cell>
          <cell r="G421" t="str">
            <v>Eva Argentina Ramirez Perez</v>
          </cell>
          <cell r="H421">
            <v>0</v>
          </cell>
        </row>
        <row r="422">
          <cell r="F422">
            <v>313803</v>
          </cell>
          <cell r="G422" t="str">
            <v>Eva Yustinia Lopez Zuñiga</v>
          </cell>
          <cell r="H422">
            <v>0</v>
          </cell>
        </row>
        <row r="423">
          <cell r="F423">
            <v>314445</v>
          </cell>
          <cell r="G423" t="str">
            <v>Evelin Lorena Noguera García</v>
          </cell>
          <cell r="H423">
            <v>0</v>
          </cell>
        </row>
        <row r="424">
          <cell r="F424">
            <v>314320</v>
          </cell>
          <cell r="G424" t="str">
            <v>Evelin Maria Padilla Garcia</v>
          </cell>
          <cell r="H424">
            <v>0</v>
          </cell>
        </row>
        <row r="425">
          <cell r="F425">
            <v>313699</v>
          </cell>
          <cell r="G425" t="str">
            <v>Evelin Yulissa Lopez Villar</v>
          </cell>
          <cell r="H425">
            <v>0</v>
          </cell>
        </row>
        <row r="426">
          <cell r="F426">
            <v>307498</v>
          </cell>
          <cell r="G426" t="str">
            <v>Evelyn Julieta Lopez Peralta</v>
          </cell>
          <cell r="H426">
            <v>0</v>
          </cell>
        </row>
        <row r="427">
          <cell r="F427">
            <v>312811</v>
          </cell>
          <cell r="G427" t="str">
            <v>Evelyn Maritza Chumil Monroy</v>
          </cell>
          <cell r="H427">
            <v>0</v>
          </cell>
        </row>
        <row r="428">
          <cell r="F428">
            <v>313353</v>
          </cell>
          <cell r="G428" t="str">
            <v>Evelyn Marleny Rosales Cutz</v>
          </cell>
          <cell r="H428">
            <v>0</v>
          </cell>
        </row>
        <row r="429">
          <cell r="F429">
            <v>313264</v>
          </cell>
          <cell r="G429" t="str">
            <v>Evelyn Mishell Catalan Pixtun</v>
          </cell>
          <cell r="H429">
            <v>0</v>
          </cell>
        </row>
        <row r="430">
          <cell r="F430">
            <v>314528</v>
          </cell>
          <cell r="G430" t="str">
            <v>Evelyn Nohemi Morales Lopez</v>
          </cell>
          <cell r="H430">
            <v>0</v>
          </cell>
        </row>
        <row r="431">
          <cell r="F431">
            <v>311933</v>
          </cell>
          <cell r="G431" t="str">
            <v>Evelyn Rocio Chiquival Piquic</v>
          </cell>
          <cell r="H431">
            <v>0</v>
          </cell>
        </row>
        <row r="432">
          <cell r="F432">
            <v>315213</v>
          </cell>
          <cell r="G432" t="str">
            <v>Evelyn Susana Hernandez Ambrosio</v>
          </cell>
          <cell r="H432">
            <v>0</v>
          </cell>
        </row>
        <row r="433">
          <cell r="F433">
            <v>311721</v>
          </cell>
          <cell r="G433" t="str">
            <v>Evelyn Yaneth Aceituno Lara</v>
          </cell>
          <cell r="H433">
            <v>0</v>
          </cell>
        </row>
        <row r="434">
          <cell r="F434">
            <v>313016</v>
          </cell>
          <cell r="G434" t="str">
            <v>Ever Josue Del Valle Rivera</v>
          </cell>
          <cell r="H434">
            <v>0</v>
          </cell>
        </row>
        <row r="435">
          <cell r="F435">
            <v>313552</v>
          </cell>
          <cell r="G435" t="str">
            <v>Everilda Choc Caal</v>
          </cell>
          <cell r="H435">
            <v>0</v>
          </cell>
        </row>
        <row r="436">
          <cell r="F436">
            <v>313091</v>
          </cell>
          <cell r="G436" t="str">
            <v>Fabian De Jesus Ramirez Icute</v>
          </cell>
          <cell r="H436">
            <v>0</v>
          </cell>
        </row>
        <row r="437">
          <cell r="F437">
            <v>312169</v>
          </cell>
          <cell r="G437" t="str">
            <v>Fabiola Hernandez Bartolon</v>
          </cell>
          <cell r="H437">
            <v>0</v>
          </cell>
        </row>
        <row r="438">
          <cell r="F438">
            <v>308284</v>
          </cell>
          <cell r="G438" t="str">
            <v>Fabiola Ninett Beteta Barillas</v>
          </cell>
          <cell r="H438">
            <v>0</v>
          </cell>
        </row>
        <row r="439">
          <cell r="F439">
            <v>312293</v>
          </cell>
          <cell r="G439" t="str">
            <v>Fabricio Daniel Cajas Cifuentes</v>
          </cell>
          <cell r="H439">
            <v>0</v>
          </cell>
        </row>
        <row r="440">
          <cell r="F440">
            <v>315582</v>
          </cell>
          <cell r="G440" t="str">
            <v>Fatima Mercedes Montes Quezada</v>
          </cell>
          <cell r="H440">
            <v>0</v>
          </cell>
        </row>
        <row r="441">
          <cell r="F441">
            <v>314263</v>
          </cell>
          <cell r="G441" t="str">
            <v>Feliciana Isabel Ramirez Raymundo</v>
          </cell>
          <cell r="H441">
            <v>0</v>
          </cell>
        </row>
        <row r="442">
          <cell r="F442">
            <v>314012</v>
          </cell>
          <cell r="G442" t="str">
            <v>Felix Rodolfo Alvarado Jimenez</v>
          </cell>
          <cell r="H442">
            <v>0</v>
          </cell>
        </row>
        <row r="443">
          <cell r="F443">
            <v>314349</v>
          </cell>
          <cell r="G443" t="str">
            <v>Fernanda Lucia Lopez Estrada</v>
          </cell>
          <cell r="H443">
            <v>0</v>
          </cell>
        </row>
        <row r="444">
          <cell r="F444">
            <v>312409</v>
          </cell>
          <cell r="G444" t="str">
            <v>Fernanda Rene Villatoro Guarcas</v>
          </cell>
          <cell r="H444">
            <v>0</v>
          </cell>
        </row>
        <row r="445">
          <cell r="F445">
            <v>314934</v>
          </cell>
          <cell r="G445" t="str">
            <v>Fernando Jose Monzon Castañeda</v>
          </cell>
          <cell r="H445">
            <v>0</v>
          </cell>
        </row>
        <row r="446">
          <cell r="F446">
            <v>315303</v>
          </cell>
          <cell r="G446" t="str">
            <v>Flavio Ernesto Monzón Rummler</v>
          </cell>
          <cell r="H446">
            <v>0</v>
          </cell>
        </row>
        <row r="447">
          <cell r="F447">
            <v>315309</v>
          </cell>
          <cell r="G447" t="str">
            <v>Flor De Maria Lopez Garcia</v>
          </cell>
          <cell r="H447">
            <v>0</v>
          </cell>
        </row>
        <row r="448">
          <cell r="F448">
            <v>307917</v>
          </cell>
          <cell r="G448" t="str">
            <v>Flor De Maria Mux Ramos</v>
          </cell>
          <cell r="H448">
            <v>0</v>
          </cell>
        </row>
        <row r="449">
          <cell r="F449">
            <v>315038</v>
          </cell>
          <cell r="G449" t="str">
            <v>Flor Sylvestre Orellana Gonzalez</v>
          </cell>
          <cell r="H449">
            <v>0</v>
          </cell>
        </row>
        <row r="450">
          <cell r="F450">
            <v>101729</v>
          </cell>
          <cell r="G450" t="str">
            <v>Florencio Monterroso Estrada</v>
          </cell>
          <cell r="H450">
            <v>0</v>
          </cell>
        </row>
        <row r="451">
          <cell r="F451">
            <v>314230</v>
          </cell>
          <cell r="G451" t="str">
            <v>Floridalma Leticia Lopez Ramirez</v>
          </cell>
          <cell r="H451">
            <v>0</v>
          </cell>
        </row>
        <row r="452">
          <cell r="F452">
            <v>314093</v>
          </cell>
          <cell r="G452" t="str">
            <v>Floridalma Nicolas Yos</v>
          </cell>
          <cell r="H452">
            <v>0</v>
          </cell>
        </row>
        <row r="453">
          <cell r="F453">
            <v>312717</v>
          </cell>
          <cell r="G453" t="str">
            <v>Florita Reyes Roblero Morales</v>
          </cell>
          <cell r="H453">
            <v>0</v>
          </cell>
        </row>
        <row r="454">
          <cell r="F454">
            <v>314785</v>
          </cell>
          <cell r="G454" t="str">
            <v>Flory Azucena De Leon Ventura</v>
          </cell>
          <cell r="H454">
            <v>0</v>
          </cell>
        </row>
        <row r="455">
          <cell r="F455">
            <v>310144</v>
          </cell>
          <cell r="G455" t="str">
            <v>Francisco Javier Diaz Avila</v>
          </cell>
          <cell r="H455">
            <v>0</v>
          </cell>
        </row>
        <row r="456">
          <cell r="F456">
            <v>315457</v>
          </cell>
          <cell r="G456" t="str">
            <v>Francisco Joel Gomez Rodriguez</v>
          </cell>
          <cell r="H456">
            <v>0</v>
          </cell>
        </row>
        <row r="457">
          <cell r="F457">
            <v>311612</v>
          </cell>
          <cell r="G457" t="str">
            <v>Franklin Alexander Perez Paiz</v>
          </cell>
          <cell r="H457">
            <v>0</v>
          </cell>
        </row>
        <row r="458">
          <cell r="F458">
            <v>315204</v>
          </cell>
          <cell r="G458" t="str">
            <v>Gabriel Antonio Rodas Domingo</v>
          </cell>
          <cell r="H458">
            <v>0</v>
          </cell>
        </row>
        <row r="459">
          <cell r="F459">
            <v>311548</v>
          </cell>
          <cell r="G459" t="str">
            <v>Gabriela Alejandra Estrada Aroche</v>
          </cell>
          <cell r="H459">
            <v>0</v>
          </cell>
        </row>
        <row r="460">
          <cell r="F460">
            <v>306667</v>
          </cell>
          <cell r="G460" t="str">
            <v>Gabriela Elizabeth Flores Santos</v>
          </cell>
          <cell r="H460">
            <v>0</v>
          </cell>
        </row>
        <row r="461">
          <cell r="F461">
            <v>314533</v>
          </cell>
          <cell r="G461" t="str">
            <v>Gabriela Liseth Perez Monzon</v>
          </cell>
          <cell r="H461">
            <v>0</v>
          </cell>
        </row>
        <row r="462">
          <cell r="F462">
            <v>311817</v>
          </cell>
          <cell r="G462" t="str">
            <v>Gabriela Paola Macario Lopez</v>
          </cell>
          <cell r="H462">
            <v>0</v>
          </cell>
        </row>
        <row r="463">
          <cell r="F463">
            <v>301309</v>
          </cell>
          <cell r="G463" t="str">
            <v>Gabriela Pelaez Gonzalez</v>
          </cell>
          <cell r="H463">
            <v>0</v>
          </cell>
        </row>
        <row r="464">
          <cell r="F464">
            <v>315530</v>
          </cell>
          <cell r="G464" t="str">
            <v>Gabriela Raquel Pixtun Trujillo</v>
          </cell>
          <cell r="H464">
            <v>0</v>
          </cell>
        </row>
        <row r="465">
          <cell r="F465">
            <v>315343</v>
          </cell>
          <cell r="G465" t="str">
            <v>Gabriela Valeska Lemus Cotuc</v>
          </cell>
          <cell r="H465">
            <v>0</v>
          </cell>
        </row>
        <row r="466">
          <cell r="F466">
            <v>309911</v>
          </cell>
          <cell r="G466" t="str">
            <v>Gaby Beatriz Lopez Lopez</v>
          </cell>
          <cell r="H466">
            <v>0</v>
          </cell>
        </row>
        <row r="467">
          <cell r="F467">
            <v>315485</v>
          </cell>
          <cell r="G467" t="str">
            <v>Geraldy Daleska Cuyan Giron</v>
          </cell>
          <cell r="H467">
            <v>0</v>
          </cell>
        </row>
        <row r="468">
          <cell r="F468">
            <v>307104</v>
          </cell>
          <cell r="G468" t="str">
            <v>Gerber Ariel De Leon Elias</v>
          </cell>
          <cell r="H468">
            <v>0</v>
          </cell>
        </row>
        <row r="469">
          <cell r="F469">
            <v>312975</v>
          </cell>
          <cell r="G469" t="str">
            <v>Gerberth Aridmendi Arevalo Zepeda</v>
          </cell>
          <cell r="H469">
            <v>0</v>
          </cell>
        </row>
        <row r="470">
          <cell r="F470">
            <v>306654</v>
          </cell>
          <cell r="G470" t="str">
            <v>Gerson Arcadio Hernandez Barrios</v>
          </cell>
          <cell r="H470">
            <v>0</v>
          </cell>
        </row>
        <row r="471">
          <cell r="F471">
            <v>315035</v>
          </cell>
          <cell r="G471" t="str">
            <v>Gerson David Ortega Soto</v>
          </cell>
          <cell r="H471">
            <v>0</v>
          </cell>
        </row>
        <row r="472">
          <cell r="F472">
            <v>315255</v>
          </cell>
          <cell r="G472" t="str">
            <v>Gerson Rene Galicia Alvarez</v>
          </cell>
          <cell r="H472">
            <v>0</v>
          </cell>
        </row>
        <row r="473">
          <cell r="F473">
            <v>313730</v>
          </cell>
          <cell r="G473" t="str">
            <v>Gerson Rolando Alcantara Gonzalez</v>
          </cell>
          <cell r="H473">
            <v>0</v>
          </cell>
        </row>
        <row r="474">
          <cell r="F474">
            <v>315273</v>
          </cell>
          <cell r="G474" t="str">
            <v>Gladis Guadalupe Tuyuc Ramirez</v>
          </cell>
          <cell r="H474">
            <v>0</v>
          </cell>
        </row>
        <row r="475">
          <cell r="F475">
            <v>309429</v>
          </cell>
          <cell r="G475" t="str">
            <v>Gladis Mishel Aguilar Garcia</v>
          </cell>
          <cell r="H475">
            <v>0</v>
          </cell>
        </row>
        <row r="476">
          <cell r="F476">
            <v>315265</v>
          </cell>
          <cell r="G476" t="str">
            <v>Gladis Nohemi Noj Hernandez De De Leon</v>
          </cell>
          <cell r="H476">
            <v>0</v>
          </cell>
        </row>
        <row r="477">
          <cell r="F477">
            <v>301514</v>
          </cell>
          <cell r="G477" t="str">
            <v>Gladiz Maricela Guamuch Caracun De Lopez</v>
          </cell>
          <cell r="H477">
            <v>0</v>
          </cell>
        </row>
        <row r="478">
          <cell r="F478">
            <v>309950</v>
          </cell>
          <cell r="G478" t="str">
            <v>Gladys Maribel Chamale Cotzajay</v>
          </cell>
          <cell r="H478">
            <v>0</v>
          </cell>
        </row>
        <row r="479">
          <cell r="F479">
            <v>315349</v>
          </cell>
          <cell r="G479" t="str">
            <v>Gladys Marleny Rodriguez Tzoc</v>
          </cell>
          <cell r="H479">
            <v>0</v>
          </cell>
        </row>
        <row r="480">
          <cell r="F480">
            <v>306248</v>
          </cell>
          <cell r="G480" t="str">
            <v>Gladys Susana Marin De Leon</v>
          </cell>
          <cell r="H480">
            <v>0</v>
          </cell>
        </row>
        <row r="481">
          <cell r="F481">
            <v>310719</v>
          </cell>
          <cell r="G481" t="str">
            <v>Gladyz Ninett Sanchez Perez</v>
          </cell>
          <cell r="H481">
            <v>0</v>
          </cell>
        </row>
        <row r="482">
          <cell r="F482">
            <v>309945</v>
          </cell>
          <cell r="G482" t="str">
            <v>Glenda Flor De Maria Caal</v>
          </cell>
          <cell r="H482">
            <v>0</v>
          </cell>
        </row>
        <row r="483">
          <cell r="F483">
            <v>314619</v>
          </cell>
          <cell r="G483" t="str">
            <v>Glenda Isabel Perez Velasquez</v>
          </cell>
          <cell r="H483">
            <v>0</v>
          </cell>
        </row>
        <row r="484">
          <cell r="F484">
            <v>315263</v>
          </cell>
          <cell r="G484" t="str">
            <v>Glendy Aracely Arevalo Estrada</v>
          </cell>
          <cell r="H484">
            <v>0</v>
          </cell>
        </row>
        <row r="485">
          <cell r="F485">
            <v>312140</v>
          </cell>
          <cell r="G485" t="str">
            <v>Glendy Elizabeth Aspuac Xunux</v>
          </cell>
          <cell r="H485">
            <v>0</v>
          </cell>
        </row>
        <row r="486">
          <cell r="F486">
            <v>304949</v>
          </cell>
          <cell r="G486" t="str">
            <v>Glendy Modesta Orellana Sanabria</v>
          </cell>
          <cell r="H486">
            <v>0</v>
          </cell>
        </row>
        <row r="487">
          <cell r="F487">
            <v>314189</v>
          </cell>
          <cell r="G487" t="str">
            <v>Gloria Angelica Torres Franco</v>
          </cell>
          <cell r="H487">
            <v>0</v>
          </cell>
        </row>
        <row r="488">
          <cell r="F488">
            <v>304943</v>
          </cell>
          <cell r="G488" t="str">
            <v>Gloria Hernandez Reyes</v>
          </cell>
          <cell r="H488">
            <v>0</v>
          </cell>
        </row>
        <row r="489">
          <cell r="F489">
            <v>314569</v>
          </cell>
          <cell r="G489" t="str">
            <v>Gonzalo Danilo Castillo Miche</v>
          </cell>
          <cell r="H489">
            <v>0</v>
          </cell>
        </row>
        <row r="490">
          <cell r="F490">
            <v>310114</v>
          </cell>
          <cell r="G490" t="str">
            <v>Guadalupe Marroquin Mayen</v>
          </cell>
          <cell r="H490">
            <v>0</v>
          </cell>
        </row>
        <row r="491">
          <cell r="F491">
            <v>313710</v>
          </cell>
          <cell r="G491" t="str">
            <v>Gustavo Adolfo Mixtun Sunun</v>
          </cell>
          <cell r="H491">
            <v>0</v>
          </cell>
        </row>
        <row r="492">
          <cell r="F492">
            <v>314863</v>
          </cell>
          <cell r="G492" t="str">
            <v>Gustavo Manuel Cifuentes De Mata</v>
          </cell>
          <cell r="H492">
            <v>0</v>
          </cell>
        </row>
        <row r="493">
          <cell r="F493">
            <v>315412</v>
          </cell>
          <cell r="G493" t="str">
            <v>Hairo Andre Contreras Paz</v>
          </cell>
          <cell r="H493">
            <v>0</v>
          </cell>
        </row>
        <row r="494">
          <cell r="F494">
            <v>311419</v>
          </cell>
          <cell r="G494" t="str">
            <v>Hallari Michel Orozco Chapen</v>
          </cell>
          <cell r="H494">
            <v>0</v>
          </cell>
        </row>
        <row r="495">
          <cell r="F495">
            <v>312961</v>
          </cell>
          <cell r="G495" t="str">
            <v>Hans Estuard Milian Alarcon</v>
          </cell>
          <cell r="H495">
            <v>0</v>
          </cell>
        </row>
        <row r="496">
          <cell r="F496">
            <v>315569</v>
          </cell>
          <cell r="G496" t="str">
            <v>Heber Benjamin Gomez Ramirez</v>
          </cell>
          <cell r="H496">
            <v>0</v>
          </cell>
        </row>
        <row r="497">
          <cell r="F497">
            <v>315175</v>
          </cell>
          <cell r="G497" t="str">
            <v>Heber Nehemias Velasquez Lorenzo</v>
          </cell>
          <cell r="H497">
            <v>0</v>
          </cell>
        </row>
        <row r="498">
          <cell r="F498">
            <v>315576</v>
          </cell>
          <cell r="G498" t="str">
            <v>Heber Uziel Ruiz Escobar</v>
          </cell>
          <cell r="H498">
            <v>0</v>
          </cell>
        </row>
        <row r="499">
          <cell r="F499">
            <v>315154</v>
          </cell>
          <cell r="G499" t="str">
            <v>Hector Estuardo Velasquez Carvajal</v>
          </cell>
          <cell r="H499">
            <v>0</v>
          </cell>
        </row>
        <row r="500">
          <cell r="F500">
            <v>312588</v>
          </cell>
          <cell r="G500" t="str">
            <v>Hector Manuel Pojoy Berduo</v>
          </cell>
          <cell r="H500" t="str">
            <v>Phoenix</v>
          </cell>
        </row>
        <row r="501">
          <cell r="F501">
            <v>309925</v>
          </cell>
          <cell r="G501" t="str">
            <v>Hector Marco Tulio Torres Garcia</v>
          </cell>
          <cell r="H501">
            <v>0</v>
          </cell>
        </row>
        <row r="502">
          <cell r="F502">
            <v>312114</v>
          </cell>
          <cell r="G502" t="str">
            <v>Hegner Aquino Mateo Recinos</v>
          </cell>
          <cell r="H502">
            <v>0</v>
          </cell>
        </row>
        <row r="503">
          <cell r="F503">
            <v>310694</v>
          </cell>
          <cell r="G503" t="str">
            <v>Heidy Carolina Monterroso Monterroso</v>
          </cell>
          <cell r="H503">
            <v>0</v>
          </cell>
        </row>
        <row r="504">
          <cell r="F504">
            <v>315300</v>
          </cell>
          <cell r="G504" t="str">
            <v>Heidy Karina Gil Quinti</v>
          </cell>
          <cell r="H504">
            <v>0</v>
          </cell>
        </row>
        <row r="505">
          <cell r="F505">
            <v>314029</v>
          </cell>
          <cell r="G505" t="str">
            <v>Heidy Noely Yupe Hernandez</v>
          </cell>
          <cell r="H505">
            <v>0</v>
          </cell>
        </row>
        <row r="506">
          <cell r="F506">
            <v>313510</v>
          </cell>
          <cell r="G506" t="str">
            <v>Heidy Patricia Santizo López</v>
          </cell>
          <cell r="H506">
            <v>0</v>
          </cell>
        </row>
        <row r="507">
          <cell r="F507">
            <v>308951</v>
          </cell>
          <cell r="G507" t="str">
            <v>Heidy Sucely Boc Monroy</v>
          </cell>
          <cell r="H507">
            <v>0</v>
          </cell>
        </row>
        <row r="508">
          <cell r="F508">
            <v>301847</v>
          </cell>
          <cell r="G508" t="str">
            <v>Heidy Yanet Reyes Presencin</v>
          </cell>
          <cell r="H508">
            <v>0</v>
          </cell>
        </row>
        <row r="509">
          <cell r="F509">
            <v>314009</v>
          </cell>
          <cell r="G509" t="str">
            <v>Heily Marie Taracena Diaz</v>
          </cell>
          <cell r="H509">
            <v>0</v>
          </cell>
        </row>
        <row r="510">
          <cell r="F510">
            <v>303959</v>
          </cell>
          <cell r="G510" t="str">
            <v>Helen Editt Solorzano Estrada</v>
          </cell>
          <cell r="H510">
            <v>0</v>
          </cell>
        </row>
        <row r="511">
          <cell r="F511">
            <v>308028</v>
          </cell>
          <cell r="G511" t="str">
            <v>Helen Eunice Hernandez Recinos</v>
          </cell>
          <cell r="H511">
            <v>0</v>
          </cell>
        </row>
        <row r="512">
          <cell r="F512">
            <v>302479</v>
          </cell>
          <cell r="G512" t="str">
            <v>Helen Xiomara Roldan Sagastume</v>
          </cell>
          <cell r="H512">
            <v>0</v>
          </cell>
        </row>
        <row r="513">
          <cell r="F513">
            <v>313041</v>
          </cell>
          <cell r="G513" t="str">
            <v>Hellen Marisol Velasquez Ciprian</v>
          </cell>
          <cell r="H513">
            <v>0</v>
          </cell>
        </row>
        <row r="514">
          <cell r="F514">
            <v>313729</v>
          </cell>
          <cell r="G514" t="str">
            <v>Henry David Lopez Perez</v>
          </cell>
          <cell r="H514">
            <v>0</v>
          </cell>
        </row>
        <row r="515">
          <cell r="F515">
            <v>307713</v>
          </cell>
          <cell r="G515" t="str">
            <v>Henry Donaldo Rodriguez Perez</v>
          </cell>
          <cell r="H515">
            <v>0</v>
          </cell>
        </row>
        <row r="516">
          <cell r="F516">
            <v>315304</v>
          </cell>
          <cell r="G516" t="str">
            <v>Henry Gabriel Morales Chinchilla</v>
          </cell>
          <cell r="H516">
            <v>0</v>
          </cell>
        </row>
        <row r="517">
          <cell r="F517">
            <v>314630</v>
          </cell>
          <cell r="G517" t="str">
            <v>Henry Misael Serech Ramon</v>
          </cell>
          <cell r="H517">
            <v>0</v>
          </cell>
        </row>
        <row r="518">
          <cell r="F518">
            <v>312139</v>
          </cell>
          <cell r="G518" t="str">
            <v>Herber Ardany Lucho Samayoa</v>
          </cell>
          <cell r="H518">
            <v>0</v>
          </cell>
        </row>
        <row r="519">
          <cell r="F519">
            <v>310725</v>
          </cell>
          <cell r="G519" t="str">
            <v>Herber Humberto Cax Gonzales</v>
          </cell>
          <cell r="H519">
            <v>0</v>
          </cell>
        </row>
        <row r="520">
          <cell r="F520">
            <v>309034</v>
          </cell>
          <cell r="G520" t="str">
            <v>Herbert Josue Mucia Garcia</v>
          </cell>
          <cell r="H520">
            <v>0</v>
          </cell>
        </row>
        <row r="521">
          <cell r="F521">
            <v>315218</v>
          </cell>
          <cell r="G521" t="str">
            <v>Herberth Alberto Barrios Perez</v>
          </cell>
          <cell r="H521">
            <v>0</v>
          </cell>
        </row>
        <row r="522">
          <cell r="F522">
            <v>315050</v>
          </cell>
          <cell r="G522" t="str">
            <v>Hercy Dayana Hidalgo Romero</v>
          </cell>
          <cell r="H522">
            <v>0</v>
          </cell>
        </row>
        <row r="523">
          <cell r="F523">
            <v>312377</v>
          </cell>
          <cell r="G523" t="str">
            <v>Hesler Jonathan Quevedo De La Cruz</v>
          </cell>
          <cell r="H523">
            <v>0</v>
          </cell>
        </row>
        <row r="524">
          <cell r="F524">
            <v>315495</v>
          </cell>
          <cell r="G524" t="str">
            <v>Heydee Johana Marisol Cho Del Valle</v>
          </cell>
          <cell r="H524">
            <v>0</v>
          </cell>
        </row>
        <row r="525">
          <cell r="F525">
            <v>302285</v>
          </cell>
          <cell r="G525" t="str">
            <v>Heydi Yaneth Sales Mazariegos</v>
          </cell>
          <cell r="H525">
            <v>0</v>
          </cell>
        </row>
        <row r="526">
          <cell r="F526">
            <v>309528</v>
          </cell>
          <cell r="G526" t="str">
            <v>Heydi Zuleyma Gue Cac</v>
          </cell>
          <cell r="H526">
            <v>0</v>
          </cell>
        </row>
        <row r="527">
          <cell r="F527">
            <v>310612</v>
          </cell>
          <cell r="G527" t="str">
            <v>Heydy Mariela Santiago Armas</v>
          </cell>
          <cell r="H527">
            <v>0</v>
          </cell>
        </row>
        <row r="528">
          <cell r="F528">
            <v>301649</v>
          </cell>
          <cell r="G528" t="str">
            <v>Hilda Paola Lopez Cano</v>
          </cell>
          <cell r="H528">
            <v>0</v>
          </cell>
        </row>
        <row r="529">
          <cell r="F529">
            <v>306404</v>
          </cell>
          <cell r="G529" t="str">
            <v>Hugo Leonel Tahual Ramos</v>
          </cell>
          <cell r="H529">
            <v>0</v>
          </cell>
        </row>
        <row r="530">
          <cell r="F530">
            <v>313743</v>
          </cell>
          <cell r="G530" t="str">
            <v>Hugo Rolando Ruiz Alquijay</v>
          </cell>
          <cell r="H530">
            <v>0</v>
          </cell>
        </row>
        <row r="531">
          <cell r="F531">
            <v>310888</v>
          </cell>
          <cell r="G531" t="str">
            <v>Hugo Vinicio Chavez Barrios</v>
          </cell>
          <cell r="H531">
            <v>0</v>
          </cell>
        </row>
        <row r="532">
          <cell r="F532">
            <v>302261</v>
          </cell>
          <cell r="G532" t="str">
            <v>Idalia Ester Espino Lopez</v>
          </cell>
          <cell r="H532">
            <v>0</v>
          </cell>
        </row>
        <row r="533">
          <cell r="F533">
            <v>304392</v>
          </cell>
          <cell r="G533" t="str">
            <v>Ilda Gricelda Garcia Zacarias</v>
          </cell>
          <cell r="H533">
            <v>0</v>
          </cell>
        </row>
        <row r="534">
          <cell r="F534">
            <v>313703</v>
          </cell>
          <cell r="G534" t="str">
            <v>Ilda Magnolia Lopez Ramirez</v>
          </cell>
          <cell r="H534">
            <v>0</v>
          </cell>
        </row>
        <row r="535">
          <cell r="F535">
            <v>310432</v>
          </cell>
          <cell r="G535" t="str">
            <v>Ilda Merary Calachij Mendez</v>
          </cell>
          <cell r="H535">
            <v>0</v>
          </cell>
        </row>
        <row r="536">
          <cell r="F536">
            <v>309389</v>
          </cell>
          <cell r="G536" t="str">
            <v>Ilsy Meliza Matzir Lebon</v>
          </cell>
          <cell r="H536">
            <v>0</v>
          </cell>
        </row>
        <row r="537">
          <cell r="F537">
            <v>303674</v>
          </cell>
          <cell r="G537" t="str">
            <v>Imelda Elizabeth Castro Rodas</v>
          </cell>
          <cell r="H537">
            <v>0</v>
          </cell>
        </row>
        <row r="538">
          <cell r="F538">
            <v>301644</v>
          </cell>
          <cell r="G538" t="str">
            <v>Imelda Eugenia Recinos Martinez</v>
          </cell>
          <cell r="H538">
            <v>0</v>
          </cell>
        </row>
        <row r="539">
          <cell r="F539">
            <v>307030</v>
          </cell>
          <cell r="G539" t="str">
            <v>Ingrid Alejandra Juarez Yanes</v>
          </cell>
          <cell r="H539">
            <v>0</v>
          </cell>
        </row>
        <row r="540">
          <cell r="F540">
            <v>315503</v>
          </cell>
          <cell r="G540" t="str">
            <v>Ingrid Benita Tojin Chuc</v>
          </cell>
          <cell r="H540">
            <v>0</v>
          </cell>
        </row>
        <row r="541">
          <cell r="F541">
            <v>312398</v>
          </cell>
          <cell r="G541" t="str">
            <v>Ingrid Esteffany Salazar Sosa</v>
          </cell>
          <cell r="H541">
            <v>0</v>
          </cell>
        </row>
        <row r="542">
          <cell r="F542">
            <v>301199</v>
          </cell>
          <cell r="G542" t="str">
            <v>Ingrid Haydee Minchez Monzon</v>
          </cell>
          <cell r="H542">
            <v>0</v>
          </cell>
        </row>
        <row r="543">
          <cell r="F543">
            <v>304317</v>
          </cell>
          <cell r="G543" t="str">
            <v>Ingrid Johana Muñoz Choc</v>
          </cell>
          <cell r="H543">
            <v>0</v>
          </cell>
        </row>
        <row r="544">
          <cell r="F544">
            <v>311286</v>
          </cell>
          <cell r="G544" t="str">
            <v>Ingrid Lorena Anleu Morales</v>
          </cell>
          <cell r="H544">
            <v>0</v>
          </cell>
        </row>
        <row r="545">
          <cell r="F545">
            <v>311133</v>
          </cell>
          <cell r="G545" t="str">
            <v>Ingrid Mariela Maldonado Tubac</v>
          </cell>
          <cell r="H545">
            <v>0</v>
          </cell>
        </row>
        <row r="546">
          <cell r="F546">
            <v>313304</v>
          </cell>
          <cell r="G546" t="str">
            <v>Ingrid Yojana Ramos Sacalxot</v>
          </cell>
          <cell r="H546">
            <v>0</v>
          </cell>
        </row>
        <row r="547">
          <cell r="F547">
            <v>311997</v>
          </cell>
          <cell r="G547" t="str">
            <v>Irene Lizbeth Rodas Cuc</v>
          </cell>
          <cell r="H547">
            <v>0</v>
          </cell>
        </row>
        <row r="548">
          <cell r="F548">
            <v>313128</v>
          </cell>
          <cell r="G548" t="str">
            <v>Iris Elizabeth Cardona Gonzalez</v>
          </cell>
          <cell r="H548">
            <v>0</v>
          </cell>
        </row>
        <row r="549">
          <cell r="F549">
            <v>314232</v>
          </cell>
          <cell r="G549" t="str">
            <v>Iris Yulisa Camposeco Funes</v>
          </cell>
          <cell r="H549">
            <v>0</v>
          </cell>
        </row>
        <row r="550">
          <cell r="F550">
            <v>312920</v>
          </cell>
          <cell r="G550" t="str">
            <v>Irma Leticia Raquec Yos</v>
          </cell>
          <cell r="H550">
            <v>0</v>
          </cell>
        </row>
        <row r="551">
          <cell r="F551">
            <v>314336</v>
          </cell>
          <cell r="G551" t="str">
            <v>Isaac David Ismael Calderon Socop</v>
          </cell>
          <cell r="H551">
            <v>0</v>
          </cell>
        </row>
        <row r="552">
          <cell r="F552">
            <v>315186</v>
          </cell>
          <cell r="G552" t="str">
            <v>Isabelita Retana Zepeda</v>
          </cell>
          <cell r="H552">
            <v>0</v>
          </cell>
        </row>
        <row r="553">
          <cell r="F553">
            <v>311913</v>
          </cell>
          <cell r="G553" t="str">
            <v>Isai Bernabe Quiroa Alvarez</v>
          </cell>
          <cell r="H553">
            <v>0</v>
          </cell>
        </row>
        <row r="554">
          <cell r="F554">
            <v>315302</v>
          </cell>
          <cell r="G554" t="str">
            <v>Isai De Jesus Cabrera Tirado</v>
          </cell>
          <cell r="H554">
            <v>0</v>
          </cell>
        </row>
        <row r="555">
          <cell r="F555">
            <v>314983</v>
          </cell>
          <cell r="G555" t="str">
            <v>Ismael Josafat Barrios</v>
          </cell>
          <cell r="H555">
            <v>0</v>
          </cell>
        </row>
        <row r="556">
          <cell r="F556">
            <v>313569</v>
          </cell>
          <cell r="G556" t="str">
            <v>Ismar Manfredo Gomez Batres</v>
          </cell>
          <cell r="H556">
            <v>0</v>
          </cell>
        </row>
        <row r="557">
          <cell r="F557">
            <v>315034</v>
          </cell>
          <cell r="G557" t="str">
            <v>Jackeline Andrea Yancor Wilhelm</v>
          </cell>
          <cell r="H557">
            <v>0</v>
          </cell>
        </row>
        <row r="558">
          <cell r="F558">
            <v>315352</v>
          </cell>
          <cell r="G558" t="str">
            <v>Jackeline Ester Vasquez Pernillo</v>
          </cell>
          <cell r="H558">
            <v>0</v>
          </cell>
        </row>
        <row r="559">
          <cell r="F559">
            <v>100717</v>
          </cell>
          <cell r="G559" t="str">
            <v>Jackeline Larisa De Leon Roldan</v>
          </cell>
          <cell r="H559">
            <v>0</v>
          </cell>
        </row>
        <row r="560">
          <cell r="F560">
            <v>313656</v>
          </cell>
          <cell r="G560" t="str">
            <v>Jackelinne Judith Paz Morales</v>
          </cell>
          <cell r="H560">
            <v>0</v>
          </cell>
        </row>
        <row r="561">
          <cell r="F561">
            <v>312255</v>
          </cell>
          <cell r="G561" t="str">
            <v>Jacqueline Mercedes Portuguez Simaj</v>
          </cell>
          <cell r="H561">
            <v>0</v>
          </cell>
        </row>
        <row r="562">
          <cell r="F562">
            <v>314780</v>
          </cell>
          <cell r="G562" t="str">
            <v>Jacqueline Michell Arroyo Mendoza</v>
          </cell>
          <cell r="H562">
            <v>0</v>
          </cell>
        </row>
        <row r="563">
          <cell r="F563">
            <v>301265</v>
          </cell>
          <cell r="G563" t="str">
            <v>Jaime Estuardo Gonzalez Lopez</v>
          </cell>
          <cell r="H563">
            <v>0</v>
          </cell>
        </row>
        <row r="564">
          <cell r="F564">
            <v>314552</v>
          </cell>
          <cell r="G564" t="str">
            <v>Jaime Ottoniel Del Aguila Pineda</v>
          </cell>
          <cell r="H564">
            <v>0</v>
          </cell>
        </row>
        <row r="565">
          <cell r="F565">
            <v>301608</v>
          </cell>
          <cell r="G565" t="str">
            <v>Jaime Rene Guzman Muy</v>
          </cell>
          <cell r="H565">
            <v>0</v>
          </cell>
        </row>
        <row r="566">
          <cell r="F566">
            <v>314866</v>
          </cell>
          <cell r="G566" t="str">
            <v>Jaime Wilfredo Chub Coc</v>
          </cell>
          <cell r="H566">
            <v>0</v>
          </cell>
        </row>
        <row r="567">
          <cell r="F567">
            <v>314935</v>
          </cell>
          <cell r="G567" t="str">
            <v>Jairo Anibal Veliz Carrera</v>
          </cell>
          <cell r="H567">
            <v>0</v>
          </cell>
        </row>
        <row r="568">
          <cell r="F568">
            <v>313086</v>
          </cell>
          <cell r="G568" t="str">
            <v>Jairo Onesimo Aguilar Cabrera</v>
          </cell>
          <cell r="H568">
            <v>0</v>
          </cell>
        </row>
        <row r="569">
          <cell r="F569">
            <v>314146</v>
          </cell>
          <cell r="G569" t="str">
            <v>Jairo Saul Lopez Quinteros</v>
          </cell>
          <cell r="H569">
            <v>0</v>
          </cell>
        </row>
        <row r="570">
          <cell r="F570">
            <v>315130</v>
          </cell>
          <cell r="G570" t="str">
            <v>Jakelyn Estrella Erazo Asencio</v>
          </cell>
          <cell r="H570">
            <v>0</v>
          </cell>
        </row>
        <row r="571">
          <cell r="F571">
            <v>315546</v>
          </cell>
          <cell r="G571" t="str">
            <v>James Alexander Marquez Salazar</v>
          </cell>
          <cell r="H571">
            <v>0</v>
          </cell>
        </row>
        <row r="572">
          <cell r="F572">
            <v>314261</v>
          </cell>
          <cell r="G572" t="str">
            <v>Jannely Darlene Telon Giron</v>
          </cell>
          <cell r="H572">
            <v>0</v>
          </cell>
        </row>
        <row r="573">
          <cell r="F573">
            <v>313187</v>
          </cell>
          <cell r="G573" t="str">
            <v>Janyer Violeta Aguirre Alvarez</v>
          </cell>
          <cell r="H573">
            <v>0</v>
          </cell>
        </row>
        <row r="574">
          <cell r="F574">
            <v>308525</v>
          </cell>
          <cell r="G574" t="str">
            <v>Jaquelin Paola Lopez Bocel</v>
          </cell>
          <cell r="H574">
            <v>0</v>
          </cell>
        </row>
        <row r="575">
          <cell r="F575">
            <v>308189</v>
          </cell>
          <cell r="G575" t="str">
            <v>Jaquelin Rocxana Cantey De Leon</v>
          </cell>
          <cell r="H575">
            <v>0</v>
          </cell>
        </row>
        <row r="576">
          <cell r="F576">
            <v>312758</v>
          </cell>
          <cell r="G576" t="str">
            <v>Jaqueline Gabriela Vasquez Icute De Padilla</v>
          </cell>
          <cell r="H576">
            <v>0</v>
          </cell>
        </row>
        <row r="577">
          <cell r="F577">
            <v>301462</v>
          </cell>
          <cell r="G577" t="str">
            <v>Jaqueline Johana Hernandez Masaya</v>
          </cell>
          <cell r="H577">
            <v>0</v>
          </cell>
        </row>
        <row r="578">
          <cell r="F578">
            <v>310027</v>
          </cell>
          <cell r="G578" t="str">
            <v>Jaqueline Mishel Zetino Culan</v>
          </cell>
          <cell r="H578">
            <v>0</v>
          </cell>
        </row>
        <row r="579">
          <cell r="F579">
            <v>313663</v>
          </cell>
          <cell r="G579" t="str">
            <v>Jaqueline Mishell Perez Sanic</v>
          </cell>
          <cell r="H579">
            <v>0</v>
          </cell>
        </row>
        <row r="580">
          <cell r="F580">
            <v>314697</v>
          </cell>
          <cell r="G580" t="str">
            <v>Jaqueline Noemi Cojon Franco</v>
          </cell>
          <cell r="H580">
            <v>0</v>
          </cell>
        </row>
        <row r="581">
          <cell r="F581">
            <v>314526</v>
          </cell>
          <cell r="G581" t="str">
            <v>Jaqueline Sarai Reynoso Perez</v>
          </cell>
          <cell r="H581">
            <v>0</v>
          </cell>
        </row>
        <row r="582">
          <cell r="F582">
            <v>314952</v>
          </cell>
          <cell r="G582" t="str">
            <v>Jaqueline Stephanie Espinoza Espinoza</v>
          </cell>
          <cell r="H582">
            <v>0</v>
          </cell>
        </row>
        <row r="583">
          <cell r="F583">
            <v>315467</v>
          </cell>
          <cell r="G583" t="str">
            <v>Jaqueline Vanessa Cardona Del Cid</v>
          </cell>
          <cell r="H583">
            <v>0</v>
          </cell>
        </row>
        <row r="584">
          <cell r="F584">
            <v>314066</v>
          </cell>
          <cell r="G584" t="str">
            <v>Jaquelyn Marleny Fernandez</v>
          </cell>
          <cell r="H584">
            <v>0</v>
          </cell>
        </row>
        <row r="585">
          <cell r="F585">
            <v>314639</v>
          </cell>
          <cell r="G585" t="str">
            <v>Jarod Emanuel Prado Sanchez</v>
          </cell>
          <cell r="H585">
            <v>0</v>
          </cell>
        </row>
        <row r="586">
          <cell r="F586">
            <v>311320</v>
          </cell>
          <cell r="G586" t="str">
            <v>Jasly Elisama Escobar Mayen</v>
          </cell>
          <cell r="H586">
            <v>0</v>
          </cell>
        </row>
        <row r="587">
          <cell r="F587">
            <v>304531</v>
          </cell>
          <cell r="G587" t="str">
            <v>Jasmin Cristabel Rosales</v>
          </cell>
          <cell r="H587">
            <v>0</v>
          </cell>
        </row>
        <row r="588">
          <cell r="F588">
            <v>315500</v>
          </cell>
          <cell r="G588" t="str">
            <v>Jasson Daniel Morales Garcia</v>
          </cell>
          <cell r="H588">
            <v>0</v>
          </cell>
        </row>
        <row r="589">
          <cell r="F589">
            <v>315383</v>
          </cell>
          <cell r="G589" t="str">
            <v>Javier Estuardo Calderon Caceres</v>
          </cell>
          <cell r="H589">
            <v>0</v>
          </cell>
        </row>
        <row r="590">
          <cell r="F590">
            <v>307598</v>
          </cell>
          <cell r="G590" t="str">
            <v>Javier Ignacio Monzon Leon</v>
          </cell>
          <cell r="H590">
            <v>0</v>
          </cell>
        </row>
        <row r="591">
          <cell r="F591">
            <v>312743</v>
          </cell>
          <cell r="G591" t="str">
            <v>Jayro Vinicio Alvarado Rodriguez</v>
          </cell>
          <cell r="H591">
            <v>0</v>
          </cell>
        </row>
        <row r="592">
          <cell r="F592">
            <v>313435</v>
          </cell>
          <cell r="G592" t="str">
            <v>Jefferson Marvin Baudilio Aldana Lozano</v>
          </cell>
          <cell r="H592">
            <v>0</v>
          </cell>
        </row>
        <row r="593">
          <cell r="F593">
            <v>310987</v>
          </cell>
          <cell r="G593" t="str">
            <v>Jeffrey Donely Alvarez Garcia</v>
          </cell>
          <cell r="H593">
            <v>0</v>
          </cell>
        </row>
        <row r="594">
          <cell r="F594">
            <v>315307</v>
          </cell>
          <cell r="G594" t="str">
            <v>Jeicob Manrique Argueta Ovalle</v>
          </cell>
          <cell r="H594">
            <v>0</v>
          </cell>
        </row>
        <row r="595">
          <cell r="F595">
            <v>313167</v>
          </cell>
          <cell r="G595" t="str">
            <v>Jency Julissa Chavarria Garcia</v>
          </cell>
          <cell r="H595">
            <v>0</v>
          </cell>
        </row>
        <row r="596">
          <cell r="F596">
            <v>309592</v>
          </cell>
          <cell r="G596" t="str">
            <v>Jenifer Estrella Alvarez Cruz</v>
          </cell>
          <cell r="H596">
            <v>0</v>
          </cell>
        </row>
        <row r="597">
          <cell r="F597">
            <v>308871</v>
          </cell>
          <cell r="G597" t="str">
            <v>Jenifer Lisset Chicol Solis</v>
          </cell>
          <cell r="H597">
            <v>0</v>
          </cell>
        </row>
        <row r="598">
          <cell r="F598">
            <v>310744</v>
          </cell>
          <cell r="G598" t="str">
            <v>Jenifer Lucrecia Herrera Gonzalez</v>
          </cell>
          <cell r="H598">
            <v>0</v>
          </cell>
        </row>
        <row r="599">
          <cell r="F599">
            <v>312022</v>
          </cell>
          <cell r="G599" t="str">
            <v>Jenifer Maria Lopez Jimenez</v>
          </cell>
          <cell r="H599">
            <v>0</v>
          </cell>
        </row>
        <row r="600">
          <cell r="F600">
            <v>311998</v>
          </cell>
          <cell r="G600" t="str">
            <v>Jenifer Patricia Ruano Camo</v>
          </cell>
          <cell r="H600">
            <v>0</v>
          </cell>
        </row>
        <row r="601">
          <cell r="F601">
            <v>314393</v>
          </cell>
          <cell r="G601" t="str">
            <v>Jeniffer Yadaris Villegas Montepeque</v>
          </cell>
          <cell r="H601">
            <v>0</v>
          </cell>
        </row>
        <row r="602">
          <cell r="F602">
            <v>312144</v>
          </cell>
          <cell r="G602" t="str">
            <v>Jennie Beatriz Aguilar Gonzalez</v>
          </cell>
          <cell r="H602">
            <v>0</v>
          </cell>
        </row>
        <row r="603">
          <cell r="F603">
            <v>310751</v>
          </cell>
          <cell r="G603" t="str">
            <v>Jennifer Alejandra Escobar De Leon</v>
          </cell>
          <cell r="H603">
            <v>0</v>
          </cell>
        </row>
        <row r="604">
          <cell r="F604">
            <v>311804</v>
          </cell>
          <cell r="G604" t="str">
            <v>Jennifer Carolina Xitimul Aguilar</v>
          </cell>
          <cell r="H604">
            <v>0</v>
          </cell>
        </row>
        <row r="605">
          <cell r="F605">
            <v>315185</v>
          </cell>
          <cell r="G605" t="str">
            <v>Jennifer Estefany Argueta De Leon</v>
          </cell>
          <cell r="H605">
            <v>0</v>
          </cell>
        </row>
        <row r="606">
          <cell r="F606">
            <v>313611</v>
          </cell>
          <cell r="G606" t="str">
            <v>Jennifer Mishel Reyes Solis</v>
          </cell>
          <cell r="H606">
            <v>0</v>
          </cell>
        </row>
        <row r="607">
          <cell r="F607">
            <v>314306</v>
          </cell>
          <cell r="G607" t="str">
            <v>Jennifer Noemi Soch Castro</v>
          </cell>
          <cell r="H607">
            <v>0</v>
          </cell>
        </row>
        <row r="608">
          <cell r="F608">
            <v>312876</v>
          </cell>
          <cell r="G608" t="str">
            <v>Jennifer Pahola Calderon Lopez</v>
          </cell>
          <cell r="H608">
            <v>0</v>
          </cell>
        </row>
        <row r="609">
          <cell r="F609">
            <v>311421</v>
          </cell>
          <cell r="G609" t="str">
            <v>Jennifer Scarlett Garcia Perez</v>
          </cell>
          <cell r="H609">
            <v>0</v>
          </cell>
        </row>
        <row r="610">
          <cell r="F610">
            <v>312270</v>
          </cell>
          <cell r="G610" t="str">
            <v>Jennifer Vanessa Rodriguez Hernandez</v>
          </cell>
          <cell r="H610">
            <v>0</v>
          </cell>
        </row>
        <row r="611">
          <cell r="F611">
            <v>313387</v>
          </cell>
          <cell r="G611" t="str">
            <v>Jennifer Waleska Arévalo Barrios</v>
          </cell>
          <cell r="H611">
            <v>0</v>
          </cell>
        </row>
        <row r="612">
          <cell r="F612">
            <v>312117</v>
          </cell>
          <cell r="G612" t="str">
            <v>Jenniffer Jazmin Ramos Madriles</v>
          </cell>
          <cell r="H612">
            <v>0</v>
          </cell>
        </row>
        <row r="613">
          <cell r="F613">
            <v>310238</v>
          </cell>
          <cell r="G613" t="str">
            <v>Jennyfer Cristina Zamora Rosales</v>
          </cell>
          <cell r="H613">
            <v>0</v>
          </cell>
        </row>
        <row r="614">
          <cell r="F614">
            <v>312732</v>
          </cell>
          <cell r="G614" t="str">
            <v>Jerson Herminio Melchor Vasquez</v>
          </cell>
          <cell r="H614">
            <v>0</v>
          </cell>
        </row>
        <row r="615">
          <cell r="F615">
            <v>314962</v>
          </cell>
          <cell r="G615" t="str">
            <v>Jessica Alejandra Castillo Alvarado</v>
          </cell>
          <cell r="H615">
            <v>0</v>
          </cell>
        </row>
        <row r="616">
          <cell r="F616">
            <v>314100</v>
          </cell>
          <cell r="G616" t="str">
            <v>Jessica Elizabeth Perez Noriega</v>
          </cell>
          <cell r="H616">
            <v>0</v>
          </cell>
        </row>
        <row r="617">
          <cell r="F617">
            <v>311601</v>
          </cell>
          <cell r="G617" t="str">
            <v>Jessica Haydee Garcia Cuyuche</v>
          </cell>
          <cell r="H617">
            <v>0</v>
          </cell>
        </row>
        <row r="618">
          <cell r="F618">
            <v>314620</v>
          </cell>
          <cell r="G618" t="str">
            <v>Jessica Jasmin Baltazar Fuentes</v>
          </cell>
          <cell r="H618">
            <v>0</v>
          </cell>
        </row>
        <row r="619">
          <cell r="F619">
            <v>302841</v>
          </cell>
          <cell r="G619" t="str">
            <v>Jessica Maria Jose Santizo Guzman</v>
          </cell>
          <cell r="H619">
            <v>0</v>
          </cell>
        </row>
        <row r="620">
          <cell r="F620">
            <v>306420</v>
          </cell>
          <cell r="G620" t="str">
            <v>Jessica Paola Espinoza Solares</v>
          </cell>
          <cell r="H620">
            <v>0</v>
          </cell>
        </row>
        <row r="621">
          <cell r="F621">
            <v>313826</v>
          </cell>
          <cell r="G621" t="str">
            <v>Jesus Alberto Vasquez</v>
          </cell>
          <cell r="H621">
            <v>0</v>
          </cell>
        </row>
        <row r="622">
          <cell r="F622">
            <v>314641</v>
          </cell>
          <cell r="G622" t="str">
            <v>Jesus Emanuel Ramos Perez</v>
          </cell>
          <cell r="H622">
            <v>0</v>
          </cell>
        </row>
        <row r="623">
          <cell r="F623">
            <v>314554</v>
          </cell>
          <cell r="G623" t="str">
            <v>Jhonatan Alexis Ramos Tecun</v>
          </cell>
          <cell r="H623">
            <v>0</v>
          </cell>
        </row>
        <row r="624">
          <cell r="F624">
            <v>309115</v>
          </cell>
          <cell r="G624" t="str">
            <v>Jhony Ivan Perez Castillo</v>
          </cell>
          <cell r="H624">
            <v>0</v>
          </cell>
        </row>
        <row r="625">
          <cell r="F625">
            <v>311171</v>
          </cell>
          <cell r="G625" t="str">
            <v>Jhoselyn Guadalupe Aquino Maldonado</v>
          </cell>
          <cell r="H625">
            <v>0</v>
          </cell>
        </row>
        <row r="626">
          <cell r="F626">
            <v>311987</v>
          </cell>
          <cell r="G626" t="str">
            <v>Jhosseline Stefanie Zermeño Ayala</v>
          </cell>
          <cell r="H626">
            <v>0</v>
          </cell>
        </row>
        <row r="627">
          <cell r="F627">
            <v>315116</v>
          </cell>
          <cell r="G627" t="str">
            <v>Jocelyn Fabiola Negro Vasquez</v>
          </cell>
          <cell r="H627">
            <v>0</v>
          </cell>
        </row>
        <row r="628">
          <cell r="F628">
            <v>314644</v>
          </cell>
          <cell r="G628" t="str">
            <v>Joel Bernardino Pu Vicente</v>
          </cell>
          <cell r="H628">
            <v>0</v>
          </cell>
        </row>
        <row r="629">
          <cell r="F629">
            <v>314368</v>
          </cell>
          <cell r="G629" t="str">
            <v>Johanna Cecilia Hernandez Ixtecoc</v>
          </cell>
          <cell r="H629">
            <v>0</v>
          </cell>
        </row>
        <row r="630">
          <cell r="F630">
            <v>314339</v>
          </cell>
          <cell r="G630" t="str">
            <v>Jonatan Estuardo Lopez Gonzalez</v>
          </cell>
          <cell r="H630">
            <v>0</v>
          </cell>
        </row>
        <row r="631">
          <cell r="F631">
            <v>313157</v>
          </cell>
          <cell r="G631" t="str">
            <v>Jonatan Guillermo Soto Urbina</v>
          </cell>
          <cell r="H631">
            <v>0</v>
          </cell>
        </row>
        <row r="632">
          <cell r="F632">
            <v>315492</v>
          </cell>
          <cell r="G632" t="str">
            <v>Jonathan Daniel Perez Marroquin</v>
          </cell>
          <cell r="H632">
            <v>0</v>
          </cell>
        </row>
        <row r="633">
          <cell r="F633">
            <v>315156</v>
          </cell>
          <cell r="G633" t="str">
            <v>Jonathan Donely Sandoval Soch</v>
          </cell>
          <cell r="H633">
            <v>0</v>
          </cell>
        </row>
        <row r="634">
          <cell r="F634">
            <v>315451</v>
          </cell>
          <cell r="G634" t="str">
            <v>Jonathan Estuardo Boteo Hernandez</v>
          </cell>
          <cell r="H634">
            <v>0</v>
          </cell>
        </row>
        <row r="635">
          <cell r="F635">
            <v>314228</v>
          </cell>
          <cell r="G635" t="str">
            <v>Jordi Alexander Yuman Ramos</v>
          </cell>
          <cell r="H635">
            <v>0</v>
          </cell>
        </row>
        <row r="636">
          <cell r="F636">
            <v>305955</v>
          </cell>
          <cell r="G636" t="str">
            <v>Jorge Alfredo Gutierrez Rodriguez</v>
          </cell>
          <cell r="H636">
            <v>0</v>
          </cell>
        </row>
        <row r="637">
          <cell r="F637">
            <v>309695</v>
          </cell>
          <cell r="G637" t="str">
            <v>Jorge Andres Sunum Sacul</v>
          </cell>
          <cell r="H637">
            <v>0</v>
          </cell>
        </row>
        <row r="638">
          <cell r="F638">
            <v>310641</v>
          </cell>
          <cell r="G638" t="str">
            <v>Jorge Antonio Ramirez Sicay</v>
          </cell>
          <cell r="H638">
            <v>0</v>
          </cell>
        </row>
        <row r="639">
          <cell r="F639">
            <v>300150</v>
          </cell>
          <cell r="G639" t="str">
            <v>Jorge Ckristian Murga</v>
          </cell>
          <cell r="H639">
            <v>0</v>
          </cell>
        </row>
        <row r="640">
          <cell r="F640">
            <v>315114</v>
          </cell>
          <cell r="G640" t="str">
            <v>Jorge Enrique Tzic Cruz</v>
          </cell>
          <cell r="H640">
            <v>0</v>
          </cell>
        </row>
        <row r="641">
          <cell r="F641">
            <v>300590</v>
          </cell>
          <cell r="G641" t="str">
            <v>Jorge Luis Hernandez Corado</v>
          </cell>
          <cell r="H641">
            <v>0</v>
          </cell>
        </row>
        <row r="642">
          <cell r="F642">
            <v>315173</v>
          </cell>
          <cell r="G642" t="str">
            <v>Jorge Luis Morales Lopez</v>
          </cell>
          <cell r="H642">
            <v>0</v>
          </cell>
        </row>
        <row r="643">
          <cell r="F643">
            <v>315067</v>
          </cell>
          <cell r="G643" t="str">
            <v>Jorge Luis Rizo Melgar</v>
          </cell>
          <cell r="H643">
            <v>0</v>
          </cell>
        </row>
        <row r="644">
          <cell r="F644">
            <v>309498</v>
          </cell>
          <cell r="G644" t="str">
            <v>Jorge Ramiro Ixpec Tinti</v>
          </cell>
          <cell r="H644">
            <v>0</v>
          </cell>
        </row>
        <row r="645">
          <cell r="F645">
            <v>313405</v>
          </cell>
          <cell r="G645" t="str">
            <v>Josabet Anai Paz Lobos</v>
          </cell>
          <cell r="H645">
            <v>0</v>
          </cell>
        </row>
        <row r="646">
          <cell r="F646">
            <v>315268</v>
          </cell>
          <cell r="G646" t="str">
            <v>Jose Alberto Alveno Chacon</v>
          </cell>
          <cell r="H646">
            <v>0</v>
          </cell>
        </row>
        <row r="647">
          <cell r="F647">
            <v>312319</v>
          </cell>
          <cell r="G647" t="str">
            <v>Jose Alberto Sosa</v>
          </cell>
          <cell r="H647">
            <v>0</v>
          </cell>
        </row>
        <row r="648">
          <cell r="F648">
            <v>315039</v>
          </cell>
          <cell r="G648" t="str">
            <v>Jose Alejandro Hernandez Escobar</v>
          </cell>
          <cell r="H648">
            <v>0</v>
          </cell>
        </row>
        <row r="649">
          <cell r="F649">
            <v>310674</v>
          </cell>
          <cell r="G649" t="str">
            <v>Jose Armando Bamaca De Leon</v>
          </cell>
          <cell r="H649">
            <v>0</v>
          </cell>
        </row>
        <row r="650">
          <cell r="F650">
            <v>313612</v>
          </cell>
          <cell r="G650" t="str">
            <v>Jose Baldemar Galicia Muñoz</v>
          </cell>
          <cell r="H650">
            <v>0</v>
          </cell>
        </row>
        <row r="651">
          <cell r="F651">
            <v>314216</v>
          </cell>
          <cell r="G651" t="str">
            <v>Jose Bernardo Yax Pop</v>
          </cell>
          <cell r="H651">
            <v>0</v>
          </cell>
        </row>
        <row r="652">
          <cell r="F652">
            <v>314504</v>
          </cell>
          <cell r="G652" t="str">
            <v>Jose Carlos Lopez Santisteban</v>
          </cell>
          <cell r="H652">
            <v>0</v>
          </cell>
        </row>
        <row r="653">
          <cell r="F653">
            <v>310673</v>
          </cell>
          <cell r="G653" t="str">
            <v>Jose Carlos Orozco Lopez</v>
          </cell>
          <cell r="H653">
            <v>0</v>
          </cell>
        </row>
        <row r="654">
          <cell r="F654">
            <v>308982</v>
          </cell>
          <cell r="G654" t="str">
            <v>Jose Daniel Sosa Torres</v>
          </cell>
          <cell r="H654">
            <v>0</v>
          </cell>
        </row>
        <row r="655">
          <cell r="F655">
            <v>314510</v>
          </cell>
          <cell r="G655" t="str">
            <v>Jose David Flores Enriquez</v>
          </cell>
          <cell r="H655">
            <v>0</v>
          </cell>
        </row>
        <row r="656">
          <cell r="F656">
            <v>315261</v>
          </cell>
          <cell r="G656" t="str">
            <v>Jose Emmanuel Ixcajo Higueros</v>
          </cell>
          <cell r="H656">
            <v>0</v>
          </cell>
        </row>
        <row r="657">
          <cell r="F657">
            <v>313766</v>
          </cell>
          <cell r="G657" t="str">
            <v>Jose Francisco Aquino Monterroso</v>
          </cell>
          <cell r="H657">
            <v>0</v>
          </cell>
        </row>
        <row r="658">
          <cell r="F658">
            <v>315415</v>
          </cell>
          <cell r="G658" t="str">
            <v>Jose Guillermo Marroquin Alvarado</v>
          </cell>
          <cell r="H658">
            <v>0</v>
          </cell>
        </row>
        <row r="659">
          <cell r="F659">
            <v>306915</v>
          </cell>
          <cell r="G659" t="str">
            <v>Jose Luis Chinchilla</v>
          </cell>
          <cell r="H659">
            <v>0</v>
          </cell>
        </row>
        <row r="660">
          <cell r="F660">
            <v>309765</v>
          </cell>
          <cell r="G660" t="str">
            <v>Jose Luis Velasquez Miche</v>
          </cell>
          <cell r="H660">
            <v>0</v>
          </cell>
        </row>
        <row r="661">
          <cell r="F661">
            <v>314262</v>
          </cell>
          <cell r="G661" t="str">
            <v>Jose Manuel Carreto Lopez</v>
          </cell>
          <cell r="H661">
            <v>0</v>
          </cell>
        </row>
        <row r="662">
          <cell r="F662">
            <v>315487</v>
          </cell>
          <cell r="G662" t="str">
            <v>Jose Manuel Vasquez Osoy</v>
          </cell>
          <cell r="H662">
            <v>0</v>
          </cell>
        </row>
        <row r="663">
          <cell r="F663">
            <v>304892</v>
          </cell>
          <cell r="G663" t="str">
            <v>Jose Mario Alberto Ordoñez Quiñonez</v>
          </cell>
          <cell r="H663">
            <v>0</v>
          </cell>
        </row>
        <row r="664">
          <cell r="F664">
            <v>313023</v>
          </cell>
          <cell r="G664" t="str">
            <v>Jose Miguel Angel Noj Aguilar</v>
          </cell>
          <cell r="H664">
            <v>0</v>
          </cell>
        </row>
        <row r="665">
          <cell r="F665">
            <v>312573</v>
          </cell>
          <cell r="G665" t="str">
            <v>Jose Miguel Santos Roca</v>
          </cell>
          <cell r="H665">
            <v>0</v>
          </cell>
        </row>
        <row r="666">
          <cell r="F666">
            <v>311802</v>
          </cell>
          <cell r="G666" t="str">
            <v>Jose Roberto Samayoa Bernal</v>
          </cell>
          <cell r="H666">
            <v>0</v>
          </cell>
        </row>
        <row r="667">
          <cell r="F667">
            <v>314614</v>
          </cell>
          <cell r="G667" t="str">
            <v>Jose Rodrigo Choc Turcios</v>
          </cell>
          <cell r="H667">
            <v>0</v>
          </cell>
        </row>
        <row r="668">
          <cell r="F668">
            <v>314729</v>
          </cell>
          <cell r="G668" t="str">
            <v>Joselin Rocio Galicia Mendez</v>
          </cell>
          <cell r="H668">
            <v>0</v>
          </cell>
        </row>
        <row r="669">
          <cell r="F669">
            <v>315496</v>
          </cell>
          <cell r="G669" t="str">
            <v>Joseline Otilia Lorenzana Obando</v>
          </cell>
          <cell r="H669">
            <v>0</v>
          </cell>
        </row>
        <row r="670">
          <cell r="F670">
            <v>310302</v>
          </cell>
          <cell r="G670" t="str">
            <v>Joselyn Amparo Jolon Arenas</v>
          </cell>
          <cell r="H670">
            <v>0</v>
          </cell>
        </row>
        <row r="671">
          <cell r="F671">
            <v>315573</v>
          </cell>
          <cell r="G671" t="str">
            <v>Joselyn Marilu Lima Hernandez</v>
          </cell>
          <cell r="H671">
            <v>0</v>
          </cell>
        </row>
        <row r="672">
          <cell r="F672">
            <v>313361</v>
          </cell>
          <cell r="G672" t="str">
            <v>Joselyne Elizabeth Sanchez Rodriguez</v>
          </cell>
          <cell r="H672">
            <v>0</v>
          </cell>
        </row>
        <row r="673">
          <cell r="F673">
            <v>309870</v>
          </cell>
          <cell r="G673" t="str">
            <v>Joselyne Gabriela Ruiz Serra</v>
          </cell>
          <cell r="H673">
            <v>0</v>
          </cell>
        </row>
        <row r="674">
          <cell r="F674">
            <v>311407</v>
          </cell>
          <cell r="G674" t="str">
            <v>Joshelyn Andrea Ozuna Rosales</v>
          </cell>
          <cell r="H674">
            <v>0</v>
          </cell>
        </row>
        <row r="675">
          <cell r="F675">
            <v>315066</v>
          </cell>
          <cell r="G675" t="str">
            <v>Joshua Leonel Pardo Carrera</v>
          </cell>
          <cell r="H675">
            <v>0</v>
          </cell>
        </row>
        <row r="676">
          <cell r="F676">
            <v>314433</v>
          </cell>
          <cell r="G676" t="str">
            <v>Josselin Azucena Cortez Hernandez</v>
          </cell>
          <cell r="H676">
            <v>0</v>
          </cell>
        </row>
        <row r="677">
          <cell r="F677">
            <v>315560</v>
          </cell>
          <cell r="G677" t="str">
            <v>Josseline Maribel Sarceno Guerra</v>
          </cell>
          <cell r="H677">
            <v>0</v>
          </cell>
        </row>
        <row r="678">
          <cell r="F678">
            <v>314268</v>
          </cell>
          <cell r="G678" t="str">
            <v>Josseline Mishel Flores Baren</v>
          </cell>
          <cell r="H678">
            <v>0</v>
          </cell>
        </row>
        <row r="679">
          <cell r="F679">
            <v>313034</v>
          </cell>
          <cell r="G679" t="str">
            <v>Josselyn Raab Morales Arana</v>
          </cell>
          <cell r="H679">
            <v>0</v>
          </cell>
        </row>
        <row r="680">
          <cell r="F680">
            <v>314989</v>
          </cell>
          <cell r="G680" t="str">
            <v>Josue Adrian Gutierrez Garcia</v>
          </cell>
          <cell r="H680">
            <v>0</v>
          </cell>
        </row>
        <row r="681">
          <cell r="F681">
            <v>308461</v>
          </cell>
          <cell r="G681" t="str">
            <v>Josue Gamaliel Rivera</v>
          </cell>
          <cell r="H681">
            <v>0</v>
          </cell>
        </row>
        <row r="682">
          <cell r="F682">
            <v>315155</v>
          </cell>
          <cell r="G682" t="str">
            <v>Josue Helaman Delgado Rivera</v>
          </cell>
          <cell r="H682">
            <v>0</v>
          </cell>
        </row>
        <row r="683">
          <cell r="F683">
            <v>315011</v>
          </cell>
          <cell r="G683" t="str">
            <v>Josue Ivan Escobar De Leon</v>
          </cell>
          <cell r="H683">
            <v>0</v>
          </cell>
        </row>
        <row r="684">
          <cell r="F684">
            <v>313389</v>
          </cell>
          <cell r="G684" t="str">
            <v>Josue Leonel Hernandez Diaz</v>
          </cell>
          <cell r="H684">
            <v>0</v>
          </cell>
        </row>
        <row r="685">
          <cell r="F685">
            <v>301059</v>
          </cell>
          <cell r="G685" t="str">
            <v>Jovita Vasquez Cuestas</v>
          </cell>
          <cell r="H685">
            <v>0</v>
          </cell>
        </row>
        <row r="686">
          <cell r="F686">
            <v>314492</v>
          </cell>
          <cell r="G686" t="str">
            <v>Juan Antonio Alvarez Paniagua</v>
          </cell>
          <cell r="H686">
            <v>0</v>
          </cell>
        </row>
        <row r="687">
          <cell r="F687">
            <v>313594</v>
          </cell>
          <cell r="G687" t="str">
            <v>Juan Carlos Enrique Molina Ramirez</v>
          </cell>
          <cell r="H687">
            <v>0</v>
          </cell>
        </row>
        <row r="688">
          <cell r="F688">
            <v>314452</v>
          </cell>
          <cell r="G688" t="str">
            <v>Juan Carlos Ivan Garcia Garcia</v>
          </cell>
          <cell r="H688">
            <v>0</v>
          </cell>
        </row>
        <row r="689">
          <cell r="F689">
            <v>307279</v>
          </cell>
          <cell r="G689" t="str">
            <v>Juan Carlos Perez Cahueque</v>
          </cell>
          <cell r="H689">
            <v>0</v>
          </cell>
        </row>
        <row r="690">
          <cell r="F690">
            <v>315455</v>
          </cell>
          <cell r="G690" t="str">
            <v>Juan Daniel Davila Juarez</v>
          </cell>
          <cell r="H690">
            <v>0</v>
          </cell>
        </row>
        <row r="691">
          <cell r="F691">
            <v>312318</v>
          </cell>
          <cell r="G691" t="str">
            <v>Juan Enrique Garcia</v>
          </cell>
          <cell r="H691">
            <v>0</v>
          </cell>
        </row>
        <row r="692">
          <cell r="F692">
            <v>314669</v>
          </cell>
          <cell r="G692" t="str">
            <v>Juan Enrique Jul Coc</v>
          </cell>
          <cell r="H692">
            <v>0</v>
          </cell>
        </row>
        <row r="693">
          <cell r="F693">
            <v>311223</v>
          </cell>
          <cell r="G693" t="str">
            <v>Juan Francisco Gudiel Castillo</v>
          </cell>
          <cell r="H693">
            <v>0</v>
          </cell>
        </row>
        <row r="694">
          <cell r="F694">
            <v>313343</v>
          </cell>
          <cell r="G694" t="str">
            <v>Juan Francisco Lopez Salic</v>
          </cell>
          <cell r="H694">
            <v>0</v>
          </cell>
        </row>
        <row r="695">
          <cell r="F695">
            <v>300401</v>
          </cell>
          <cell r="G695" t="str">
            <v>Juan Gabriel Mendoza Alvarez</v>
          </cell>
          <cell r="H695">
            <v>0</v>
          </cell>
        </row>
        <row r="696">
          <cell r="F696">
            <v>313617</v>
          </cell>
          <cell r="G696" t="str">
            <v>Juan Isael Amador</v>
          </cell>
          <cell r="H696">
            <v>0</v>
          </cell>
        </row>
        <row r="697">
          <cell r="F697">
            <v>314961</v>
          </cell>
          <cell r="G697" t="str">
            <v>Juan Jose Cifuentes Chavez</v>
          </cell>
          <cell r="H697">
            <v>0</v>
          </cell>
        </row>
        <row r="698">
          <cell r="F698">
            <v>300919</v>
          </cell>
          <cell r="G698" t="str">
            <v>Juan Jose Rodriguez Catu</v>
          </cell>
          <cell r="H698">
            <v>0</v>
          </cell>
        </row>
        <row r="699">
          <cell r="F699">
            <v>313044</v>
          </cell>
          <cell r="G699" t="str">
            <v>Juan Luis Ajcet Xicay</v>
          </cell>
          <cell r="H699">
            <v>0</v>
          </cell>
        </row>
        <row r="700">
          <cell r="F700">
            <v>314665</v>
          </cell>
          <cell r="G700" t="str">
            <v>Juan Manuel Lopez Hernandez</v>
          </cell>
          <cell r="H700">
            <v>0</v>
          </cell>
        </row>
        <row r="701">
          <cell r="F701">
            <v>315275</v>
          </cell>
          <cell r="G701" t="str">
            <v>Juana Del Carmen Arias Lopez</v>
          </cell>
          <cell r="H701">
            <v>0</v>
          </cell>
        </row>
        <row r="702">
          <cell r="F702">
            <v>314557</v>
          </cell>
          <cell r="G702" t="str">
            <v>Juana Ester Alvarez Tuluxan</v>
          </cell>
          <cell r="H702">
            <v>0</v>
          </cell>
        </row>
        <row r="703">
          <cell r="F703">
            <v>313604</v>
          </cell>
          <cell r="G703" t="str">
            <v>Julia Damaris Raquel Ramirez Torres</v>
          </cell>
          <cell r="H703">
            <v>0</v>
          </cell>
        </row>
        <row r="704">
          <cell r="F704">
            <v>315411</v>
          </cell>
          <cell r="G704" t="str">
            <v>Julio Alberto Guerra Jacinto</v>
          </cell>
          <cell r="H704">
            <v>0</v>
          </cell>
        </row>
        <row r="705">
          <cell r="F705">
            <v>306242</v>
          </cell>
          <cell r="G705" t="str">
            <v>Julio Amilcar Oswaldo Ico Rey</v>
          </cell>
          <cell r="H705">
            <v>0</v>
          </cell>
        </row>
        <row r="706">
          <cell r="F706">
            <v>310693</v>
          </cell>
          <cell r="G706" t="str">
            <v>Julio Antonio Gonzalez Izaguirre</v>
          </cell>
          <cell r="H706">
            <v>0</v>
          </cell>
        </row>
        <row r="707">
          <cell r="F707">
            <v>302559</v>
          </cell>
          <cell r="G707" t="str">
            <v>Julio Belarmino Mendez Camey</v>
          </cell>
          <cell r="H707">
            <v>0</v>
          </cell>
        </row>
        <row r="708">
          <cell r="F708">
            <v>314740</v>
          </cell>
          <cell r="G708" t="str">
            <v>Julio Cesar Cuellar Revolorio</v>
          </cell>
          <cell r="H708">
            <v>0</v>
          </cell>
        </row>
        <row r="709">
          <cell r="F709">
            <v>308266</v>
          </cell>
          <cell r="G709" t="str">
            <v>Julio Cesar De Leon Huinac</v>
          </cell>
          <cell r="H709">
            <v>0</v>
          </cell>
        </row>
        <row r="710">
          <cell r="F710">
            <v>311388</v>
          </cell>
          <cell r="G710" t="str">
            <v>Julio David Ambrosio Hernandez</v>
          </cell>
          <cell r="H710">
            <v>0</v>
          </cell>
        </row>
        <row r="711">
          <cell r="F711">
            <v>313493</v>
          </cell>
          <cell r="G711" t="str">
            <v>Julio Rene Medina Mendez</v>
          </cell>
          <cell r="H711">
            <v>0</v>
          </cell>
        </row>
        <row r="712">
          <cell r="F712">
            <v>314194</v>
          </cell>
          <cell r="G712" t="str">
            <v>Junior Stiven Gonzalez Fuentes</v>
          </cell>
          <cell r="H712">
            <v>0</v>
          </cell>
        </row>
        <row r="713">
          <cell r="F713">
            <v>308411</v>
          </cell>
          <cell r="G713" t="str">
            <v>Karen Alejandra Cotoc Valdes</v>
          </cell>
          <cell r="H713">
            <v>0</v>
          </cell>
        </row>
        <row r="714">
          <cell r="F714">
            <v>313225</v>
          </cell>
          <cell r="G714" t="str">
            <v>Karen Deniss Lucas Chavez</v>
          </cell>
          <cell r="H714">
            <v>0</v>
          </cell>
        </row>
        <row r="715">
          <cell r="F715">
            <v>311553</v>
          </cell>
          <cell r="G715" t="str">
            <v>Karen Elizabeth Racancoj Tin</v>
          </cell>
          <cell r="H715">
            <v>0</v>
          </cell>
        </row>
        <row r="716">
          <cell r="F716">
            <v>312029</v>
          </cell>
          <cell r="G716" t="str">
            <v>Karen Faviola Lutin Sanchez</v>
          </cell>
          <cell r="H716">
            <v>0</v>
          </cell>
        </row>
        <row r="717">
          <cell r="F717">
            <v>314954</v>
          </cell>
          <cell r="G717" t="str">
            <v>Karen Jeanet Pacheco Gomez</v>
          </cell>
          <cell r="H717">
            <v>0</v>
          </cell>
        </row>
        <row r="718">
          <cell r="F718">
            <v>305618</v>
          </cell>
          <cell r="G718" t="str">
            <v>Karen Julisa Fernandez Vides</v>
          </cell>
          <cell r="H718">
            <v>0</v>
          </cell>
        </row>
        <row r="719">
          <cell r="F719">
            <v>308561</v>
          </cell>
          <cell r="G719" t="str">
            <v>Karen Leticia Vasquez Castañeda</v>
          </cell>
          <cell r="H719">
            <v>0</v>
          </cell>
        </row>
        <row r="720">
          <cell r="F720">
            <v>313722</v>
          </cell>
          <cell r="G720" t="str">
            <v>Karen Marilu Chavez Suchite</v>
          </cell>
          <cell r="H720">
            <v>0</v>
          </cell>
        </row>
        <row r="721">
          <cell r="F721">
            <v>315110</v>
          </cell>
          <cell r="G721" t="str">
            <v>Karen Marleny Perez Fuentes</v>
          </cell>
          <cell r="H721">
            <v>0</v>
          </cell>
        </row>
        <row r="722">
          <cell r="F722">
            <v>311616</v>
          </cell>
          <cell r="G722" t="str">
            <v>Karen Meliza Saavedra Morataya</v>
          </cell>
          <cell r="H722">
            <v>0</v>
          </cell>
        </row>
        <row r="723">
          <cell r="F723">
            <v>309014</v>
          </cell>
          <cell r="G723" t="str">
            <v>Karen Mishelle Chavez Segura</v>
          </cell>
          <cell r="H723">
            <v>0</v>
          </cell>
        </row>
        <row r="724">
          <cell r="F724">
            <v>314217</v>
          </cell>
          <cell r="G724" t="str">
            <v>Karen Nohemi Perez Santos</v>
          </cell>
          <cell r="H724">
            <v>0</v>
          </cell>
        </row>
        <row r="725">
          <cell r="F725">
            <v>315274</v>
          </cell>
          <cell r="G725" t="str">
            <v>Karen Rubi Perez Calderon</v>
          </cell>
          <cell r="H725">
            <v>0</v>
          </cell>
        </row>
        <row r="726">
          <cell r="F726">
            <v>308426</v>
          </cell>
          <cell r="G726" t="str">
            <v>Karen Susana Marcos Yupe</v>
          </cell>
          <cell r="H726">
            <v>0</v>
          </cell>
        </row>
        <row r="727">
          <cell r="F727">
            <v>311722</v>
          </cell>
          <cell r="G727" t="str">
            <v>Karen Verali Sagastume Oliveros</v>
          </cell>
          <cell r="H727">
            <v>0</v>
          </cell>
        </row>
        <row r="728">
          <cell r="F728">
            <v>308244</v>
          </cell>
          <cell r="G728" t="str">
            <v>Karen Yamileth Rosales Alarcon</v>
          </cell>
          <cell r="H728">
            <v>0</v>
          </cell>
        </row>
        <row r="729">
          <cell r="F729">
            <v>312215</v>
          </cell>
          <cell r="G729" t="str">
            <v>Karin Liseth Son Chonay</v>
          </cell>
          <cell r="H729">
            <v>0</v>
          </cell>
        </row>
        <row r="730">
          <cell r="F730">
            <v>301583</v>
          </cell>
          <cell r="G730" t="str">
            <v>Karin Yesenia Nova Posadas</v>
          </cell>
          <cell r="H730">
            <v>0</v>
          </cell>
        </row>
        <row r="731">
          <cell r="F731">
            <v>313918</v>
          </cell>
          <cell r="G731" t="str">
            <v>Karina Lizeth Pineda Ortiz</v>
          </cell>
          <cell r="H731">
            <v>0</v>
          </cell>
        </row>
        <row r="732">
          <cell r="F732">
            <v>312403</v>
          </cell>
          <cell r="G732" t="str">
            <v>Karla Elizabeth Lopez Tupul</v>
          </cell>
          <cell r="H732">
            <v>0</v>
          </cell>
        </row>
        <row r="733">
          <cell r="F733">
            <v>304664</v>
          </cell>
          <cell r="G733" t="str">
            <v>Karla Eunice Godinez Mendoza</v>
          </cell>
          <cell r="H733">
            <v>0</v>
          </cell>
        </row>
        <row r="734">
          <cell r="F734">
            <v>315490</v>
          </cell>
          <cell r="G734" t="str">
            <v>Karla Jasmin Pelen Rafael</v>
          </cell>
          <cell r="H734">
            <v>0</v>
          </cell>
        </row>
        <row r="735">
          <cell r="F735">
            <v>314673</v>
          </cell>
          <cell r="G735" t="str">
            <v>Karla Maria Montejo Martinez</v>
          </cell>
          <cell r="H735">
            <v>0</v>
          </cell>
        </row>
        <row r="736">
          <cell r="F736">
            <v>313079</v>
          </cell>
          <cell r="G736" t="str">
            <v>Karla Mariela Lopez Salguero</v>
          </cell>
          <cell r="H736">
            <v>0</v>
          </cell>
        </row>
        <row r="737">
          <cell r="F737">
            <v>314464</v>
          </cell>
          <cell r="G737" t="str">
            <v>Karla Melisa Trejo Lopez</v>
          </cell>
          <cell r="H737">
            <v>0</v>
          </cell>
        </row>
        <row r="738">
          <cell r="F738">
            <v>314206</v>
          </cell>
          <cell r="G738" t="str">
            <v>Karla Nineth Guzman Carrera De Velasquez</v>
          </cell>
          <cell r="H738">
            <v>0</v>
          </cell>
        </row>
        <row r="739">
          <cell r="F739">
            <v>314831</v>
          </cell>
          <cell r="G739" t="str">
            <v>Karla Paola Solorzano Monroy</v>
          </cell>
          <cell r="H739">
            <v>0</v>
          </cell>
        </row>
        <row r="740">
          <cell r="F740">
            <v>309957</v>
          </cell>
          <cell r="G740" t="str">
            <v>Karla Veronica Zepeda Moran</v>
          </cell>
          <cell r="H740">
            <v>0</v>
          </cell>
        </row>
        <row r="741">
          <cell r="F741">
            <v>310487</v>
          </cell>
          <cell r="G741" t="str">
            <v>Karla Yaneth Vasquez Gomez</v>
          </cell>
          <cell r="H741">
            <v>0</v>
          </cell>
        </row>
        <row r="742">
          <cell r="F742">
            <v>314444</v>
          </cell>
          <cell r="G742" t="str">
            <v>Karla Yanira Francisco Morales</v>
          </cell>
          <cell r="H742">
            <v>0</v>
          </cell>
        </row>
        <row r="743">
          <cell r="F743">
            <v>305608</v>
          </cell>
          <cell r="G743" t="str">
            <v>Karla Yanira Franco Perez</v>
          </cell>
          <cell r="H743">
            <v>0</v>
          </cell>
        </row>
        <row r="744">
          <cell r="F744">
            <v>312982</v>
          </cell>
          <cell r="G744" t="str">
            <v>Karla Yessenia Garcia Lopez</v>
          </cell>
          <cell r="H744">
            <v>0</v>
          </cell>
        </row>
        <row r="745">
          <cell r="F745">
            <v>314044</v>
          </cell>
          <cell r="G745" t="str">
            <v>Karol Liset Reyes Alvarez</v>
          </cell>
          <cell r="H745">
            <v>0</v>
          </cell>
        </row>
        <row r="746">
          <cell r="F746">
            <v>311039</v>
          </cell>
          <cell r="G746" t="str">
            <v>Karolyn Gisselle Palma Ramirez</v>
          </cell>
          <cell r="H746">
            <v>0</v>
          </cell>
        </row>
        <row r="747">
          <cell r="F747">
            <v>309255</v>
          </cell>
          <cell r="G747" t="str">
            <v>Katerin Mariela Miranda Perez</v>
          </cell>
          <cell r="H747">
            <v>0</v>
          </cell>
        </row>
        <row r="748">
          <cell r="F748">
            <v>308909</v>
          </cell>
          <cell r="G748" t="str">
            <v>Katerine Andrea Mansilla Vasquez</v>
          </cell>
          <cell r="H748">
            <v>0</v>
          </cell>
        </row>
        <row r="749">
          <cell r="F749">
            <v>314344</v>
          </cell>
          <cell r="G749" t="str">
            <v>Katherin Maria Del Rosario Curiales Catalan</v>
          </cell>
          <cell r="H749">
            <v>0</v>
          </cell>
        </row>
        <row r="750">
          <cell r="F750">
            <v>311930</v>
          </cell>
          <cell r="G750" t="str">
            <v>Katherine Andreina Rodriguez Flores</v>
          </cell>
          <cell r="H750">
            <v>0</v>
          </cell>
        </row>
        <row r="751">
          <cell r="F751">
            <v>314987</v>
          </cell>
          <cell r="G751" t="str">
            <v>Katherine Dayana Sinay Colindres</v>
          </cell>
          <cell r="H751">
            <v>0</v>
          </cell>
        </row>
        <row r="752">
          <cell r="F752">
            <v>313018</v>
          </cell>
          <cell r="G752" t="str">
            <v>Katherine Guissele Camey Gonzalez</v>
          </cell>
          <cell r="H752">
            <v>0</v>
          </cell>
        </row>
        <row r="753">
          <cell r="F753">
            <v>305303</v>
          </cell>
          <cell r="G753" t="str">
            <v>Katherine Stephani Cazanga Giron</v>
          </cell>
          <cell r="H753">
            <v>0</v>
          </cell>
        </row>
        <row r="754">
          <cell r="F754">
            <v>310764</v>
          </cell>
          <cell r="G754" t="str">
            <v>Katherine Yorleny Montepeque Echeverria</v>
          </cell>
          <cell r="H754">
            <v>0</v>
          </cell>
        </row>
        <row r="755">
          <cell r="F755">
            <v>312313</v>
          </cell>
          <cell r="G755" t="str">
            <v>Katherinne Marleny Ruano Vasquez</v>
          </cell>
          <cell r="H755">
            <v>0</v>
          </cell>
        </row>
        <row r="756">
          <cell r="F756">
            <v>312966</v>
          </cell>
          <cell r="G756" t="str">
            <v>Katheryn Nohemi Pineda Sun</v>
          </cell>
          <cell r="H756">
            <v>0</v>
          </cell>
        </row>
        <row r="757">
          <cell r="F757">
            <v>314949</v>
          </cell>
          <cell r="G757" t="str">
            <v>Kathleen Yadira Martinez Salazar</v>
          </cell>
          <cell r="H757">
            <v>0</v>
          </cell>
        </row>
        <row r="758">
          <cell r="F758">
            <v>307014</v>
          </cell>
          <cell r="G758" t="str">
            <v>Keila Abigail Lopez Argueta</v>
          </cell>
          <cell r="H758">
            <v>0</v>
          </cell>
        </row>
        <row r="759">
          <cell r="F759">
            <v>315508</v>
          </cell>
          <cell r="G759" t="str">
            <v>Keila Betsaida Mendoza Pineda</v>
          </cell>
          <cell r="H759">
            <v>0</v>
          </cell>
        </row>
        <row r="760">
          <cell r="F760">
            <v>315062</v>
          </cell>
          <cell r="G760" t="str">
            <v>Keili Yanira Arceno Solano</v>
          </cell>
          <cell r="H760">
            <v>0</v>
          </cell>
        </row>
        <row r="761">
          <cell r="F761">
            <v>314165</v>
          </cell>
          <cell r="G761" t="str">
            <v>Kelly Dayanna Patzan Giron</v>
          </cell>
          <cell r="H761">
            <v>0</v>
          </cell>
        </row>
        <row r="762">
          <cell r="F762">
            <v>315570</v>
          </cell>
          <cell r="G762" t="str">
            <v>Kemberly Del Rosario Zecena Ramos</v>
          </cell>
          <cell r="H762">
            <v>0</v>
          </cell>
        </row>
        <row r="763">
          <cell r="F763">
            <v>314804</v>
          </cell>
          <cell r="G763" t="str">
            <v>Kendy Daniela Ramirez Lopez</v>
          </cell>
          <cell r="H763">
            <v>0</v>
          </cell>
        </row>
        <row r="764">
          <cell r="F764">
            <v>313433</v>
          </cell>
          <cell r="G764" t="str">
            <v>Kenia Estefania Mateo Castro</v>
          </cell>
          <cell r="H764">
            <v>0</v>
          </cell>
        </row>
        <row r="765">
          <cell r="F765">
            <v>314991</v>
          </cell>
          <cell r="G765" t="str">
            <v>Kevin Alberto Castillo Matias</v>
          </cell>
          <cell r="H765">
            <v>0</v>
          </cell>
        </row>
        <row r="766">
          <cell r="F766">
            <v>314026</v>
          </cell>
          <cell r="G766" t="str">
            <v>Kevin Alberto Lopez Ortiz</v>
          </cell>
          <cell r="H766">
            <v>0</v>
          </cell>
        </row>
        <row r="767">
          <cell r="F767">
            <v>315246</v>
          </cell>
          <cell r="G767" t="str">
            <v>Kevin Alexander Escobar Cante</v>
          </cell>
          <cell r="H767">
            <v>0</v>
          </cell>
        </row>
        <row r="768">
          <cell r="F768">
            <v>312218</v>
          </cell>
          <cell r="G768" t="str">
            <v>Kevin Amilcar Cor Guzman</v>
          </cell>
          <cell r="H768">
            <v>0</v>
          </cell>
        </row>
        <row r="769">
          <cell r="F769">
            <v>311369</v>
          </cell>
          <cell r="G769" t="str">
            <v>Kevin Antonio Perez Gonzalez</v>
          </cell>
          <cell r="H769">
            <v>0</v>
          </cell>
        </row>
        <row r="770">
          <cell r="F770">
            <v>314627</v>
          </cell>
          <cell r="G770" t="str">
            <v>Kevin Daniel Chonay Perez</v>
          </cell>
          <cell r="H770">
            <v>0</v>
          </cell>
        </row>
        <row r="771">
          <cell r="F771">
            <v>311228</v>
          </cell>
          <cell r="G771" t="str">
            <v>Kevin Doley Alexander Gomez Lopez</v>
          </cell>
          <cell r="H771">
            <v>0</v>
          </cell>
        </row>
        <row r="772">
          <cell r="F772">
            <v>309148</v>
          </cell>
          <cell r="G772" t="str">
            <v>Kevin Estuardo Yac Garcia</v>
          </cell>
          <cell r="H772">
            <v>0</v>
          </cell>
        </row>
        <row r="773">
          <cell r="F773">
            <v>311643</v>
          </cell>
          <cell r="G773" t="str">
            <v>Kevin Javier Ortiz Gonzalez</v>
          </cell>
          <cell r="H773">
            <v>0</v>
          </cell>
        </row>
        <row r="774">
          <cell r="F774">
            <v>311034</v>
          </cell>
          <cell r="G774" t="str">
            <v>Kevin Jordano Barrios Chin</v>
          </cell>
          <cell r="H774">
            <v>0</v>
          </cell>
        </row>
        <row r="775">
          <cell r="F775">
            <v>314011</v>
          </cell>
          <cell r="G775" t="str">
            <v>Kevin Jose Mijangos Vasquez</v>
          </cell>
          <cell r="H775">
            <v>0</v>
          </cell>
        </row>
        <row r="776">
          <cell r="F776">
            <v>314743</v>
          </cell>
          <cell r="G776" t="str">
            <v>Kevin Josue Sevilla Nieto</v>
          </cell>
          <cell r="H776">
            <v>0</v>
          </cell>
        </row>
        <row r="777">
          <cell r="F777">
            <v>311639</v>
          </cell>
          <cell r="G777" t="str">
            <v>Kevin Omar Ortiz Contreras</v>
          </cell>
          <cell r="H777">
            <v>0</v>
          </cell>
        </row>
        <row r="778">
          <cell r="F778">
            <v>310538</v>
          </cell>
          <cell r="G778" t="str">
            <v>Kevin Orlando Ventura Lopez</v>
          </cell>
          <cell r="H778">
            <v>0</v>
          </cell>
        </row>
        <row r="779">
          <cell r="F779">
            <v>311932</v>
          </cell>
          <cell r="G779" t="str">
            <v>Kevin Rene Medrano Sarceño</v>
          </cell>
          <cell r="H779">
            <v>0</v>
          </cell>
        </row>
        <row r="780">
          <cell r="F780">
            <v>308269</v>
          </cell>
          <cell r="G780" t="str">
            <v>Kevin Ruben Perez Lopez</v>
          </cell>
          <cell r="H780">
            <v>0</v>
          </cell>
        </row>
        <row r="781">
          <cell r="F781">
            <v>313566</v>
          </cell>
          <cell r="G781" t="str">
            <v>Kevin Saul Rodriguez Vasquez</v>
          </cell>
          <cell r="H781">
            <v>0</v>
          </cell>
        </row>
        <row r="782">
          <cell r="F782">
            <v>313520</v>
          </cell>
          <cell r="G782" t="str">
            <v>Kevin Winston Chavez Alvarez</v>
          </cell>
          <cell r="H782">
            <v>0</v>
          </cell>
        </row>
        <row r="783">
          <cell r="F783">
            <v>312178</v>
          </cell>
          <cell r="G783" t="str">
            <v>Keyla Cristy Dubon Pernillo</v>
          </cell>
          <cell r="H783">
            <v>0</v>
          </cell>
        </row>
        <row r="784">
          <cell r="F784">
            <v>305666</v>
          </cell>
          <cell r="G784" t="str">
            <v>Kezmi Romani Garcia Mendez</v>
          </cell>
          <cell r="H784">
            <v>0</v>
          </cell>
        </row>
        <row r="785">
          <cell r="F785">
            <v>314754</v>
          </cell>
          <cell r="G785" t="str">
            <v>Kimberly Anayanci Tello Morales</v>
          </cell>
          <cell r="H785">
            <v>0</v>
          </cell>
        </row>
        <row r="786">
          <cell r="F786">
            <v>314051</v>
          </cell>
          <cell r="G786" t="str">
            <v>Kimberly Dayanna Herrera Marroquin</v>
          </cell>
          <cell r="H786">
            <v>0</v>
          </cell>
        </row>
        <row r="787">
          <cell r="F787">
            <v>313302</v>
          </cell>
          <cell r="G787" t="str">
            <v>Kimberly Guadalupe Mulul Pelico</v>
          </cell>
          <cell r="H787">
            <v>0</v>
          </cell>
        </row>
        <row r="788">
          <cell r="F788">
            <v>314218</v>
          </cell>
          <cell r="G788" t="str">
            <v>Kimberly Guadalupe Soto</v>
          </cell>
          <cell r="H788">
            <v>0</v>
          </cell>
        </row>
        <row r="789">
          <cell r="F789">
            <v>305285</v>
          </cell>
          <cell r="G789" t="str">
            <v>Kimberly Judith Lopez Amaya</v>
          </cell>
          <cell r="H789">
            <v>0</v>
          </cell>
        </row>
        <row r="790">
          <cell r="F790">
            <v>309753</v>
          </cell>
          <cell r="G790" t="str">
            <v>Kimberly Melissa Juarez Ramirez</v>
          </cell>
          <cell r="H790">
            <v>0</v>
          </cell>
        </row>
        <row r="791">
          <cell r="F791">
            <v>312174</v>
          </cell>
          <cell r="G791" t="str">
            <v>Kimberly Mishel Merida Cortez</v>
          </cell>
          <cell r="H791">
            <v>0</v>
          </cell>
        </row>
        <row r="792">
          <cell r="F792">
            <v>310926</v>
          </cell>
          <cell r="G792" t="str">
            <v>Kimberly Nohemi Alvarado Toj</v>
          </cell>
          <cell r="H792">
            <v>0</v>
          </cell>
        </row>
        <row r="793">
          <cell r="F793">
            <v>315095</v>
          </cell>
          <cell r="G793" t="str">
            <v>Kimberly Suseli Ibarra Barahona</v>
          </cell>
          <cell r="H793">
            <v>0</v>
          </cell>
        </row>
        <row r="794">
          <cell r="F794">
            <v>313601</v>
          </cell>
          <cell r="G794" t="str">
            <v>Kimberly Yasmin Alvarado Veliz</v>
          </cell>
          <cell r="H794">
            <v>0</v>
          </cell>
        </row>
        <row r="795">
          <cell r="F795">
            <v>310820</v>
          </cell>
          <cell r="G795" t="str">
            <v>Kleidy Smaily Lopez Lopez De Vicente</v>
          </cell>
          <cell r="H795">
            <v>0</v>
          </cell>
        </row>
        <row r="796">
          <cell r="F796">
            <v>315345</v>
          </cell>
          <cell r="G796" t="str">
            <v>Klisman Julio Rolando Lopez Garcia</v>
          </cell>
          <cell r="H796">
            <v>0</v>
          </cell>
        </row>
        <row r="797">
          <cell r="F797">
            <v>315369</v>
          </cell>
          <cell r="G797" t="str">
            <v>Krisla Mayte Madrigales Palencia</v>
          </cell>
          <cell r="H797">
            <v>0</v>
          </cell>
        </row>
        <row r="798">
          <cell r="F798">
            <v>314417</v>
          </cell>
          <cell r="G798" t="str">
            <v>Krisley Mary Dayana Mazariegos Vega</v>
          </cell>
          <cell r="H798">
            <v>0</v>
          </cell>
        </row>
        <row r="799">
          <cell r="F799">
            <v>311096</v>
          </cell>
          <cell r="G799" t="str">
            <v>Larry Noel Gomez Cuellar</v>
          </cell>
          <cell r="H799">
            <v>0</v>
          </cell>
        </row>
        <row r="800">
          <cell r="F800">
            <v>315400</v>
          </cell>
          <cell r="G800" t="str">
            <v>Laura Cecilia De Leon Zapeta</v>
          </cell>
          <cell r="H800">
            <v>0</v>
          </cell>
        </row>
        <row r="801">
          <cell r="F801">
            <v>312722</v>
          </cell>
          <cell r="G801" t="str">
            <v>Laura Dairis Analy Zeceña Minera</v>
          </cell>
          <cell r="H801">
            <v>0</v>
          </cell>
        </row>
        <row r="802">
          <cell r="F802">
            <v>314274</v>
          </cell>
          <cell r="G802" t="str">
            <v>Laura Estefania Cardona Mateo</v>
          </cell>
          <cell r="H802">
            <v>0</v>
          </cell>
        </row>
        <row r="803">
          <cell r="F803">
            <v>309643</v>
          </cell>
          <cell r="G803" t="str">
            <v>Laura Gabriela Hernandez Merida</v>
          </cell>
          <cell r="H803">
            <v>0</v>
          </cell>
        </row>
        <row r="804">
          <cell r="F804">
            <v>312253</v>
          </cell>
          <cell r="G804" t="str">
            <v>Laura Jajairy Ramirez Veron</v>
          </cell>
          <cell r="H804">
            <v>0</v>
          </cell>
        </row>
        <row r="805">
          <cell r="F805">
            <v>315183</v>
          </cell>
          <cell r="G805" t="str">
            <v>Laura Lisbeth Gonzalez Ajin</v>
          </cell>
          <cell r="H805">
            <v>0</v>
          </cell>
        </row>
        <row r="806">
          <cell r="F806">
            <v>315144</v>
          </cell>
          <cell r="G806" t="str">
            <v>Lazaro Castro Cajanti</v>
          </cell>
          <cell r="H806">
            <v>0</v>
          </cell>
        </row>
        <row r="807">
          <cell r="F807">
            <v>314220</v>
          </cell>
          <cell r="G807" t="str">
            <v>Lea Maria Lopez Agustin</v>
          </cell>
          <cell r="H807">
            <v>0</v>
          </cell>
        </row>
        <row r="808">
          <cell r="F808">
            <v>303284</v>
          </cell>
          <cell r="G808" t="str">
            <v>Legbi Evangelina Martinez Vicente</v>
          </cell>
          <cell r="H808">
            <v>0</v>
          </cell>
        </row>
        <row r="809">
          <cell r="F809">
            <v>304200</v>
          </cell>
          <cell r="G809" t="str">
            <v>Legna Magali Juarez Aroche</v>
          </cell>
          <cell r="H809">
            <v>0</v>
          </cell>
        </row>
        <row r="810">
          <cell r="F810">
            <v>310692</v>
          </cell>
          <cell r="G810" t="str">
            <v>Leidy Ana Deisy Macz Valey</v>
          </cell>
          <cell r="H810">
            <v>0</v>
          </cell>
        </row>
        <row r="811">
          <cell r="F811">
            <v>303971</v>
          </cell>
          <cell r="G811" t="str">
            <v>Leidy Marisol Perez Arias</v>
          </cell>
          <cell r="H811">
            <v>0</v>
          </cell>
        </row>
        <row r="812">
          <cell r="F812">
            <v>312969</v>
          </cell>
          <cell r="G812" t="str">
            <v>Lely Herrera Molina</v>
          </cell>
          <cell r="H812">
            <v>0</v>
          </cell>
        </row>
        <row r="813">
          <cell r="F813">
            <v>315278</v>
          </cell>
          <cell r="G813" t="str">
            <v>Leon Vicente Estuardo Ical Chub</v>
          </cell>
          <cell r="H813">
            <v>0</v>
          </cell>
        </row>
        <row r="814">
          <cell r="F814">
            <v>306895</v>
          </cell>
          <cell r="G814" t="str">
            <v>Leonardo Bocel Lopez</v>
          </cell>
          <cell r="H814">
            <v>0</v>
          </cell>
        </row>
        <row r="815">
          <cell r="F815">
            <v>315257</v>
          </cell>
          <cell r="G815" t="str">
            <v>Lesli Carolina Iquique Chamale</v>
          </cell>
          <cell r="H815">
            <v>0</v>
          </cell>
        </row>
        <row r="816">
          <cell r="F816">
            <v>310605</v>
          </cell>
          <cell r="G816" t="str">
            <v>Lesli Paola Mendez Palencia</v>
          </cell>
          <cell r="H816">
            <v>0</v>
          </cell>
        </row>
        <row r="817">
          <cell r="F817">
            <v>307367</v>
          </cell>
          <cell r="G817" t="str">
            <v>Lesli Paola Vasquez Villalta</v>
          </cell>
          <cell r="H817">
            <v>0</v>
          </cell>
        </row>
        <row r="818">
          <cell r="F818">
            <v>314870</v>
          </cell>
          <cell r="G818" t="str">
            <v>Leslie Karina Peliz Garcia</v>
          </cell>
          <cell r="H818">
            <v>0</v>
          </cell>
        </row>
        <row r="819">
          <cell r="F819">
            <v>314382</v>
          </cell>
          <cell r="G819" t="str">
            <v>Leslie Veronica Varela Echeverria</v>
          </cell>
          <cell r="H819">
            <v>0</v>
          </cell>
        </row>
        <row r="820">
          <cell r="F820">
            <v>310067</v>
          </cell>
          <cell r="G820" t="str">
            <v>Lesly Alejandra Estrada Chacon</v>
          </cell>
          <cell r="H820">
            <v>0</v>
          </cell>
        </row>
        <row r="821">
          <cell r="F821">
            <v>307352</v>
          </cell>
          <cell r="G821" t="str">
            <v>Lesly Anali Monterroso Ramirez</v>
          </cell>
          <cell r="H821">
            <v>0</v>
          </cell>
        </row>
        <row r="822">
          <cell r="F822">
            <v>310143</v>
          </cell>
          <cell r="G822" t="str">
            <v>Lesly Aurora Hernandez Godoy</v>
          </cell>
          <cell r="H822">
            <v>0</v>
          </cell>
        </row>
        <row r="823">
          <cell r="F823">
            <v>312833</v>
          </cell>
          <cell r="G823" t="str">
            <v>Lesly Fabiola Solorzano Garcia</v>
          </cell>
          <cell r="H823">
            <v>0</v>
          </cell>
        </row>
        <row r="824">
          <cell r="F824">
            <v>315132</v>
          </cell>
          <cell r="G824" t="str">
            <v>Lesly Lisseth Ligorria Torres</v>
          </cell>
          <cell r="H824">
            <v>0</v>
          </cell>
        </row>
        <row r="825">
          <cell r="F825">
            <v>309366</v>
          </cell>
          <cell r="G825" t="str">
            <v>Lesly Maribel Hidalgo Barrios</v>
          </cell>
          <cell r="H825">
            <v>0</v>
          </cell>
        </row>
        <row r="826">
          <cell r="F826">
            <v>314328</v>
          </cell>
          <cell r="G826" t="str">
            <v>Lesly Marileny De Leon De Leon</v>
          </cell>
          <cell r="H826">
            <v>0</v>
          </cell>
        </row>
        <row r="827">
          <cell r="F827">
            <v>315317</v>
          </cell>
          <cell r="G827" t="str">
            <v>Lesly Nereyda Ixquiac Vidaurre</v>
          </cell>
          <cell r="H827">
            <v>0</v>
          </cell>
        </row>
        <row r="828">
          <cell r="F828">
            <v>313889</v>
          </cell>
          <cell r="G828" t="str">
            <v>Lesly Noemi Morales Molina</v>
          </cell>
          <cell r="H828">
            <v>0</v>
          </cell>
        </row>
        <row r="829">
          <cell r="F829">
            <v>310261</v>
          </cell>
          <cell r="G829" t="str">
            <v>Lesly Rosibel Asencio Estrada</v>
          </cell>
          <cell r="H829">
            <v>0</v>
          </cell>
        </row>
        <row r="830">
          <cell r="F830">
            <v>311985</v>
          </cell>
          <cell r="G830" t="str">
            <v>Lesly Vanessa Jerez Herrera</v>
          </cell>
          <cell r="H830">
            <v>0</v>
          </cell>
        </row>
        <row r="831">
          <cell r="F831">
            <v>307718</v>
          </cell>
          <cell r="G831" t="str">
            <v>Lesly Yohanna Ramirez Sarceño</v>
          </cell>
          <cell r="H831">
            <v>0</v>
          </cell>
        </row>
        <row r="832">
          <cell r="F832">
            <v>307269</v>
          </cell>
          <cell r="G832" t="str">
            <v>Lester Alexander Rodriguez Arevalo</v>
          </cell>
          <cell r="H832">
            <v>0</v>
          </cell>
        </row>
        <row r="833">
          <cell r="F833">
            <v>102070</v>
          </cell>
          <cell r="G833" t="str">
            <v>Lester Giovanni Barrios Gonzalez</v>
          </cell>
          <cell r="H833">
            <v>0</v>
          </cell>
        </row>
        <row r="834">
          <cell r="F834">
            <v>313030</v>
          </cell>
          <cell r="G834" t="str">
            <v>Lester Ottoniel Martinez Gonzalez</v>
          </cell>
          <cell r="H834">
            <v>0</v>
          </cell>
        </row>
        <row r="835">
          <cell r="F835">
            <v>314628</v>
          </cell>
          <cell r="G835" t="str">
            <v>Levy Jhafreth Molina Castellanos</v>
          </cell>
          <cell r="H835">
            <v>0</v>
          </cell>
        </row>
        <row r="836">
          <cell r="F836">
            <v>315074</v>
          </cell>
          <cell r="G836" t="str">
            <v>Leyvis Anihela Melendez Garcia</v>
          </cell>
          <cell r="H836">
            <v>0</v>
          </cell>
        </row>
        <row r="837">
          <cell r="F837">
            <v>310347</v>
          </cell>
          <cell r="G837" t="str">
            <v>Lidia Sarahi Rodriguez Zamora</v>
          </cell>
          <cell r="H837">
            <v>0</v>
          </cell>
        </row>
        <row r="838">
          <cell r="F838">
            <v>313802</v>
          </cell>
          <cell r="G838" t="str">
            <v>Ligia Delfina Caal Coy</v>
          </cell>
          <cell r="H838">
            <v>0</v>
          </cell>
        </row>
        <row r="839">
          <cell r="F839">
            <v>303594</v>
          </cell>
          <cell r="G839" t="str">
            <v>Ligia Iveth Marroquin Lechuga</v>
          </cell>
          <cell r="H839">
            <v>0</v>
          </cell>
        </row>
        <row r="840">
          <cell r="F840">
            <v>311440</v>
          </cell>
          <cell r="G840" t="str">
            <v>Lili Azucena Perez Yantuch</v>
          </cell>
          <cell r="H840">
            <v>0</v>
          </cell>
        </row>
        <row r="841">
          <cell r="F841">
            <v>310148</v>
          </cell>
          <cell r="G841" t="str">
            <v>Lilian Carolina Quiñonez Garcia</v>
          </cell>
          <cell r="H841">
            <v>0</v>
          </cell>
        </row>
        <row r="842">
          <cell r="F842">
            <v>300280</v>
          </cell>
          <cell r="G842" t="str">
            <v>Lilian Del Carmen Franco Curin</v>
          </cell>
          <cell r="H842">
            <v>0</v>
          </cell>
        </row>
        <row r="843">
          <cell r="F843">
            <v>306962</v>
          </cell>
          <cell r="G843" t="str">
            <v>Lilian Elizabeth Diaz Rivera</v>
          </cell>
          <cell r="H843">
            <v>0</v>
          </cell>
        </row>
        <row r="844">
          <cell r="F844">
            <v>314279</v>
          </cell>
          <cell r="G844" t="str">
            <v>Lilian Evelyn Sajbochol Garcia</v>
          </cell>
          <cell r="H844">
            <v>0</v>
          </cell>
        </row>
        <row r="845">
          <cell r="F845">
            <v>305035</v>
          </cell>
          <cell r="G845" t="str">
            <v>Lilian Nohemi Santos Bailon</v>
          </cell>
          <cell r="H845">
            <v>0</v>
          </cell>
        </row>
        <row r="846">
          <cell r="F846">
            <v>314899</v>
          </cell>
          <cell r="G846" t="str">
            <v>Lilian Vanessa Tezó Monterroso</v>
          </cell>
          <cell r="H846">
            <v>0</v>
          </cell>
        </row>
        <row r="847">
          <cell r="F847">
            <v>314728</v>
          </cell>
          <cell r="G847" t="str">
            <v>Lilian Yomara Perez Ajxup</v>
          </cell>
          <cell r="H847">
            <v>0</v>
          </cell>
        </row>
        <row r="848">
          <cell r="F848">
            <v>313768</v>
          </cell>
          <cell r="G848" t="str">
            <v>Liliana Marisela Chamorro Tax</v>
          </cell>
          <cell r="H848">
            <v>0</v>
          </cell>
        </row>
        <row r="849">
          <cell r="F849">
            <v>314091</v>
          </cell>
          <cell r="G849" t="str">
            <v>Linda Gineli Segura Perez</v>
          </cell>
          <cell r="H849">
            <v>0</v>
          </cell>
        </row>
        <row r="850">
          <cell r="F850">
            <v>310198</v>
          </cell>
          <cell r="G850" t="str">
            <v>Linsi Mishell Batz Marroquin</v>
          </cell>
          <cell r="H850">
            <v>0</v>
          </cell>
        </row>
        <row r="851">
          <cell r="F851">
            <v>309262</v>
          </cell>
          <cell r="G851" t="str">
            <v>Lisbeth Carolina Hernandez Urrutia</v>
          </cell>
          <cell r="H851">
            <v>0</v>
          </cell>
        </row>
        <row r="852">
          <cell r="F852">
            <v>315486</v>
          </cell>
          <cell r="G852" t="str">
            <v>Lisbeth Jeaneth Sucup</v>
          </cell>
          <cell r="H852">
            <v>0</v>
          </cell>
        </row>
        <row r="853">
          <cell r="F853">
            <v>311492</v>
          </cell>
          <cell r="G853" t="str">
            <v>Liseth Aldai De La Cruz Lopez</v>
          </cell>
          <cell r="H853">
            <v>0</v>
          </cell>
        </row>
        <row r="854">
          <cell r="F854">
            <v>315403</v>
          </cell>
          <cell r="G854" t="str">
            <v>Lizbeth Liliana Peren Velasquez</v>
          </cell>
          <cell r="H854">
            <v>0</v>
          </cell>
        </row>
        <row r="855">
          <cell r="F855">
            <v>312792</v>
          </cell>
          <cell r="G855" t="str">
            <v>Llori Eriselda Zuñiga Gomez</v>
          </cell>
          <cell r="H855">
            <v>0</v>
          </cell>
        </row>
        <row r="856">
          <cell r="F856">
            <v>314774</v>
          </cell>
          <cell r="G856" t="str">
            <v>Loida Eunice Celada Panjoj</v>
          </cell>
          <cell r="H856">
            <v>0</v>
          </cell>
        </row>
        <row r="857">
          <cell r="F857">
            <v>310872</v>
          </cell>
          <cell r="G857" t="str">
            <v>Loida Raquel Juarez Ixpata</v>
          </cell>
          <cell r="H857">
            <v>0</v>
          </cell>
        </row>
        <row r="858">
          <cell r="F858">
            <v>312765</v>
          </cell>
          <cell r="G858" t="str">
            <v>Londy Yazmin Gonzalez Ramirez</v>
          </cell>
          <cell r="H858">
            <v>0</v>
          </cell>
        </row>
        <row r="859">
          <cell r="F859">
            <v>303967</v>
          </cell>
          <cell r="G859" t="str">
            <v>Loren Alejandra Gutierrez Perez</v>
          </cell>
          <cell r="H859">
            <v>0</v>
          </cell>
        </row>
        <row r="860">
          <cell r="F860">
            <v>311367</v>
          </cell>
          <cell r="G860" t="str">
            <v>Lorena Elisbeth Gomez Ajanel</v>
          </cell>
          <cell r="H860">
            <v>0</v>
          </cell>
        </row>
        <row r="861">
          <cell r="F861">
            <v>310502</v>
          </cell>
          <cell r="G861" t="str">
            <v>Lourdes Cristina Flores Tahuite</v>
          </cell>
          <cell r="H861">
            <v>0</v>
          </cell>
        </row>
        <row r="862">
          <cell r="F862">
            <v>315124</v>
          </cell>
          <cell r="G862" t="str">
            <v>Lourdes Guadalupe Solorzano Herrera</v>
          </cell>
          <cell r="H862">
            <v>0</v>
          </cell>
        </row>
        <row r="863">
          <cell r="F863">
            <v>313529</v>
          </cell>
          <cell r="G863" t="str">
            <v>Lucia Adali Alvarado Juarez</v>
          </cell>
          <cell r="H863">
            <v>0</v>
          </cell>
        </row>
        <row r="864">
          <cell r="F864">
            <v>314022</v>
          </cell>
          <cell r="G864" t="str">
            <v>Lucinda Nova Garcia</v>
          </cell>
          <cell r="H864">
            <v>0</v>
          </cell>
        </row>
        <row r="865">
          <cell r="F865">
            <v>309747</v>
          </cell>
          <cell r="G865" t="str">
            <v>Ludwin Enrique Pineda Soto</v>
          </cell>
          <cell r="H865">
            <v>0</v>
          </cell>
        </row>
        <row r="866">
          <cell r="F866">
            <v>315489</v>
          </cell>
          <cell r="G866" t="str">
            <v>Ludwyn Alejandro Estrada Giron</v>
          </cell>
          <cell r="H866">
            <v>0</v>
          </cell>
        </row>
        <row r="867">
          <cell r="F867">
            <v>313595</v>
          </cell>
          <cell r="G867" t="str">
            <v>Luis Alan Caceros Chub</v>
          </cell>
          <cell r="H867">
            <v>0</v>
          </cell>
        </row>
        <row r="868">
          <cell r="F868">
            <v>311207</v>
          </cell>
          <cell r="G868" t="str">
            <v>Luis Alberto Figueroa Vasquez</v>
          </cell>
          <cell r="H868">
            <v>0</v>
          </cell>
        </row>
        <row r="869">
          <cell r="F869">
            <v>304473</v>
          </cell>
          <cell r="G869" t="str">
            <v>Luis Alberto Najera Solis</v>
          </cell>
          <cell r="H869">
            <v>0</v>
          </cell>
        </row>
        <row r="870">
          <cell r="F870">
            <v>314202</v>
          </cell>
          <cell r="G870" t="str">
            <v>Luis Antonio Cotzajay Quelex</v>
          </cell>
          <cell r="H870">
            <v>0</v>
          </cell>
        </row>
        <row r="871">
          <cell r="F871">
            <v>302484</v>
          </cell>
          <cell r="G871" t="str">
            <v>Luis Armando Ramirez De Leon</v>
          </cell>
          <cell r="H871">
            <v>0</v>
          </cell>
        </row>
        <row r="872">
          <cell r="F872">
            <v>315385</v>
          </cell>
          <cell r="G872" t="str">
            <v>Luis Carlos Xitimul Ramirez</v>
          </cell>
          <cell r="H872">
            <v>0</v>
          </cell>
        </row>
        <row r="873">
          <cell r="F873">
            <v>308614</v>
          </cell>
          <cell r="G873" t="str">
            <v>Luis De Jesus Julian Lopez</v>
          </cell>
          <cell r="H873">
            <v>0</v>
          </cell>
        </row>
        <row r="874">
          <cell r="F874">
            <v>315222</v>
          </cell>
          <cell r="G874" t="str">
            <v>Luis Diego Figueroa Coronado</v>
          </cell>
          <cell r="H874">
            <v>0</v>
          </cell>
        </row>
        <row r="875">
          <cell r="F875">
            <v>306213</v>
          </cell>
          <cell r="G875" t="str">
            <v>Luis Eduardo Corado Lara</v>
          </cell>
          <cell r="H875">
            <v>0</v>
          </cell>
        </row>
        <row r="876">
          <cell r="F876">
            <v>315363</v>
          </cell>
          <cell r="G876" t="str">
            <v>Luis Eduardo Fuentes Flores</v>
          </cell>
          <cell r="H876">
            <v>0</v>
          </cell>
        </row>
        <row r="877">
          <cell r="F877">
            <v>314162</v>
          </cell>
          <cell r="G877" t="str">
            <v>Luis Eduardo Gonzalez Arriaza</v>
          </cell>
          <cell r="H877">
            <v>0</v>
          </cell>
        </row>
        <row r="878">
          <cell r="F878">
            <v>311975</v>
          </cell>
          <cell r="G878" t="str">
            <v>Luis Eduardo Ramirez Arriaza</v>
          </cell>
          <cell r="H878">
            <v>0</v>
          </cell>
        </row>
        <row r="879">
          <cell r="F879">
            <v>300922</v>
          </cell>
          <cell r="G879" t="str">
            <v>Luis Ernesto Medrano Chajon</v>
          </cell>
          <cell r="H879">
            <v>0</v>
          </cell>
        </row>
        <row r="880">
          <cell r="F880">
            <v>308519</v>
          </cell>
          <cell r="G880" t="str">
            <v>Luis Felipe Cuzal Gomez</v>
          </cell>
          <cell r="H880">
            <v>0</v>
          </cell>
        </row>
        <row r="881">
          <cell r="F881">
            <v>314812</v>
          </cell>
          <cell r="G881" t="str">
            <v>Luis Fernando Alvarado Tocay</v>
          </cell>
          <cell r="H881">
            <v>0</v>
          </cell>
        </row>
        <row r="882">
          <cell r="F882">
            <v>304509</v>
          </cell>
          <cell r="G882" t="str">
            <v>Luis Fernando Jerez Perez</v>
          </cell>
          <cell r="H882">
            <v>0</v>
          </cell>
        </row>
        <row r="883">
          <cell r="F883">
            <v>313479</v>
          </cell>
          <cell r="G883" t="str">
            <v>Luis Fernando Lopez Lopez</v>
          </cell>
          <cell r="H883">
            <v>0</v>
          </cell>
        </row>
        <row r="884">
          <cell r="F884">
            <v>310923</v>
          </cell>
          <cell r="G884" t="str">
            <v>Luis Fernando Lopez Lopez</v>
          </cell>
          <cell r="H884">
            <v>0</v>
          </cell>
        </row>
        <row r="885">
          <cell r="F885">
            <v>307904</v>
          </cell>
          <cell r="G885" t="str">
            <v>Luis Fernando Martin Mateo</v>
          </cell>
          <cell r="H885">
            <v>0</v>
          </cell>
        </row>
        <row r="886">
          <cell r="F886">
            <v>312303</v>
          </cell>
          <cell r="G886" t="str">
            <v>Luis Fernando Morales Chocoy</v>
          </cell>
          <cell r="H886">
            <v>0</v>
          </cell>
        </row>
        <row r="887">
          <cell r="F887">
            <v>314124</v>
          </cell>
          <cell r="G887" t="str">
            <v>Luis Fernando Perez Torres</v>
          </cell>
          <cell r="H887">
            <v>0</v>
          </cell>
        </row>
        <row r="888">
          <cell r="F888">
            <v>306713</v>
          </cell>
          <cell r="G888" t="str">
            <v>Luis Fernando Santos Aguilar</v>
          </cell>
          <cell r="H888">
            <v>0</v>
          </cell>
        </row>
        <row r="889">
          <cell r="F889">
            <v>315342</v>
          </cell>
          <cell r="G889" t="str">
            <v>Luis Fernando Valle Cuyun</v>
          </cell>
          <cell r="H889">
            <v>0</v>
          </cell>
        </row>
        <row r="890">
          <cell r="F890">
            <v>312257</v>
          </cell>
          <cell r="G890" t="str">
            <v>Luis Giovanni Coronado Vasquez</v>
          </cell>
          <cell r="H890">
            <v>0</v>
          </cell>
        </row>
        <row r="891">
          <cell r="F891">
            <v>307113</v>
          </cell>
          <cell r="G891" t="str">
            <v>Luis Pedro Herrera España</v>
          </cell>
          <cell r="H891">
            <v>0</v>
          </cell>
        </row>
        <row r="892">
          <cell r="F892">
            <v>303961</v>
          </cell>
          <cell r="G892" t="str">
            <v>Luis Rene Morales Lopez</v>
          </cell>
          <cell r="H892">
            <v>0</v>
          </cell>
        </row>
        <row r="893">
          <cell r="F893">
            <v>308796</v>
          </cell>
          <cell r="G893" t="str">
            <v>Luis Tito Rene Esquivel Yancor</v>
          </cell>
          <cell r="H893">
            <v>0</v>
          </cell>
        </row>
        <row r="894">
          <cell r="F894">
            <v>307862</v>
          </cell>
          <cell r="G894" t="str">
            <v>Luisa Fernanda Castro Garcia</v>
          </cell>
          <cell r="H894">
            <v>0</v>
          </cell>
        </row>
        <row r="895">
          <cell r="F895">
            <v>310734</v>
          </cell>
          <cell r="G895" t="str">
            <v>Lupita Genesis Samanta Granados Valenzuela</v>
          </cell>
          <cell r="H895">
            <v>0</v>
          </cell>
        </row>
        <row r="896">
          <cell r="F896">
            <v>309761</v>
          </cell>
          <cell r="G896" t="str">
            <v>Lusi Angelica Coyoy Hernandez</v>
          </cell>
          <cell r="H896">
            <v>0</v>
          </cell>
        </row>
        <row r="897">
          <cell r="F897">
            <v>310867</v>
          </cell>
          <cell r="G897" t="str">
            <v>Madelin Raquel Garcia Punay</v>
          </cell>
          <cell r="H897">
            <v>0</v>
          </cell>
        </row>
        <row r="898">
          <cell r="F898">
            <v>310796</v>
          </cell>
          <cell r="G898" t="str">
            <v>Madelyn Estefany Vega Velasquez</v>
          </cell>
          <cell r="H898">
            <v>0</v>
          </cell>
        </row>
        <row r="899">
          <cell r="F899">
            <v>314563</v>
          </cell>
          <cell r="G899" t="str">
            <v>Madelyn Siomara Mazul De Leon</v>
          </cell>
          <cell r="H899">
            <v>0</v>
          </cell>
        </row>
        <row r="900">
          <cell r="F900">
            <v>304658</v>
          </cell>
          <cell r="G900" t="str">
            <v>Madelyn Virginia Lopez Ortega</v>
          </cell>
          <cell r="H900">
            <v>0</v>
          </cell>
        </row>
        <row r="901">
          <cell r="F901">
            <v>315181</v>
          </cell>
          <cell r="G901" t="str">
            <v>Magda Beatriz Galvez Fernandez</v>
          </cell>
          <cell r="H901">
            <v>0</v>
          </cell>
        </row>
        <row r="902">
          <cell r="F902">
            <v>311615</v>
          </cell>
          <cell r="G902" t="str">
            <v>Magda Corina Gutierrez Yool</v>
          </cell>
          <cell r="H902">
            <v>0</v>
          </cell>
        </row>
        <row r="903">
          <cell r="F903">
            <v>312044</v>
          </cell>
          <cell r="G903" t="str">
            <v>Magda Danira Catalan Paz</v>
          </cell>
          <cell r="H903">
            <v>0</v>
          </cell>
        </row>
        <row r="904">
          <cell r="F904">
            <v>307582</v>
          </cell>
          <cell r="G904" t="str">
            <v>Mahely Elva Maria Franco Gualim</v>
          </cell>
          <cell r="H904">
            <v>0</v>
          </cell>
        </row>
        <row r="905">
          <cell r="F905">
            <v>301669</v>
          </cell>
          <cell r="G905" t="str">
            <v>Manfredo Alexander Castillo Quex</v>
          </cell>
          <cell r="H905">
            <v>0</v>
          </cell>
        </row>
        <row r="906">
          <cell r="F906">
            <v>309811</v>
          </cell>
          <cell r="G906" t="str">
            <v>Manfredo Isaias Orozco Perez</v>
          </cell>
          <cell r="H906">
            <v>0</v>
          </cell>
        </row>
        <row r="907">
          <cell r="F907">
            <v>314136</v>
          </cell>
          <cell r="G907" t="str">
            <v>Manlio Alcides Godinez Yanez</v>
          </cell>
          <cell r="H907">
            <v>0</v>
          </cell>
        </row>
        <row r="908">
          <cell r="F908">
            <v>315094</v>
          </cell>
          <cell r="G908" t="str">
            <v>Manuel Enrique Espinoza Cermeño</v>
          </cell>
          <cell r="H908">
            <v>0</v>
          </cell>
        </row>
        <row r="909">
          <cell r="F909">
            <v>312835</v>
          </cell>
          <cell r="G909" t="str">
            <v>Manuel Estuardo Arriaga Garcia</v>
          </cell>
          <cell r="H909">
            <v>0</v>
          </cell>
        </row>
        <row r="910">
          <cell r="F910">
            <v>314608</v>
          </cell>
          <cell r="G910" t="str">
            <v>Marbin Yobani Calderon Vicente</v>
          </cell>
          <cell r="H910">
            <v>0</v>
          </cell>
        </row>
        <row r="911">
          <cell r="F911">
            <v>314041</v>
          </cell>
          <cell r="G911" t="str">
            <v>Marcela Isabel Medrano Ajquiy</v>
          </cell>
          <cell r="H911">
            <v>0</v>
          </cell>
        </row>
        <row r="912">
          <cell r="F912">
            <v>308478</v>
          </cell>
          <cell r="G912" t="str">
            <v>Marco Antonio Tejada Herrera</v>
          </cell>
          <cell r="H912">
            <v>0</v>
          </cell>
        </row>
        <row r="913">
          <cell r="F913">
            <v>315216</v>
          </cell>
          <cell r="G913" t="str">
            <v>Marcos Avilio Santizo Roman</v>
          </cell>
          <cell r="H913">
            <v>0</v>
          </cell>
        </row>
        <row r="914">
          <cell r="F914">
            <v>312919</v>
          </cell>
          <cell r="G914" t="str">
            <v>Marcos Daniel Miranda Ordoñez</v>
          </cell>
          <cell r="H914">
            <v>0</v>
          </cell>
        </row>
        <row r="915">
          <cell r="F915">
            <v>306192</v>
          </cell>
          <cell r="G915" t="str">
            <v>Marenda Mishel Galeano Lopez</v>
          </cell>
          <cell r="H915">
            <v>0</v>
          </cell>
        </row>
        <row r="916">
          <cell r="F916">
            <v>311597</v>
          </cell>
          <cell r="G916" t="str">
            <v>Maria Alejandra Estrada Morales</v>
          </cell>
          <cell r="H916">
            <v>0</v>
          </cell>
        </row>
        <row r="917">
          <cell r="F917">
            <v>315488</v>
          </cell>
          <cell r="G917" t="str">
            <v>Maria Alejandra Lanuza Perez</v>
          </cell>
          <cell r="H917">
            <v>0</v>
          </cell>
        </row>
        <row r="918">
          <cell r="F918">
            <v>315414</v>
          </cell>
          <cell r="G918" t="str">
            <v>Maria Alejandra Perez Martinez</v>
          </cell>
          <cell r="H918">
            <v>0</v>
          </cell>
        </row>
        <row r="919">
          <cell r="F919">
            <v>314383</v>
          </cell>
          <cell r="G919" t="str">
            <v>Maria De La Luz Masaya Moreno</v>
          </cell>
          <cell r="H919">
            <v>0</v>
          </cell>
        </row>
        <row r="920">
          <cell r="F920">
            <v>314419</v>
          </cell>
          <cell r="G920" t="str">
            <v>Maria De Los Angeles Hernandez Oliva</v>
          </cell>
          <cell r="H920">
            <v>0</v>
          </cell>
        </row>
        <row r="921">
          <cell r="F921">
            <v>309455</v>
          </cell>
          <cell r="G921" t="str">
            <v>Maria Del Rosario De Leon Puac</v>
          </cell>
          <cell r="H921">
            <v>0</v>
          </cell>
        </row>
        <row r="922">
          <cell r="F922">
            <v>310240</v>
          </cell>
          <cell r="G922" t="str">
            <v>Maria Del Rosario Sion Calel</v>
          </cell>
          <cell r="H922">
            <v>0</v>
          </cell>
        </row>
        <row r="923">
          <cell r="F923">
            <v>311583</v>
          </cell>
          <cell r="G923" t="str">
            <v>Maria Elizabeth Recinos Villagran</v>
          </cell>
          <cell r="H923">
            <v>0</v>
          </cell>
        </row>
        <row r="924">
          <cell r="F924">
            <v>315128</v>
          </cell>
          <cell r="G924" t="str">
            <v>Maria Eugenia Alvarez Lopez</v>
          </cell>
          <cell r="H924">
            <v>0</v>
          </cell>
        </row>
        <row r="925">
          <cell r="F925">
            <v>309571</v>
          </cell>
          <cell r="G925" t="str">
            <v>Maria Fernanda Aldana Fernandez</v>
          </cell>
          <cell r="H925">
            <v>0</v>
          </cell>
        </row>
        <row r="926">
          <cell r="F926">
            <v>305630</v>
          </cell>
          <cell r="G926" t="str">
            <v>Maria Fernanda Duran Barrera De De De Leon</v>
          </cell>
          <cell r="H926">
            <v>0</v>
          </cell>
        </row>
        <row r="927">
          <cell r="F927">
            <v>315325</v>
          </cell>
          <cell r="G927" t="str">
            <v>Maria Fernanda García Patzán</v>
          </cell>
          <cell r="H927">
            <v>0</v>
          </cell>
        </row>
        <row r="928">
          <cell r="F928">
            <v>315310</v>
          </cell>
          <cell r="G928" t="str">
            <v>Maria Fernanda Reyes Trinidad</v>
          </cell>
          <cell r="H928">
            <v>0</v>
          </cell>
        </row>
        <row r="929">
          <cell r="F929">
            <v>314265</v>
          </cell>
          <cell r="G929" t="str">
            <v>Maria Fernanda Sanches Yoc</v>
          </cell>
          <cell r="H929">
            <v>0</v>
          </cell>
        </row>
        <row r="930">
          <cell r="F930">
            <v>313724</v>
          </cell>
          <cell r="G930" t="str">
            <v>Maria Fernanda Tomas</v>
          </cell>
          <cell r="H930">
            <v>0</v>
          </cell>
        </row>
        <row r="931">
          <cell r="F931">
            <v>315252</v>
          </cell>
          <cell r="G931" t="str">
            <v>Maria Gabriela Giron De Leon</v>
          </cell>
          <cell r="H931">
            <v>0</v>
          </cell>
        </row>
        <row r="932">
          <cell r="F932">
            <v>309515</v>
          </cell>
          <cell r="G932" t="str">
            <v>Maria Guadalupe Marroquin Camargo</v>
          </cell>
          <cell r="H932">
            <v>0</v>
          </cell>
        </row>
        <row r="933">
          <cell r="F933">
            <v>313732</v>
          </cell>
          <cell r="G933" t="str">
            <v>Maria Isabel Martinez</v>
          </cell>
          <cell r="H933">
            <v>0</v>
          </cell>
        </row>
        <row r="934">
          <cell r="F934">
            <v>314027</v>
          </cell>
          <cell r="G934" t="str">
            <v>Maria Isabel Reyes Aguirre</v>
          </cell>
          <cell r="H934">
            <v>0</v>
          </cell>
        </row>
        <row r="935">
          <cell r="F935">
            <v>311474</v>
          </cell>
          <cell r="G935" t="str">
            <v>Maria Jose Alvarado Lopez De Barrientos</v>
          </cell>
          <cell r="H935">
            <v>0</v>
          </cell>
        </row>
        <row r="936">
          <cell r="F936">
            <v>312356</v>
          </cell>
          <cell r="G936" t="str">
            <v>Maria Jose Fernandez Melendez</v>
          </cell>
          <cell r="H936">
            <v>0</v>
          </cell>
        </row>
        <row r="937">
          <cell r="F937">
            <v>313800</v>
          </cell>
          <cell r="G937" t="str">
            <v>Maria Jose Flores Alvarez</v>
          </cell>
          <cell r="H937">
            <v>0</v>
          </cell>
        </row>
        <row r="938">
          <cell r="F938">
            <v>314566</v>
          </cell>
          <cell r="G938" t="str">
            <v>Maria Jose Gonzalez Orellana</v>
          </cell>
          <cell r="H938">
            <v>0</v>
          </cell>
        </row>
        <row r="939">
          <cell r="F939">
            <v>311569</v>
          </cell>
          <cell r="G939" t="str">
            <v>Maria Jose Gramajo Garcia De Monzon</v>
          </cell>
          <cell r="H939">
            <v>0</v>
          </cell>
        </row>
        <row r="940">
          <cell r="F940">
            <v>313095</v>
          </cell>
          <cell r="G940" t="str">
            <v>Maria Jose Meza De Leon</v>
          </cell>
          <cell r="H940">
            <v>0</v>
          </cell>
        </row>
        <row r="941">
          <cell r="F941">
            <v>300191</v>
          </cell>
          <cell r="G941" t="str">
            <v>Maria Jose Salazar Rueda</v>
          </cell>
          <cell r="H941">
            <v>0</v>
          </cell>
        </row>
        <row r="942">
          <cell r="F942">
            <v>314226</v>
          </cell>
          <cell r="G942" t="str">
            <v>Maria Josee Morales Vaides</v>
          </cell>
          <cell r="H942">
            <v>0</v>
          </cell>
        </row>
        <row r="943">
          <cell r="F943">
            <v>315362</v>
          </cell>
          <cell r="G943" t="str">
            <v>Maria Lourdes Ajpuz Julajuj</v>
          </cell>
          <cell r="H943">
            <v>0</v>
          </cell>
        </row>
        <row r="944">
          <cell r="F944">
            <v>306697</v>
          </cell>
          <cell r="G944" t="str">
            <v>Maria Luisa Ramos Lopez</v>
          </cell>
          <cell r="H944">
            <v>0</v>
          </cell>
        </row>
        <row r="945">
          <cell r="F945">
            <v>314180</v>
          </cell>
          <cell r="G945" t="str">
            <v>Maria Ruby Tzamol Pacay</v>
          </cell>
          <cell r="H945">
            <v>0</v>
          </cell>
        </row>
        <row r="946">
          <cell r="F946">
            <v>311686</v>
          </cell>
          <cell r="G946" t="str">
            <v>Maria Teresa Recinos Estrada</v>
          </cell>
          <cell r="H946">
            <v>0</v>
          </cell>
        </row>
        <row r="947">
          <cell r="F947">
            <v>315351</v>
          </cell>
          <cell r="G947" t="str">
            <v>Maria Vicenta Lopez Mancilla</v>
          </cell>
          <cell r="H947">
            <v>0</v>
          </cell>
        </row>
        <row r="948">
          <cell r="F948">
            <v>311755</v>
          </cell>
          <cell r="G948" t="str">
            <v>Marian Rebeca Gallardo Alvarez</v>
          </cell>
          <cell r="H948">
            <v>0</v>
          </cell>
        </row>
        <row r="949">
          <cell r="F949">
            <v>313660</v>
          </cell>
          <cell r="G949" t="str">
            <v>Mariana Del Rosario Escobar Sanchez</v>
          </cell>
          <cell r="H949">
            <v>0</v>
          </cell>
        </row>
        <row r="950">
          <cell r="F950">
            <v>314169</v>
          </cell>
          <cell r="G950" t="str">
            <v>Mariano Jose Lopez Cojon</v>
          </cell>
          <cell r="H950">
            <v>0</v>
          </cell>
        </row>
        <row r="951">
          <cell r="F951">
            <v>314341</v>
          </cell>
          <cell r="G951" t="str">
            <v>Mariano Jose Trujillo Baldizon</v>
          </cell>
          <cell r="H951">
            <v>0</v>
          </cell>
        </row>
        <row r="952">
          <cell r="F952">
            <v>314050</v>
          </cell>
          <cell r="G952" t="str">
            <v>Mariela Alejandra Batz De Leon</v>
          </cell>
          <cell r="H952">
            <v>0</v>
          </cell>
        </row>
        <row r="953">
          <cell r="F953">
            <v>311273</v>
          </cell>
          <cell r="G953" t="str">
            <v>Marili Cecilia Ramirez Cardona</v>
          </cell>
          <cell r="H953">
            <v>0</v>
          </cell>
        </row>
        <row r="954">
          <cell r="F954">
            <v>312576</v>
          </cell>
          <cell r="G954" t="str">
            <v>Marilin Melisa Lopez Yoc</v>
          </cell>
          <cell r="H954">
            <v>0</v>
          </cell>
        </row>
        <row r="955">
          <cell r="F955">
            <v>314530</v>
          </cell>
          <cell r="G955" t="str">
            <v>Marilyn Alexandra Davila Chavez</v>
          </cell>
          <cell r="H955">
            <v>0</v>
          </cell>
        </row>
        <row r="956">
          <cell r="F956">
            <v>315099</v>
          </cell>
          <cell r="G956" t="str">
            <v>Marilyn Yulissa Alvarez Toscano</v>
          </cell>
          <cell r="H956">
            <v>0</v>
          </cell>
        </row>
        <row r="957">
          <cell r="F957">
            <v>311405</v>
          </cell>
          <cell r="G957" t="str">
            <v>Marina Elena Giron Roldan</v>
          </cell>
          <cell r="H957">
            <v>0</v>
          </cell>
        </row>
        <row r="958">
          <cell r="F958">
            <v>314803</v>
          </cell>
          <cell r="G958" t="str">
            <v>Mario David Quilo Hernandez</v>
          </cell>
          <cell r="H958">
            <v>0</v>
          </cell>
        </row>
        <row r="959">
          <cell r="F959">
            <v>306487</v>
          </cell>
          <cell r="G959" t="str">
            <v>Mario Estuardo Chavez Zelada</v>
          </cell>
          <cell r="H959">
            <v>0</v>
          </cell>
        </row>
        <row r="960">
          <cell r="F960">
            <v>315445</v>
          </cell>
          <cell r="G960" t="str">
            <v>Mario Guberlindo Gonzalez Velasquez</v>
          </cell>
          <cell r="H960">
            <v>0</v>
          </cell>
        </row>
        <row r="961">
          <cell r="F961">
            <v>313107</v>
          </cell>
          <cell r="G961" t="str">
            <v>Mario Jose Mejia Escobar</v>
          </cell>
          <cell r="H961">
            <v>0</v>
          </cell>
        </row>
        <row r="962">
          <cell r="F962">
            <v>314737</v>
          </cell>
          <cell r="G962" t="str">
            <v>Mario Rene Lopez Gudiel</v>
          </cell>
          <cell r="H962">
            <v>0</v>
          </cell>
        </row>
        <row r="963">
          <cell r="F963">
            <v>309842</v>
          </cell>
          <cell r="G963" t="str">
            <v>Maritza Morales Tzoc</v>
          </cell>
          <cell r="H963">
            <v>0</v>
          </cell>
        </row>
        <row r="964">
          <cell r="F964">
            <v>312996</v>
          </cell>
          <cell r="G964" t="str">
            <v>Marlen Aida Pelaez Ramirez</v>
          </cell>
          <cell r="H964">
            <v>0</v>
          </cell>
        </row>
        <row r="965">
          <cell r="F965">
            <v>310203</v>
          </cell>
          <cell r="G965" t="str">
            <v>Marlen Brigitt Rosales De Leon</v>
          </cell>
          <cell r="H965">
            <v>0</v>
          </cell>
        </row>
        <row r="966">
          <cell r="F966">
            <v>314089</v>
          </cell>
          <cell r="G966" t="str">
            <v>Marlin Yesenia Chacon Garcia</v>
          </cell>
          <cell r="H966">
            <v>0</v>
          </cell>
        </row>
        <row r="967">
          <cell r="F967">
            <v>314054</v>
          </cell>
          <cell r="G967" t="str">
            <v>Marlon Eduardo Arreaga Escobar</v>
          </cell>
          <cell r="H967">
            <v>0</v>
          </cell>
        </row>
        <row r="968">
          <cell r="F968">
            <v>315505</v>
          </cell>
          <cell r="G968" t="str">
            <v>Marlon Eduardo Medrano Sandoval</v>
          </cell>
          <cell r="H968">
            <v>0</v>
          </cell>
        </row>
        <row r="969">
          <cell r="F969">
            <v>310727</v>
          </cell>
          <cell r="G969" t="str">
            <v>Marlon Ivan Dardon Hernandez</v>
          </cell>
          <cell r="H969">
            <v>0</v>
          </cell>
        </row>
        <row r="970">
          <cell r="F970">
            <v>315341</v>
          </cell>
          <cell r="G970" t="str">
            <v>Marlon Miguelangel Morales Jerez</v>
          </cell>
          <cell r="H970">
            <v>0</v>
          </cell>
        </row>
        <row r="971">
          <cell r="F971">
            <v>311604</v>
          </cell>
          <cell r="G971" t="str">
            <v>Marolet Patricia Palacios Argueta</v>
          </cell>
          <cell r="H971">
            <v>0</v>
          </cell>
        </row>
        <row r="972">
          <cell r="F972">
            <v>310466</v>
          </cell>
          <cell r="G972" t="str">
            <v>Marta Emilia Moran Lopez</v>
          </cell>
          <cell r="H972">
            <v>0</v>
          </cell>
        </row>
        <row r="973">
          <cell r="F973">
            <v>314611</v>
          </cell>
          <cell r="G973" t="str">
            <v>Marta Iris Martinez Sete</v>
          </cell>
          <cell r="H973">
            <v>0</v>
          </cell>
        </row>
        <row r="974">
          <cell r="F974">
            <v>312109</v>
          </cell>
          <cell r="G974" t="str">
            <v>Martha Julia Shar Velasquez</v>
          </cell>
          <cell r="H974">
            <v>0</v>
          </cell>
        </row>
        <row r="975">
          <cell r="F975">
            <v>315103</v>
          </cell>
          <cell r="G975" t="str">
            <v>Martin Aroldo Lorenzana Flores</v>
          </cell>
          <cell r="H975">
            <v>0</v>
          </cell>
        </row>
        <row r="976">
          <cell r="F976">
            <v>315481</v>
          </cell>
          <cell r="G976" t="str">
            <v>Marvin Alejandro Puac Mulul</v>
          </cell>
          <cell r="H976">
            <v>0</v>
          </cell>
        </row>
        <row r="977">
          <cell r="F977">
            <v>306655</v>
          </cell>
          <cell r="G977" t="str">
            <v>Marvin Alexander Choguix Chex</v>
          </cell>
          <cell r="H977">
            <v>0</v>
          </cell>
        </row>
        <row r="978">
          <cell r="F978">
            <v>311176</v>
          </cell>
          <cell r="G978" t="str">
            <v>Marvin Andolfo Garcia De Leon</v>
          </cell>
          <cell r="H978">
            <v>0</v>
          </cell>
        </row>
        <row r="979">
          <cell r="F979">
            <v>315475</v>
          </cell>
          <cell r="G979" t="str">
            <v>Marvin Eduardo Coxaj Sanic</v>
          </cell>
          <cell r="H979">
            <v>0</v>
          </cell>
        </row>
        <row r="980">
          <cell r="F980">
            <v>312374</v>
          </cell>
          <cell r="G980" t="str">
            <v>Marvin Eleazar Sunun Acuta</v>
          </cell>
          <cell r="H980">
            <v>0</v>
          </cell>
        </row>
        <row r="981">
          <cell r="F981">
            <v>310680</v>
          </cell>
          <cell r="G981" t="str">
            <v>Marvin Estuardo Xiloj De Leon</v>
          </cell>
          <cell r="H981">
            <v>0</v>
          </cell>
        </row>
        <row r="982">
          <cell r="F982">
            <v>315460</v>
          </cell>
          <cell r="G982" t="str">
            <v>Marvin Leonel Hernandez Alvarez</v>
          </cell>
          <cell r="H982">
            <v>0</v>
          </cell>
        </row>
        <row r="983">
          <cell r="F983">
            <v>307409</v>
          </cell>
          <cell r="G983" t="str">
            <v>Marvin Rodolfo Santizo Rosales</v>
          </cell>
          <cell r="H983">
            <v>0</v>
          </cell>
        </row>
        <row r="984">
          <cell r="F984">
            <v>313194</v>
          </cell>
          <cell r="G984" t="str">
            <v>Mary Isabel Xiloj Tajiboy</v>
          </cell>
          <cell r="H984">
            <v>0</v>
          </cell>
        </row>
        <row r="985">
          <cell r="F985">
            <v>314092</v>
          </cell>
          <cell r="G985" t="str">
            <v>Maryory Marilu Ramos Reyes</v>
          </cell>
          <cell r="H985">
            <v>0</v>
          </cell>
        </row>
        <row r="986">
          <cell r="F986">
            <v>314207</v>
          </cell>
          <cell r="G986" t="str">
            <v>Maryury Yasmin Suret Mejia</v>
          </cell>
          <cell r="H986">
            <v>0</v>
          </cell>
        </row>
        <row r="987">
          <cell r="F987">
            <v>314618</v>
          </cell>
          <cell r="G987" t="str">
            <v>Mauro Gilberto Rax Suc</v>
          </cell>
          <cell r="H987">
            <v>0</v>
          </cell>
        </row>
        <row r="988">
          <cell r="F988">
            <v>304166</v>
          </cell>
          <cell r="G988" t="str">
            <v>Maviela Bibianeth Castillo Avila</v>
          </cell>
          <cell r="H988">
            <v>0</v>
          </cell>
        </row>
        <row r="989">
          <cell r="F989">
            <v>309285</v>
          </cell>
          <cell r="G989" t="str">
            <v>Mavilin Griselda Jacome Molina</v>
          </cell>
          <cell r="H989">
            <v>0</v>
          </cell>
        </row>
        <row r="990">
          <cell r="F990">
            <v>315042</v>
          </cell>
          <cell r="G990" t="str">
            <v>Mayki Waleska Alvarez Guzman</v>
          </cell>
          <cell r="H990">
            <v>0</v>
          </cell>
        </row>
        <row r="991">
          <cell r="F991">
            <v>314691</v>
          </cell>
          <cell r="G991" t="str">
            <v>Maylin Fernanda Cifuentes Guevara</v>
          </cell>
          <cell r="H991">
            <v>0</v>
          </cell>
        </row>
        <row r="992">
          <cell r="F992">
            <v>314857</v>
          </cell>
          <cell r="G992" t="str">
            <v>Maynor Alexander Chen Franco</v>
          </cell>
          <cell r="H992">
            <v>0</v>
          </cell>
        </row>
        <row r="993">
          <cell r="F993">
            <v>315320</v>
          </cell>
          <cell r="G993" t="str">
            <v>Maynor David Montufar De La Cruz</v>
          </cell>
          <cell r="H993">
            <v>0</v>
          </cell>
        </row>
        <row r="994">
          <cell r="F994">
            <v>314784</v>
          </cell>
          <cell r="G994" t="str">
            <v>Mayra Alejandra Perez Cordero</v>
          </cell>
          <cell r="H994">
            <v>0</v>
          </cell>
        </row>
        <row r="995">
          <cell r="F995">
            <v>307616</v>
          </cell>
          <cell r="G995" t="str">
            <v>Mayra Ester Lopez Gonzalez</v>
          </cell>
          <cell r="H995">
            <v>0</v>
          </cell>
        </row>
        <row r="996">
          <cell r="F996">
            <v>304234</v>
          </cell>
          <cell r="G996" t="str">
            <v>Mayra Julieta Sincal Coy</v>
          </cell>
          <cell r="H996">
            <v>0</v>
          </cell>
        </row>
        <row r="997">
          <cell r="F997">
            <v>314324</v>
          </cell>
          <cell r="G997" t="str">
            <v>Mayra Karina Soc Ovalle</v>
          </cell>
          <cell r="H997">
            <v>0</v>
          </cell>
        </row>
        <row r="998">
          <cell r="F998">
            <v>313096</v>
          </cell>
          <cell r="G998" t="str">
            <v>Mayra Noemi Godoy Carrera</v>
          </cell>
          <cell r="H998">
            <v>0</v>
          </cell>
        </row>
        <row r="999">
          <cell r="F999">
            <v>315528</v>
          </cell>
          <cell r="G999" t="str">
            <v>Melanie Azucena Choc Garcia</v>
          </cell>
          <cell r="H999">
            <v>0</v>
          </cell>
        </row>
        <row r="1000">
          <cell r="F1000">
            <v>309903</v>
          </cell>
          <cell r="G1000" t="str">
            <v>Melanie Vanessa Chacon Godoy</v>
          </cell>
          <cell r="H1000">
            <v>0</v>
          </cell>
        </row>
        <row r="1001">
          <cell r="F1001">
            <v>301165</v>
          </cell>
          <cell r="G1001" t="str">
            <v>Melissa Lissette Recinos Massella</v>
          </cell>
          <cell r="H1001">
            <v>0</v>
          </cell>
        </row>
        <row r="1002">
          <cell r="F1002">
            <v>314782</v>
          </cell>
          <cell r="G1002" t="str">
            <v>Melissandra Ruiz Ramirez</v>
          </cell>
          <cell r="H1002">
            <v>0</v>
          </cell>
        </row>
        <row r="1003">
          <cell r="F1003">
            <v>314053</v>
          </cell>
          <cell r="G1003" t="str">
            <v>Melody Arelis Elvira Monterroso</v>
          </cell>
          <cell r="H1003">
            <v>0</v>
          </cell>
        </row>
        <row r="1004">
          <cell r="F1004">
            <v>314777</v>
          </cell>
          <cell r="G1004" t="str">
            <v>Melvin Antonio Hernandez Gutierrez</v>
          </cell>
          <cell r="H1004">
            <v>0</v>
          </cell>
        </row>
        <row r="1005">
          <cell r="F1005">
            <v>315452</v>
          </cell>
          <cell r="G1005" t="str">
            <v>Melvin Everardo Morales Navas</v>
          </cell>
          <cell r="H1005">
            <v>0</v>
          </cell>
        </row>
        <row r="1006">
          <cell r="F1006">
            <v>315416</v>
          </cell>
          <cell r="G1006" t="str">
            <v>Melvin Hermenegildo Yagut Monterroso</v>
          </cell>
          <cell r="H1006">
            <v>0</v>
          </cell>
        </row>
        <row r="1007">
          <cell r="F1007">
            <v>315107</v>
          </cell>
          <cell r="G1007" t="str">
            <v>Merari Abigail Orantes Gonzalez</v>
          </cell>
          <cell r="H1007">
            <v>0</v>
          </cell>
        </row>
        <row r="1008">
          <cell r="F1008">
            <v>304528</v>
          </cell>
          <cell r="G1008" t="str">
            <v>Merari Abigail Veliz Samayoa</v>
          </cell>
          <cell r="H1008">
            <v>0</v>
          </cell>
        </row>
        <row r="1009">
          <cell r="F1009">
            <v>311310</v>
          </cell>
          <cell r="G1009" t="str">
            <v>Merari Madai Arana Erazo</v>
          </cell>
          <cell r="H1009">
            <v>0</v>
          </cell>
        </row>
        <row r="1010">
          <cell r="F1010">
            <v>314447</v>
          </cell>
          <cell r="G1010" t="str">
            <v>Mercy Roxana Galvez Canales</v>
          </cell>
          <cell r="H1010">
            <v>0</v>
          </cell>
        </row>
        <row r="1011">
          <cell r="F1011">
            <v>314610</v>
          </cell>
          <cell r="G1011" t="str">
            <v>Merly Carolina Lopez Laynez</v>
          </cell>
          <cell r="H1011">
            <v>0</v>
          </cell>
        </row>
        <row r="1012">
          <cell r="F1012">
            <v>315402</v>
          </cell>
          <cell r="G1012" t="str">
            <v>Merly Sorayda Ramirez Mendez</v>
          </cell>
          <cell r="H1012">
            <v>0</v>
          </cell>
        </row>
        <row r="1013">
          <cell r="F1013">
            <v>315499</v>
          </cell>
          <cell r="G1013" t="str">
            <v>Miguel Angel Arias Maquin</v>
          </cell>
          <cell r="H1013">
            <v>0</v>
          </cell>
        </row>
        <row r="1014">
          <cell r="F1014">
            <v>302368</v>
          </cell>
          <cell r="G1014" t="str">
            <v>Miguel Angel Moya Cabnal</v>
          </cell>
          <cell r="H1014">
            <v>0</v>
          </cell>
        </row>
        <row r="1015">
          <cell r="F1015">
            <v>307315</v>
          </cell>
          <cell r="G1015" t="str">
            <v>Miguel Angel Vicente Morales</v>
          </cell>
          <cell r="H1015">
            <v>0</v>
          </cell>
        </row>
        <row r="1016">
          <cell r="F1016">
            <v>307063</v>
          </cell>
          <cell r="G1016" t="str">
            <v>Miguel Omar Zuleta Solorzano</v>
          </cell>
          <cell r="H1016">
            <v>0</v>
          </cell>
        </row>
        <row r="1017">
          <cell r="F1017">
            <v>311165</v>
          </cell>
          <cell r="G1017" t="str">
            <v>Miguel Orlando Sebastian Juchan</v>
          </cell>
          <cell r="H1017">
            <v>0</v>
          </cell>
        </row>
        <row r="1018">
          <cell r="F1018">
            <v>310954</v>
          </cell>
          <cell r="G1018" t="str">
            <v>Mildre Fabiola Gomez Barillas</v>
          </cell>
          <cell r="H1018">
            <v>0</v>
          </cell>
        </row>
        <row r="1019">
          <cell r="F1019">
            <v>315346</v>
          </cell>
          <cell r="G1019" t="str">
            <v>Mildred Elizabeth Solis Quevedo</v>
          </cell>
          <cell r="H1019">
            <v>0</v>
          </cell>
        </row>
        <row r="1020">
          <cell r="F1020">
            <v>314330</v>
          </cell>
          <cell r="G1020" t="str">
            <v>Mildred Magaly Ortega Pac</v>
          </cell>
          <cell r="H1020">
            <v>0</v>
          </cell>
        </row>
        <row r="1021">
          <cell r="F1021">
            <v>314985</v>
          </cell>
          <cell r="G1021" t="str">
            <v>Mildred Magaly Sul Lopez</v>
          </cell>
          <cell r="H1021">
            <v>0</v>
          </cell>
        </row>
        <row r="1022">
          <cell r="F1022">
            <v>309503</v>
          </cell>
          <cell r="G1022" t="str">
            <v>Mildred Yaneth Figueroa Garcia</v>
          </cell>
          <cell r="H1022">
            <v>0</v>
          </cell>
        </row>
        <row r="1023">
          <cell r="F1023">
            <v>301826</v>
          </cell>
          <cell r="G1023" t="str">
            <v>Mildred Yanett Cruz Alvarez</v>
          </cell>
          <cell r="H1023">
            <v>0</v>
          </cell>
        </row>
        <row r="1024">
          <cell r="F1024">
            <v>313864</v>
          </cell>
          <cell r="G1024" t="str">
            <v>Milena Maria Mendez Cheguen</v>
          </cell>
          <cell r="H1024">
            <v>0</v>
          </cell>
        </row>
        <row r="1025">
          <cell r="F1025">
            <v>314919</v>
          </cell>
          <cell r="G1025" t="str">
            <v>Milton Enrique Yax Sosa</v>
          </cell>
          <cell r="H1025">
            <v>0</v>
          </cell>
        </row>
        <row r="1026">
          <cell r="F1026">
            <v>312699</v>
          </cell>
          <cell r="G1026" t="str">
            <v>Milton Rene Estrada Coc</v>
          </cell>
          <cell r="H1026">
            <v>0</v>
          </cell>
        </row>
        <row r="1027">
          <cell r="F1027">
            <v>310468</v>
          </cell>
          <cell r="G1027" t="str">
            <v>Milton Roberto Juarez Lemus</v>
          </cell>
          <cell r="H1027">
            <v>0</v>
          </cell>
        </row>
        <row r="1028">
          <cell r="F1028">
            <v>313534</v>
          </cell>
          <cell r="G1028" t="str">
            <v>Milver Moises Maldonado Pelico</v>
          </cell>
          <cell r="H1028">
            <v>0</v>
          </cell>
        </row>
        <row r="1029">
          <cell r="F1029">
            <v>314555</v>
          </cell>
          <cell r="G1029" t="str">
            <v>Milvia Fernanda Talento Urbina</v>
          </cell>
          <cell r="H1029">
            <v>0</v>
          </cell>
        </row>
        <row r="1030">
          <cell r="F1030">
            <v>301347</v>
          </cell>
          <cell r="G1030" t="str">
            <v>Miriam Betsabe Rodas Perez</v>
          </cell>
          <cell r="H1030">
            <v>0</v>
          </cell>
        </row>
        <row r="1031">
          <cell r="F1031">
            <v>313439</v>
          </cell>
          <cell r="G1031" t="str">
            <v>Miriam Elizabeth Pérez Guerra</v>
          </cell>
          <cell r="H1031">
            <v>0</v>
          </cell>
        </row>
        <row r="1032">
          <cell r="F1032">
            <v>307748</v>
          </cell>
          <cell r="G1032" t="str">
            <v>Miriam Judith Cermeño Cetino</v>
          </cell>
          <cell r="H1032">
            <v>0</v>
          </cell>
        </row>
        <row r="1033">
          <cell r="F1033">
            <v>313772</v>
          </cell>
          <cell r="G1033" t="str">
            <v>Miriam Mineidy Moscoso Mayen</v>
          </cell>
          <cell r="H1033">
            <v>0</v>
          </cell>
        </row>
        <row r="1034">
          <cell r="F1034">
            <v>306649</v>
          </cell>
          <cell r="G1034" t="str">
            <v>Miriam Stefanie Hernandez Subuyuj</v>
          </cell>
          <cell r="H1034">
            <v>0</v>
          </cell>
        </row>
        <row r="1035">
          <cell r="F1035">
            <v>201909</v>
          </cell>
          <cell r="G1035" t="str">
            <v>Mirian Del Carmen Guzman Maldonado</v>
          </cell>
          <cell r="H1035">
            <v>0</v>
          </cell>
        </row>
        <row r="1036">
          <cell r="F1036">
            <v>314023</v>
          </cell>
          <cell r="G1036" t="str">
            <v>Mirna Consuelo Muñoz Ordoñez</v>
          </cell>
          <cell r="H1036">
            <v>0</v>
          </cell>
        </row>
        <row r="1037">
          <cell r="F1037">
            <v>315506</v>
          </cell>
          <cell r="G1037" t="str">
            <v>Mirna Elizabeth Zolote Patzan</v>
          </cell>
          <cell r="H1037">
            <v>0</v>
          </cell>
        </row>
        <row r="1038">
          <cell r="F1038">
            <v>101866</v>
          </cell>
          <cell r="G1038" t="str">
            <v>Mirna Violeta Carrillo Gonzalez</v>
          </cell>
          <cell r="H1038">
            <v>0</v>
          </cell>
        </row>
        <row r="1039">
          <cell r="F1039">
            <v>310687</v>
          </cell>
          <cell r="G1039" t="str">
            <v>Mirna Yesenia Umaña Ramos</v>
          </cell>
          <cell r="H1039">
            <v>0</v>
          </cell>
        </row>
        <row r="1040">
          <cell r="F1040">
            <v>313842</v>
          </cell>
          <cell r="G1040" t="str">
            <v>Mirza Johana Cosigua Rabinal</v>
          </cell>
          <cell r="H1040">
            <v>0</v>
          </cell>
        </row>
        <row r="1041">
          <cell r="F1041">
            <v>313441</v>
          </cell>
          <cell r="G1041" t="str">
            <v>Moises Dario Flores Amaya</v>
          </cell>
          <cell r="H1041">
            <v>0</v>
          </cell>
        </row>
        <row r="1042">
          <cell r="F1042">
            <v>313480</v>
          </cell>
          <cell r="G1042" t="str">
            <v>Monica Cecilia Perez Lopez</v>
          </cell>
          <cell r="H1042">
            <v>0</v>
          </cell>
        </row>
        <row r="1043">
          <cell r="F1043">
            <v>313674</v>
          </cell>
          <cell r="G1043" t="str">
            <v>Monica Gabriela Canizales Santos</v>
          </cell>
          <cell r="H1043">
            <v>0</v>
          </cell>
        </row>
        <row r="1044">
          <cell r="F1044">
            <v>307706</v>
          </cell>
          <cell r="G1044" t="str">
            <v>Monica Guadalupe Garcia Rivera</v>
          </cell>
          <cell r="H1044">
            <v>0</v>
          </cell>
        </row>
        <row r="1045">
          <cell r="F1045">
            <v>314918</v>
          </cell>
          <cell r="G1045" t="str">
            <v>Monica Isabel Castillo Avila</v>
          </cell>
          <cell r="H1045">
            <v>0</v>
          </cell>
        </row>
        <row r="1046">
          <cell r="F1046">
            <v>313553</v>
          </cell>
          <cell r="G1046" t="str">
            <v>Monica Laj De La Cruz</v>
          </cell>
          <cell r="H1046">
            <v>0</v>
          </cell>
        </row>
        <row r="1047">
          <cell r="F1047">
            <v>308910</v>
          </cell>
          <cell r="G1047" t="str">
            <v>Monica Lisseth Marroquin Salazar</v>
          </cell>
          <cell r="H1047">
            <v>0</v>
          </cell>
        </row>
        <row r="1048">
          <cell r="F1048">
            <v>302232</v>
          </cell>
          <cell r="G1048" t="str">
            <v>Monica Lizbeth Franco Chacon</v>
          </cell>
          <cell r="H1048">
            <v>0</v>
          </cell>
        </row>
        <row r="1049">
          <cell r="F1049">
            <v>311945</v>
          </cell>
          <cell r="G1049" t="str">
            <v>Monica Michelle Diaz De Leon De Baltazar</v>
          </cell>
          <cell r="H1049">
            <v>0</v>
          </cell>
        </row>
        <row r="1050">
          <cell r="F1050">
            <v>315559</v>
          </cell>
          <cell r="G1050" t="str">
            <v>Monica Mishell Perez Ballesteros</v>
          </cell>
          <cell r="H1050">
            <v>0</v>
          </cell>
        </row>
        <row r="1051">
          <cell r="F1051">
            <v>313346</v>
          </cell>
          <cell r="G1051" t="str">
            <v>Monica Mishell Rendon Gamboa</v>
          </cell>
          <cell r="H1051">
            <v>0</v>
          </cell>
        </row>
        <row r="1052">
          <cell r="F1052">
            <v>314616</v>
          </cell>
          <cell r="G1052" t="str">
            <v>Monica Raquel Palacios Piedrasanta</v>
          </cell>
          <cell r="H1052">
            <v>0</v>
          </cell>
        </row>
        <row r="1053">
          <cell r="F1053">
            <v>314653</v>
          </cell>
          <cell r="G1053" t="str">
            <v>Monica Yulissa Sun Pacay</v>
          </cell>
          <cell r="H1053">
            <v>0</v>
          </cell>
        </row>
        <row r="1054">
          <cell r="F1054">
            <v>311311</v>
          </cell>
          <cell r="G1054" t="str">
            <v>Monica Yulissa Vicente Velasquez</v>
          </cell>
          <cell r="H1054">
            <v>0</v>
          </cell>
        </row>
        <row r="1055">
          <cell r="F1055">
            <v>313427</v>
          </cell>
          <cell r="G1055" t="str">
            <v>Mynor Genaro Salazar Merida</v>
          </cell>
          <cell r="H1055">
            <v>0</v>
          </cell>
        </row>
        <row r="1056">
          <cell r="F1056">
            <v>201518</v>
          </cell>
          <cell r="G1056" t="str">
            <v>Myriam Aracely Rivera Gonzalez</v>
          </cell>
          <cell r="H1056">
            <v>0</v>
          </cell>
        </row>
        <row r="1057">
          <cell r="F1057">
            <v>315266</v>
          </cell>
          <cell r="G1057" t="str">
            <v>Myrka Jessel Rivera Camo</v>
          </cell>
          <cell r="H1057">
            <v>0</v>
          </cell>
        </row>
        <row r="1058">
          <cell r="F1058">
            <v>314223</v>
          </cell>
          <cell r="G1058" t="str">
            <v>Nadia Estefania Gramajo Archila</v>
          </cell>
          <cell r="H1058">
            <v>0</v>
          </cell>
        </row>
        <row r="1059">
          <cell r="F1059">
            <v>314959</v>
          </cell>
          <cell r="G1059" t="str">
            <v>Nanci Magali Noj Santos</v>
          </cell>
          <cell r="H1059">
            <v>0</v>
          </cell>
        </row>
        <row r="1060">
          <cell r="F1060">
            <v>302592</v>
          </cell>
          <cell r="G1060" t="str">
            <v>Nanci Paola Con Morales</v>
          </cell>
          <cell r="H1060">
            <v>0</v>
          </cell>
        </row>
        <row r="1061">
          <cell r="F1061">
            <v>301700</v>
          </cell>
          <cell r="G1061" t="str">
            <v>Nanci Yanira Navas Garcia</v>
          </cell>
          <cell r="H1061">
            <v>0</v>
          </cell>
        </row>
        <row r="1062">
          <cell r="F1062">
            <v>312111</v>
          </cell>
          <cell r="G1062" t="str">
            <v>Nancy Corina Quiñonez Rodriguez</v>
          </cell>
          <cell r="H1062">
            <v>0</v>
          </cell>
        </row>
        <row r="1063">
          <cell r="F1063">
            <v>303538</v>
          </cell>
          <cell r="G1063" t="str">
            <v>Nancy Magaly Izaguirre Galicia</v>
          </cell>
          <cell r="H1063">
            <v>0</v>
          </cell>
        </row>
        <row r="1064">
          <cell r="F1064">
            <v>305223</v>
          </cell>
          <cell r="G1064" t="str">
            <v>Nancy Pahola De Leon Patzan</v>
          </cell>
          <cell r="H1064">
            <v>0</v>
          </cell>
        </row>
        <row r="1065">
          <cell r="F1065">
            <v>311423</v>
          </cell>
          <cell r="G1065" t="str">
            <v>Nancy Paola Jimenez Pamal</v>
          </cell>
          <cell r="H1065">
            <v>0</v>
          </cell>
        </row>
        <row r="1066">
          <cell r="F1066">
            <v>310510</v>
          </cell>
          <cell r="G1066" t="str">
            <v>Nancy Paola Morales Rodriguez</v>
          </cell>
          <cell r="H1066">
            <v>0</v>
          </cell>
        </row>
        <row r="1067">
          <cell r="F1067">
            <v>312587</v>
          </cell>
          <cell r="G1067" t="str">
            <v>Nancy Roxana Chuy Ponce</v>
          </cell>
          <cell r="H1067">
            <v>0</v>
          </cell>
        </row>
        <row r="1068">
          <cell r="F1068">
            <v>314745</v>
          </cell>
          <cell r="G1068" t="str">
            <v>Nancy Yaneth Vasquez Chiguichon</v>
          </cell>
          <cell r="H1068">
            <v>0</v>
          </cell>
        </row>
        <row r="1069">
          <cell r="F1069">
            <v>309809</v>
          </cell>
          <cell r="G1069" t="str">
            <v>Nancy Yessenia Set Iquite</v>
          </cell>
          <cell r="H1069">
            <v>0</v>
          </cell>
        </row>
        <row r="1070">
          <cell r="F1070">
            <v>311261</v>
          </cell>
          <cell r="G1070" t="str">
            <v>Nasly Abigail Cazian Lopez</v>
          </cell>
          <cell r="H1070">
            <v>0</v>
          </cell>
        </row>
        <row r="1071">
          <cell r="F1071">
            <v>312545</v>
          </cell>
          <cell r="G1071" t="str">
            <v>Nataly Pamela Fransheska Aguilar Escobar</v>
          </cell>
          <cell r="H1071">
            <v>0</v>
          </cell>
        </row>
        <row r="1072">
          <cell r="F1072">
            <v>314192</v>
          </cell>
          <cell r="G1072" t="str">
            <v>Neftaly Eliseo Aguilar Hernandez</v>
          </cell>
          <cell r="H1072">
            <v>0</v>
          </cell>
        </row>
        <row r="1073">
          <cell r="F1073">
            <v>314024</v>
          </cell>
          <cell r="G1073" t="str">
            <v>Nelson Aurelio Portillo Martinez</v>
          </cell>
          <cell r="H1073">
            <v>0</v>
          </cell>
        </row>
        <row r="1074">
          <cell r="F1074">
            <v>314913</v>
          </cell>
          <cell r="G1074" t="str">
            <v>Nelson Humberto Caal Güe</v>
          </cell>
          <cell r="H1074">
            <v>0</v>
          </cell>
        </row>
        <row r="1075">
          <cell r="F1075">
            <v>314631</v>
          </cell>
          <cell r="G1075" t="str">
            <v>Nelsy Adali Nova Vivar</v>
          </cell>
          <cell r="H1075">
            <v>0</v>
          </cell>
        </row>
        <row r="1076">
          <cell r="F1076">
            <v>309216</v>
          </cell>
          <cell r="G1076" t="str">
            <v>Nery Daniel Chipin Lindo</v>
          </cell>
          <cell r="H1076">
            <v>0</v>
          </cell>
        </row>
        <row r="1077">
          <cell r="F1077">
            <v>313499</v>
          </cell>
          <cell r="G1077" t="str">
            <v>Nestor Donaldo Xiloj Quiej</v>
          </cell>
          <cell r="H1077">
            <v>0</v>
          </cell>
        </row>
        <row r="1078">
          <cell r="F1078">
            <v>312176</v>
          </cell>
          <cell r="G1078" t="str">
            <v>Nestor Edgardo Gutierrez Lazaro</v>
          </cell>
          <cell r="H1078">
            <v>0</v>
          </cell>
        </row>
        <row r="1079">
          <cell r="F1079">
            <v>309178</v>
          </cell>
          <cell r="G1079" t="str">
            <v>Nestor Enmanuel Retana Castellanos</v>
          </cell>
          <cell r="H1079">
            <v>0</v>
          </cell>
        </row>
        <row r="1080">
          <cell r="F1080">
            <v>313878</v>
          </cell>
          <cell r="G1080" t="str">
            <v>Nestor Orlando Aguilar Santos</v>
          </cell>
          <cell r="H1080">
            <v>0</v>
          </cell>
        </row>
        <row r="1081">
          <cell r="F1081">
            <v>305532</v>
          </cell>
          <cell r="G1081" t="str">
            <v>Nicolas Ajiquichi Ibate</v>
          </cell>
          <cell r="H1081">
            <v>0</v>
          </cell>
        </row>
        <row r="1082">
          <cell r="F1082">
            <v>312763</v>
          </cell>
          <cell r="G1082" t="str">
            <v>Nicolas Walter Toma Zacarias</v>
          </cell>
          <cell r="H1082">
            <v>0</v>
          </cell>
        </row>
        <row r="1083">
          <cell r="F1083">
            <v>315413</v>
          </cell>
          <cell r="G1083" t="str">
            <v>Nicomedes Israel Echeverria Pacheco</v>
          </cell>
          <cell r="H1083">
            <v>0</v>
          </cell>
        </row>
        <row r="1084">
          <cell r="F1084">
            <v>310907</v>
          </cell>
          <cell r="G1084" t="str">
            <v>Nidia Dalila Bantes Segura De Manchame</v>
          </cell>
          <cell r="H1084">
            <v>0</v>
          </cell>
        </row>
        <row r="1085">
          <cell r="F1085">
            <v>314818</v>
          </cell>
          <cell r="G1085" t="str">
            <v>Nidia Lucy Herrera Lopez</v>
          </cell>
          <cell r="H1085">
            <v>0</v>
          </cell>
        </row>
        <row r="1086">
          <cell r="F1086">
            <v>301486</v>
          </cell>
          <cell r="G1086" t="str">
            <v>Nidia Maribel Carpio Roca</v>
          </cell>
          <cell r="H1086">
            <v>0</v>
          </cell>
        </row>
        <row r="1087">
          <cell r="F1087">
            <v>306850</v>
          </cell>
          <cell r="G1087" t="str">
            <v>Nilda Julieta Boror Xuya</v>
          </cell>
          <cell r="H1087">
            <v>0</v>
          </cell>
        </row>
        <row r="1088">
          <cell r="F1088">
            <v>311624</v>
          </cell>
          <cell r="G1088" t="str">
            <v>Noe Amos Marroquin Sicajol</v>
          </cell>
          <cell r="H1088">
            <v>0</v>
          </cell>
        </row>
        <row r="1089">
          <cell r="F1089">
            <v>309912</v>
          </cell>
          <cell r="G1089" t="str">
            <v>Noelia Azucena Garcia Mazariegos</v>
          </cell>
          <cell r="H1089">
            <v>0</v>
          </cell>
        </row>
        <row r="1090">
          <cell r="F1090">
            <v>102045</v>
          </cell>
          <cell r="G1090" t="str">
            <v>Noemi Ruth Hernandez Urrutia</v>
          </cell>
          <cell r="H1090">
            <v>0</v>
          </cell>
        </row>
        <row r="1091">
          <cell r="F1091">
            <v>310375</v>
          </cell>
          <cell r="G1091" t="str">
            <v>Nora Lisseth Lam Sanchez</v>
          </cell>
          <cell r="H1091">
            <v>0</v>
          </cell>
        </row>
        <row r="1092">
          <cell r="F1092">
            <v>313429</v>
          </cell>
          <cell r="G1092" t="str">
            <v>Norman Alessandro Madrid Garcia</v>
          </cell>
          <cell r="H1092">
            <v>0</v>
          </cell>
        </row>
        <row r="1093">
          <cell r="F1093">
            <v>309744</v>
          </cell>
          <cell r="G1093" t="str">
            <v>Odalis Ruby Garcia Siquina</v>
          </cell>
          <cell r="H1093">
            <v>0</v>
          </cell>
        </row>
        <row r="1094">
          <cell r="F1094">
            <v>315554</v>
          </cell>
          <cell r="G1094" t="str">
            <v>Odalys Faviola Reyes Rivera</v>
          </cell>
          <cell r="H1094">
            <v>0</v>
          </cell>
        </row>
        <row r="1095">
          <cell r="F1095">
            <v>315037</v>
          </cell>
          <cell r="G1095" t="str">
            <v>Odiel Armando Guerra Aguirre</v>
          </cell>
          <cell r="H1095">
            <v>0</v>
          </cell>
        </row>
        <row r="1096">
          <cell r="F1096">
            <v>307511</v>
          </cell>
          <cell r="G1096" t="str">
            <v>Odra Arcadia Barduel Sarat</v>
          </cell>
          <cell r="H1096">
            <v>0</v>
          </cell>
        </row>
        <row r="1097">
          <cell r="F1097">
            <v>310763</v>
          </cell>
          <cell r="G1097" t="str">
            <v>Olga Gabriela Lopez Tzic</v>
          </cell>
          <cell r="H1097">
            <v>0</v>
          </cell>
        </row>
        <row r="1098">
          <cell r="F1098">
            <v>309989</v>
          </cell>
          <cell r="G1098" t="str">
            <v>Olga Maricela Guarcas Tol</v>
          </cell>
          <cell r="H1098">
            <v>0</v>
          </cell>
        </row>
        <row r="1099">
          <cell r="F1099">
            <v>315281</v>
          </cell>
          <cell r="G1099" t="str">
            <v>Olinda Juarez Figueno</v>
          </cell>
          <cell r="H1099">
            <v>0</v>
          </cell>
        </row>
        <row r="1100">
          <cell r="F1100">
            <v>312972</v>
          </cell>
          <cell r="G1100" t="str">
            <v>Omar Anibal Barreda Valenzuela</v>
          </cell>
          <cell r="H1100">
            <v>0</v>
          </cell>
        </row>
        <row r="1101">
          <cell r="F1101">
            <v>302263</v>
          </cell>
          <cell r="G1101" t="str">
            <v>Oneida Del Carmen Corzo Morales</v>
          </cell>
          <cell r="H1101">
            <v>0</v>
          </cell>
        </row>
        <row r="1102">
          <cell r="F1102">
            <v>308263</v>
          </cell>
          <cell r="G1102" t="str">
            <v>Oscar Eduardo Xoyon Gomez</v>
          </cell>
          <cell r="H1102">
            <v>0</v>
          </cell>
        </row>
        <row r="1103">
          <cell r="F1103">
            <v>314104</v>
          </cell>
          <cell r="G1103" t="str">
            <v>Oscar Emilio Gomez Orozco</v>
          </cell>
          <cell r="H1103">
            <v>0</v>
          </cell>
        </row>
        <row r="1104">
          <cell r="F1104">
            <v>314270</v>
          </cell>
          <cell r="G1104" t="str">
            <v>Oscar Enrique Garcia Gualip</v>
          </cell>
          <cell r="H1104">
            <v>0</v>
          </cell>
        </row>
        <row r="1105">
          <cell r="F1105">
            <v>315507</v>
          </cell>
          <cell r="G1105" t="str">
            <v>Oscar Estuardo Mancilla Najarro</v>
          </cell>
          <cell r="H1105">
            <v>0</v>
          </cell>
        </row>
        <row r="1106">
          <cell r="F1106">
            <v>314914</v>
          </cell>
          <cell r="G1106" t="str">
            <v>Oscar Geovany Patzan Patzan</v>
          </cell>
          <cell r="H1106">
            <v>0</v>
          </cell>
        </row>
        <row r="1107">
          <cell r="F1107">
            <v>308805</v>
          </cell>
          <cell r="G1107" t="str">
            <v>Oscar Israel Thiel Hidalgo</v>
          </cell>
          <cell r="H1107">
            <v>0</v>
          </cell>
        </row>
        <row r="1108">
          <cell r="F1108">
            <v>315115</v>
          </cell>
          <cell r="G1108" t="str">
            <v>Osman Amilcar Zarate Ixcoy</v>
          </cell>
          <cell r="H1108">
            <v>0</v>
          </cell>
        </row>
        <row r="1109">
          <cell r="F1109">
            <v>315497</v>
          </cell>
          <cell r="G1109" t="str">
            <v>Osman Ivan Boanerges Coc Coronado</v>
          </cell>
          <cell r="H1109">
            <v>0</v>
          </cell>
        </row>
        <row r="1110">
          <cell r="F1110">
            <v>310031</v>
          </cell>
          <cell r="G1110" t="str">
            <v>Osvin Daniel Gomez Gonzalez</v>
          </cell>
          <cell r="H1110">
            <v>0</v>
          </cell>
        </row>
        <row r="1111">
          <cell r="F1111">
            <v>307209</v>
          </cell>
          <cell r="G1111" t="str">
            <v>Oswaldo Marcelino Huix Gomez</v>
          </cell>
          <cell r="H1111">
            <v>0</v>
          </cell>
        </row>
        <row r="1112">
          <cell r="F1112">
            <v>309656</v>
          </cell>
          <cell r="G1112" t="str">
            <v>Otto Alejandro Barahona Lopez</v>
          </cell>
          <cell r="H1112">
            <v>0</v>
          </cell>
        </row>
        <row r="1113">
          <cell r="F1113">
            <v>312335</v>
          </cell>
          <cell r="G1113" t="str">
            <v>Otto Leonel Zavala Rodas</v>
          </cell>
          <cell r="H1113">
            <v>0</v>
          </cell>
        </row>
        <row r="1114">
          <cell r="F1114">
            <v>314894</v>
          </cell>
          <cell r="G1114" t="str">
            <v>Ottoniel Amilcar Gomez Rodriguez</v>
          </cell>
          <cell r="H1114">
            <v>0</v>
          </cell>
        </row>
        <row r="1115">
          <cell r="F1115">
            <v>315122</v>
          </cell>
          <cell r="G1115" t="str">
            <v>Ottoniel De Jesus Castellanos Ordoñez</v>
          </cell>
          <cell r="H1115">
            <v>0</v>
          </cell>
        </row>
        <row r="1116">
          <cell r="F1116">
            <v>315454</v>
          </cell>
          <cell r="G1116" t="str">
            <v>Pablo Jose Barillas Sobalvarro</v>
          </cell>
          <cell r="H1116">
            <v>0</v>
          </cell>
        </row>
        <row r="1117">
          <cell r="F1117">
            <v>314010</v>
          </cell>
          <cell r="G1117" t="str">
            <v>Pablo Raul Calimayor</v>
          </cell>
          <cell r="H1117">
            <v>0</v>
          </cell>
        </row>
        <row r="1118">
          <cell r="F1118">
            <v>313530</v>
          </cell>
          <cell r="G1118" t="str">
            <v>Paola Veronica Cardenas Toscano</v>
          </cell>
          <cell r="H1118">
            <v>0</v>
          </cell>
        </row>
        <row r="1119">
          <cell r="F1119">
            <v>314884</v>
          </cell>
          <cell r="G1119" t="str">
            <v>Paula Eliza Santos Corado</v>
          </cell>
          <cell r="H1119">
            <v>0</v>
          </cell>
        </row>
        <row r="1120">
          <cell r="F1120">
            <v>309035</v>
          </cell>
          <cell r="G1120" t="str">
            <v>Pedro Alexander Sazo Machac</v>
          </cell>
          <cell r="H1120">
            <v>0</v>
          </cell>
        </row>
        <row r="1121">
          <cell r="F1121">
            <v>308158</v>
          </cell>
          <cell r="G1121" t="str">
            <v>Pedro David Ixcoy Chiquin</v>
          </cell>
          <cell r="H1121">
            <v>0</v>
          </cell>
        </row>
        <row r="1122">
          <cell r="F1122">
            <v>314694</v>
          </cell>
          <cell r="G1122" t="str">
            <v>Pedro Karol Gomez Lopez</v>
          </cell>
          <cell r="H1122">
            <v>0</v>
          </cell>
        </row>
        <row r="1123">
          <cell r="F1123">
            <v>311221</v>
          </cell>
          <cell r="G1123" t="str">
            <v>Pedro Natanahel Caxaj Rodriguez</v>
          </cell>
          <cell r="H1123">
            <v>0</v>
          </cell>
        </row>
        <row r="1124">
          <cell r="F1124">
            <v>314951</v>
          </cell>
          <cell r="G1124" t="str">
            <v>Pedro Rene Ramirez Guzman</v>
          </cell>
          <cell r="H1124">
            <v>0</v>
          </cell>
        </row>
        <row r="1125">
          <cell r="F1125">
            <v>306911</v>
          </cell>
          <cell r="G1125" t="str">
            <v>Perla Michelle Giron Galdamez</v>
          </cell>
          <cell r="H1125">
            <v>0</v>
          </cell>
        </row>
        <row r="1126">
          <cell r="F1126">
            <v>303664</v>
          </cell>
          <cell r="G1126" t="str">
            <v>Priscila Merari Sosa Sanabria</v>
          </cell>
          <cell r="H1126">
            <v>0</v>
          </cell>
        </row>
        <row r="1127">
          <cell r="F1127">
            <v>314450</v>
          </cell>
          <cell r="G1127" t="str">
            <v>Rafael Anibal Sut Tucubal</v>
          </cell>
          <cell r="H1127">
            <v>0</v>
          </cell>
        </row>
        <row r="1128">
          <cell r="F1128">
            <v>315367</v>
          </cell>
          <cell r="G1128" t="str">
            <v>Raul Adrian Priego Castellanos</v>
          </cell>
          <cell r="H1128">
            <v>0</v>
          </cell>
        </row>
        <row r="1129">
          <cell r="F1129">
            <v>311720</v>
          </cell>
          <cell r="G1129" t="str">
            <v>Raul Estuardo Roquel Suyuc</v>
          </cell>
          <cell r="H1129">
            <v>0</v>
          </cell>
        </row>
        <row r="1130">
          <cell r="F1130">
            <v>313341</v>
          </cell>
          <cell r="G1130" t="str">
            <v>Raul Geovanny Garcia Fuentes</v>
          </cell>
          <cell r="H1130">
            <v>0</v>
          </cell>
        </row>
        <row r="1131">
          <cell r="F1131">
            <v>309191</v>
          </cell>
          <cell r="G1131" t="str">
            <v>Raul Matias Matias</v>
          </cell>
          <cell r="H1131">
            <v>0</v>
          </cell>
        </row>
        <row r="1132">
          <cell r="F1132">
            <v>315321</v>
          </cell>
          <cell r="G1132" t="str">
            <v>Reina Lorena Canán</v>
          </cell>
          <cell r="H1132">
            <v>0</v>
          </cell>
        </row>
        <row r="1133">
          <cell r="F1133">
            <v>312312</v>
          </cell>
          <cell r="G1133" t="str">
            <v>Remigio Alexander Gonzalez Suchite</v>
          </cell>
          <cell r="H1133">
            <v>0</v>
          </cell>
        </row>
        <row r="1134">
          <cell r="F1134">
            <v>306619</v>
          </cell>
          <cell r="G1134" t="str">
            <v>Reyna Angelica Ba Vega</v>
          </cell>
          <cell r="H1134">
            <v>0</v>
          </cell>
        </row>
        <row r="1135">
          <cell r="F1135">
            <v>315347</v>
          </cell>
          <cell r="G1135" t="str">
            <v>Reyna Floridalma Donis Marroquin</v>
          </cell>
          <cell r="H1135">
            <v>0</v>
          </cell>
        </row>
        <row r="1136">
          <cell r="F1136">
            <v>314960</v>
          </cell>
          <cell r="G1136" t="str">
            <v>Reyna Sebastiana Reyes Zurdo</v>
          </cell>
          <cell r="H1136">
            <v>0</v>
          </cell>
        </row>
        <row r="1137">
          <cell r="F1137">
            <v>315170</v>
          </cell>
          <cell r="G1137" t="str">
            <v>Ricardo Alexander Morales Moran</v>
          </cell>
          <cell r="H1137">
            <v>0</v>
          </cell>
        </row>
        <row r="1138">
          <cell r="F1138">
            <v>315179</v>
          </cell>
          <cell r="G1138" t="str">
            <v>Ricardo Alfonso Chan Lopez</v>
          </cell>
          <cell r="H1138">
            <v>0</v>
          </cell>
        </row>
        <row r="1139">
          <cell r="F1139">
            <v>311846</v>
          </cell>
          <cell r="G1139" t="str">
            <v>Ricardo Antonio Vasquez Meza</v>
          </cell>
          <cell r="H1139">
            <v>0</v>
          </cell>
        </row>
        <row r="1140">
          <cell r="F1140">
            <v>314666</v>
          </cell>
          <cell r="G1140" t="str">
            <v>Ricardo Esau Hernandez Baten</v>
          </cell>
          <cell r="H1140">
            <v>0</v>
          </cell>
        </row>
        <row r="1141">
          <cell r="F1141">
            <v>310610</v>
          </cell>
          <cell r="G1141" t="str">
            <v>Ricky Edson Lux Cassia</v>
          </cell>
          <cell r="H1141">
            <v>0</v>
          </cell>
        </row>
        <row r="1142">
          <cell r="F1142">
            <v>314813</v>
          </cell>
          <cell r="G1142" t="str">
            <v>Roberto Ardon Ramos</v>
          </cell>
          <cell r="H1142">
            <v>0</v>
          </cell>
        </row>
        <row r="1143">
          <cell r="F1143">
            <v>312901</v>
          </cell>
          <cell r="G1143" t="str">
            <v>Roberto Augusto Silva Hernandez</v>
          </cell>
          <cell r="H1143">
            <v>0</v>
          </cell>
        </row>
        <row r="1144">
          <cell r="F1144">
            <v>308852</v>
          </cell>
          <cell r="G1144" t="str">
            <v>Roberto Caal Sente</v>
          </cell>
          <cell r="H1144">
            <v>0</v>
          </cell>
        </row>
        <row r="1145">
          <cell r="F1145">
            <v>306098</v>
          </cell>
          <cell r="G1145" t="str">
            <v>Roderico Simeon Lopez Lopez</v>
          </cell>
          <cell r="H1145">
            <v>0</v>
          </cell>
        </row>
        <row r="1146">
          <cell r="F1146">
            <v>313517</v>
          </cell>
          <cell r="G1146" t="str">
            <v>Rogelio Waldemar Aldana Turcios</v>
          </cell>
          <cell r="H1146">
            <v>0</v>
          </cell>
        </row>
        <row r="1147">
          <cell r="F1147">
            <v>314945</v>
          </cell>
          <cell r="G1147" t="str">
            <v>Rolando Esau Solis Santos</v>
          </cell>
          <cell r="H1147">
            <v>0</v>
          </cell>
        </row>
        <row r="1148">
          <cell r="F1148">
            <v>313403</v>
          </cell>
          <cell r="G1148" t="str">
            <v>Rolman Eliseo Bautista Mazariegos</v>
          </cell>
          <cell r="H1148">
            <v>0</v>
          </cell>
        </row>
        <row r="1149">
          <cell r="F1149">
            <v>314776</v>
          </cell>
          <cell r="G1149" t="str">
            <v>Romario Humberto Perez Us</v>
          </cell>
          <cell r="H1149">
            <v>0</v>
          </cell>
        </row>
        <row r="1150">
          <cell r="F1150">
            <v>315539</v>
          </cell>
          <cell r="G1150" t="str">
            <v>Ronald Arturo Sanchez Mijangos</v>
          </cell>
          <cell r="H1150">
            <v>0</v>
          </cell>
        </row>
        <row r="1151">
          <cell r="F1151">
            <v>314096</v>
          </cell>
          <cell r="G1151" t="str">
            <v>Ronald Erickson Hernandez Bamac</v>
          </cell>
          <cell r="H1151">
            <v>0</v>
          </cell>
        </row>
        <row r="1152">
          <cell r="F1152">
            <v>307943</v>
          </cell>
          <cell r="G1152" t="str">
            <v>Ronald Guillermo Garcia</v>
          </cell>
          <cell r="H1152">
            <v>0</v>
          </cell>
        </row>
        <row r="1153">
          <cell r="F1153">
            <v>315118</v>
          </cell>
          <cell r="G1153" t="str">
            <v>Ronald Ottoniel Ramos Argueta</v>
          </cell>
          <cell r="H1153">
            <v>0</v>
          </cell>
        </row>
        <row r="1154">
          <cell r="F1154">
            <v>315165</v>
          </cell>
          <cell r="G1154" t="str">
            <v>Ronie Ernesto Gonzalez Alvarado</v>
          </cell>
          <cell r="H1154">
            <v>0</v>
          </cell>
        </row>
        <row r="1155">
          <cell r="F1155">
            <v>312877</v>
          </cell>
          <cell r="G1155" t="str">
            <v>Rony David Ruano Vasquez</v>
          </cell>
          <cell r="H1155">
            <v>0</v>
          </cell>
        </row>
        <row r="1156">
          <cell r="F1156">
            <v>310267</v>
          </cell>
          <cell r="G1156" t="str">
            <v>Rony Josue Giron Roca</v>
          </cell>
          <cell r="H1156">
            <v>0</v>
          </cell>
        </row>
        <row r="1157">
          <cell r="F1157">
            <v>314930</v>
          </cell>
          <cell r="G1157" t="str">
            <v>Rony Oswaldo Gonzalez Lemus</v>
          </cell>
          <cell r="H1157">
            <v>0</v>
          </cell>
        </row>
        <row r="1158">
          <cell r="F1158">
            <v>315305</v>
          </cell>
          <cell r="G1158" t="str">
            <v>Rosa Isabel Garcia Menchu De Itzep</v>
          </cell>
          <cell r="H1158">
            <v>0</v>
          </cell>
        </row>
        <row r="1159">
          <cell r="F1159">
            <v>305255</v>
          </cell>
          <cell r="G1159" t="str">
            <v>Rosa Maria Raxtun Estrada</v>
          </cell>
          <cell r="H1159">
            <v>0</v>
          </cell>
        </row>
        <row r="1160">
          <cell r="F1160">
            <v>313771</v>
          </cell>
          <cell r="G1160" t="str">
            <v>Rosa Maribel Par Gutierrez De Parada</v>
          </cell>
          <cell r="H1160">
            <v>0</v>
          </cell>
        </row>
        <row r="1161">
          <cell r="F1161">
            <v>315353</v>
          </cell>
          <cell r="G1161" t="str">
            <v>Rosa Mariela Muñoz Samayoa</v>
          </cell>
          <cell r="H1161">
            <v>0</v>
          </cell>
        </row>
        <row r="1162">
          <cell r="F1162">
            <v>301835</v>
          </cell>
          <cell r="G1162" t="str">
            <v>Rosa Melia Isales Reyes</v>
          </cell>
          <cell r="H1162">
            <v>0</v>
          </cell>
        </row>
        <row r="1163">
          <cell r="F1163">
            <v>315389</v>
          </cell>
          <cell r="G1163" t="str">
            <v>Rosa Yadira Salguero Ceballos</v>
          </cell>
          <cell r="H1163">
            <v>0</v>
          </cell>
        </row>
        <row r="1164">
          <cell r="F1164">
            <v>312729</v>
          </cell>
          <cell r="G1164" t="str">
            <v>Rosalbina Magdali Alvarado Ramirez</v>
          </cell>
          <cell r="H1164">
            <v>0</v>
          </cell>
        </row>
        <row r="1165">
          <cell r="F1165">
            <v>300594</v>
          </cell>
          <cell r="G1165" t="str">
            <v>Rosaura Grisleny Perez Rios</v>
          </cell>
          <cell r="H1165">
            <v>0</v>
          </cell>
        </row>
        <row r="1166">
          <cell r="F1166">
            <v>303901</v>
          </cell>
          <cell r="G1166" t="str">
            <v>Rosmery Ana Lee Cojom Rodriguez</v>
          </cell>
          <cell r="H1166">
            <v>0</v>
          </cell>
        </row>
        <row r="1167">
          <cell r="F1167">
            <v>312040</v>
          </cell>
          <cell r="G1167" t="str">
            <v>Rosmery Figueroa Ramirez</v>
          </cell>
          <cell r="H1167">
            <v>0</v>
          </cell>
        </row>
        <row r="1168">
          <cell r="F1168">
            <v>313606</v>
          </cell>
          <cell r="G1168" t="str">
            <v>Rossana Alejandra Rodas Salguero</v>
          </cell>
          <cell r="H1168">
            <v>0</v>
          </cell>
        </row>
        <row r="1169">
          <cell r="F1169">
            <v>310534</v>
          </cell>
          <cell r="G1169" t="str">
            <v>Rossel Jose Hernandez Oliva</v>
          </cell>
          <cell r="H1169">
            <v>0</v>
          </cell>
        </row>
        <row r="1170">
          <cell r="F1170">
            <v>315045</v>
          </cell>
          <cell r="G1170" t="str">
            <v>Roxana Leticia Avila Villatoro</v>
          </cell>
          <cell r="H1170">
            <v>0</v>
          </cell>
        </row>
        <row r="1171">
          <cell r="F1171">
            <v>314308</v>
          </cell>
          <cell r="G1171" t="str">
            <v>Ruben Dario Peñate Aquino</v>
          </cell>
          <cell r="H1171">
            <v>0</v>
          </cell>
        </row>
        <row r="1172">
          <cell r="F1172">
            <v>311511</v>
          </cell>
          <cell r="G1172" t="str">
            <v>Ruby Alejandra Merida Rivas</v>
          </cell>
          <cell r="H1172">
            <v>0</v>
          </cell>
        </row>
        <row r="1173">
          <cell r="F1173">
            <v>312888</v>
          </cell>
          <cell r="G1173" t="str">
            <v>Rudy Alexander Gramajo Reyes</v>
          </cell>
          <cell r="H1173">
            <v>0</v>
          </cell>
        </row>
        <row r="1174">
          <cell r="F1174">
            <v>314814</v>
          </cell>
          <cell r="G1174" t="str">
            <v>Rudy Fernando Lopez Ajcabal</v>
          </cell>
          <cell r="H1174">
            <v>0</v>
          </cell>
        </row>
        <row r="1175">
          <cell r="F1175">
            <v>311551</v>
          </cell>
          <cell r="G1175" t="str">
            <v>Ruth Betsabe Campos Vargas</v>
          </cell>
          <cell r="H1175">
            <v>0</v>
          </cell>
        </row>
        <row r="1176">
          <cell r="F1176">
            <v>312546</v>
          </cell>
          <cell r="G1176" t="str">
            <v>Ruth Hermelinda Cardona Blanco</v>
          </cell>
          <cell r="H1176">
            <v>0</v>
          </cell>
        </row>
        <row r="1177">
          <cell r="F1177">
            <v>313599</v>
          </cell>
          <cell r="G1177" t="str">
            <v>Ruth Noemi Solis Contreras</v>
          </cell>
          <cell r="H1177">
            <v>0</v>
          </cell>
        </row>
        <row r="1178">
          <cell r="F1178">
            <v>301658</v>
          </cell>
          <cell r="G1178" t="str">
            <v>Ruth Nohemi Contreras Hernandez</v>
          </cell>
          <cell r="H1178">
            <v>0</v>
          </cell>
        </row>
        <row r="1179">
          <cell r="F1179">
            <v>301786</v>
          </cell>
          <cell r="G1179" t="str">
            <v>Ruth Nohemi Perez Esteban</v>
          </cell>
          <cell r="H1179">
            <v>0</v>
          </cell>
        </row>
        <row r="1180">
          <cell r="F1180">
            <v>314606</v>
          </cell>
          <cell r="G1180" t="str">
            <v>Saida Yasmin Garcia Xot</v>
          </cell>
          <cell r="H1180">
            <v>0</v>
          </cell>
        </row>
        <row r="1181">
          <cell r="F1181">
            <v>312383</v>
          </cell>
          <cell r="G1181" t="str">
            <v>Samuel Everardo Garcia Lemus</v>
          </cell>
          <cell r="H1181">
            <v>0</v>
          </cell>
        </row>
        <row r="1182">
          <cell r="F1182">
            <v>313592</v>
          </cell>
          <cell r="G1182" t="str">
            <v>Samuel Nehemias Nuñez Michicoj</v>
          </cell>
          <cell r="H1182">
            <v>0</v>
          </cell>
        </row>
        <row r="1183">
          <cell r="F1183">
            <v>305099</v>
          </cell>
          <cell r="G1183" t="str">
            <v>Sandi Anavela Mejia Alvarado</v>
          </cell>
          <cell r="H1183">
            <v>0</v>
          </cell>
        </row>
        <row r="1184">
          <cell r="F1184">
            <v>312923</v>
          </cell>
          <cell r="G1184" t="str">
            <v>Sandra Esmeralda Martinez Baeza</v>
          </cell>
          <cell r="H1184">
            <v>0</v>
          </cell>
        </row>
        <row r="1185">
          <cell r="F1185">
            <v>314420</v>
          </cell>
          <cell r="G1185" t="str">
            <v>Sandra Jeaneth Ajcuc Garcia</v>
          </cell>
          <cell r="H1185">
            <v>0</v>
          </cell>
        </row>
        <row r="1186">
          <cell r="F1186">
            <v>301460</v>
          </cell>
          <cell r="G1186" t="str">
            <v>Sandra Judith Vasquez Fernandez</v>
          </cell>
          <cell r="H1186">
            <v>0</v>
          </cell>
        </row>
        <row r="1187">
          <cell r="F1187">
            <v>312012</v>
          </cell>
          <cell r="G1187" t="str">
            <v>Sandra Lucrecia Hernandez Aceituno</v>
          </cell>
          <cell r="H1187">
            <v>0</v>
          </cell>
        </row>
        <row r="1188">
          <cell r="F1188">
            <v>200872</v>
          </cell>
          <cell r="G1188" t="str">
            <v>Sandra Maritza Mus Chaman</v>
          </cell>
          <cell r="H1188">
            <v>0</v>
          </cell>
        </row>
        <row r="1189">
          <cell r="F1189">
            <v>314820</v>
          </cell>
          <cell r="G1189" t="str">
            <v>Sandra Mishell Amarilis Gutierrez Palma</v>
          </cell>
          <cell r="H1189">
            <v>0</v>
          </cell>
        </row>
        <row r="1190">
          <cell r="F1190">
            <v>313875</v>
          </cell>
          <cell r="G1190" t="str">
            <v>Sandra Patricia Mejia Raguex</v>
          </cell>
          <cell r="H1190">
            <v>0</v>
          </cell>
        </row>
        <row r="1191">
          <cell r="F1191">
            <v>311092</v>
          </cell>
          <cell r="G1191" t="str">
            <v>Sandra Patricia Ochoa Sanchez</v>
          </cell>
          <cell r="H1191">
            <v>0</v>
          </cell>
        </row>
        <row r="1192">
          <cell r="F1192">
            <v>306416</v>
          </cell>
          <cell r="G1192" t="str">
            <v>Sandy Claribel Barrientos Caal</v>
          </cell>
          <cell r="H1192">
            <v>0</v>
          </cell>
        </row>
        <row r="1193">
          <cell r="F1193">
            <v>315024</v>
          </cell>
          <cell r="G1193" t="str">
            <v>Sandy Jasmyn Gonzalez Catun</v>
          </cell>
          <cell r="H1193">
            <v>0</v>
          </cell>
        </row>
        <row r="1194">
          <cell r="F1194">
            <v>312908</v>
          </cell>
          <cell r="G1194" t="str">
            <v>Sandy Maria Flores</v>
          </cell>
          <cell r="H1194">
            <v>0</v>
          </cell>
        </row>
        <row r="1195">
          <cell r="F1195">
            <v>313078</v>
          </cell>
          <cell r="G1195" t="str">
            <v>Sandy Maribel Herrera Mazariegos</v>
          </cell>
          <cell r="H1195">
            <v>0</v>
          </cell>
        </row>
        <row r="1196">
          <cell r="F1196">
            <v>301438</v>
          </cell>
          <cell r="G1196" t="str">
            <v>Sandy Mariela Batres Orozco</v>
          </cell>
          <cell r="H1196">
            <v>0</v>
          </cell>
        </row>
        <row r="1197">
          <cell r="F1197">
            <v>313622</v>
          </cell>
          <cell r="G1197" t="str">
            <v>Sandy Nohemy Sontay Agueda</v>
          </cell>
          <cell r="H1197">
            <v>0</v>
          </cell>
        </row>
        <row r="1198">
          <cell r="F1198">
            <v>315408</v>
          </cell>
          <cell r="G1198" t="str">
            <v>Sandy Suset Morales Barrientos</v>
          </cell>
          <cell r="H1198">
            <v>0</v>
          </cell>
        </row>
        <row r="1199">
          <cell r="F1199">
            <v>307105</v>
          </cell>
          <cell r="G1199" t="str">
            <v>Santiago Isaias Barreno Rosales</v>
          </cell>
          <cell r="H1199">
            <v>0</v>
          </cell>
        </row>
        <row r="1200">
          <cell r="F1200">
            <v>315254</v>
          </cell>
          <cell r="G1200" t="str">
            <v>Santos Ismael Najera Culajay</v>
          </cell>
          <cell r="H1200">
            <v>0</v>
          </cell>
        </row>
        <row r="1201">
          <cell r="F1201">
            <v>313402</v>
          </cell>
          <cell r="G1201" t="str">
            <v>Santos Valentin Coroy Ruyan</v>
          </cell>
          <cell r="H1201">
            <v>0</v>
          </cell>
        </row>
        <row r="1202">
          <cell r="F1202">
            <v>312501</v>
          </cell>
          <cell r="G1202" t="str">
            <v>Sara Elizabeth Guzman Linares</v>
          </cell>
          <cell r="H1202">
            <v>0</v>
          </cell>
        </row>
        <row r="1203">
          <cell r="F1203">
            <v>313492</v>
          </cell>
          <cell r="G1203" t="str">
            <v>Sarvia Bitia Orellana Ortiz</v>
          </cell>
          <cell r="H1203">
            <v>0</v>
          </cell>
        </row>
        <row r="1204">
          <cell r="F1204">
            <v>309816</v>
          </cell>
          <cell r="G1204" t="str">
            <v>Sayra Elizabeth Reyes Zuñiga</v>
          </cell>
          <cell r="H1204">
            <v>0</v>
          </cell>
        </row>
        <row r="1205">
          <cell r="F1205">
            <v>314956</v>
          </cell>
          <cell r="G1205" t="str">
            <v>Sebastian Geovanny Calel Ixtuc</v>
          </cell>
          <cell r="H1205">
            <v>0</v>
          </cell>
        </row>
        <row r="1206">
          <cell r="F1206">
            <v>314855</v>
          </cell>
          <cell r="G1206" t="str">
            <v>Selvin Adan Garcia Portillo</v>
          </cell>
          <cell r="H1206">
            <v>0</v>
          </cell>
        </row>
        <row r="1207">
          <cell r="F1207">
            <v>312294</v>
          </cell>
          <cell r="G1207" t="str">
            <v>Selvin Geronimo Aguilar</v>
          </cell>
          <cell r="H1207">
            <v>0</v>
          </cell>
        </row>
        <row r="1208">
          <cell r="F1208">
            <v>302278</v>
          </cell>
          <cell r="G1208" t="str">
            <v>Selvin Manolo Montepeque Merida</v>
          </cell>
          <cell r="H1208">
            <v>0</v>
          </cell>
        </row>
        <row r="1209">
          <cell r="F1209">
            <v>314266</v>
          </cell>
          <cell r="G1209" t="str">
            <v>Selvin Rodolfo De La Cruz Contreras</v>
          </cell>
          <cell r="H1209">
            <v>0</v>
          </cell>
        </row>
        <row r="1210">
          <cell r="F1210">
            <v>301308</v>
          </cell>
          <cell r="G1210" t="str">
            <v>Selvyn Ivan Sierra Ramirez</v>
          </cell>
          <cell r="H1210">
            <v>0</v>
          </cell>
        </row>
        <row r="1211">
          <cell r="F1211">
            <v>312346</v>
          </cell>
          <cell r="G1211" t="str">
            <v>Sendy Vanessa Villagran Garcia</v>
          </cell>
          <cell r="H1211">
            <v>0</v>
          </cell>
        </row>
        <row r="1212">
          <cell r="F1212">
            <v>314559</v>
          </cell>
          <cell r="G1212" t="str">
            <v>Sergio Alejandro Aguilar Perez</v>
          </cell>
          <cell r="H1212">
            <v>0</v>
          </cell>
        </row>
        <row r="1213">
          <cell r="F1213">
            <v>101896</v>
          </cell>
          <cell r="G1213" t="str">
            <v>Sergio Estuardo Mejia Lopez</v>
          </cell>
          <cell r="H1213">
            <v>0</v>
          </cell>
        </row>
        <row r="1214">
          <cell r="F1214">
            <v>315294</v>
          </cell>
          <cell r="G1214" t="str">
            <v>Sergio Obdulio Chali Chocojay</v>
          </cell>
          <cell r="H1214">
            <v>0</v>
          </cell>
        </row>
        <row r="1215">
          <cell r="F1215">
            <v>314079</v>
          </cell>
          <cell r="G1215" t="str">
            <v>Sharon Klarivel Santis Najarro</v>
          </cell>
          <cell r="H1215">
            <v>0</v>
          </cell>
        </row>
        <row r="1216">
          <cell r="F1216">
            <v>311147</v>
          </cell>
          <cell r="G1216" t="str">
            <v>Shaury Jazmeny Garcia Arias</v>
          </cell>
          <cell r="H1216">
            <v>0</v>
          </cell>
        </row>
        <row r="1217">
          <cell r="F1217">
            <v>310599</v>
          </cell>
          <cell r="G1217" t="str">
            <v>Sheila Nineth Mendez Lopez</v>
          </cell>
          <cell r="H1217">
            <v>0</v>
          </cell>
        </row>
        <row r="1218">
          <cell r="F1218">
            <v>315541</v>
          </cell>
          <cell r="G1218" t="str">
            <v>Sheily Nahomy Oliva Morales</v>
          </cell>
          <cell r="H1218">
            <v>0</v>
          </cell>
        </row>
        <row r="1219">
          <cell r="F1219">
            <v>304805</v>
          </cell>
          <cell r="G1219" t="str">
            <v>Sheily Raquel Angel Arreaga</v>
          </cell>
          <cell r="H1219">
            <v>0</v>
          </cell>
        </row>
        <row r="1220">
          <cell r="F1220">
            <v>312357</v>
          </cell>
          <cell r="G1220" t="str">
            <v>Shirley Andrea Lopez Lopez</v>
          </cell>
          <cell r="H1220">
            <v>0</v>
          </cell>
        </row>
        <row r="1221">
          <cell r="F1221">
            <v>311646</v>
          </cell>
          <cell r="G1221" t="str">
            <v>Shirley Leticia Lissette Lopez Guzman</v>
          </cell>
          <cell r="H1221">
            <v>0</v>
          </cell>
        </row>
        <row r="1222">
          <cell r="F1222">
            <v>312096</v>
          </cell>
          <cell r="G1222" t="str">
            <v>Silvia Edelmira Garcia Donis</v>
          </cell>
          <cell r="H1222">
            <v>0</v>
          </cell>
        </row>
        <row r="1223">
          <cell r="F1223">
            <v>301371</v>
          </cell>
          <cell r="G1223" t="str">
            <v>Silvia Gabriela Gonzalez Siliezar</v>
          </cell>
          <cell r="H1223">
            <v>0</v>
          </cell>
        </row>
        <row r="1224">
          <cell r="F1224">
            <v>313328</v>
          </cell>
          <cell r="G1224" t="str">
            <v>Silvia Leticia Morales Perez</v>
          </cell>
          <cell r="H1224">
            <v>0</v>
          </cell>
        </row>
        <row r="1225">
          <cell r="F1225">
            <v>309948</v>
          </cell>
          <cell r="G1225" t="str">
            <v>Silvia Lucrecia Gonzalez Char</v>
          </cell>
          <cell r="H1225">
            <v>0</v>
          </cell>
        </row>
        <row r="1226">
          <cell r="F1226">
            <v>305230</v>
          </cell>
          <cell r="G1226" t="str">
            <v>Silvia Marleni Rac Yoc</v>
          </cell>
          <cell r="H1226">
            <v>0</v>
          </cell>
        </row>
        <row r="1227">
          <cell r="F1227">
            <v>305427</v>
          </cell>
          <cell r="G1227" t="str">
            <v>Silvia Noemi Calderon</v>
          </cell>
          <cell r="H1227">
            <v>0</v>
          </cell>
        </row>
        <row r="1228">
          <cell r="F1228">
            <v>306034</v>
          </cell>
          <cell r="G1228" t="str">
            <v>Silvia Patricia Gonzalez Hernandez</v>
          </cell>
          <cell r="H1228">
            <v>0</v>
          </cell>
        </row>
        <row r="1229">
          <cell r="F1229">
            <v>310105</v>
          </cell>
          <cell r="G1229" t="str">
            <v>Simeon Valentin Gomez Flores</v>
          </cell>
          <cell r="H1229">
            <v>0</v>
          </cell>
        </row>
        <row r="1230">
          <cell r="F1230">
            <v>313981</v>
          </cell>
          <cell r="G1230" t="str">
            <v>Sindy Beatriz Perez Sanchez</v>
          </cell>
          <cell r="H1230">
            <v>0</v>
          </cell>
        </row>
        <row r="1231">
          <cell r="F1231">
            <v>314976</v>
          </cell>
          <cell r="G1231" t="str">
            <v>Sindy Carolina Ramirez Pur</v>
          </cell>
          <cell r="H1231">
            <v>0</v>
          </cell>
        </row>
        <row r="1232">
          <cell r="F1232">
            <v>312881</v>
          </cell>
          <cell r="G1232" t="str">
            <v>Sindy Karina Ramirez Lopez</v>
          </cell>
          <cell r="H1232">
            <v>0</v>
          </cell>
        </row>
        <row r="1233">
          <cell r="F1233">
            <v>310066</v>
          </cell>
          <cell r="G1233" t="str">
            <v>Sindy Paola Vargas Calderon</v>
          </cell>
          <cell r="H1233">
            <v>0</v>
          </cell>
        </row>
        <row r="1234">
          <cell r="F1234">
            <v>315466</v>
          </cell>
          <cell r="G1234" t="str">
            <v>Siomara Victoria Valle Sac</v>
          </cell>
          <cell r="H1234">
            <v>0</v>
          </cell>
        </row>
        <row r="1235">
          <cell r="F1235">
            <v>313593</v>
          </cell>
          <cell r="G1235" t="str">
            <v>Slayker Andony Santiago Natareno</v>
          </cell>
          <cell r="H1235">
            <v>0</v>
          </cell>
        </row>
        <row r="1236">
          <cell r="F1236">
            <v>315439</v>
          </cell>
          <cell r="G1236" t="str">
            <v>Smaylin Sarita Villatoro Angel</v>
          </cell>
          <cell r="H1236">
            <v>0</v>
          </cell>
        </row>
        <row r="1237">
          <cell r="F1237">
            <v>310731</v>
          </cell>
          <cell r="G1237" t="str">
            <v>Sofia Etelvina Lopez Perez</v>
          </cell>
          <cell r="H1237">
            <v>0</v>
          </cell>
        </row>
        <row r="1238">
          <cell r="F1238">
            <v>314735</v>
          </cell>
          <cell r="G1238" t="str">
            <v>Sofia Ines Bermudez Avila</v>
          </cell>
          <cell r="H1238">
            <v>0</v>
          </cell>
        </row>
        <row r="1239">
          <cell r="F1239">
            <v>315340</v>
          </cell>
          <cell r="G1239" t="str">
            <v>Stefanny Manuela Azaneth Garcia Garcia</v>
          </cell>
          <cell r="H1239">
            <v>0</v>
          </cell>
        </row>
        <row r="1240">
          <cell r="F1240">
            <v>308054</v>
          </cell>
          <cell r="G1240" t="str">
            <v>Stephanie Abigail De Los Angeles Villalta</v>
          </cell>
          <cell r="H1240">
            <v>0</v>
          </cell>
        </row>
        <row r="1241">
          <cell r="F1241">
            <v>303382</v>
          </cell>
          <cell r="G1241" t="str">
            <v>Sucely Abigail Nerios Rodriguez</v>
          </cell>
          <cell r="H1241">
            <v>0</v>
          </cell>
        </row>
        <row r="1242">
          <cell r="F1242">
            <v>314787</v>
          </cell>
          <cell r="G1242" t="str">
            <v>Sucely Analy Arias Paredes</v>
          </cell>
          <cell r="H1242">
            <v>0</v>
          </cell>
        </row>
        <row r="1243">
          <cell r="F1243">
            <v>310671</v>
          </cell>
          <cell r="G1243" t="str">
            <v>Sucely Paola Godinez Gomez De Perez</v>
          </cell>
          <cell r="H1243">
            <v>0</v>
          </cell>
        </row>
        <row r="1244">
          <cell r="F1244">
            <v>315386</v>
          </cell>
          <cell r="G1244" t="str">
            <v>Sulibeth Estela Ortega Mendez</v>
          </cell>
          <cell r="H1244">
            <v>0</v>
          </cell>
        </row>
        <row r="1245">
          <cell r="F1245">
            <v>314347</v>
          </cell>
          <cell r="G1245" t="str">
            <v>Suri Mireidy Perez Estrada</v>
          </cell>
          <cell r="H1245">
            <v>0</v>
          </cell>
        </row>
        <row r="1246">
          <cell r="F1246">
            <v>313630</v>
          </cell>
          <cell r="G1246" t="str">
            <v>Susan Andrea Perez Lima</v>
          </cell>
          <cell r="H1246">
            <v>0</v>
          </cell>
        </row>
        <row r="1247">
          <cell r="F1247">
            <v>313395</v>
          </cell>
          <cell r="G1247" t="str">
            <v>Susan Maria Jose Rodas Carranza</v>
          </cell>
          <cell r="H1247">
            <v>0</v>
          </cell>
        </row>
        <row r="1248">
          <cell r="F1248">
            <v>309883</v>
          </cell>
          <cell r="G1248" t="str">
            <v>Susana Alvarado Gonzalez</v>
          </cell>
          <cell r="H1248">
            <v>0</v>
          </cell>
        </row>
        <row r="1249">
          <cell r="F1249">
            <v>307664</v>
          </cell>
          <cell r="G1249" t="str">
            <v>Susana Jeanneth Lemus Pineda</v>
          </cell>
          <cell r="H1249">
            <v>0</v>
          </cell>
        </row>
        <row r="1250">
          <cell r="F1250">
            <v>315313</v>
          </cell>
          <cell r="G1250" t="str">
            <v>Tayme Gabriela Uzu Ramirez</v>
          </cell>
          <cell r="H1250">
            <v>0</v>
          </cell>
        </row>
        <row r="1251">
          <cell r="F1251">
            <v>314575</v>
          </cell>
          <cell r="G1251" t="str">
            <v>Telma Esperanza Santos Orantes</v>
          </cell>
          <cell r="H1251">
            <v>0</v>
          </cell>
        </row>
        <row r="1252">
          <cell r="F1252">
            <v>302658</v>
          </cell>
          <cell r="G1252" t="str">
            <v>Telma Sucely Solis Merida</v>
          </cell>
          <cell r="H1252">
            <v>0</v>
          </cell>
        </row>
        <row r="1253">
          <cell r="F1253">
            <v>315048</v>
          </cell>
          <cell r="G1253" t="str">
            <v>Thania Lucia Romero Garcia</v>
          </cell>
          <cell r="H1253">
            <v>0</v>
          </cell>
        </row>
        <row r="1254">
          <cell r="F1254">
            <v>302332</v>
          </cell>
          <cell r="G1254" t="str">
            <v>Thelma Patricia Mena Melchor</v>
          </cell>
          <cell r="H1254">
            <v>0</v>
          </cell>
        </row>
        <row r="1255">
          <cell r="F1255">
            <v>314108</v>
          </cell>
          <cell r="G1255" t="str">
            <v>Thelma Yolanda De Candelaria Garcia Sanchez</v>
          </cell>
          <cell r="H1255">
            <v>0</v>
          </cell>
        </row>
        <row r="1256">
          <cell r="F1256">
            <v>315049</v>
          </cell>
          <cell r="G1256" t="str">
            <v>Tomas Amador Manuel Martin</v>
          </cell>
          <cell r="H1256">
            <v>0</v>
          </cell>
        </row>
        <row r="1257">
          <cell r="F1257">
            <v>315373</v>
          </cell>
          <cell r="G1257" t="str">
            <v>Tomas Xiloj Mejia</v>
          </cell>
          <cell r="H1257">
            <v>0</v>
          </cell>
        </row>
        <row r="1258">
          <cell r="F1258">
            <v>311866</v>
          </cell>
          <cell r="G1258" t="str">
            <v>Treisy Lisbeth Orozco Orozco</v>
          </cell>
          <cell r="H1258">
            <v>0</v>
          </cell>
        </row>
        <row r="1259">
          <cell r="F1259">
            <v>310220</v>
          </cell>
          <cell r="G1259" t="str">
            <v>Urias Samuel Velasquez Ardeano</v>
          </cell>
          <cell r="H1259">
            <v>0</v>
          </cell>
        </row>
        <row r="1260">
          <cell r="F1260">
            <v>305903</v>
          </cell>
          <cell r="G1260" t="str">
            <v>Valeska Paola Rivas Gomez</v>
          </cell>
          <cell r="H1260">
            <v>0</v>
          </cell>
        </row>
        <row r="1261">
          <cell r="F1261">
            <v>314544</v>
          </cell>
          <cell r="G1261" t="str">
            <v>Velvet Sofia Estrada Ruiz</v>
          </cell>
          <cell r="H1261">
            <v>0</v>
          </cell>
        </row>
        <row r="1262">
          <cell r="F1262">
            <v>314405</v>
          </cell>
          <cell r="G1262" t="str">
            <v>Veronica Alejandra Barahona Santa Cruz</v>
          </cell>
          <cell r="H1262">
            <v>0</v>
          </cell>
        </row>
        <row r="1263">
          <cell r="F1263">
            <v>311048</v>
          </cell>
          <cell r="G1263" t="str">
            <v>Veronica Dalila Barrios Hernandez</v>
          </cell>
          <cell r="H1263">
            <v>0</v>
          </cell>
        </row>
        <row r="1264">
          <cell r="F1264">
            <v>311005</v>
          </cell>
          <cell r="G1264" t="str">
            <v>Veronica Sierra Xo</v>
          </cell>
          <cell r="H1264">
            <v>0</v>
          </cell>
        </row>
        <row r="1265">
          <cell r="F1265">
            <v>304024</v>
          </cell>
          <cell r="G1265" t="str">
            <v>Vicky Roxana Lopez Hernandez</v>
          </cell>
          <cell r="H1265">
            <v>0</v>
          </cell>
        </row>
        <row r="1266">
          <cell r="F1266">
            <v>300999</v>
          </cell>
          <cell r="G1266" t="str">
            <v>Victor Adolfo Barrios Monzon</v>
          </cell>
          <cell r="H1266">
            <v>0</v>
          </cell>
        </row>
        <row r="1267">
          <cell r="F1267">
            <v>309689</v>
          </cell>
          <cell r="G1267" t="str">
            <v>Victor Demecio Leon Villeda</v>
          </cell>
          <cell r="H1267">
            <v>0</v>
          </cell>
        </row>
        <row r="1268">
          <cell r="F1268">
            <v>311258</v>
          </cell>
          <cell r="G1268" t="str">
            <v>Victor Otoniel Sebastian Cardona</v>
          </cell>
          <cell r="H1268">
            <v>0</v>
          </cell>
        </row>
        <row r="1269">
          <cell r="F1269">
            <v>314367</v>
          </cell>
          <cell r="G1269" t="str">
            <v>Victoria Maria Llamas Perez</v>
          </cell>
          <cell r="H1269">
            <v>0</v>
          </cell>
        </row>
        <row r="1270">
          <cell r="F1270">
            <v>315399</v>
          </cell>
          <cell r="G1270" t="str">
            <v>Vilma Rossibel Mendez Vasquez</v>
          </cell>
          <cell r="H1270">
            <v>0</v>
          </cell>
        </row>
        <row r="1271">
          <cell r="F1271">
            <v>312875</v>
          </cell>
          <cell r="G1271" t="str">
            <v>Virginia Nohemi Perez Ajtum</v>
          </cell>
          <cell r="H1271">
            <v>0</v>
          </cell>
        </row>
        <row r="1272">
          <cell r="F1272">
            <v>313671</v>
          </cell>
          <cell r="G1272" t="str">
            <v>Virginia Yesenia Merida Lopez De Lopez</v>
          </cell>
          <cell r="H1272">
            <v>0</v>
          </cell>
        </row>
        <row r="1273">
          <cell r="F1273">
            <v>315529</v>
          </cell>
          <cell r="G1273" t="str">
            <v>Vivian Alejandra Ramirez Samayoa</v>
          </cell>
          <cell r="H1273">
            <v>0</v>
          </cell>
        </row>
        <row r="1274">
          <cell r="F1274">
            <v>310009</v>
          </cell>
          <cell r="G1274" t="str">
            <v>Vivian Celeste De Leon Rian</v>
          </cell>
          <cell r="H1274">
            <v>0</v>
          </cell>
        </row>
        <row r="1275">
          <cell r="F1275">
            <v>308693</v>
          </cell>
          <cell r="G1275" t="str">
            <v>Vivian Dinora Fuentes Carrillo</v>
          </cell>
          <cell r="H1275">
            <v>0</v>
          </cell>
        </row>
        <row r="1276">
          <cell r="F1276">
            <v>300347</v>
          </cell>
          <cell r="G1276" t="str">
            <v>Vivian Roxana Piedrasanta Rodriguez</v>
          </cell>
          <cell r="H1276">
            <v>0</v>
          </cell>
        </row>
        <row r="1277">
          <cell r="F1277">
            <v>306597</v>
          </cell>
          <cell r="G1277" t="str">
            <v>Vivian Samara Sanchez Lopez</v>
          </cell>
          <cell r="H1277">
            <v>0</v>
          </cell>
        </row>
        <row r="1278">
          <cell r="F1278">
            <v>312772</v>
          </cell>
          <cell r="G1278" t="str">
            <v>Viviana Isabet Machic Tiño</v>
          </cell>
          <cell r="H1278">
            <v>0</v>
          </cell>
        </row>
        <row r="1279">
          <cell r="F1279">
            <v>314636</v>
          </cell>
          <cell r="G1279" t="str">
            <v>Walkiria Anais Herrera Castillo</v>
          </cell>
          <cell r="H1279">
            <v>0</v>
          </cell>
        </row>
        <row r="1280">
          <cell r="F1280">
            <v>301033</v>
          </cell>
          <cell r="G1280" t="str">
            <v>Walter Daniel Perea Flores</v>
          </cell>
          <cell r="H1280">
            <v>0</v>
          </cell>
        </row>
        <row r="1281">
          <cell r="F1281">
            <v>305935</v>
          </cell>
          <cell r="G1281" t="str">
            <v>Walter David De Leon Gomez</v>
          </cell>
          <cell r="H1281">
            <v>0</v>
          </cell>
        </row>
        <row r="1282">
          <cell r="F1282">
            <v>315324</v>
          </cell>
          <cell r="G1282" t="str">
            <v>Walter Estuardo Guerra López</v>
          </cell>
          <cell r="H1282">
            <v>0</v>
          </cell>
        </row>
        <row r="1283">
          <cell r="F1283">
            <v>310994</v>
          </cell>
          <cell r="G1283" t="str">
            <v>Walter Geovany Hernandez Hernandez</v>
          </cell>
          <cell r="H1283">
            <v>0</v>
          </cell>
        </row>
        <row r="1284">
          <cell r="F1284">
            <v>315577</v>
          </cell>
          <cell r="G1284" t="str">
            <v>Walter Yovany Sequec Lopic</v>
          </cell>
          <cell r="H1284">
            <v>0</v>
          </cell>
        </row>
        <row r="1285">
          <cell r="F1285">
            <v>312305</v>
          </cell>
          <cell r="G1285" t="str">
            <v>Wanda Marisol Cabrera Lemus</v>
          </cell>
          <cell r="H1285">
            <v>0</v>
          </cell>
        </row>
        <row r="1286">
          <cell r="F1286">
            <v>313388</v>
          </cell>
          <cell r="G1286" t="str">
            <v>Wander Andres Grijlava Porras</v>
          </cell>
          <cell r="H1286">
            <v>0</v>
          </cell>
        </row>
        <row r="1287">
          <cell r="F1287">
            <v>312738</v>
          </cell>
          <cell r="G1287" t="str">
            <v>Wendoly Beatriz Morales Cornel</v>
          </cell>
          <cell r="H1287">
            <v>0</v>
          </cell>
        </row>
        <row r="1288">
          <cell r="F1288">
            <v>304802</v>
          </cell>
          <cell r="G1288" t="str">
            <v>Wendy Alejandra Cuyan Alvarez</v>
          </cell>
          <cell r="H1288">
            <v>0</v>
          </cell>
        </row>
        <row r="1289">
          <cell r="F1289">
            <v>315438</v>
          </cell>
          <cell r="G1289" t="str">
            <v>Wendy Alejandra Monzon Lopez</v>
          </cell>
          <cell r="H1289">
            <v>0</v>
          </cell>
        </row>
        <row r="1290">
          <cell r="F1290">
            <v>309177</v>
          </cell>
          <cell r="G1290" t="str">
            <v>Wendy Carolina Lopez Alvizuriz</v>
          </cell>
          <cell r="H1290">
            <v>0</v>
          </cell>
        </row>
        <row r="1291">
          <cell r="F1291">
            <v>315364</v>
          </cell>
          <cell r="G1291" t="str">
            <v>Wendy Corina Najera Vasquez</v>
          </cell>
          <cell r="H1291">
            <v>0</v>
          </cell>
        </row>
        <row r="1292">
          <cell r="F1292">
            <v>308431</v>
          </cell>
          <cell r="G1292" t="str">
            <v>Wendy Jessenia Arredondo Lopez</v>
          </cell>
          <cell r="H1292">
            <v>0</v>
          </cell>
        </row>
        <row r="1293">
          <cell r="F1293">
            <v>315096</v>
          </cell>
          <cell r="G1293" t="str">
            <v>Wendy Mariela Diaz Hernandez</v>
          </cell>
          <cell r="H1293">
            <v>0</v>
          </cell>
        </row>
        <row r="1294">
          <cell r="F1294">
            <v>314551</v>
          </cell>
          <cell r="G1294" t="str">
            <v>Wendy Nineth Perez Roque</v>
          </cell>
          <cell r="H1294">
            <v>0</v>
          </cell>
        </row>
        <row r="1295">
          <cell r="F1295">
            <v>312886</v>
          </cell>
          <cell r="G1295" t="str">
            <v>Wendy Paola Baquiax Cu</v>
          </cell>
          <cell r="H1295">
            <v>0</v>
          </cell>
        </row>
        <row r="1296">
          <cell r="F1296">
            <v>306851</v>
          </cell>
          <cell r="G1296" t="str">
            <v>Wendy Paola De Paz Prado</v>
          </cell>
          <cell r="H1296">
            <v>0</v>
          </cell>
        </row>
        <row r="1297">
          <cell r="F1297">
            <v>313707</v>
          </cell>
          <cell r="G1297" t="str">
            <v>Wendy Paola Rodriguez Gonzalez</v>
          </cell>
          <cell r="H1297">
            <v>0</v>
          </cell>
        </row>
        <row r="1298">
          <cell r="F1298">
            <v>314055</v>
          </cell>
          <cell r="G1298" t="str">
            <v>Wendy Patricia Lopez Gonzalez</v>
          </cell>
          <cell r="H1298">
            <v>0</v>
          </cell>
        </row>
        <row r="1299">
          <cell r="F1299">
            <v>310388</v>
          </cell>
          <cell r="G1299" t="str">
            <v>Wendy Susana Chinchilla Cotill</v>
          </cell>
          <cell r="H1299">
            <v>0</v>
          </cell>
        </row>
        <row r="1300">
          <cell r="F1300">
            <v>315106</v>
          </cell>
          <cell r="G1300" t="str">
            <v>Wendy Victoria Rodriguez Chacon</v>
          </cell>
          <cell r="H1300">
            <v>0</v>
          </cell>
        </row>
        <row r="1301">
          <cell r="F1301">
            <v>314063</v>
          </cell>
          <cell r="G1301" t="str">
            <v>Wensler David Obando Polanco</v>
          </cell>
          <cell r="H1301">
            <v>0</v>
          </cell>
        </row>
        <row r="1302">
          <cell r="F1302">
            <v>308069</v>
          </cell>
          <cell r="G1302" t="str">
            <v>Wilda Yohandra Atz Cruz</v>
          </cell>
          <cell r="H1302">
            <v>0</v>
          </cell>
        </row>
        <row r="1303">
          <cell r="F1303">
            <v>313300</v>
          </cell>
          <cell r="G1303" t="str">
            <v>Wilfido Abraham Cardona Garcia</v>
          </cell>
          <cell r="H1303">
            <v>0</v>
          </cell>
        </row>
        <row r="1304">
          <cell r="F1304">
            <v>309284</v>
          </cell>
          <cell r="G1304" t="str">
            <v>Wilian Aroldo Lucero Cardona</v>
          </cell>
          <cell r="H1304">
            <v>0</v>
          </cell>
        </row>
        <row r="1305">
          <cell r="F1305">
            <v>314821</v>
          </cell>
          <cell r="G1305" t="str">
            <v>William Alexander Tobias Gomez</v>
          </cell>
          <cell r="H1305">
            <v>0</v>
          </cell>
        </row>
        <row r="1306">
          <cell r="F1306">
            <v>314881</v>
          </cell>
          <cell r="G1306" t="str">
            <v>William Eduardo Velasquez Castillo</v>
          </cell>
          <cell r="H1306">
            <v>0</v>
          </cell>
        </row>
        <row r="1307">
          <cell r="F1307">
            <v>313027</v>
          </cell>
          <cell r="G1307" t="str">
            <v>William Rodolfo Yool Tucux</v>
          </cell>
          <cell r="H1307">
            <v>0</v>
          </cell>
        </row>
        <row r="1308">
          <cell r="F1308">
            <v>314221</v>
          </cell>
          <cell r="G1308" t="str">
            <v>Willian Baldemar Castillo Ramirez</v>
          </cell>
          <cell r="H1308">
            <v>0</v>
          </cell>
        </row>
        <row r="1309">
          <cell r="F1309">
            <v>314947</v>
          </cell>
          <cell r="G1309" t="str">
            <v>Wilmer Arnoldo Diaz Martinez</v>
          </cell>
          <cell r="H1309">
            <v>0</v>
          </cell>
        </row>
        <row r="1310">
          <cell r="F1310">
            <v>306656</v>
          </cell>
          <cell r="G1310" t="str">
            <v>Wilmer Benjamin Vasquez Puac</v>
          </cell>
          <cell r="H1310">
            <v>0</v>
          </cell>
        </row>
        <row r="1311">
          <cell r="F1311">
            <v>314391</v>
          </cell>
          <cell r="G1311" t="str">
            <v>Wilmer Esteban Lopez Hernandez</v>
          </cell>
          <cell r="H1311">
            <v>0</v>
          </cell>
        </row>
        <row r="1312">
          <cell r="F1312">
            <v>308506</v>
          </cell>
          <cell r="G1312" t="str">
            <v>Wilmer Estuardo Salama Golon</v>
          </cell>
          <cell r="H1312">
            <v>0</v>
          </cell>
        </row>
        <row r="1313">
          <cell r="F1313">
            <v>308686</v>
          </cell>
          <cell r="G1313" t="str">
            <v>Wilson Arnoldo Lopez Revolorio</v>
          </cell>
          <cell r="H1313">
            <v>0</v>
          </cell>
        </row>
        <row r="1314">
          <cell r="F1314">
            <v>312770</v>
          </cell>
          <cell r="G1314" t="str">
            <v>Wilson Manuel Zuñiga Perez</v>
          </cell>
          <cell r="H1314">
            <v>0</v>
          </cell>
        </row>
        <row r="1315">
          <cell r="F1315">
            <v>300978</v>
          </cell>
          <cell r="G1315" t="str">
            <v>Wuangler Geovane Cal Sucup</v>
          </cell>
          <cell r="H1315">
            <v>0</v>
          </cell>
        </row>
        <row r="1316">
          <cell r="F1316">
            <v>305989</v>
          </cell>
          <cell r="G1316" t="str">
            <v>Wuilson Ottoniel Hernandez Alonzo</v>
          </cell>
          <cell r="H1316">
            <v>0</v>
          </cell>
        </row>
        <row r="1317">
          <cell r="F1317">
            <v>314819</v>
          </cell>
          <cell r="G1317" t="str">
            <v>Xiomara Karina Rendon Peinado</v>
          </cell>
          <cell r="H1317">
            <v>0</v>
          </cell>
        </row>
        <row r="1318">
          <cell r="F1318">
            <v>306493</v>
          </cell>
          <cell r="G1318" t="str">
            <v>Yackelin Maribel Zamora Medina</v>
          </cell>
          <cell r="H1318">
            <v>0</v>
          </cell>
        </row>
        <row r="1319">
          <cell r="F1319">
            <v>309963</v>
          </cell>
          <cell r="G1319" t="str">
            <v>Yajaira Emiliana Reyes Zapet</v>
          </cell>
          <cell r="H1319">
            <v>0</v>
          </cell>
        </row>
        <row r="1320">
          <cell r="F1320">
            <v>312248</v>
          </cell>
          <cell r="G1320" t="str">
            <v>Yakelin Consuelo Zapeta Perez</v>
          </cell>
          <cell r="H1320">
            <v>0</v>
          </cell>
        </row>
        <row r="1321">
          <cell r="F1321">
            <v>310159</v>
          </cell>
          <cell r="G1321" t="str">
            <v>Yaquelin Dinora Xicara Mejia</v>
          </cell>
          <cell r="H1321">
            <v>0</v>
          </cell>
        </row>
        <row r="1322">
          <cell r="F1322">
            <v>309920</v>
          </cell>
          <cell r="G1322" t="str">
            <v>Yaquelin Karina Virula Patzan</v>
          </cell>
          <cell r="H1322">
            <v>0</v>
          </cell>
        </row>
        <row r="1323">
          <cell r="F1323">
            <v>312505</v>
          </cell>
          <cell r="G1323" t="str">
            <v>Yaquelin Yessenia Sapon Gonzalez</v>
          </cell>
          <cell r="H1323">
            <v>0</v>
          </cell>
        </row>
        <row r="1324">
          <cell r="F1324">
            <v>309463</v>
          </cell>
          <cell r="G1324" t="str">
            <v>Yasmin Paola Sicay Marroquin</v>
          </cell>
          <cell r="H1324">
            <v>0</v>
          </cell>
        </row>
        <row r="1325">
          <cell r="F1325">
            <v>313857</v>
          </cell>
          <cell r="G1325" t="str">
            <v>Yefersson Zabala Aviles</v>
          </cell>
          <cell r="H1325">
            <v>0</v>
          </cell>
        </row>
        <row r="1326">
          <cell r="F1326">
            <v>313628</v>
          </cell>
          <cell r="G1326" t="str">
            <v>Yefry Jesus Soto</v>
          </cell>
          <cell r="H1326">
            <v>0</v>
          </cell>
        </row>
        <row r="1327">
          <cell r="F1327">
            <v>310318</v>
          </cell>
          <cell r="G1327" t="str">
            <v>Yeimi Yareli Moscoso Guzman</v>
          </cell>
          <cell r="H1327">
            <v>0</v>
          </cell>
        </row>
        <row r="1328">
          <cell r="F1328">
            <v>313558</v>
          </cell>
          <cell r="G1328" t="str">
            <v>Yener Catarino Chilel Velasquez</v>
          </cell>
          <cell r="H1328">
            <v>0</v>
          </cell>
        </row>
        <row r="1329">
          <cell r="F1329">
            <v>303083</v>
          </cell>
          <cell r="G1329" t="str">
            <v>Yeni Elizabeth Carrillo Barrios</v>
          </cell>
          <cell r="H1329">
            <v>0</v>
          </cell>
        </row>
        <row r="1330">
          <cell r="F1330">
            <v>313221</v>
          </cell>
          <cell r="G1330" t="str">
            <v>Yeni Jannet Morales Sintud</v>
          </cell>
          <cell r="H1330">
            <v>0</v>
          </cell>
        </row>
        <row r="1331">
          <cell r="F1331">
            <v>315374</v>
          </cell>
          <cell r="G1331" t="str">
            <v>Yeni Sabrina Ordonez Gonzalez De Chicas</v>
          </cell>
          <cell r="H1331">
            <v>0</v>
          </cell>
        </row>
        <row r="1332">
          <cell r="F1332">
            <v>314613</v>
          </cell>
          <cell r="G1332" t="str">
            <v>Yenifer Alicia Yessenia Tzib Lemus</v>
          </cell>
          <cell r="H1332">
            <v>0</v>
          </cell>
        </row>
        <row r="1333">
          <cell r="F1333">
            <v>308434</v>
          </cell>
          <cell r="G1333" t="str">
            <v>Yenifer Antonieta Borja Aragon</v>
          </cell>
          <cell r="H1333">
            <v>0</v>
          </cell>
        </row>
        <row r="1334">
          <cell r="F1334">
            <v>313725</v>
          </cell>
          <cell r="G1334" t="str">
            <v>Yenner Antonio Perez Castro</v>
          </cell>
          <cell r="H1334">
            <v>0</v>
          </cell>
        </row>
        <row r="1335">
          <cell r="F1335">
            <v>314562</v>
          </cell>
          <cell r="G1335" t="str">
            <v>Yesenia Noemi Gutierrez Argueta</v>
          </cell>
          <cell r="H1335">
            <v>0</v>
          </cell>
        </row>
        <row r="1336">
          <cell r="F1336">
            <v>311581</v>
          </cell>
          <cell r="G1336" t="str">
            <v>Yesi Lisbet Fuentes Velarde</v>
          </cell>
          <cell r="H1336">
            <v>0</v>
          </cell>
        </row>
        <row r="1337">
          <cell r="F1337">
            <v>312579</v>
          </cell>
          <cell r="G1337" t="str">
            <v>Yesica Elizabet Marroquin Vielman</v>
          </cell>
          <cell r="H1337">
            <v>0</v>
          </cell>
        </row>
        <row r="1338">
          <cell r="F1338">
            <v>315433</v>
          </cell>
          <cell r="G1338" t="str">
            <v>Yessica Paola Perez Poma</v>
          </cell>
          <cell r="H1338">
            <v>0</v>
          </cell>
        </row>
        <row r="1339">
          <cell r="F1339">
            <v>311486</v>
          </cell>
          <cell r="G1339" t="str">
            <v>Yolisma Yaneth Vasquez Najera</v>
          </cell>
          <cell r="H1339">
            <v>0</v>
          </cell>
        </row>
        <row r="1340">
          <cell r="F1340">
            <v>315060</v>
          </cell>
          <cell r="G1340" t="str">
            <v>Yonatan Alexander Perez Scott</v>
          </cell>
          <cell r="H1340">
            <v>0</v>
          </cell>
        </row>
        <row r="1341">
          <cell r="F1341">
            <v>312632</v>
          </cell>
          <cell r="G1341" t="str">
            <v>Yonatan Nazareth Zapeta Gomez</v>
          </cell>
          <cell r="H1341">
            <v>0</v>
          </cell>
        </row>
        <row r="1342">
          <cell r="F1342">
            <v>312988</v>
          </cell>
          <cell r="G1342" t="str">
            <v>Yonathan Neftali Moran Velasquez</v>
          </cell>
          <cell r="H1342">
            <v>0</v>
          </cell>
        </row>
        <row r="1343">
          <cell r="F1343">
            <v>305872</v>
          </cell>
          <cell r="G1343" t="str">
            <v>Yoni Adan Gutierrez Veliz</v>
          </cell>
          <cell r="H1343">
            <v>0</v>
          </cell>
        </row>
        <row r="1344">
          <cell r="F1344">
            <v>312087</v>
          </cell>
          <cell r="G1344" t="str">
            <v>Yoni Yosuen Rodriguez Sosa</v>
          </cell>
          <cell r="H1344">
            <v>0</v>
          </cell>
        </row>
        <row r="1345">
          <cell r="F1345">
            <v>312317</v>
          </cell>
          <cell r="G1345" t="str">
            <v>Yoselin Alejandra Barrios Reyes</v>
          </cell>
          <cell r="H1345">
            <v>0</v>
          </cell>
        </row>
        <row r="1346">
          <cell r="F1346">
            <v>313057</v>
          </cell>
          <cell r="G1346" t="str">
            <v>Yoselin Alejandra Moran Burgos</v>
          </cell>
          <cell r="H1346">
            <v>0</v>
          </cell>
        </row>
        <row r="1347">
          <cell r="F1347">
            <v>314700</v>
          </cell>
          <cell r="G1347" t="str">
            <v>Yoselin Andrea Cipriano Garcia</v>
          </cell>
          <cell r="H1347">
            <v>0</v>
          </cell>
        </row>
        <row r="1348">
          <cell r="F1348">
            <v>314280</v>
          </cell>
          <cell r="G1348" t="str">
            <v>Yoselin Ninet Lopez Quibaja</v>
          </cell>
          <cell r="H1348">
            <v>0</v>
          </cell>
        </row>
        <row r="1349">
          <cell r="F1349">
            <v>314388</v>
          </cell>
          <cell r="G1349" t="str">
            <v>Yubithza Azucena Gamez Agustin De Cordova</v>
          </cell>
          <cell r="H1349">
            <v>0</v>
          </cell>
        </row>
        <row r="1350">
          <cell r="F1350">
            <v>310717</v>
          </cell>
          <cell r="G1350" t="str">
            <v>Yuliana Elizabeth Hernandez Lopez</v>
          </cell>
          <cell r="H1350">
            <v>0</v>
          </cell>
        </row>
        <row r="1351">
          <cell r="F1351">
            <v>314472</v>
          </cell>
          <cell r="G1351" t="str">
            <v>Yuri Madali Cabrera Garcia</v>
          </cell>
          <cell r="H1351">
            <v>0</v>
          </cell>
        </row>
        <row r="1352">
          <cell r="F1352">
            <v>310871</v>
          </cell>
          <cell r="G1352" t="str">
            <v>Yuri Vanessa Bac Caal</v>
          </cell>
          <cell r="H1352">
            <v>0</v>
          </cell>
        </row>
        <row r="1353">
          <cell r="F1353">
            <v>302802</v>
          </cell>
          <cell r="G1353" t="str">
            <v>Yuri Yesenia Beza Ramirez</v>
          </cell>
          <cell r="H1353">
            <v>0</v>
          </cell>
        </row>
        <row r="1354">
          <cell r="F1354">
            <v>310778</v>
          </cell>
          <cell r="G1354" t="str">
            <v>Zacarias Rigoberto Cuc Tiul</v>
          </cell>
          <cell r="H1354">
            <v>0</v>
          </cell>
        </row>
        <row r="1355">
          <cell r="F1355">
            <v>309651</v>
          </cell>
          <cell r="G1355" t="str">
            <v>Zaira Eloiza Orantes Ramirez</v>
          </cell>
          <cell r="H1355">
            <v>0</v>
          </cell>
        </row>
        <row r="1356">
          <cell r="F1356">
            <v>315308</v>
          </cell>
          <cell r="G1356" t="str">
            <v>Zalma Esmeralda Flores Tojin</v>
          </cell>
          <cell r="H1356">
            <v>0</v>
          </cell>
        </row>
        <row r="1357">
          <cell r="F1357">
            <v>306856</v>
          </cell>
          <cell r="G1357" t="str">
            <v>Zoraida Marisol Martinez Perez</v>
          </cell>
          <cell r="H1357">
            <v>0</v>
          </cell>
        </row>
        <row r="1358">
          <cell r="F1358">
            <v>313411</v>
          </cell>
          <cell r="G1358" t="str">
            <v>Zulema Noemy Aristondo Lopez</v>
          </cell>
          <cell r="H1358">
            <v>0</v>
          </cell>
        </row>
        <row r="1359">
          <cell r="F1359">
            <v>312665</v>
          </cell>
          <cell r="G1359" t="str">
            <v>Zulma Damaris Menchu Mendez</v>
          </cell>
          <cell r="H1359">
            <v>0</v>
          </cell>
        </row>
        <row r="1360">
          <cell r="F1360">
            <v>314042</v>
          </cell>
          <cell r="G1360" t="str">
            <v>Zulmy Paola Mateo Salazar</v>
          </cell>
          <cell r="H1360">
            <v>0</v>
          </cell>
        </row>
        <row r="1361">
          <cell r="F1361">
            <v>313161</v>
          </cell>
          <cell r="G1361" t="str">
            <v>Zuly Beatriz De Jesus Lopez Martinez</v>
          </cell>
          <cell r="H1361">
            <v>0</v>
          </cell>
        </row>
        <row r="1362">
          <cell r="F1362">
            <v>314783</v>
          </cell>
          <cell r="G1362" t="str">
            <v>Jency Noeli Estrada Paredes</v>
          </cell>
          <cell r="H1362">
            <v>0</v>
          </cell>
        </row>
        <row r="1363">
          <cell r="F1363">
            <v>311880</v>
          </cell>
          <cell r="G1363" t="str">
            <v>Patricia Alejandra Ramos Velasquez</v>
          </cell>
          <cell r="H1363">
            <v>0</v>
          </cell>
        </row>
        <row r="1364">
          <cell r="F1364">
            <v>313031</v>
          </cell>
          <cell r="G1364" t="str">
            <v>Lesly Sucely Ramirez Maxin</v>
          </cell>
          <cell r="H1364">
            <v>0</v>
          </cell>
        </row>
        <row r="1365">
          <cell r="F1365">
            <v>313155</v>
          </cell>
          <cell r="G1365" t="str">
            <v>Aylin Jiceli Romero Cruz</v>
          </cell>
          <cell r="H1365">
            <v>0</v>
          </cell>
        </row>
        <row r="1366">
          <cell r="F1366">
            <v>314858</v>
          </cell>
          <cell r="G1366" t="str">
            <v>Henry De Jesus Mujo Garcia</v>
          </cell>
          <cell r="H1366">
            <v>0</v>
          </cell>
        </row>
        <row r="1367">
          <cell r="F1367">
            <v>315188</v>
          </cell>
          <cell r="G1367" t="str">
            <v>Zoila Edmunda Pirir Tezen</v>
          </cell>
          <cell r="H1367">
            <v>0</v>
          </cell>
        </row>
        <row r="1368">
          <cell r="F1368">
            <v>314690</v>
          </cell>
          <cell r="G1368" t="str">
            <v>Scarlet Iveth Rosales Rivera</v>
          </cell>
          <cell r="H1368">
            <v>0</v>
          </cell>
        </row>
        <row r="1369">
          <cell r="F1369">
            <v>309417</v>
          </cell>
          <cell r="G1369" t="str">
            <v>Lisbeth Sarai Gutierrez Oscal</v>
          </cell>
          <cell r="H1369">
            <v>0</v>
          </cell>
        </row>
        <row r="1370">
          <cell r="F1370">
            <v>314284</v>
          </cell>
          <cell r="G1370" t="str">
            <v>William Alexander Gonzalez Mendoza</v>
          </cell>
          <cell r="H1370">
            <v>0</v>
          </cell>
        </row>
        <row r="1371">
          <cell r="F1371">
            <v>312424</v>
          </cell>
          <cell r="G1371" t="str">
            <v>Andrea Fernanda Martin Flores</v>
          </cell>
          <cell r="H1371">
            <v>0</v>
          </cell>
        </row>
        <row r="1372">
          <cell r="F1372">
            <v>313081</v>
          </cell>
          <cell r="G1372" t="str">
            <v>Alba Mariana Higueros Micheo</v>
          </cell>
          <cell r="H1372">
            <v>0</v>
          </cell>
        </row>
        <row r="1373">
          <cell r="F1373">
            <v>315184</v>
          </cell>
          <cell r="G1373" t="str">
            <v>Leysly Rubi Panchoy Rivera</v>
          </cell>
          <cell r="H1373">
            <v>0</v>
          </cell>
        </row>
        <row r="1374">
          <cell r="F1374">
            <v>315248</v>
          </cell>
          <cell r="G1374" t="str">
            <v>Claudia Marissa Chuquiej Granados</v>
          </cell>
          <cell r="H1374">
            <v>0</v>
          </cell>
        </row>
        <row r="1375">
          <cell r="F1375">
            <v>314982</v>
          </cell>
          <cell r="G1375" t="str">
            <v>Alvin David Cush Roman</v>
          </cell>
          <cell r="H1375">
            <v>0</v>
          </cell>
        </row>
        <row r="1376">
          <cell r="F1376">
            <v>312859</v>
          </cell>
          <cell r="G1376" t="str">
            <v>Wilson Eli Pineda Argueta</v>
          </cell>
          <cell r="H1376">
            <v>0</v>
          </cell>
        </row>
        <row r="1377">
          <cell r="F1377">
            <v>315040</v>
          </cell>
          <cell r="G1377" t="str">
            <v>Renny Camilo Ixcopal Ramirez</v>
          </cell>
          <cell r="H1377">
            <v>0</v>
          </cell>
        </row>
        <row r="1378">
          <cell r="F1378">
            <v>315061</v>
          </cell>
          <cell r="G1378" t="str">
            <v>Durvin Dayanara Mejicanos Ramos</v>
          </cell>
          <cell r="H1378">
            <v>0</v>
          </cell>
        </row>
        <row r="1379">
          <cell r="F1379">
            <v>314923</v>
          </cell>
          <cell r="G1379" t="str">
            <v>Sergio Alexander Urizar Godínez</v>
          </cell>
          <cell r="H1379">
            <v>0</v>
          </cell>
        </row>
        <row r="1380">
          <cell r="F1380">
            <v>314511</v>
          </cell>
          <cell r="G1380" t="str">
            <v>Dulce Maria Fajardo Ramos</v>
          </cell>
          <cell r="H1380">
            <v>0</v>
          </cell>
        </row>
        <row r="1381">
          <cell r="F1381">
            <v>315316</v>
          </cell>
          <cell r="G1381" t="str">
            <v>Axel Alexander Lemus Ovando</v>
          </cell>
          <cell r="H1381">
            <v>0</v>
          </cell>
        </row>
        <row r="1382">
          <cell r="F1382">
            <v>314538</v>
          </cell>
          <cell r="G1382" t="str">
            <v>Cristofer Melgar Ortega</v>
          </cell>
          <cell r="H1382">
            <v>0</v>
          </cell>
        </row>
        <row r="1383">
          <cell r="F1383">
            <v>315046</v>
          </cell>
          <cell r="G1383" t="str">
            <v>Maria Damaris Noemi Asig Cu</v>
          </cell>
          <cell r="H1383">
            <v>0</v>
          </cell>
        </row>
        <row r="1384">
          <cell r="F1384">
            <v>314652</v>
          </cell>
          <cell r="G1384" t="str">
            <v>Leyvi Diana Morales Garrido</v>
          </cell>
          <cell r="H1384">
            <v>0</v>
          </cell>
        </row>
        <row r="1385">
          <cell r="F1385">
            <v>314440</v>
          </cell>
          <cell r="G1385" t="str">
            <v>Luis Alexsander Barco Ramirez</v>
          </cell>
          <cell r="H1385">
            <v>0</v>
          </cell>
        </row>
        <row r="1386">
          <cell r="F1386">
            <v>315249</v>
          </cell>
          <cell r="G1386" t="str">
            <v>Estuardo Rocael Chivalan Caal</v>
          </cell>
          <cell r="H1386">
            <v>0</v>
          </cell>
        </row>
        <row r="1387">
          <cell r="F1387">
            <v>315301</v>
          </cell>
          <cell r="G1387" t="str">
            <v>Carlos Edmundo Hernandez Miranda</v>
          </cell>
          <cell r="H1387">
            <v>0</v>
          </cell>
        </row>
        <row r="1388">
          <cell r="F1388">
            <v>313008</v>
          </cell>
          <cell r="G1388" t="str">
            <v>Jose Guillermo Ixen Queche</v>
          </cell>
          <cell r="H1388">
            <v>0</v>
          </cell>
        </row>
        <row r="1389">
          <cell r="F1389">
            <v>309110</v>
          </cell>
          <cell r="G1389" t="str">
            <v>Josselyn Fabiola Xunic Taquiej</v>
          </cell>
          <cell r="H1389">
            <v>0</v>
          </cell>
        </row>
        <row r="1390">
          <cell r="F1390">
            <v>312944</v>
          </cell>
          <cell r="G1390" t="str">
            <v>Lesly Araceli Mendez Gonzalez</v>
          </cell>
          <cell r="H1390">
            <v>0</v>
          </cell>
        </row>
        <row r="1391">
          <cell r="F1391">
            <v>314043</v>
          </cell>
          <cell r="G1391" t="str">
            <v>Luis Miguel Camaja Recinos</v>
          </cell>
          <cell r="H1391">
            <v>0</v>
          </cell>
        </row>
        <row r="1392">
          <cell r="F1392">
            <v>308753</v>
          </cell>
          <cell r="G1392" t="str">
            <v>Wilson Estuardo Vicente Tzun</v>
          </cell>
          <cell r="H1392">
            <v>0</v>
          </cell>
        </row>
        <row r="1393">
          <cell r="F1393">
            <v>312219</v>
          </cell>
          <cell r="G1393" t="str">
            <v>Yenifer Magali Arana Tezen</v>
          </cell>
          <cell r="H1393">
            <v>0</v>
          </cell>
        </row>
        <row r="1394">
          <cell r="F1394">
            <v>314664</v>
          </cell>
          <cell r="G1394" t="str">
            <v>Favio Juan Manuel Citalan Gomez</v>
          </cell>
          <cell r="H1394">
            <v>0</v>
          </cell>
        </row>
        <row r="1395">
          <cell r="F1395">
            <v>315314</v>
          </cell>
          <cell r="G1395" t="str">
            <v>Katherine Maria Pereira Estacuy</v>
          </cell>
          <cell r="H1395">
            <v>0</v>
          </cell>
        </row>
        <row r="1396">
          <cell r="F1396">
            <v>309750</v>
          </cell>
          <cell r="G1396" t="str">
            <v>Maria Teresa Hom Guit</v>
          </cell>
          <cell r="H1396">
            <v>0</v>
          </cell>
        </row>
        <row r="1397">
          <cell r="F1397">
            <v>307867</v>
          </cell>
          <cell r="G1397" t="str">
            <v>Alex Jose Bamaca Baltazar</v>
          </cell>
          <cell r="H1397">
            <v>0</v>
          </cell>
        </row>
        <row r="1398">
          <cell r="F1398">
            <v>313410</v>
          </cell>
          <cell r="G1398" t="str">
            <v>Esmeralda Claribel Velasquez Hernandez</v>
          </cell>
          <cell r="H1398">
            <v>0</v>
          </cell>
        </row>
        <row r="1399">
          <cell r="F1399">
            <v>315157</v>
          </cell>
          <cell r="G1399" t="str">
            <v>Nancy Rocio Maldonado Lopez</v>
          </cell>
          <cell r="H1399">
            <v>0</v>
          </cell>
        </row>
        <row r="1400">
          <cell r="F1400">
            <v>303878</v>
          </cell>
          <cell r="G1400" t="str">
            <v>Milka Patricia Merida Muñoz</v>
          </cell>
          <cell r="H1400">
            <v>0</v>
          </cell>
        </row>
        <row r="1401">
          <cell r="F1401">
            <v>315187</v>
          </cell>
          <cell r="G1401" t="str">
            <v>Luis Fernando Ramos Reynoso</v>
          </cell>
          <cell r="H1401">
            <v>0</v>
          </cell>
        </row>
        <row r="1402">
          <cell r="F1402">
            <v>310537</v>
          </cell>
          <cell r="G1402" t="str">
            <v>Astrid Anybeth Ochoa Sac</v>
          </cell>
          <cell r="H1402">
            <v>0</v>
          </cell>
        </row>
        <row r="1403">
          <cell r="F1403">
            <v>314578</v>
          </cell>
          <cell r="G1403" t="str">
            <v>Ana Gabriela Garcia Ajanel</v>
          </cell>
          <cell r="H1403">
            <v>0</v>
          </cell>
        </row>
        <row r="1404">
          <cell r="F1404">
            <v>315331</v>
          </cell>
          <cell r="G1404" t="str">
            <v>Dallynn Eunice Perez Herrera</v>
          </cell>
          <cell r="H1404">
            <v>0</v>
          </cell>
        </row>
        <row r="1405">
          <cell r="F1405">
            <v>314950</v>
          </cell>
          <cell r="G1405" t="str">
            <v>Saul Rodrigo Monterroso Belteton</v>
          </cell>
          <cell r="H1405">
            <v>0</v>
          </cell>
        </row>
        <row r="1406">
          <cell r="F1406">
            <v>312575</v>
          </cell>
          <cell r="G1406" t="str">
            <v>Sugey Alejandrina Ramirez Zepeda</v>
          </cell>
          <cell r="H1406">
            <v>0</v>
          </cell>
        </row>
        <row r="1407">
          <cell r="F1407">
            <v>309102</v>
          </cell>
          <cell r="G1407" t="str">
            <v>Josselyn Jasmin Asencio Revolorio De Lopez</v>
          </cell>
          <cell r="H1407">
            <v>0</v>
          </cell>
        </row>
        <row r="1408">
          <cell r="F1408">
            <v>313516</v>
          </cell>
          <cell r="G1408" t="str">
            <v>Mayra Leticia Diaz Armas</v>
          </cell>
          <cell r="H1408">
            <v>0</v>
          </cell>
        </row>
        <row r="1409">
          <cell r="F1409">
            <v>314786</v>
          </cell>
          <cell r="G1409" t="str">
            <v>Andrea Stephany Villeda Bran</v>
          </cell>
          <cell r="H1409">
            <v>0</v>
          </cell>
        </row>
        <row r="1410">
          <cell r="F1410">
            <v>313482</v>
          </cell>
          <cell r="G1410" t="str">
            <v>Alexandra Stefania Estrada Flores</v>
          </cell>
          <cell r="H1410">
            <v>0</v>
          </cell>
        </row>
        <row r="1411">
          <cell r="F1411">
            <v>313642</v>
          </cell>
          <cell r="G1411" t="str">
            <v>Jose Luis Landaverry Arana</v>
          </cell>
          <cell r="H1411">
            <v>0</v>
          </cell>
        </row>
        <row r="1412">
          <cell r="F1412">
            <v>314734</v>
          </cell>
          <cell r="G1412" t="str">
            <v>Maria Teresa Barrientos Perdomo</v>
          </cell>
          <cell r="H1412">
            <v>0</v>
          </cell>
        </row>
        <row r="1413">
          <cell r="F1413">
            <v>312551</v>
          </cell>
          <cell r="G1413" t="str">
            <v>Zenia Estefania Alvarado Alvarado</v>
          </cell>
          <cell r="H1413">
            <v>0</v>
          </cell>
        </row>
        <row r="1414">
          <cell r="F1414">
            <v>311524</v>
          </cell>
          <cell r="G1414" t="str">
            <v>Iris Marleny Alvarado Barrios</v>
          </cell>
          <cell r="H1414">
            <v>0</v>
          </cell>
        </row>
        <row r="1415">
          <cell r="F1415">
            <v>309360</v>
          </cell>
          <cell r="G1415" t="str">
            <v>Diana Violeta Yaguas Carin</v>
          </cell>
          <cell r="H1415">
            <v>0</v>
          </cell>
        </row>
        <row r="1416">
          <cell r="F1416">
            <v>309560</v>
          </cell>
          <cell r="G1416" t="str">
            <v>Astrid Gabriela Carin Castillo</v>
          </cell>
          <cell r="H1416">
            <v>0</v>
          </cell>
        </row>
        <row r="1417">
          <cell r="F1417">
            <v>313834</v>
          </cell>
          <cell r="G1417" t="str">
            <v>Luis Fernando Cuque Marquez</v>
          </cell>
          <cell r="H1417">
            <v>0</v>
          </cell>
        </row>
        <row r="1418">
          <cell r="F1418">
            <v>312983</v>
          </cell>
          <cell r="G1418" t="str">
            <v>Jennifer Jeaneth Patzan Urizar</v>
          </cell>
          <cell r="H1418">
            <v>0</v>
          </cell>
        </row>
        <row r="1419">
          <cell r="F1419">
            <v>313043</v>
          </cell>
          <cell r="G1419" t="str">
            <v>Saul Alexander Sicay Ramirez</v>
          </cell>
          <cell r="H1419">
            <v>0</v>
          </cell>
        </row>
        <row r="1420">
          <cell r="F1420">
            <v>315052</v>
          </cell>
          <cell r="G1420" t="str">
            <v>Ana Ruth Garcia Garcia</v>
          </cell>
          <cell r="H1420">
            <v>0</v>
          </cell>
        </row>
        <row r="1421">
          <cell r="F1421">
            <v>311322</v>
          </cell>
          <cell r="G1421" t="str">
            <v>Valerie Andrea Rivas Del Valle</v>
          </cell>
          <cell r="H1421">
            <v>0</v>
          </cell>
        </row>
        <row r="1422">
          <cell r="F1422">
            <v>313852</v>
          </cell>
          <cell r="G1422" t="str">
            <v>Brandon Steven Quiñonez Garcia</v>
          </cell>
          <cell r="H1422">
            <v>0</v>
          </cell>
        </row>
        <row r="1423">
          <cell r="F1423">
            <v>310326</v>
          </cell>
          <cell r="G1423" t="str">
            <v>Bryan Daniel Donado Ortiz</v>
          </cell>
          <cell r="H1423">
            <v>0</v>
          </cell>
        </row>
        <row r="1424">
          <cell r="F1424">
            <v>312039</v>
          </cell>
          <cell r="G1424" t="str">
            <v>Lourdes Yamileth Escobar Recinos</v>
          </cell>
          <cell r="H1424">
            <v>0</v>
          </cell>
        </row>
        <row r="1425">
          <cell r="F1425">
            <v>315030</v>
          </cell>
          <cell r="G1425" t="str">
            <v>Daniel Antonio Gonzalez Del Cid</v>
          </cell>
          <cell r="H1425">
            <v>0</v>
          </cell>
        </row>
        <row r="1426">
          <cell r="F1426">
            <v>314898</v>
          </cell>
          <cell r="G1426" t="str">
            <v>Jose Danilo Chacar Saguach</v>
          </cell>
          <cell r="H1426">
            <v>0</v>
          </cell>
        </row>
        <row r="1427">
          <cell r="F1427">
            <v>315306</v>
          </cell>
          <cell r="G1427" t="str">
            <v>Karen Melissa Munoz Guevara</v>
          </cell>
          <cell r="H1427">
            <v>0</v>
          </cell>
        </row>
        <row r="1428">
          <cell r="F1428">
            <v>315370</v>
          </cell>
          <cell r="G1428" t="str">
            <v>Mario Eduardo Reyes Argueta</v>
          </cell>
          <cell r="H1428">
            <v>0</v>
          </cell>
        </row>
        <row r="1429">
          <cell r="F1429">
            <v>315354</v>
          </cell>
          <cell r="G1429" t="str">
            <v>Diego Rodrigo Morales Camacho</v>
          </cell>
          <cell r="H1429">
            <v>0</v>
          </cell>
        </row>
        <row r="1430">
          <cell r="F1430">
            <v>314676</v>
          </cell>
          <cell r="G1430" t="str">
            <v>Irvin Lizardo Miranda Guzman</v>
          </cell>
          <cell r="H1430">
            <v>0</v>
          </cell>
        </row>
        <row r="1431">
          <cell r="F1431">
            <v>314069</v>
          </cell>
          <cell r="G1431" t="str">
            <v>Yesenia Nataly Alvarado Sarpec</v>
          </cell>
          <cell r="H1431">
            <v>0</v>
          </cell>
        </row>
        <row r="1432">
          <cell r="F1432">
            <v>315328</v>
          </cell>
          <cell r="G1432" t="str">
            <v xml:space="preserve">Ludwin Oscar David Chavez </v>
          </cell>
          <cell r="H1432">
            <v>0</v>
          </cell>
        </row>
        <row r="1433">
          <cell r="F1433">
            <v>314629</v>
          </cell>
          <cell r="G1433" t="str">
            <v>Heidy Azucena Martinez Garcia</v>
          </cell>
          <cell r="H1433">
            <v>0</v>
          </cell>
        </row>
        <row r="1434">
          <cell r="F1434">
            <v>314358</v>
          </cell>
          <cell r="G1434" t="str">
            <v>Manuel Eduardo Garcia Diaz</v>
          </cell>
          <cell r="H1434">
            <v>0</v>
          </cell>
        </row>
        <row r="1435">
          <cell r="F1435">
            <v>314090</v>
          </cell>
          <cell r="G1435" t="str">
            <v>Dayana Mishell Mazariegos Gomez</v>
          </cell>
          <cell r="H1435">
            <v>0</v>
          </cell>
        </row>
        <row r="1436">
          <cell r="F1436">
            <v>311202</v>
          </cell>
          <cell r="G1436" t="str">
            <v>Vilma Lizeth Caal Yantuche</v>
          </cell>
          <cell r="H1436">
            <v>0</v>
          </cell>
        </row>
        <row r="1437">
          <cell r="F1437">
            <v>314693</v>
          </cell>
          <cell r="G1437" t="str">
            <v>Oscar Javier Veliz Galvez</v>
          </cell>
          <cell r="H1437">
            <v>0</v>
          </cell>
        </row>
        <row r="1438">
          <cell r="F1438">
            <v>307008</v>
          </cell>
          <cell r="G1438" t="str">
            <v>Evelyn Rebeca Lopez Socoy</v>
          </cell>
          <cell r="H1438">
            <v>0</v>
          </cell>
        </row>
        <row r="1439">
          <cell r="F1439">
            <v>313003</v>
          </cell>
          <cell r="G1439" t="str">
            <v>Jonathan Renato Chete Urias</v>
          </cell>
          <cell r="H1439">
            <v>0</v>
          </cell>
        </row>
        <row r="1440">
          <cell r="F1440">
            <v>315224</v>
          </cell>
          <cell r="G1440" t="str">
            <v>Dina Nohemi Solano Juarez</v>
          </cell>
          <cell r="H1440">
            <v>0</v>
          </cell>
        </row>
        <row r="1441">
          <cell r="F1441">
            <v>315178</v>
          </cell>
          <cell r="G1441" t="str">
            <v>Melany Nohemi Velasquez Solorzano</v>
          </cell>
          <cell r="H1441">
            <v>0</v>
          </cell>
        </row>
        <row r="1442">
          <cell r="F1442">
            <v>314040</v>
          </cell>
          <cell r="G1442" t="str">
            <v>Cindy Abigail Patzan Perez</v>
          </cell>
          <cell r="H1442">
            <v>0</v>
          </cell>
        </row>
        <row r="1443">
          <cell r="F1443">
            <v>315172</v>
          </cell>
          <cell r="G1443" t="str">
            <v>Merlyn Esther Pérez Girón</v>
          </cell>
          <cell r="H1443">
            <v>0</v>
          </cell>
        </row>
        <row r="1444">
          <cell r="F1444">
            <v>314726</v>
          </cell>
          <cell r="G1444" t="str">
            <v>Bryan Roberto Sanchez Echeverria</v>
          </cell>
          <cell r="H1444">
            <v>0</v>
          </cell>
        </row>
        <row r="1445">
          <cell r="F1445">
            <v>306350</v>
          </cell>
          <cell r="G1445" t="str">
            <v>Andrea Eunice Velasquez Mazariegos</v>
          </cell>
          <cell r="H1445">
            <v>0</v>
          </cell>
        </row>
        <row r="1446">
          <cell r="F1446">
            <v>314282</v>
          </cell>
          <cell r="G1446" t="str">
            <v>Yolanda Genoveva Lopez Bamaca</v>
          </cell>
          <cell r="H1446">
            <v>0</v>
          </cell>
        </row>
        <row r="1447">
          <cell r="F1447">
            <v>314675</v>
          </cell>
          <cell r="G1447" t="str">
            <v>Edson Romeo Maldonado Reyes</v>
          </cell>
          <cell r="H1447">
            <v>0</v>
          </cell>
        </row>
        <row r="1448">
          <cell r="F1448">
            <v>313056</v>
          </cell>
          <cell r="G1448" t="str">
            <v>Suceli Isamar Orozco Fuentes</v>
          </cell>
          <cell r="H1448">
            <v>0</v>
          </cell>
        </row>
        <row r="1449">
          <cell r="F1449">
            <v>311573</v>
          </cell>
          <cell r="G1449" t="str">
            <v>Karen Gabriela Uz Shalix</v>
          </cell>
          <cell r="H1449">
            <v>0</v>
          </cell>
        </row>
        <row r="1450">
          <cell r="F1450">
            <v>313661</v>
          </cell>
          <cell r="G1450" t="str">
            <v>Mario Jose Herrera De Leon</v>
          </cell>
          <cell r="H1450">
            <v>0</v>
          </cell>
        </row>
        <row r="1451">
          <cell r="F1451">
            <v>314134</v>
          </cell>
          <cell r="G1451" t="str">
            <v>Rogelia Emperatriz Ortiz Alcantara</v>
          </cell>
          <cell r="H1451">
            <v>0</v>
          </cell>
        </row>
        <row r="1452">
          <cell r="F1452">
            <v>315207</v>
          </cell>
          <cell r="G1452" t="str">
            <v>Yeison Lemuel Lopez Vasquez</v>
          </cell>
          <cell r="H1452">
            <v>0</v>
          </cell>
        </row>
        <row r="1453">
          <cell r="F1453">
            <v>312659</v>
          </cell>
          <cell r="G1453" t="str">
            <v>Danny Johana Perez Reyes</v>
          </cell>
          <cell r="H1453">
            <v>0</v>
          </cell>
        </row>
        <row r="1454">
          <cell r="F1454">
            <v>315587</v>
          </cell>
          <cell r="G1454" t="str">
            <v>Pedro Jose Castañeda Velasquez</v>
          </cell>
          <cell r="H1454">
            <v>0</v>
          </cell>
        </row>
        <row r="1455">
          <cell r="F1455">
            <v>315590</v>
          </cell>
          <cell r="G1455" t="str">
            <v>Jamileth Andreina Arreaga Quin</v>
          </cell>
          <cell r="H1455">
            <v>0</v>
          </cell>
        </row>
        <row r="1456">
          <cell r="F1456">
            <v>315602</v>
          </cell>
          <cell r="G1456" t="str">
            <v>Ventura Rivera, Rhode Esperanza</v>
          </cell>
          <cell r="H1456">
            <v>0</v>
          </cell>
        </row>
        <row r="1457">
          <cell r="F1457">
            <v>315607</v>
          </cell>
          <cell r="G1457" t="str">
            <v>Ruiz Castillo, Maria Antonia</v>
          </cell>
          <cell r="H1457">
            <v>0</v>
          </cell>
        </row>
        <row r="1458">
          <cell r="F1458">
            <v>315611</v>
          </cell>
          <cell r="G1458" t="str">
            <v>Cordova Newbery, Allison Alejandra</v>
          </cell>
          <cell r="H1458">
            <v>0</v>
          </cell>
        </row>
        <row r="1459">
          <cell r="F1459">
            <v>315612</v>
          </cell>
          <cell r="G1459" t="str">
            <v>Castanon Lopez, Brandon Eliberto</v>
          </cell>
          <cell r="H1459">
            <v>0</v>
          </cell>
        </row>
        <row r="1460">
          <cell r="F1460">
            <v>315616</v>
          </cell>
          <cell r="G1460" t="str">
            <v>Diaz Calderon, Josue Noe</v>
          </cell>
          <cell r="H1460">
            <v>0</v>
          </cell>
        </row>
        <row r="1461">
          <cell r="F1461">
            <v>315629</v>
          </cell>
          <cell r="G1461" t="str">
            <v>Rucuch Choguaj, Miguel</v>
          </cell>
          <cell r="H1461">
            <v>0</v>
          </cell>
        </row>
        <row r="1462">
          <cell r="F1462">
            <v>315630</v>
          </cell>
          <cell r="G1462" t="str">
            <v>Zavala Soto, Alisson Yisel</v>
          </cell>
          <cell r="H1462">
            <v>0</v>
          </cell>
        </row>
        <row r="1463">
          <cell r="F1463">
            <v>309658</v>
          </cell>
          <cell r="G1463" t="str">
            <v xml:space="preserve">Otto Alejandro Barahona López </v>
          </cell>
          <cell r="H1463">
            <v>0</v>
          </cell>
        </row>
        <row r="1464">
          <cell r="F1464">
            <v>301291</v>
          </cell>
          <cell r="G1464" t="str">
            <v>Alexandra Carolina Valdez Vasquez</v>
          </cell>
          <cell r="H1464">
            <v>0</v>
          </cell>
        </row>
        <row r="1465">
          <cell r="F1465">
            <v>307550</v>
          </cell>
          <cell r="G1465" t="str">
            <v>Aura Marleny Perez Ventura</v>
          </cell>
          <cell r="H1465">
            <v>0</v>
          </cell>
        </row>
        <row r="1466">
          <cell r="F1466">
            <v>312210</v>
          </cell>
          <cell r="G1466" t="str">
            <v>Carlos Enrique Saenz Cardona</v>
          </cell>
          <cell r="H1466">
            <v>0</v>
          </cell>
        </row>
        <row r="1467">
          <cell r="F1467">
            <v>304801</v>
          </cell>
          <cell r="G1467" t="str">
            <v>Celeste Azucena Estrada Salvador De Estrada</v>
          </cell>
          <cell r="H1467">
            <v>0</v>
          </cell>
        </row>
        <row r="1468">
          <cell r="F1468">
            <v>314684</v>
          </cell>
          <cell r="G1468" t="str">
            <v>Escarlet Liliana Molina Herrera De Bolaños</v>
          </cell>
          <cell r="H1468">
            <v>0</v>
          </cell>
        </row>
        <row r="1469">
          <cell r="F1469">
            <v>309956</v>
          </cell>
          <cell r="G1469" t="str">
            <v>Heidy Celeste San Jose Diaz</v>
          </cell>
          <cell r="H1469">
            <v>0</v>
          </cell>
        </row>
        <row r="1470">
          <cell r="F1470">
            <v>314978</v>
          </cell>
          <cell r="G1470" t="str">
            <v>Jhoseline Esmeralda Medina Rivas</v>
          </cell>
          <cell r="H1470">
            <v>0</v>
          </cell>
        </row>
        <row r="1471">
          <cell r="F1471">
            <v>302674</v>
          </cell>
          <cell r="G1471" t="str">
            <v>Karen Elizabeth Roman Castellanos</v>
          </cell>
          <cell r="H1471">
            <v>0</v>
          </cell>
        </row>
        <row r="1472">
          <cell r="F1472">
            <v>315147</v>
          </cell>
          <cell r="G1472" t="str">
            <v>Karin Zulema Molina Fonseca</v>
          </cell>
          <cell r="H1472">
            <v>0</v>
          </cell>
        </row>
        <row r="1473">
          <cell r="F1473">
            <v>312838</v>
          </cell>
          <cell r="G1473" t="str">
            <v>Katherine Lucia Carranza Ortega</v>
          </cell>
          <cell r="H1473">
            <v>0</v>
          </cell>
        </row>
        <row r="1474">
          <cell r="F1474">
            <v>305064</v>
          </cell>
          <cell r="G1474" t="str">
            <v>Lilian Jose Lopez Quevedo</v>
          </cell>
          <cell r="H1474">
            <v>0</v>
          </cell>
        </row>
        <row r="1475">
          <cell r="F1475">
            <v>308754</v>
          </cell>
          <cell r="G1475" t="str">
            <v>Luis Alberto Perez Barrios</v>
          </cell>
          <cell r="H1475">
            <v>0</v>
          </cell>
        </row>
        <row r="1476">
          <cell r="F1476">
            <v>313396</v>
          </cell>
          <cell r="G1476" t="str">
            <v>Luz Mariela Donis Gonzalez</v>
          </cell>
          <cell r="H1476">
            <v>0</v>
          </cell>
        </row>
        <row r="1477">
          <cell r="F1477">
            <v>306330</v>
          </cell>
          <cell r="G1477" t="str">
            <v>Maria Andree Gonzalez</v>
          </cell>
          <cell r="H1477">
            <v>0</v>
          </cell>
        </row>
        <row r="1478">
          <cell r="F1478">
            <v>307198</v>
          </cell>
          <cell r="G1478" t="str">
            <v>Maria Gabriela Coloma Morales</v>
          </cell>
          <cell r="H1478">
            <v>0</v>
          </cell>
        </row>
        <row r="1479">
          <cell r="F1479">
            <v>307786</v>
          </cell>
          <cell r="G1479" t="str">
            <v>Marvin Alfredo Asturias Mendez</v>
          </cell>
          <cell r="H1479">
            <v>0</v>
          </cell>
        </row>
        <row r="1480">
          <cell r="F1480">
            <v>300268</v>
          </cell>
          <cell r="G1480" t="str">
            <v>Monica Carolina Pappa Dominguez</v>
          </cell>
          <cell r="H1480">
            <v>0</v>
          </cell>
        </row>
        <row r="1481">
          <cell r="F1481">
            <v>313636</v>
          </cell>
          <cell r="G1481" t="str">
            <v>Pablo Cesar Oliva Lopez</v>
          </cell>
          <cell r="H1481">
            <v>0</v>
          </cell>
        </row>
        <row r="1482">
          <cell r="F1482">
            <v>307702</v>
          </cell>
          <cell r="G1482" t="str">
            <v>Rosmeri Elizabeth Alvarez Lopez De Corado</v>
          </cell>
          <cell r="H1482">
            <v>0</v>
          </cell>
        </row>
        <row r="1483">
          <cell r="F1483">
            <v>314648</v>
          </cell>
          <cell r="G1483" t="str">
            <v>Sergio Vinicio Natareno Paredes</v>
          </cell>
          <cell r="H1483">
            <v>0</v>
          </cell>
        </row>
        <row r="1484">
          <cell r="F1484">
            <v>309567</v>
          </cell>
          <cell r="G1484" t="str">
            <v>Sindy Elizabeth Chavez Guzman</v>
          </cell>
          <cell r="H1484">
            <v>0</v>
          </cell>
        </row>
        <row r="1485">
          <cell r="F1485">
            <v>313649</v>
          </cell>
          <cell r="G1485" t="str">
            <v>Victor Hugo Turriz Flores</v>
          </cell>
          <cell r="H1485">
            <v>0</v>
          </cell>
        </row>
        <row r="1486">
          <cell r="F1486">
            <v>302684</v>
          </cell>
          <cell r="G1486" t="str">
            <v>Ana Melisa Giron Gonzalez</v>
          </cell>
          <cell r="H1486">
            <v>0</v>
          </cell>
        </row>
        <row r="1487">
          <cell r="F1487">
            <v>302866</v>
          </cell>
          <cell r="G1487" t="str">
            <v>Maria Magdalena Solis Carrera</v>
          </cell>
          <cell r="H1487">
            <v>0</v>
          </cell>
        </row>
        <row r="1488">
          <cell r="F1488">
            <v>313111</v>
          </cell>
          <cell r="G1488" t="str">
            <v>Mynor Arturo Barrios Reyes</v>
          </cell>
          <cell r="H1488">
            <v>0</v>
          </cell>
        </row>
        <row r="1489">
          <cell r="F1489">
            <v>313203</v>
          </cell>
          <cell r="G1489" t="str">
            <v>Marvin Alejandro Lopez Solis</v>
          </cell>
          <cell r="H1489">
            <v>0</v>
          </cell>
        </row>
        <row r="1490">
          <cell r="F1490">
            <v>302596</v>
          </cell>
          <cell r="G1490" t="str">
            <v>Victor Alfonso Ortega Torres</v>
          </cell>
          <cell r="H1490">
            <v>0</v>
          </cell>
        </row>
        <row r="1491">
          <cell r="F1491">
            <v>310241</v>
          </cell>
          <cell r="G1491" t="str">
            <v>Heidi Marleny Fajardo Ortiz De Cojon</v>
          </cell>
          <cell r="H1491">
            <v>0</v>
          </cell>
        </row>
        <row r="1492">
          <cell r="F1492">
            <v>313342</v>
          </cell>
          <cell r="G1492" t="str">
            <v>Magda Karina Mendoza Hernandez</v>
          </cell>
          <cell r="H1492">
            <v>0</v>
          </cell>
        </row>
        <row r="1493">
          <cell r="F1493">
            <v>301234</v>
          </cell>
          <cell r="G1493" t="str">
            <v>Ana Bertha Guzman Yaggi</v>
          </cell>
          <cell r="H1493">
            <v>0</v>
          </cell>
        </row>
        <row r="1494">
          <cell r="F1494">
            <v>307154</v>
          </cell>
          <cell r="G1494" t="str">
            <v>Evelin Gicela Burgos Franco</v>
          </cell>
          <cell r="H1494">
            <v>0</v>
          </cell>
        </row>
        <row r="1495">
          <cell r="F1495">
            <v>305181</v>
          </cell>
          <cell r="G1495" t="str">
            <v>Jose Luis Chay Machic</v>
          </cell>
          <cell r="H1495">
            <v>0</v>
          </cell>
        </row>
        <row r="1496">
          <cell r="F1496">
            <v>303552</v>
          </cell>
          <cell r="G1496" t="str">
            <v>Liliam Lisseth Santizo Mejia De Cordova</v>
          </cell>
          <cell r="H1496">
            <v>0</v>
          </cell>
        </row>
        <row r="1497">
          <cell r="F1497">
            <v>303704</v>
          </cell>
          <cell r="G1497" t="str">
            <v>Lisbeth Noemi Hernandez Giron</v>
          </cell>
          <cell r="H1497">
            <v>0</v>
          </cell>
        </row>
        <row r="1498">
          <cell r="F1498">
            <v>102171</v>
          </cell>
          <cell r="G1498" t="str">
            <v>Maritza Isabel Hernandez Cruz</v>
          </cell>
          <cell r="H1498">
            <v>0</v>
          </cell>
        </row>
        <row r="1499">
          <cell r="F1499">
            <v>310126</v>
          </cell>
          <cell r="G1499" t="str">
            <v>Jony Estuardo Gamarro Chinchilla</v>
          </cell>
          <cell r="H1499">
            <v>0</v>
          </cell>
        </row>
        <row r="1500">
          <cell r="F1500">
            <v>307812</v>
          </cell>
          <cell r="G1500" t="str">
            <v>Kevin Josue Moscoso Espino</v>
          </cell>
          <cell r="H1500">
            <v>0</v>
          </cell>
        </row>
        <row r="1501">
          <cell r="F1501">
            <v>308137</v>
          </cell>
          <cell r="G1501" t="str">
            <v>Oscar Rene Zacarias Jordan</v>
          </cell>
          <cell r="H1501">
            <v>0</v>
          </cell>
        </row>
        <row r="1502">
          <cell r="F1502">
            <v>311466</v>
          </cell>
          <cell r="G1502" t="str">
            <v>Edgar Estuardo Guerra Romero</v>
          </cell>
          <cell r="H1502">
            <v>0</v>
          </cell>
        </row>
        <row r="1503">
          <cell r="F1503">
            <v>301374</v>
          </cell>
          <cell r="G1503" t="str">
            <v>Karla Paola Martinez Salazar</v>
          </cell>
          <cell r="H1503">
            <v>0</v>
          </cell>
        </row>
        <row r="1504">
          <cell r="F1504">
            <v>313446</v>
          </cell>
          <cell r="G1504" t="str">
            <v>Ursula Deyanira Molina Mendoza</v>
          </cell>
          <cell r="H1504">
            <v>0</v>
          </cell>
        </row>
        <row r="1505">
          <cell r="F1505">
            <v>313780</v>
          </cell>
          <cell r="G1505" t="str">
            <v>Habraham Cesar Torres Alfaro</v>
          </cell>
          <cell r="H1505">
            <v>0</v>
          </cell>
        </row>
        <row r="1506">
          <cell r="F1506">
            <v>313576</v>
          </cell>
          <cell r="G1506" t="str">
            <v>Hilda Janina Diaz</v>
          </cell>
          <cell r="H1506">
            <v>0</v>
          </cell>
        </row>
        <row r="1507">
          <cell r="F1507">
            <v>314171</v>
          </cell>
          <cell r="G1507" t="str">
            <v>Jose Alejandro Carrera Tecun</v>
          </cell>
          <cell r="H1507">
            <v>0</v>
          </cell>
        </row>
        <row r="1508">
          <cell r="F1508">
            <v>313022</v>
          </cell>
          <cell r="G1508" t="str">
            <v>Karim Yaneth Mendez Hidalgo</v>
          </cell>
          <cell r="H1508">
            <v>0</v>
          </cell>
        </row>
        <row r="1509">
          <cell r="F1509">
            <v>313141</v>
          </cell>
          <cell r="G1509" t="str">
            <v>Edith Carolina Rojas Moreno</v>
          </cell>
          <cell r="H1509">
            <v>0</v>
          </cell>
        </row>
        <row r="1510">
          <cell r="F1510">
            <v>312615</v>
          </cell>
          <cell r="G1510" t="str">
            <v>Juan Jose Sarceño Siquiej</v>
          </cell>
          <cell r="H1510">
            <v>0</v>
          </cell>
        </row>
        <row r="1511">
          <cell r="F1511">
            <v>312858</v>
          </cell>
          <cell r="G1511" t="str">
            <v>Juan Pablo Marroquin Franco</v>
          </cell>
          <cell r="H1511">
            <v>0</v>
          </cell>
        </row>
        <row r="1512">
          <cell r="F1512">
            <v>314739</v>
          </cell>
          <cell r="G1512" t="str">
            <v>Elmer Josue Chinchilla Mendoza</v>
          </cell>
          <cell r="H1512">
            <v>0</v>
          </cell>
        </row>
        <row r="1513">
          <cell r="F1513">
            <v>315299</v>
          </cell>
          <cell r="G1513" t="str">
            <v>Luis Rodrigo Polanco Marroquin</v>
          </cell>
          <cell r="H1513">
            <v>0</v>
          </cell>
        </row>
        <row r="1514">
          <cell r="F1514">
            <v>315357</v>
          </cell>
          <cell r="G1514" t="str">
            <v>Linda Garcia          </v>
          </cell>
          <cell r="H1514">
            <v>0</v>
          </cell>
        </row>
        <row r="1515">
          <cell r="F1515">
            <v>315315</v>
          </cell>
          <cell r="G1515" t="str">
            <v xml:space="preserve">Shirley Guadalupe Munguia Gil </v>
          </cell>
          <cell r="H1515">
            <v>0</v>
          </cell>
        </row>
        <row r="1516">
          <cell r="F1516">
            <v>315477</v>
          </cell>
          <cell r="G1516" t="str">
            <v xml:space="preserve">Yesenia Guadalupe Ajcu Castillo </v>
          </cell>
          <cell r="H1516">
            <v>0</v>
          </cell>
        </row>
        <row r="1517">
          <cell r="F1517">
            <v>314170</v>
          </cell>
          <cell r="G1517" t="str">
            <v>Herman Gabriel Mendez Castellanos</v>
          </cell>
          <cell r="H1517">
            <v>0</v>
          </cell>
        </row>
        <row r="1519">
          <cell r="F1519">
            <v>309795</v>
          </cell>
          <cell r="G1519" t="str">
            <v xml:space="preserve"> Evelin Johana Perez Fajardo De Estayul</v>
          </cell>
          <cell r="H1519">
            <v>0</v>
          </cell>
        </row>
        <row r="1520">
          <cell r="F1520">
            <v>308490</v>
          </cell>
          <cell r="G1520" t="str">
            <v xml:space="preserve"> Gabriela Poitan Ordoñez De Garcia</v>
          </cell>
          <cell r="H1520">
            <v>0</v>
          </cell>
        </row>
        <row r="1521">
          <cell r="F1521">
            <v>311663</v>
          </cell>
          <cell r="G1521" t="str">
            <v xml:space="preserve"> Jenny Betzabel Solis De Hernandez</v>
          </cell>
          <cell r="H1521">
            <v>0</v>
          </cell>
        </row>
        <row r="1522">
          <cell r="F1522">
            <v>300878</v>
          </cell>
          <cell r="G1522" t="str">
            <v xml:space="preserve"> Juan Francisco Lara Villavicencio</v>
          </cell>
          <cell r="H1522">
            <v>0</v>
          </cell>
        </row>
        <row r="1523">
          <cell r="F1523">
            <v>311195</v>
          </cell>
          <cell r="G1523" t="str">
            <v xml:space="preserve"> Julia Mariela Lourdette Gonzalez Rosales</v>
          </cell>
          <cell r="H1523">
            <v>0</v>
          </cell>
        </row>
        <row r="1524">
          <cell r="F1524">
            <v>311073</v>
          </cell>
          <cell r="G1524" t="str">
            <v xml:space="preserve"> Julio Roberto Castellanos Ordoñez</v>
          </cell>
          <cell r="H1524">
            <v>0</v>
          </cell>
        </row>
        <row r="1525">
          <cell r="F1525">
            <v>309602</v>
          </cell>
          <cell r="G1525" t="str">
            <v xml:space="preserve"> Linda Aracely Garcia Beteta De Cuxulic</v>
          </cell>
          <cell r="H1525">
            <v>0</v>
          </cell>
        </row>
        <row r="1526">
          <cell r="F1526">
            <v>311706</v>
          </cell>
          <cell r="G1526" t="str">
            <v xml:space="preserve"> Mailyn Anely Chavez Gonzalez</v>
          </cell>
          <cell r="H1526">
            <v>0</v>
          </cell>
        </row>
        <row r="1527">
          <cell r="F1527">
            <v>311347</v>
          </cell>
          <cell r="G1527" t="str">
            <v xml:space="preserve"> Mario Adolfo Telon Pedroza</v>
          </cell>
          <cell r="H1527">
            <v>0</v>
          </cell>
        </row>
        <row r="1528">
          <cell r="F1528">
            <v>311236</v>
          </cell>
          <cell r="G1528" t="str">
            <v xml:space="preserve"> Marlon Aroldo De Leon Juarez</v>
          </cell>
          <cell r="H1528">
            <v>0</v>
          </cell>
        </row>
        <row r="1529">
          <cell r="F1529">
            <v>304620</v>
          </cell>
          <cell r="G1529" t="str">
            <v xml:space="preserve"> Mayra Judith Marroquin Guevara De Melendez</v>
          </cell>
          <cell r="H1529">
            <v>0</v>
          </cell>
        </row>
        <row r="1530">
          <cell r="F1530">
            <v>311196</v>
          </cell>
          <cell r="G1530" t="str">
            <v xml:space="preserve"> Nancy Mariela Estrada Calel De Samayoa</v>
          </cell>
          <cell r="H1530">
            <v>0</v>
          </cell>
        </row>
        <row r="1531">
          <cell r="F1531">
            <v>309398</v>
          </cell>
          <cell r="G1531" t="str">
            <v xml:space="preserve"> Sindy Yesenia Fuentes Alvarez De Flores</v>
          </cell>
          <cell r="H1531">
            <v>0</v>
          </cell>
        </row>
        <row r="1532">
          <cell r="F1532">
            <v>311588</v>
          </cell>
          <cell r="G1532" t="str">
            <v xml:space="preserve"> Wendy Carolina Flores Garcia</v>
          </cell>
          <cell r="H1532">
            <v>0</v>
          </cell>
        </row>
        <row r="1533">
          <cell r="F1533">
            <v>313885</v>
          </cell>
          <cell r="G1533" t="str">
            <v>Adrian Emanuel Turcios Azurdia</v>
          </cell>
          <cell r="H1533">
            <v>0</v>
          </cell>
        </row>
        <row r="1534">
          <cell r="F1534">
            <v>314224</v>
          </cell>
          <cell r="G1534" t="str">
            <v>Ana Ruth Wong Mejia</v>
          </cell>
          <cell r="H1534">
            <v>0</v>
          </cell>
        </row>
        <row r="1535">
          <cell r="F1535">
            <v>314304</v>
          </cell>
          <cell r="G1535" t="str">
            <v>Brenda Yaneth Perez Lucas</v>
          </cell>
          <cell r="H1535">
            <v>0</v>
          </cell>
        </row>
        <row r="1536">
          <cell r="F1536">
            <v>313839</v>
          </cell>
          <cell r="G1536" t="str">
            <v>Carlos Enrique Dighero Lopez</v>
          </cell>
          <cell r="H1536">
            <v>0</v>
          </cell>
        </row>
        <row r="1537">
          <cell r="F1537">
            <v>311901</v>
          </cell>
          <cell r="G1537" t="str">
            <v>Edith Veranice Palacios</v>
          </cell>
          <cell r="H1537">
            <v>0</v>
          </cell>
        </row>
        <row r="1538">
          <cell r="F1538">
            <v>314439</v>
          </cell>
          <cell r="G1538" t="str">
            <v>Hersson Eduardo Leal Garcia</v>
          </cell>
          <cell r="H1538">
            <v>0</v>
          </cell>
        </row>
        <row r="1539">
          <cell r="F1539">
            <v>313884</v>
          </cell>
          <cell r="G1539" t="str">
            <v>Jasminia Sarai Cotzajay Peñate</v>
          </cell>
          <cell r="H1539">
            <v>0</v>
          </cell>
        </row>
        <row r="1540">
          <cell r="F1540">
            <v>309852</v>
          </cell>
          <cell r="G1540" t="str">
            <v>Jonathan Rene Villavicencio Soto</v>
          </cell>
          <cell r="H1540">
            <v>0</v>
          </cell>
        </row>
        <row r="1541">
          <cell r="F1541">
            <v>312709</v>
          </cell>
          <cell r="G1541" t="str">
            <v>Jorge Alfonso Hernandez Chinchilla</v>
          </cell>
          <cell r="H1541">
            <v>0</v>
          </cell>
        </row>
        <row r="1542">
          <cell r="F1542">
            <v>314436</v>
          </cell>
          <cell r="G1542" t="str">
            <v xml:space="preserve">Jorge Francisco Saban Lopez </v>
          </cell>
          <cell r="H1542">
            <v>0</v>
          </cell>
        </row>
        <row r="1543">
          <cell r="F1543">
            <v>313114</v>
          </cell>
          <cell r="G1543" t="str">
            <v xml:space="preserve">Jose Albino Albeño Galicia </v>
          </cell>
          <cell r="H1543">
            <v>0</v>
          </cell>
        </row>
        <row r="1544">
          <cell r="F1544">
            <v>308558</v>
          </cell>
          <cell r="G1544" t="str">
            <v>Jose Emilio Yuman Roche</v>
          </cell>
          <cell r="H1544">
            <v>0</v>
          </cell>
        </row>
        <row r="1545">
          <cell r="F1545">
            <v>313233</v>
          </cell>
          <cell r="G1545" t="str">
            <v>Jose Miguel Silva Contreras</v>
          </cell>
          <cell r="H1545">
            <v>0</v>
          </cell>
        </row>
        <row r="1546">
          <cell r="F1546">
            <v>313739</v>
          </cell>
          <cell r="G1546" t="str">
            <v>Lester Onelio Lopez Rosales</v>
          </cell>
          <cell r="H1546">
            <v>0</v>
          </cell>
        </row>
        <row r="1547">
          <cell r="F1547">
            <v>315361</v>
          </cell>
          <cell r="G1547" t="str">
            <v>Luis Fernando Roche Valenzuela</v>
          </cell>
          <cell r="H1547">
            <v>0</v>
          </cell>
        </row>
        <row r="1548">
          <cell r="F1548">
            <v>314103</v>
          </cell>
          <cell r="G1548" t="str">
            <v>Luisa Fernanda Marroquin Tiguila</v>
          </cell>
          <cell r="H1548">
            <v>0</v>
          </cell>
        </row>
        <row r="1549">
          <cell r="F1549">
            <v>313680</v>
          </cell>
          <cell r="G1549" t="str">
            <v>Marco Antonio Salazar Alinzo</v>
          </cell>
          <cell r="H1549">
            <v>0</v>
          </cell>
        </row>
        <row r="1550">
          <cell r="F1550">
            <v>314359</v>
          </cell>
          <cell r="G1550" t="str">
            <v>Maynor Alexander Perez Surque</v>
          </cell>
          <cell r="H1550">
            <v>0</v>
          </cell>
        </row>
        <row r="1551">
          <cell r="F1551">
            <v>309332</v>
          </cell>
          <cell r="G1551" t="str">
            <v>Melani Mishell Vasquez Castillo</v>
          </cell>
          <cell r="H1551">
            <v>0</v>
          </cell>
        </row>
        <row r="1552">
          <cell r="F1552">
            <v>314547</v>
          </cell>
          <cell r="G1552" t="str">
            <v>Nancy Elizabeth Lopez Perez</v>
          </cell>
          <cell r="H1552">
            <v>0</v>
          </cell>
        </row>
        <row r="1553">
          <cell r="F1553">
            <v>314370</v>
          </cell>
          <cell r="G1553" t="str">
            <v>Olga Roxana Gomez</v>
          </cell>
          <cell r="H1553">
            <v>0</v>
          </cell>
        </row>
        <row r="1554">
          <cell r="F1554">
            <v>315419</v>
          </cell>
          <cell r="G1554" t="str">
            <v>Rubeldi Ajaniel Roblero Gonzales</v>
          </cell>
          <cell r="H1554">
            <v>0</v>
          </cell>
        </row>
        <row r="1555">
          <cell r="F1555">
            <v>314769</v>
          </cell>
          <cell r="G1555" t="str">
            <v>Abel Eduardo Lopez Lopez</v>
          </cell>
          <cell r="H1555">
            <v>0</v>
          </cell>
        </row>
        <row r="1556">
          <cell r="F1556">
            <v>314839</v>
          </cell>
          <cell r="G1556" t="str">
            <v>Ana Gabriela Samayoa Lopez</v>
          </cell>
          <cell r="H1556" t="str">
            <v>Elements</v>
          </cell>
        </row>
        <row r="1557">
          <cell r="F1557">
            <v>315422</v>
          </cell>
          <cell r="G1557" t="str">
            <v xml:space="preserve">Carlos Alberto Roque </v>
          </cell>
          <cell r="H1557">
            <v>0</v>
          </cell>
        </row>
        <row r="1558">
          <cell r="F1558">
            <v>314836</v>
          </cell>
          <cell r="G1558" t="str">
            <v xml:space="preserve">Carlos David Ajmac </v>
          </cell>
          <cell r="H1558">
            <v>0</v>
          </cell>
        </row>
        <row r="1559">
          <cell r="F1559">
            <v>314759</v>
          </cell>
          <cell r="G1559" t="str">
            <v>Carlos Roberto Hernandez Gonzalez</v>
          </cell>
          <cell r="H1559">
            <v>0</v>
          </cell>
        </row>
        <row r="1560">
          <cell r="F1560">
            <v>314757</v>
          </cell>
          <cell r="G1560" t="str">
            <v>Cristal Estephania Juarroz Muñoz</v>
          </cell>
          <cell r="H1560">
            <v>0</v>
          </cell>
        </row>
        <row r="1561">
          <cell r="F1561">
            <v>314817</v>
          </cell>
          <cell r="G1561" t="str">
            <v>Cristian Orlando Monzon De Leon</v>
          </cell>
          <cell r="H1561">
            <v>0</v>
          </cell>
        </row>
        <row r="1562">
          <cell r="F1562">
            <v>314815</v>
          </cell>
          <cell r="G1562" t="str">
            <v>Gabriela Elizabeth Alvarez Mix</v>
          </cell>
          <cell r="H1562" t="str">
            <v>Phoenix</v>
          </cell>
        </row>
        <row r="1563">
          <cell r="F1563">
            <v>315421</v>
          </cell>
          <cell r="G1563" t="str">
            <v xml:space="preserve">Gladis Morales Cutzal </v>
          </cell>
          <cell r="H1563">
            <v>0</v>
          </cell>
        </row>
        <row r="1564">
          <cell r="F1564">
            <v>314794</v>
          </cell>
          <cell r="G1564" t="str">
            <v>Herbert Wellington Rodriguez Ramirez</v>
          </cell>
          <cell r="H1564" t="str">
            <v>Espartanos</v>
          </cell>
        </row>
        <row r="1565">
          <cell r="F1565">
            <v>314760</v>
          </cell>
          <cell r="G1565" t="str">
            <v>Jadurani Devi Dasi Archila Lool</v>
          </cell>
          <cell r="H1565">
            <v>0</v>
          </cell>
        </row>
        <row r="1566">
          <cell r="F1566">
            <v>314838</v>
          </cell>
          <cell r="G1566" t="str">
            <v>Jenifer Lucerito Sique Mayorga</v>
          </cell>
          <cell r="H1566">
            <v>0</v>
          </cell>
        </row>
        <row r="1567">
          <cell r="F1567">
            <v>314790</v>
          </cell>
          <cell r="G1567" t="str">
            <v>Johana Vidalia Chach Ixcoy</v>
          </cell>
          <cell r="H1567" t="str">
            <v>Phoenix</v>
          </cell>
        </row>
        <row r="1568">
          <cell r="F1568">
            <v>314846</v>
          </cell>
          <cell r="G1568" t="str">
            <v>Jonnathan Josue Rodas Florian</v>
          </cell>
          <cell r="H1568">
            <v>0</v>
          </cell>
        </row>
        <row r="1569">
          <cell r="F1569">
            <v>314761</v>
          </cell>
          <cell r="G1569" t="str">
            <v>Jorge Eduardo Fonseca Palacios</v>
          </cell>
          <cell r="H1569">
            <v>0</v>
          </cell>
        </row>
        <row r="1570">
          <cell r="F1570">
            <v>314842</v>
          </cell>
          <cell r="G1570" t="str">
            <v>Jose Geovanni Castañeda Galindo</v>
          </cell>
          <cell r="H1570">
            <v>0</v>
          </cell>
        </row>
        <row r="1571">
          <cell r="F1571">
            <v>314756</v>
          </cell>
          <cell r="G1571" t="str">
            <v>Juan Manuel Gomez Sampuel</v>
          </cell>
          <cell r="H1571">
            <v>0</v>
          </cell>
        </row>
        <row r="1572">
          <cell r="F1572">
            <v>315366</v>
          </cell>
          <cell r="G1572" t="str">
            <v xml:space="preserve">Mario Enrique Morales Escobar </v>
          </cell>
          <cell r="H1572">
            <v>0</v>
          </cell>
        </row>
        <row r="1573">
          <cell r="F1573">
            <v>315392</v>
          </cell>
          <cell r="G1573" t="str">
            <v xml:space="preserve">Mijail Erick Joaquín Morales Ortiz </v>
          </cell>
          <cell r="H1573">
            <v>0</v>
          </cell>
        </row>
        <row r="1574">
          <cell r="F1574">
            <v>314843</v>
          </cell>
          <cell r="G1574" t="str">
            <v>Nancy Pahola Arevalo Yuman</v>
          </cell>
          <cell r="H1574">
            <v>0</v>
          </cell>
        </row>
        <row r="1575">
          <cell r="F1575">
            <v>314791</v>
          </cell>
          <cell r="G1575" t="str">
            <v>Norman Scott Castillo Rivera</v>
          </cell>
          <cell r="H1575">
            <v>0</v>
          </cell>
        </row>
        <row r="1576">
          <cell r="F1576">
            <v>314799</v>
          </cell>
          <cell r="G1576" t="str">
            <v>Rusbelindo  Miguel Lopez</v>
          </cell>
          <cell r="H1576">
            <v>0</v>
          </cell>
        </row>
        <row r="1577">
          <cell r="F1577">
            <v>314751</v>
          </cell>
          <cell r="G1577" t="str">
            <v>Ana Lucia Veliz Solares</v>
          </cell>
          <cell r="H1577">
            <v>0</v>
          </cell>
        </row>
        <row r="1578">
          <cell r="F1578">
            <v>315169</v>
          </cell>
          <cell r="G1578" t="str">
            <v>Andy Oswaldo Pineda Arriola</v>
          </cell>
          <cell r="H1578">
            <v>0</v>
          </cell>
        </row>
        <row r="1579">
          <cell r="F1579">
            <v>314903</v>
          </cell>
          <cell r="G1579" t="str">
            <v>Cindy Julissa Herrera</v>
          </cell>
          <cell r="H1579">
            <v>0</v>
          </cell>
        </row>
        <row r="1580">
          <cell r="F1580">
            <v>314800</v>
          </cell>
          <cell r="G1580" t="str">
            <v>Elmer Eduardo Castillo</v>
          </cell>
          <cell r="H1580">
            <v>0</v>
          </cell>
        </row>
        <row r="1581">
          <cell r="F1581">
            <v>314748</v>
          </cell>
          <cell r="G1581" t="str">
            <v>Freddy Reynaldo Velarde Valenzuela</v>
          </cell>
          <cell r="H1581">
            <v>0</v>
          </cell>
        </row>
        <row r="1582">
          <cell r="F1582">
            <v>314795</v>
          </cell>
          <cell r="G1582" t="str">
            <v>Gustavo Ernesto Altan Gonzalez</v>
          </cell>
          <cell r="H1582">
            <v>0</v>
          </cell>
        </row>
        <row r="1583">
          <cell r="F1583">
            <v>315148</v>
          </cell>
          <cell r="G1583" t="str">
            <v>Irene Beatriz Pena Orellana</v>
          </cell>
          <cell r="H1583">
            <v>0</v>
          </cell>
        </row>
        <row r="1584">
          <cell r="F1584">
            <v>314906</v>
          </cell>
          <cell r="G1584" t="str">
            <v>Juan Pedro Tiney Cax</v>
          </cell>
          <cell r="H1584">
            <v>0</v>
          </cell>
        </row>
        <row r="1585">
          <cell r="F1585">
            <v>315322</v>
          </cell>
          <cell r="G1585" t="str">
            <v>Lester Juan Jose Arevalo Reynoso</v>
          </cell>
          <cell r="H1585">
            <v>0</v>
          </cell>
        </row>
        <row r="1586">
          <cell r="F1586">
            <v>315368</v>
          </cell>
          <cell r="G1586" t="str">
            <v>Marlon Enrique Del Cid Roque</v>
          </cell>
          <cell r="H1586">
            <v>0</v>
          </cell>
        </row>
        <row r="1587">
          <cell r="F1587">
            <v>315093</v>
          </cell>
          <cell r="G1587" t="str">
            <v>Miriam Eugenia Santizo Montenegro</v>
          </cell>
          <cell r="H1587">
            <v>0</v>
          </cell>
        </row>
        <row r="1588">
          <cell r="F1588">
            <v>314902</v>
          </cell>
          <cell r="G1588" t="str">
            <v>Roberto Alejandro Alvarez Abularach</v>
          </cell>
          <cell r="H1588">
            <v>0</v>
          </cell>
        </row>
        <row r="1589">
          <cell r="F1589">
            <v>314755</v>
          </cell>
          <cell r="G1589" t="str">
            <v>Sergio David Gonzalez Perez</v>
          </cell>
          <cell r="H1589">
            <v>0</v>
          </cell>
        </row>
        <row r="1590">
          <cell r="F1590">
            <v>314967</v>
          </cell>
          <cell r="G1590" t="str">
            <v>Sergio Javier Cortez Tunchez</v>
          </cell>
          <cell r="H1590">
            <v>0</v>
          </cell>
        </row>
        <row r="1591">
          <cell r="F1591">
            <v>314968</v>
          </cell>
          <cell r="G1591" t="str">
            <v>Sharon Dayana Ninoshka López Márquez</v>
          </cell>
          <cell r="H1591">
            <v>0</v>
          </cell>
        </row>
        <row r="1592">
          <cell r="F1592">
            <v>311961</v>
          </cell>
          <cell r="G1592" t="str">
            <v xml:space="preserve"> Abner Eli Gonzalez Gonzalez</v>
          </cell>
          <cell r="H1592">
            <v>0</v>
          </cell>
        </row>
        <row r="1593">
          <cell r="F1593">
            <v>311188</v>
          </cell>
          <cell r="G1593" t="str">
            <v xml:space="preserve"> Ana Ester Cuyan Aguilar De Dominguez</v>
          </cell>
          <cell r="H1593" t="str">
            <v>Elements</v>
          </cell>
        </row>
        <row r="1594">
          <cell r="F1594">
            <v>311894</v>
          </cell>
          <cell r="G1594" t="str">
            <v xml:space="preserve"> Christyan Stuardo Ronquillo Saravia</v>
          </cell>
          <cell r="H1594" t="str">
            <v>Elements</v>
          </cell>
        </row>
        <row r="1595">
          <cell r="F1595">
            <v>308901</v>
          </cell>
          <cell r="G1595" t="str">
            <v xml:space="preserve"> David Estuardo Rosales Corado</v>
          </cell>
          <cell r="H1595">
            <v>0</v>
          </cell>
        </row>
        <row r="1596">
          <cell r="F1596">
            <v>312069</v>
          </cell>
          <cell r="G1596" t="str">
            <v xml:space="preserve"> De Leon Cach Roberto Carlos</v>
          </cell>
          <cell r="H1596">
            <v>0</v>
          </cell>
        </row>
        <row r="1597">
          <cell r="F1597">
            <v>310331</v>
          </cell>
          <cell r="G1597" t="str">
            <v xml:space="preserve"> Elda Luzbina Valdez Guerra De Fuentes</v>
          </cell>
          <cell r="H1597" t="str">
            <v>Elements</v>
          </cell>
        </row>
        <row r="1598">
          <cell r="F1598">
            <v>310822</v>
          </cell>
          <cell r="G1598" t="str">
            <v xml:space="preserve"> Jennifer Leticia Gonzalez Pineda</v>
          </cell>
          <cell r="H1598" t="str">
            <v>Elements</v>
          </cell>
        </row>
        <row r="1599">
          <cell r="F1599">
            <v>308012</v>
          </cell>
          <cell r="G1599" t="str">
            <v xml:space="preserve"> Jocelyn Sucel Yantuche Chin</v>
          </cell>
          <cell r="H1599">
            <v>0</v>
          </cell>
        </row>
        <row r="1600">
          <cell r="F1600">
            <v>312160</v>
          </cell>
          <cell r="G1600" t="str">
            <v xml:space="preserve"> Jose Rigoberto Osorio Abarca</v>
          </cell>
          <cell r="H1600" t="str">
            <v>Elements</v>
          </cell>
        </row>
        <row r="1601">
          <cell r="F1601">
            <v>311465</v>
          </cell>
          <cell r="G1601" t="str">
            <v xml:space="preserve"> Kevin Alejandro Corado Estrada</v>
          </cell>
          <cell r="H1601">
            <v>0</v>
          </cell>
        </row>
        <row r="1602">
          <cell r="F1602">
            <v>311294</v>
          </cell>
          <cell r="G1602" t="str">
            <v xml:space="preserve"> Lotar Robson Araujo Perez</v>
          </cell>
          <cell r="H1602">
            <v>0</v>
          </cell>
        </row>
        <row r="1603">
          <cell r="F1603">
            <v>310910</v>
          </cell>
          <cell r="G1603" t="str">
            <v xml:space="preserve"> Luis Fernando Lopez Vasquez</v>
          </cell>
          <cell r="H1603">
            <v>0</v>
          </cell>
        </row>
        <row r="1604">
          <cell r="F1604">
            <v>304279</v>
          </cell>
          <cell r="G1604" t="str">
            <v xml:space="preserve"> Marlon Estuardo Hernandez</v>
          </cell>
          <cell r="H1604">
            <v>0</v>
          </cell>
        </row>
        <row r="1605">
          <cell r="F1605">
            <v>308911</v>
          </cell>
          <cell r="G1605" t="str">
            <v xml:space="preserve"> Rudy Fernando Orozco Tejeda</v>
          </cell>
          <cell r="H1605">
            <v>0</v>
          </cell>
        </row>
        <row r="1606">
          <cell r="F1606">
            <v>310214</v>
          </cell>
          <cell r="G1606" t="str">
            <v xml:space="preserve"> Vivian Pamela Rodas Lopez</v>
          </cell>
          <cell r="H1606" t="str">
            <v>Elements</v>
          </cell>
        </row>
        <row r="1607">
          <cell r="F1607">
            <v>314928</v>
          </cell>
          <cell r="G1607" t="str">
            <v xml:space="preserve">Brandon Steve Juarez Arrazola </v>
          </cell>
          <cell r="H1607" t="str">
            <v>Elements</v>
          </cell>
        </row>
        <row r="1608">
          <cell r="F1608">
            <v>313239</v>
          </cell>
          <cell r="G1608" t="str">
            <v>Addy Aida Cifuentes Coronado</v>
          </cell>
          <cell r="H1608">
            <v>0</v>
          </cell>
        </row>
        <row r="1609">
          <cell r="F1609">
            <v>313694</v>
          </cell>
          <cell r="G1609" t="str">
            <v>Alex Humberto Montezuma</v>
          </cell>
          <cell r="H1609" t="str">
            <v>Elements</v>
          </cell>
        </row>
        <row r="1610">
          <cell r="F1610">
            <v>313241</v>
          </cell>
          <cell r="G1610" t="str">
            <v>Angel Arturo Mauricio Ayapan</v>
          </cell>
          <cell r="H1610">
            <v>0</v>
          </cell>
        </row>
        <row r="1611">
          <cell r="F1611">
            <v>314323</v>
          </cell>
          <cell r="G1611" t="str">
            <v>Angel Arturo Mauricio Ayapan</v>
          </cell>
          <cell r="H1611" t="str">
            <v>Elements</v>
          </cell>
        </row>
        <row r="1612">
          <cell r="F1612">
            <v>312327</v>
          </cell>
          <cell r="G1612" t="str">
            <v>Armando Andree Quiñonez Flores</v>
          </cell>
          <cell r="H1612">
            <v>0</v>
          </cell>
        </row>
        <row r="1613">
          <cell r="F1613">
            <v>313749</v>
          </cell>
          <cell r="G1613" t="str">
            <v>Cesar Haroldo Ixcayau Castro</v>
          </cell>
          <cell r="H1613">
            <v>0</v>
          </cell>
        </row>
        <row r="1614">
          <cell r="F1614">
            <v>313840</v>
          </cell>
          <cell r="G1614" t="str">
            <v>Claudia Maria Orozco Garcia</v>
          </cell>
          <cell r="H1614" t="str">
            <v>Elements</v>
          </cell>
        </row>
        <row r="1615">
          <cell r="F1615">
            <v>314119</v>
          </cell>
          <cell r="G1615" t="str">
            <v>Cristian David Urizar Canteo</v>
          </cell>
          <cell r="H1615">
            <v>0</v>
          </cell>
        </row>
        <row r="1616">
          <cell r="F1616">
            <v>313242</v>
          </cell>
          <cell r="G1616" t="str">
            <v>Guillermo Alejandro Pirir</v>
          </cell>
          <cell r="H1616">
            <v>0</v>
          </cell>
        </row>
        <row r="1617">
          <cell r="F1617">
            <v>313539</v>
          </cell>
          <cell r="G1617" t="str">
            <v>Joaquin Alonso Murillo Perez</v>
          </cell>
          <cell r="H1617" t="str">
            <v>Elements</v>
          </cell>
        </row>
        <row r="1618">
          <cell r="F1618">
            <v>314082</v>
          </cell>
          <cell r="G1618" t="str">
            <v>Johanna Amarilis Hernandez Perez</v>
          </cell>
          <cell r="H1618">
            <v>0</v>
          </cell>
        </row>
        <row r="1619">
          <cell r="F1619">
            <v>313983</v>
          </cell>
          <cell r="G1619" t="str">
            <v>Jose Anibal Reyes Sandoval</v>
          </cell>
          <cell r="H1619">
            <v>0</v>
          </cell>
        </row>
        <row r="1620">
          <cell r="F1620">
            <v>308875</v>
          </cell>
          <cell r="G1620" t="str">
            <v>Joselyn Manuela Sandoval De Leon</v>
          </cell>
          <cell r="H1620">
            <v>0</v>
          </cell>
        </row>
        <row r="1621">
          <cell r="F1621">
            <v>313240</v>
          </cell>
          <cell r="G1621" t="str">
            <v>Karen Jamara Luna Menendez</v>
          </cell>
          <cell r="H1621">
            <v>0</v>
          </cell>
        </row>
        <row r="1622">
          <cell r="F1622">
            <v>314083</v>
          </cell>
          <cell r="G1622" t="str">
            <v>Luis Alfredo Ruben Castillo Mejia</v>
          </cell>
          <cell r="H1622">
            <v>0</v>
          </cell>
        </row>
        <row r="1623">
          <cell r="F1623">
            <v>312489</v>
          </cell>
          <cell r="G1623" t="str">
            <v>Marliz Irene Bonifaz Lopez</v>
          </cell>
          <cell r="H1623" t="str">
            <v>Elements</v>
          </cell>
        </row>
        <row r="1624">
          <cell r="F1624">
            <v>313823</v>
          </cell>
          <cell r="G1624" t="str">
            <v>Mildred Mazciel Almazan Lemus Codigo</v>
          </cell>
          <cell r="H1624">
            <v>0</v>
          </cell>
        </row>
        <row r="1625">
          <cell r="F1625">
            <v>313289</v>
          </cell>
          <cell r="G1625" t="str">
            <v>Orellana Alvarez, Nestor Giovanni</v>
          </cell>
          <cell r="H1625">
            <v>0</v>
          </cell>
        </row>
        <row r="1626">
          <cell r="F1626">
            <v>312476</v>
          </cell>
          <cell r="G1626" t="str">
            <v>Oscar Oswaldo Ramirez Tahuite</v>
          </cell>
          <cell r="H1626" t="str">
            <v>Elements</v>
          </cell>
        </row>
        <row r="1627">
          <cell r="F1627">
            <v>313392</v>
          </cell>
          <cell r="G1627" t="str">
            <v>Sandra Marisol Ramirez Solis</v>
          </cell>
          <cell r="H1627">
            <v>0</v>
          </cell>
        </row>
        <row r="1628">
          <cell r="F1628">
            <v>315101</v>
          </cell>
          <cell r="G1628" t="str">
            <v>Alvaro Oswaldo De La Rosa Hernandez</v>
          </cell>
          <cell r="H1628">
            <v>0</v>
          </cell>
        </row>
        <row r="1629">
          <cell r="F1629">
            <v>314905</v>
          </cell>
          <cell r="G1629" t="str">
            <v>Antonio Carlos Alvarenga Diaz</v>
          </cell>
          <cell r="H1629">
            <v>0</v>
          </cell>
        </row>
        <row r="1630">
          <cell r="F1630">
            <v>314885</v>
          </cell>
          <cell r="G1630" t="str">
            <v>Edi Ibander Osoy Lopez</v>
          </cell>
          <cell r="H1630">
            <v>0</v>
          </cell>
        </row>
        <row r="1631">
          <cell r="F1631">
            <v>314750</v>
          </cell>
          <cell r="G1631" t="str">
            <v>Eswin Leonel Fernandez Diaz</v>
          </cell>
          <cell r="H1631">
            <v>0</v>
          </cell>
        </row>
        <row r="1632">
          <cell r="F1632">
            <v>314753</v>
          </cell>
          <cell r="G1632" t="str">
            <v>Gabriel Antonio Mucur Arriaga</v>
          </cell>
          <cell r="H1632">
            <v>0</v>
          </cell>
        </row>
        <row r="1633">
          <cell r="F1633">
            <v>315318</v>
          </cell>
          <cell r="G1633" t="str">
            <v>Gabriela Melissa Arias Ovando</v>
          </cell>
          <cell r="H1633">
            <v>0</v>
          </cell>
        </row>
        <row r="1634">
          <cell r="F1634">
            <v>315164</v>
          </cell>
          <cell r="G1634" t="str">
            <v>Hernan Antonio Castro Guzman</v>
          </cell>
          <cell r="H1634">
            <v>0</v>
          </cell>
        </row>
        <row r="1635">
          <cell r="F1635">
            <v>315149</v>
          </cell>
          <cell r="G1635" t="str">
            <v>Jennifer Karla Maria De Leon Yoc</v>
          </cell>
          <cell r="H1635">
            <v>0</v>
          </cell>
        </row>
        <row r="1636">
          <cell r="F1636">
            <v>315065</v>
          </cell>
          <cell r="G1636" t="str">
            <v>Jennifer Veronica Flores Pineda</v>
          </cell>
          <cell r="H1636">
            <v>0</v>
          </cell>
        </row>
        <row r="1637">
          <cell r="F1637">
            <v>314797</v>
          </cell>
          <cell r="G1637" t="str">
            <v>Jimmy Alfredo Coronado Cabrera</v>
          </cell>
          <cell r="H1637">
            <v>0</v>
          </cell>
        </row>
        <row r="1638">
          <cell r="F1638">
            <v>314746</v>
          </cell>
          <cell r="G1638" t="str">
            <v>Jose Luis Quisquinay Inay</v>
          </cell>
          <cell r="H1638">
            <v>0</v>
          </cell>
        </row>
        <row r="1639">
          <cell r="F1639">
            <v>315231</v>
          </cell>
          <cell r="G1639" t="str">
            <v>Juan Fernando Alvarez Argueta</v>
          </cell>
          <cell r="H1639">
            <v>0</v>
          </cell>
        </row>
        <row r="1640">
          <cell r="F1640">
            <v>314752</v>
          </cell>
          <cell r="G1640" t="str">
            <v>Luis Arturo Fuentes Jerez</v>
          </cell>
          <cell r="H1640">
            <v>0</v>
          </cell>
        </row>
        <row r="1641">
          <cell r="F1641">
            <v>314990</v>
          </cell>
          <cell r="G1641" t="str">
            <v>Maria Fernanda Ambrocio Reyes</v>
          </cell>
          <cell r="H1641">
            <v>0</v>
          </cell>
        </row>
        <row r="1642">
          <cell r="F1642">
            <v>314966</v>
          </cell>
          <cell r="G1642" t="str">
            <v>Marlin Argelia Herrera Claveria</v>
          </cell>
          <cell r="H1642">
            <v>0</v>
          </cell>
        </row>
        <row r="1643">
          <cell r="F1643">
            <v>314904</v>
          </cell>
          <cell r="G1643" t="str">
            <v>Miguel Estuardo Marín</v>
          </cell>
          <cell r="H1643">
            <v>0</v>
          </cell>
        </row>
        <row r="1644">
          <cell r="F1644">
            <v>314796</v>
          </cell>
          <cell r="G1644" t="str">
            <v>Ricardo Antonio Ruiz Orozco</v>
          </cell>
          <cell r="H1644">
            <v>0</v>
          </cell>
        </row>
        <row r="1645">
          <cell r="F1645">
            <v>315365</v>
          </cell>
          <cell r="G1645" t="str">
            <v>Ruth Liliana Reyes Rivas</v>
          </cell>
          <cell r="H1645">
            <v>0</v>
          </cell>
        </row>
        <row r="1646">
          <cell r="F1646">
            <v>314758</v>
          </cell>
          <cell r="G1646" t="str">
            <v>Sergio Alejandro Estrada Velasco</v>
          </cell>
          <cell r="H1646">
            <v>0</v>
          </cell>
        </row>
        <row r="1647">
          <cell r="F1647">
            <v>312045</v>
          </cell>
          <cell r="G1647" t="str">
            <v xml:space="preserve"> Edgar Marco Tulio Sanchez Ochoa</v>
          </cell>
          <cell r="H1647">
            <v>0</v>
          </cell>
        </row>
        <row r="1648">
          <cell r="F1648">
            <v>309496</v>
          </cell>
          <cell r="G1648" t="str">
            <v xml:space="preserve"> Elcira Livduvina Perez Lopez De Merlos</v>
          </cell>
          <cell r="H1648">
            <v>0</v>
          </cell>
        </row>
        <row r="1649">
          <cell r="F1649">
            <v>311750</v>
          </cell>
          <cell r="G1649" t="str">
            <v xml:space="preserve"> Juan Toma Torrez</v>
          </cell>
          <cell r="H1649">
            <v>0</v>
          </cell>
        </row>
        <row r="1650">
          <cell r="F1650">
            <v>311539</v>
          </cell>
          <cell r="G1650" t="str">
            <v xml:space="preserve"> Luis Eduardo Garcia Gomez</v>
          </cell>
          <cell r="H1650">
            <v>0</v>
          </cell>
        </row>
        <row r="1651">
          <cell r="F1651">
            <v>311898</v>
          </cell>
          <cell r="G1651" t="str">
            <v xml:space="preserve"> Nori Liseth Bautista</v>
          </cell>
          <cell r="H1651">
            <v>0</v>
          </cell>
        </row>
        <row r="1652">
          <cell r="F1652">
            <v>312283</v>
          </cell>
          <cell r="G1652" t="str">
            <v xml:space="preserve"> Oscar Javier Galvez</v>
          </cell>
          <cell r="H1652" t="str">
            <v>Espartanos</v>
          </cell>
        </row>
        <row r="1653">
          <cell r="F1653">
            <v>311190</v>
          </cell>
          <cell r="G1653" t="str">
            <v xml:space="preserve"> Pedro Chas Morales</v>
          </cell>
          <cell r="H1653" t="str">
            <v>Espartanos</v>
          </cell>
        </row>
        <row r="1654">
          <cell r="F1654">
            <v>311632</v>
          </cell>
          <cell r="G1654" t="str">
            <v>Virginia Del Rosario Matilde Garcia Ico</v>
          </cell>
          <cell r="H1654" t="str">
            <v>Espartanos</v>
          </cell>
        </row>
        <row r="1655">
          <cell r="F1655">
            <v>311906</v>
          </cell>
          <cell r="G1655" t="str">
            <v xml:space="preserve"> Yenifer Alejandra Ordoñez</v>
          </cell>
          <cell r="H1655" t="str">
            <v>Espartanos</v>
          </cell>
        </row>
        <row r="1656">
          <cell r="F1656">
            <v>314705</v>
          </cell>
          <cell r="G1656" t="str">
            <v>Alex Eduardo Gil Paniagua</v>
          </cell>
          <cell r="H1656">
            <v>0</v>
          </cell>
        </row>
        <row r="1657">
          <cell r="F1657">
            <v>313182</v>
          </cell>
          <cell r="G1657" t="str">
            <v>Allan Kenneth Chiguichon Solis</v>
          </cell>
          <cell r="H1657">
            <v>0</v>
          </cell>
        </row>
        <row r="1658">
          <cell r="F1658">
            <v>314363</v>
          </cell>
          <cell r="G1658" t="str">
            <v xml:space="preserve">Anderson Noe Chunix Morales </v>
          </cell>
          <cell r="H1658">
            <v>0</v>
          </cell>
        </row>
        <row r="1659">
          <cell r="F1659">
            <v>314241</v>
          </cell>
          <cell r="G1659" t="str">
            <v>Andres Simon Sunun</v>
          </cell>
          <cell r="H1659">
            <v>0</v>
          </cell>
        </row>
        <row r="1660">
          <cell r="F1660">
            <v>309341</v>
          </cell>
          <cell r="G1660" t="str">
            <v>Angel Estuardo Perez Veliz</v>
          </cell>
          <cell r="H1660">
            <v>0</v>
          </cell>
        </row>
        <row r="1661">
          <cell r="F1661">
            <v>312093</v>
          </cell>
          <cell r="G1661" t="str">
            <v xml:space="preserve">Bobadilla Romero Alan Gonzalo </v>
          </cell>
          <cell r="H1661">
            <v>0</v>
          </cell>
        </row>
        <row r="1662">
          <cell r="F1662">
            <v>314080</v>
          </cell>
          <cell r="G1662" t="str">
            <v>Bryan Leonardo Lopez</v>
          </cell>
          <cell r="H1662">
            <v>0</v>
          </cell>
        </row>
        <row r="1663">
          <cell r="F1663">
            <v>314704</v>
          </cell>
          <cell r="G1663" t="str">
            <v xml:space="preserve">Cindy Damaris Villagran Castellano </v>
          </cell>
          <cell r="H1663" t="str">
            <v>Espartanos</v>
          </cell>
        </row>
        <row r="1664">
          <cell r="F1664">
            <v>314085</v>
          </cell>
          <cell r="G1664" t="str">
            <v>Cristian Ottoniel Lopez Alvarado</v>
          </cell>
          <cell r="H1664" t="str">
            <v>Espartanos</v>
          </cell>
        </row>
        <row r="1665">
          <cell r="F1665">
            <v>314364</v>
          </cell>
          <cell r="G1665" t="str">
            <v xml:space="preserve">Donel Omar Landaverry Solis </v>
          </cell>
          <cell r="H1665">
            <v>0</v>
          </cell>
        </row>
        <row r="1666">
          <cell r="F1666">
            <v>313373</v>
          </cell>
          <cell r="G1666" t="str">
            <v>Edgar Francisco Yanes Carrera</v>
          </cell>
          <cell r="H1666">
            <v>0</v>
          </cell>
        </row>
        <row r="1667">
          <cell r="F1667">
            <v>315056</v>
          </cell>
          <cell r="G1667" t="str">
            <v>Esvin David De Jesus Calanche</v>
          </cell>
          <cell r="H1667" t="str">
            <v>Espartanos</v>
          </cell>
        </row>
        <row r="1668">
          <cell r="F1668">
            <v>314118</v>
          </cell>
          <cell r="G1668" t="str">
            <v>Ginni Andrea Gramajo Lucas</v>
          </cell>
          <cell r="H1668" t="str">
            <v>Espartanos</v>
          </cell>
        </row>
        <row r="1669">
          <cell r="F1669">
            <v>313049</v>
          </cell>
          <cell r="G1669" t="str">
            <v>Herberth Ivan Garcia Davila</v>
          </cell>
          <cell r="H1669">
            <v>0</v>
          </cell>
        </row>
        <row r="1670">
          <cell r="F1670">
            <v>312162</v>
          </cell>
          <cell r="G1670" t="str">
            <v xml:space="preserve">Hernandez Andrea Yoselin Cristina </v>
          </cell>
          <cell r="H1670">
            <v>0</v>
          </cell>
        </row>
        <row r="1671">
          <cell r="F1671">
            <v>313692</v>
          </cell>
          <cell r="G1671" t="str">
            <v xml:space="preserve">Ingrid Leticia Paredes Pulido    </v>
          </cell>
          <cell r="H1671">
            <v>0</v>
          </cell>
        </row>
        <row r="1672">
          <cell r="F1672">
            <v>314500</v>
          </cell>
          <cell r="G1672" t="str">
            <v xml:space="preserve">Jairo Noel Linarez Gomez </v>
          </cell>
          <cell r="H1672">
            <v>0</v>
          </cell>
        </row>
        <row r="1673">
          <cell r="F1673">
            <v>312369</v>
          </cell>
          <cell r="G1673" t="str">
            <v>Jorge Luis Hernandez Juarez</v>
          </cell>
          <cell r="H1673">
            <v>0</v>
          </cell>
        </row>
        <row r="1674">
          <cell r="F1674">
            <v>314039</v>
          </cell>
          <cell r="G1674" t="str">
            <v>Juan Humberto Barrios Escobar</v>
          </cell>
          <cell r="H1674">
            <v>0</v>
          </cell>
        </row>
        <row r="1675">
          <cell r="F1675">
            <v>313540</v>
          </cell>
          <cell r="G1675" t="str">
            <v xml:space="preserve">Juan Manuel Macario Reyna </v>
          </cell>
          <cell r="H1675">
            <v>0</v>
          </cell>
        </row>
        <row r="1676">
          <cell r="F1676">
            <v>314355</v>
          </cell>
          <cell r="G1676" t="str">
            <v>Kevin Samuel Guamuch Guardado</v>
          </cell>
          <cell r="H1676">
            <v>0</v>
          </cell>
        </row>
        <row r="1677">
          <cell r="F1677">
            <v>314299</v>
          </cell>
          <cell r="G1677" t="str">
            <v>Lopez Morales, Andrea Lucia</v>
          </cell>
          <cell r="H1677" t="str">
            <v>Espartanos</v>
          </cell>
        </row>
        <row r="1678">
          <cell r="F1678">
            <v>314747</v>
          </cell>
          <cell r="G1678" t="str">
            <v>Mayra Azucena Perez Guzman</v>
          </cell>
          <cell r="H1678" t="str">
            <v>Espartanos</v>
          </cell>
        </row>
        <row r="1679">
          <cell r="F1679">
            <v>313572</v>
          </cell>
          <cell r="G1679" t="str">
            <v xml:space="preserve">Milton Hardany Dominguez Martinez </v>
          </cell>
          <cell r="H1679">
            <v>0</v>
          </cell>
        </row>
        <row r="1680">
          <cell r="F1680">
            <v>313541</v>
          </cell>
          <cell r="G1680" t="str">
            <v xml:space="preserve">Mirna Lorena Argueta Ayala </v>
          </cell>
          <cell r="H1680">
            <v>0</v>
          </cell>
        </row>
        <row r="1681">
          <cell r="F1681">
            <v>315319</v>
          </cell>
          <cell r="G1681" t="str">
            <v xml:space="preserve">Noe Rubell Garcia Cerna </v>
          </cell>
          <cell r="H1681">
            <v>0</v>
          </cell>
        </row>
        <row r="1682">
          <cell r="F1682">
            <v>314502</v>
          </cell>
          <cell r="G1682" t="str">
            <v>Reyna Elizabeth Panadero</v>
          </cell>
          <cell r="H1682">
            <v>0</v>
          </cell>
        </row>
        <row r="1683">
          <cell r="F1683">
            <v>313284</v>
          </cell>
          <cell r="G1683" t="str">
            <v>Sebastian Quino Morales</v>
          </cell>
          <cell r="H1683" t="str">
            <v>Espartanos</v>
          </cell>
        </row>
        <row r="1684">
          <cell r="F1684">
            <v>311460</v>
          </cell>
          <cell r="G1684" t="str">
            <v xml:space="preserve"> Ana Vilma Bamaca Cardona</v>
          </cell>
          <cell r="H1684">
            <v>0</v>
          </cell>
        </row>
        <row r="1685">
          <cell r="F1685">
            <v>306579</v>
          </cell>
          <cell r="G1685" t="str">
            <v xml:space="preserve"> Angel Emilio De Jesus Morales Ramirez</v>
          </cell>
          <cell r="H1685">
            <v>0</v>
          </cell>
        </row>
        <row r="1686">
          <cell r="F1686">
            <v>311234</v>
          </cell>
          <cell r="G1686" t="str">
            <v xml:space="preserve"> Astrid Marlene Diaz</v>
          </cell>
          <cell r="H1686">
            <v>0</v>
          </cell>
        </row>
        <row r="1687">
          <cell r="F1687">
            <v>308361</v>
          </cell>
          <cell r="G1687" t="str">
            <v xml:space="preserve"> Brenda Maribel Orozco Mendoza</v>
          </cell>
          <cell r="H1687">
            <v>0</v>
          </cell>
        </row>
        <row r="1688">
          <cell r="F1688">
            <v>311060</v>
          </cell>
          <cell r="G1688" t="str">
            <v xml:space="preserve"> Dora Lissette Higueros Trejo</v>
          </cell>
          <cell r="H1688">
            <v>0</v>
          </cell>
        </row>
        <row r="1689">
          <cell r="F1689">
            <v>305555</v>
          </cell>
          <cell r="G1689" t="str">
            <v xml:space="preserve"> Heber Antonio Olivares Alvarado</v>
          </cell>
          <cell r="H1689">
            <v>0</v>
          </cell>
        </row>
        <row r="1690">
          <cell r="F1690">
            <v>308210</v>
          </cell>
          <cell r="G1690" t="str">
            <v xml:space="preserve"> Isaias Ramirez Jimenez</v>
          </cell>
          <cell r="H1690">
            <v>0</v>
          </cell>
        </row>
        <row r="1691">
          <cell r="F1691">
            <v>310790</v>
          </cell>
          <cell r="G1691" t="str">
            <v xml:space="preserve"> Karina Del Rosario Castro Lopez De Guzman</v>
          </cell>
          <cell r="H1691">
            <v>0</v>
          </cell>
        </row>
        <row r="1692">
          <cell r="F1692">
            <v>309544</v>
          </cell>
          <cell r="G1692" t="str">
            <v xml:space="preserve"> Lorena Alexandra Lopez Yax</v>
          </cell>
          <cell r="H1692">
            <v>0</v>
          </cell>
        </row>
        <row r="1693">
          <cell r="F1693">
            <v>308493</v>
          </cell>
          <cell r="G1693" t="str">
            <v xml:space="preserve"> Sandra Beatriz Ardiano De Leon</v>
          </cell>
          <cell r="H1693">
            <v>0</v>
          </cell>
        </row>
        <row r="1694">
          <cell r="F1694">
            <v>312483</v>
          </cell>
          <cell r="G1694" t="str">
            <v>Berta Elizabeth Rodas Rosales</v>
          </cell>
          <cell r="H1694">
            <v>0</v>
          </cell>
        </row>
        <row r="1695">
          <cell r="F1695">
            <v>314431</v>
          </cell>
          <cell r="G1695" t="str">
            <v>Cristian Rene Contreras Sales</v>
          </cell>
          <cell r="H1695">
            <v>0</v>
          </cell>
        </row>
        <row r="1696">
          <cell r="F1696">
            <v>307394</v>
          </cell>
          <cell r="G1696" t="str">
            <v>Damaris Judith Rivas Benitez</v>
          </cell>
          <cell r="H1696">
            <v>0</v>
          </cell>
        </row>
        <row r="1697">
          <cell r="F1697">
            <v>311082</v>
          </cell>
          <cell r="G1697" t="str">
            <v>Janz Vincent Tunche</v>
          </cell>
          <cell r="H1697">
            <v>0</v>
          </cell>
        </row>
        <row r="1698">
          <cell r="F1698">
            <v>314301</v>
          </cell>
          <cell r="G1698" t="str">
            <v>Jose Carlos Puluc</v>
          </cell>
          <cell r="H1698">
            <v>0</v>
          </cell>
        </row>
        <row r="1699">
          <cell r="F1699">
            <v>308405</v>
          </cell>
          <cell r="G1699" t="str">
            <v>Juan Aquino Rac</v>
          </cell>
          <cell r="H1699">
            <v>0</v>
          </cell>
        </row>
        <row r="1700">
          <cell r="F1700">
            <v>312485</v>
          </cell>
          <cell r="G1700" t="str">
            <v>Juan Ramon Guerra Martinez</v>
          </cell>
          <cell r="H1700">
            <v>0</v>
          </cell>
        </row>
        <row r="1701">
          <cell r="F1701">
            <v>314527</v>
          </cell>
          <cell r="G1701" t="str">
            <v>Luis Fernando Rodas Pineda</v>
          </cell>
          <cell r="H1701">
            <v>0</v>
          </cell>
        </row>
        <row r="1702">
          <cell r="F1702">
            <v>312481</v>
          </cell>
          <cell r="G1702" t="str">
            <v>Magdalena Noemi Leonardo Ventura</v>
          </cell>
          <cell r="H1702">
            <v>0</v>
          </cell>
        </row>
        <row r="1703">
          <cell r="F1703">
            <v>312482</v>
          </cell>
          <cell r="G1703" t="str">
            <v>Mildred Elizabeth Rivera Tenas</v>
          </cell>
          <cell r="H1703">
            <v>0</v>
          </cell>
        </row>
        <row r="1704">
          <cell r="F1704">
            <v>307005</v>
          </cell>
          <cell r="G1704" t="str">
            <v>Miriam Leticia Romero Torres</v>
          </cell>
          <cell r="H1704">
            <v>0</v>
          </cell>
        </row>
        <row r="1705">
          <cell r="F1705">
            <v>314227</v>
          </cell>
          <cell r="G1705" t="str">
            <v xml:space="preserve">Mirna Janeth Ordoñez </v>
          </cell>
          <cell r="H1705">
            <v>0</v>
          </cell>
        </row>
        <row r="1706">
          <cell r="F1706">
            <v>308474</v>
          </cell>
          <cell r="G1706" t="str">
            <v>Victor Abraham Alvarado De La Cruz</v>
          </cell>
          <cell r="H1706">
            <v>0</v>
          </cell>
        </row>
        <row r="1707">
          <cell r="F1707">
            <v>312480</v>
          </cell>
          <cell r="G1707" t="str">
            <v>Wilson Moises Carias Santos</v>
          </cell>
          <cell r="H1707">
            <v>0</v>
          </cell>
        </row>
        <row r="1708">
          <cell r="F1708">
            <v>305051</v>
          </cell>
          <cell r="G1708" t="str">
            <v xml:space="preserve"> Amalia Cifuentes Gramajo</v>
          </cell>
          <cell r="H1708">
            <v>0</v>
          </cell>
        </row>
        <row r="1709">
          <cell r="F1709">
            <v>308201</v>
          </cell>
          <cell r="G1709" t="str">
            <v xml:space="preserve"> Amparo Janet Cardona Linares</v>
          </cell>
          <cell r="H1709">
            <v>0</v>
          </cell>
        </row>
        <row r="1710">
          <cell r="F1710">
            <v>311232</v>
          </cell>
          <cell r="G1710" t="str">
            <v xml:space="preserve"> Carlos Alberto Roque Galicia</v>
          </cell>
          <cell r="H1710">
            <v>0</v>
          </cell>
        </row>
        <row r="1711">
          <cell r="F1711">
            <v>310382</v>
          </cell>
          <cell r="G1711" t="str">
            <v xml:space="preserve"> David Gilberto Perez Mayorga</v>
          </cell>
          <cell r="H1711">
            <v>0</v>
          </cell>
        </row>
        <row r="1712">
          <cell r="F1712">
            <v>305796</v>
          </cell>
          <cell r="G1712" t="str">
            <v xml:space="preserve"> Elias Perez Sequen</v>
          </cell>
          <cell r="H1712">
            <v>0</v>
          </cell>
        </row>
        <row r="1713">
          <cell r="F1713">
            <v>310823</v>
          </cell>
          <cell r="G1713" t="str">
            <v xml:space="preserve"> Francisca Yesenia Aceytuno Quevedo</v>
          </cell>
          <cell r="H1713">
            <v>0</v>
          </cell>
        </row>
        <row r="1714">
          <cell r="F1714">
            <v>311152</v>
          </cell>
          <cell r="G1714" t="str">
            <v xml:space="preserve"> Heidi Natali Chacon De La Rosa De Diaz</v>
          </cell>
          <cell r="H1714">
            <v>0</v>
          </cell>
        </row>
        <row r="1715">
          <cell r="F1715">
            <v>309785</v>
          </cell>
          <cell r="G1715" t="str">
            <v xml:space="preserve"> Jose Esteban Diaz Montufar</v>
          </cell>
          <cell r="H1715">
            <v>0</v>
          </cell>
        </row>
        <row r="1716">
          <cell r="F1716">
            <v>310787</v>
          </cell>
          <cell r="G1716" t="str">
            <v xml:space="preserve"> Marilin Janeth Sanchez De Rodriguez</v>
          </cell>
          <cell r="H1716">
            <v>0</v>
          </cell>
        </row>
        <row r="1717">
          <cell r="F1717">
            <v>305520</v>
          </cell>
          <cell r="G1717" t="str">
            <v xml:space="preserve"> Milton Orlando Lopez</v>
          </cell>
          <cell r="H1717">
            <v>0</v>
          </cell>
        </row>
        <row r="1718">
          <cell r="F1718">
            <v>308978</v>
          </cell>
          <cell r="G1718" t="str">
            <v xml:space="preserve"> Oscar Amilcar Najera Segura</v>
          </cell>
          <cell r="H1718">
            <v>0</v>
          </cell>
        </row>
        <row r="1719">
          <cell r="F1719">
            <v>311776</v>
          </cell>
          <cell r="G1719" t="str">
            <v xml:space="preserve"> Susan Jackelinne Cristal Sanchez</v>
          </cell>
          <cell r="H1719">
            <v>0</v>
          </cell>
        </row>
        <row r="1720">
          <cell r="F1720">
            <v>309732</v>
          </cell>
          <cell r="G1720" t="str">
            <v xml:space="preserve"> Wilfredo Noe Tobar Valenzuela</v>
          </cell>
          <cell r="H1720">
            <v>0</v>
          </cell>
        </row>
        <row r="1721">
          <cell r="F1721">
            <v>314741</v>
          </cell>
          <cell r="G1721" t="str">
            <v>Angelica Lorena Garcia Gonzalez</v>
          </cell>
          <cell r="H1721">
            <v>0</v>
          </cell>
        </row>
        <row r="1722">
          <cell r="F1722">
            <v>314546</v>
          </cell>
          <cell r="G1722" t="str">
            <v xml:space="preserve">Cinthia Irene Paz Caal   </v>
          </cell>
          <cell r="H1722">
            <v>0</v>
          </cell>
        </row>
        <row r="1723">
          <cell r="F1723">
            <v>313746</v>
          </cell>
          <cell r="G1723" t="str">
            <v>Cristian Omar Cruz Mata</v>
          </cell>
          <cell r="H1723">
            <v>0</v>
          </cell>
        </row>
        <row r="1724">
          <cell r="F1724">
            <v>315327</v>
          </cell>
          <cell r="G1724" t="str">
            <v>Daninyer Alfonso Orellana Madrid</v>
          </cell>
          <cell r="H1724">
            <v>0</v>
          </cell>
        </row>
        <row r="1725">
          <cell r="F1725">
            <v>314084</v>
          </cell>
          <cell r="G1725" t="str">
            <v>Edgar Emilio Gomez Bobadilla</v>
          </cell>
          <cell r="H1725">
            <v>0</v>
          </cell>
        </row>
        <row r="1726">
          <cell r="F1726">
            <v>313195</v>
          </cell>
          <cell r="G1726" t="str">
            <v>Edna Helenin Benitez Guzman De Altan</v>
          </cell>
          <cell r="H1726">
            <v>0</v>
          </cell>
        </row>
        <row r="1727">
          <cell r="F1727">
            <v>313259</v>
          </cell>
          <cell r="G1727" t="str">
            <v>Edvin Orlando Tuis Guerra</v>
          </cell>
          <cell r="H1727">
            <v>0</v>
          </cell>
        </row>
        <row r="1728">
          <cell r="F1728">
            <v>314524</v>
          </cell>
          <cell r="G1728" t="str">
            <v>Francisco Antonio Davila Morales</v>
          </cell>
          <cell r="H1728">
            <v>0</v>
          </cell>
        </row>
        <row r="1729">
          <cell r="F1729">
            <v>314329</v>
          </cell>
          <cell r="G1729" t="str">
            <v>Fredy Joel Lopez Santiago</v>
          </cell>
          <cell r="H1729">
            <v>0</v>
          </cell>
        </row>
        <row r="1730">
          <cell r="F1730">
            <v>314305</v>
          </cell>
          <cell r="G1730" t="str">
            <v>Henry Gustavo Vasquez Robledo</v>
          </cell>
          <cell r="H1730">
            <v>0</v>
          </cell>
        </row>
        <row r="1731">
          <cell r="F1731">
            <v>311962</v>
          </cell>
          <cell r="G1731" t="str">
            <v>Hugo David Monroy Pichola</v>
          </cell>
          <cell r="H1731">
            <v>0</v>
          </cell>
        </row>
        <row r="1732">
          <cell r="F1732">
            <v>311075</v>
          </cell>
          <cell r="G1732" t="str">
            <v>Jorge Alberto Buch Patzan</v>
          </cell>
          <cell r="H1732">
            <v>0</v>
          </cell>
        </row>
        <row r="1733">
          <cell r="F1733">
            <v>311233</v>
          </cell>
          <cell r="G1733" t="str">
            <v>Maria Fernanda Del Rosario Orellana Lima De Orellana</v>
          </cell>
          <cell r="H1733">
            <v>0</v>
          </cell>
        </row>
        <row r="1734">
          <cell r="F1734">
            <v>314811</v>
          </cell>
          <cell r="G1734" t="str">
            <v>Marlon Estuardo Hernandez Moreira</v>
          </cell>
          <cell r="H1734">
            <v>0</v>
          </cell>
        </row>
        <row r="1735">
          <cell r="F1735">
            <v>313745</v>
          </cell>
          <cell r="G1735" t="str">
            <v>Milvia Alejandra Lopez Marroquin</v>
          </cell>
          <cell r="H1735">
            <v>0</v>
          </cell>
        </row>
        <row r="1736">
          <cell r="F1736">
            <v>312288</v>
          </cell>
          <cell r="G1736" t="str">
            <v>Miriam Marilisa Herrera Perez</v>
          </cell>
          <cell r="H1736">
            <v>0</v>
          </cell>
        </row>
        <row r="1737">
          <cell r="F1737">
            <v>312474</v>
          </cell>
          <cell r="G1737" t="str">
            <v>Nancy Paola Ramirez Garcia</v>
          </cell>
          <cell r="H1737">
            <v>0</v>
          </cell>
        </row>
        <row r="1738">
          <cell r="F1738">
            <v>313756</v>
          </cell>
          <cell r="G1738" t="str">
            <v>Walter Josue Corona Barrera</v>
          </cell>
          <cell r="H1738">
            <v>0</v>
          </cell>
        </row>
        <row r="1739">
          <cell r="F1739">
            <v>312284</v>
          </cell>
          <cell r="G1739" t="str">
            <v xml:space="preserve"> Arnoldo Coque Hernandez</v>
          </cell>
          <cell r="H1739">
            <v>0</v>
          </cell>
        </row>
        <row r="1740">
          <cell r="F1740">
            <v>312015</v>
          </cell>
          <cell r="G1740" t="str">
            <v xml:space="preserve"> Carlos Alfredo Cuc Cuxe</v>
          </cell>
          <cell r="H1740">
            <v>0</v>
          </cell>
        </row>
        <row r="1741">
          <cell r="F1741">
            <v>310710</v>
          </cell>
          <cell r="G1741" t="str">
            <v xml:space="preserve"> Edgar Enrique Garcia Cortave</v>
          </cell>
          <cell r="H1741">
            <v>0</v>
          </cell>
        </row>
        <row r="1742">
          <cell r="F1742">
            <v>311459</v>
          </cell>
          <cell r="G1742" t="str">
            <v xml:space="preserve"> Gandy Baygesus Sanchez Estrada</v>
          </cell>
          <cell r="H1742">
            <v>0</v>
          </cell>
        </row>
        <row r="1743">
          <cell r="F1743">
            <v>303585</v>
          </cell>
          <cell r="G1743" t="str">
            <v xml:space="preserve"> Gerber Estuardo Albizures Archila</v>
          </cell>
          <cell r="H1743">
            <v>0</v>
          </cell>
        </row>
        <row r="1744">
          <cell r="F1744">
            <v>310704</v>
          </cell>
          <cell r="G1744" t="str">
            <v xml:space="preserve"> Henry Samuel De Leon Menchu</v>
          </cell>
          <cell r="H1744">
            <v>0</v>
          </cell>
        </row>
        <row r="1745">
          <cell r="F1745">
            <v>311359</v>
          </cell>
          <cell r="G1745" t="str">
            <v xml:space="preserve"> Jania Nataly De Leon Ramirez De Suret</v>
          </cell>
          <cell r="H1745">
            <v>0</v>
          </cell>
        </row>
        <row r="1746">
          <cell r="F1746">
            <v>306643</v>
          </cell>
          <cell r="G1746" t="str">
            <v xml:space="preserve"> Marvin Saul Sical Ventura</v>
          </cell>
          <cell r="H1746">
            <v>0</v>
          </cell>
        </row>
        <row r="1747">
          <cell r="F1747">
            <v>307846</v>
          </cell>
          <cell r="G1747" t="str">
            <v xml:space="preserve"> Sandra Patricia Baran Avila</v>
          </cell>
          <cell r="H1747">
            <v>0</v>
          </cell>
        </row>
        <row r="1748">
          <cell r="F1748">
            <v>307962</v>
          </cell>
          <cell r="G1748" t="str">
            <v xml:space="preserve"> Selvyn David Payola Ayala</v>
          </cell>
          <cell r="H1748">
            <v>0</v>
          </cell>
        </row>
        <row r="1749">
          <cell r="F1749">
            <v>307891</v>
          </cell>
          <cell r="G1749" t="str">
            <v xml:space="preserve"> Susana Rodriguez Cordova</v>
          </cell>
          <cell r="H1749">
            <v>0</v>
          </cell>
        </row>
        <row r="1750">
          <cell r="F1750">
            <v>314936</v>
          </cell>
          <cell r="G1750" t="str">
            <v>Alex Fernando Garcia De Leon</v>
          </cell>
          <cell r="H1750">
            <v>0</v>
          </cell>
        </row>
        <row r="1751">
          <cell r="F1751">
            <v>313295</v>
          </cell>
          <cell r="G1751" t="str">
            <v>Amed Carlos Eduardo Matheu Cabrera</v>
          </cell>
          <cell r="H1751">
            <v>0</v>
          </cell>
        </row>
        <row r="1752">
          <cell r="F1752">
            <v>314413</v>
          </cell>
          <cell r="G1752" t="str">
            <v>Carmen Arely Perez Escobar</v>
          </cell>
          <cell r="H1752">
            <v>0</v>
          </cell>
        </row>
        <row r="1753">
          <cell r="F1753">
            <v>315237</v>
          </cell>
          <cell r="G1753" t="str">
            <v>Celia Mariela Castillo Beteta</v>
          </cell>
          <cell r="H1753">
            <v>0</v>
          </cell>
        </row>
        <row r="1754">
          <cell r="F1754">
            <v>311345</v>
          </cell>
          <cell r="G1754" t="str">
            <v>Darwin Ruben Martinez Ramirez</v>
          </cell>
          <cell r="H1754">
            <v>0</v>
          </cell>
        </row>
        <row r="1755">
          <cell r="F1755">
            <v>314250</v>
          </cell>
          <cell r="G1755" t="str">
            <v>Diego Armando Contreras Flores</v>
          </cell>
          <cell r="H1755">
            <v>0</v>
          </cell>
        </row>
        <row r="1756">
          <cell r="F1756">
            <v>314281</v>
          </cell>
          <cell r="G1756" t="str">
            <v>Edward Josue Cortez Belloso</v>
          </cell>
          <cell r="H1756">
            <v>0</v>
          </cell>
        </row>
        <row r="1757">
          <cell r="F1757">
            <v>313451</v>
          </cell>
          <cell r="G1757" t="str">
            <v>Erick Dionicio Alvarez Flores</v>
          </cell>
          <cell r="H1757">
            <v>0</v>
          </cell>
        </row>
        <row r="1758">
          <cell r="F1758">
            <v>313497</v>
          </cell>
          <cell r="G1758" t="str">
            <v>Francisco Roman Aceytuno Ramos</v>
          </cell>
          <cell r="H1758">
            <v>0</v>
          </cell>
        </row>
        <row r="1759">
          <cell r="F1759">
            <v>314013</v>
          </cell>
          <cell r="G1759" t="str">
            <v>Jose Orlando Lopez Matzar</v>
          </cell>
          <cell r="H1759">
            <v>0</v>
          </cell>
        </row>
        <row r="1760">
          <cell r="F1760">
            <v>313262</v>
          </cell>
          <cell r="G1760" t="str">
            <v>Juan Luis Soyos Tzoy</v>
          </cell>
          <cell r="H1760">
            <v>0</v>
          </cell>
        </row>
        <row r="1761">
          <cell r="F1761">
            <v>313583</v>
          </cell>
          <cell r="G1761" t="str">
            <v>Laiza Marleny Gomez Garcia De Gomez</v>
          </cell>
          <cell r="H1761">
            <v>0</v>
          </cell>
        </row>
        <row r="1762">
          <cell r="F1762">
            <v>314762</v>
          </cell>
          <cell r="G1762" t="str">
            <v>Mario Ernesto Alvarado Molina</v>
          </cell>
          <cell r="H1762">
            <v>0</v>
          </cell>
        </row>
        <row r="1763">
          <cell r="F1763">
            <v>311902</v>
          </cell>
          <cell r="G1763" t="str">
            <v>Mario Raul Monroy Monroy</v>
          </cell>
          <cell r="H1763">
            <v>0</v>
          </cell>
        </row>
        <row r="1764">
          <cell r="F1764">
            <v>313251</v>
          </cell>
          <cell r="G1764" t="str">
            <v>Mario Ricardo Gabriel Monterroso</v>
          </cell>
          <cell r="H1764">
            <v>0</v>
          </cell>
        </row>
        <row r="1765">
          <cell r="F1765">
            <v>312564</v>
          </cell>
          <cell r="G1765" t="str">
            <v xml:space="preserve">Marlyn Carolina Hernandez Escobar De Dubon </v>
          </cell>
          <cell r="H1765">
            <v>0</v>
          </cell>
        </row>
        <row r="1766">
          <cell r="F1766">
            <v>313011</v>
          </cell>
          <cell r="G1766" t="str">
            <v>Miguel David Boch Cifuentes</v>
          </cell>
          <cell r="H1766">
            <v>0</v>
          </cell>
        </row>
        <row r="1767">
          <cell r="F1767">
            <v>313750</v>
          </cell>
          <cell r="G1767" t="str">
            <v xml:space="preserve">Mildred Alejandra Sapon Ruano   </v>
          </cell>
          <cell r="H1767">
            <v>0</v>
          </cell>
        </row>
        <row r="1768">
          <cell r="F1768">
            <v>313212</v>
          </cell>
          <cell r="G1768" t="str">
            <v>Shirley Mariana Lopez Natarengo</v>
          </cell>
          <cell r="H1768">
            <v>0</v>
          </cell>
        </row>
        <row r="1769">
          <cell r="F1769">
            <v>313261</v>
          </cell>
          <cell r="G1769" t="str">
            <v>Viviana Maribel Ortiz Barrios</v>
          </cell>
          <cell r="H1769">
            <v>0</v>
          </cell>
        </row>
        <row r="1770">
          <cell r="F1770">
            <v>309678</v>
          </cell>
          <cell r="G1770" t="str">
            <v xml:space="preserve"> Carla Noemi Irias Alvarez</v>
          </cell>
          <cell r="H1770" t="str">
            <v>Phoenix</v>
          </cell>
        </row>
        <row r="1771">
          <cell r="F1771">
            <v>311704</v>
          </cell>
          <cell r="G1771" t="str">
            <v xml:space="preserve"> Celedonia Isabel Chan Batz De Iscaya</v>
          </cell>
          <cell r="H1771" t="str">
            <v>Phoenix</v>
          </cell>
        </row>
        <row r="1772">
          <cell r="F1772">
            <v>308464</v>
          </cell>
          <cell r="G1772" t="str">
            <v xml:space="preserve"> Enmanuel Antonio Ochoa Hernandez</v>
          </cell>
          <cell r="H1772">
            <v>0</v>
          </cell>
        </row>
        <row r="1773">
          <cell r="F1773">
            <v>311964</v>
          </cell>
          <cell r="G1773" t="str">
            <v xml:space="preserve"> Estephanie Michelle Mendez Cano De Rivera</v>
          </cell>
          <cell r="H1773">
            <v>0</v>
          </cell>
        </row>
        <row r="1774">
          <cell r="F1774">
            <v>311963</v>
          </cell>
          <cell r="G1774" t="str">
            <v xml:space="preserve"> Giovanni Noel Valdez Rodriguez</v>
          </cell>
          <cell r="H1774" t="str">
            <v>Phoenix</v>
          </cell>
        </row>
        <row r="1775">
          <cell r="F1775">
            <v>308771</v>
          </cell>
          <cell r="G1775" t="str">
            <v xml:space="preserve"> Gloria Estefanilla Espinoza Garcia</v>
          </cell>
          <cell r="H1775" t="str">
            <v>Phoenix</v>
          </cell>
        </row>
        <row r="1776">
          <cell r="F1776">
            <v>311530</v>
          </cell>
          <cell r="G1776" t="str">
            <v xml:space="preserve"> Laura Ninoshka Mogollon Galvez De Ortiz</v>
          </cell>
          <cell r="H1776">
            <v>0</v>
          </cell>
        </row>
        <row r="1777">
          <cell r="F1777">
            <v>309348</v>
          </cell>
          <cell r="G1777" t="str">
            <v xml:space="preserve"> Ludbind Alexander Noriega Chavez</v>
          </cell>
          <cell r="H1777">
            <v>0</v>
          </cell>
        </row>
        <row r="1778">
          <cell r="F1778">
            <v>303093</v>
          </cell>
          <cell r="G1778" t="str">
            <v xml:space="preserve"> Rony Armando Choche Perez</v>
          </cell>
          <cell r="H1778">
            <v>0</v>
          </cell>
        </row>
        <row r="1779">
          <cell r="F1779">
            <v>311838</v>
          </cell>
          <cell r="G1779" t="str">
            <v xml:space="preserve"> Sarah Noemy Sandoval Poggio</v>
          </cell>
          <cell r="H1779" t="str">
            <v>Phoenix</v>
          </cell>
        </row>
        <row r="1780">
          <cell r="F1780">
            <v>310071</v>
          </cell>
          <cell r="G1780" t="str">
            <v xml:space="preserve"> Victoria Aracely Gomez Ochoa</v>
          </cell>
          <cell r="H1780">
            <v>0</v>
          </cell>
        </row>
        <row r="1781">
          <cell r="F1781">
            <v>315129</v>
          </cell>
          <cell r="G1781" t="str">
            <v xml:space="preserve">Angel Israel Perez Perez </v>
          </cell>
          <cell r="H1781" t="str">
            <v>Phoenix</v>
          </cell>
        </row>
        <row r="1782">
          <cell r="F1782">
            <v>314522</v>
          </cell>
          <cell r="G1782" t="str">
            <v>Argentina Frisdy Juarez Lopez</v>
          </cell>
          <cell r="H1782">
            <v>0</v>
          </cell>
        </row>
        <row r="1783">
          <cell r="F1783">
            <v>311595</v>
          </cell>
          <cell r="G1783" t="str">
            <v>Billy Giovanny Avalos Castillo</v>
          </cell>
          <cell r="H1783" t="str">
            <v>Phoenix</v>
          </cell>
        </row>
        <row r="1784">
          <cell r="F1784">
            <v>312457</v>
          </cell>
          <cell r="G1784" t="str">
            <v>Edgar Estuardo Moran Lopez</v>
          </cell>
          <cell r="H1784">
            <v>0</v>
          </cell>
        </row>
        <row r="1785">
          <cell r="F1785">
            <v>313314</v>
          </cell>
          <cell r="G1785" t="str">
            <v>Elida Bertilia Donis Aguilar</v>
          </cell>
          <cell r="H1785">
            <v>0</v>
          </cell>
        </row>
        <row r="1786">
          <cell r="F1786">
            <v>313108</v>
          </cell>
          <cell r="G1786" t="str">
            <v>Evelyn Karina Lorenzana Gomez</v>
          </cell>
          <cell r="H1786" t="str">
            <v>Phoenix</v>
          </cell>
        </row>
        <row r="1787">
          <cell r="F1787">
            <v>313313</v>
          </cell>
          <cell r="G1787" t="str">
            <v>Francisco Roberto Contreras Bernardino</v>
          </cell>
          <cell r="H1787">
            <v>0</v>
          </cell>
        </row>
        <row r="1788">
          <cell r="F1788">
            <v>313757</v>
          </cell>
          <cell r="G1788" t="str">
            <v>Geydi Yanira Roque Esquivel</v>
          </cell>
          <cell r="H1788">
            <v>0</v>
          </cell>
        </row>
        <row r="1789">
          <cell r="F1789">
            <v>309122</v>
          </cell>
          <cell r="G1789" t="str">
            <v>Greyci Yulissa Aliñado Rodriguez</v>
          </cell>
          <cell r="H1789" t="str">
            <v>Phoenix</v>
          </cell>
        </row>
        <row r="1790">
          <cell r="F1790">
            <v>314362</v>
          </cell>
          <cell r="G1790" t="str">
            <v>Heber Adiel Dardon Batres</v>
          </cell>
          <cell r="H1790">
            <v>0</v>
          </cell>
        </row>
        <row r="1791">
          <cell r="F1791">
            <v>315073</v>
          </cell>
          <cell r="G1791" t="str">
            <v xml:space="preserve">Jose Manuel Molina Gaitan </v>
          </cell>
          <cell r="H1791">
            <v>0</v>
          </cell>
        </row>
        <row r="1792">
          <cell r="F1792">
            <v>314490</v>
          </cell>
          <cell r="G1792" t="str">
            <v xml:space="preserve">Josue Omar Rosas Vasquez </v>
          </cell>
          <cell r="H1792">
            <v>0</v>
          </cell>
        </row>
        <row r="1793">
          <cell r="F1793">
            <v>311662</v>
          </cell>
          <cell r="G1793" t="str">
            <v>Juan Antonio Juarez Recinos</v>
          </cell>
          <cell r="H1793">
            <v>0</v>
          </cell>
        </row>
        <row r="1794">
          <cell r="F1794">
            <v>312848</v>
          </cell>
          <cell r="G1794" t="str">
            <v>Juan Humberto Castillo Garcia</v>
          </cell>
          <cell r="H1794" t="str">
            <v>Phoenix</v>
          </cell>
        </row>
        <row r="1795">
          <cell r="F1795">
            <v>313196</v>
          </cell>
          <cell r="G1795" t="str">
            <v>Maria Fernanda Palencia Campo</v>
          </cell>
          <cell r="H1795">
            <v>0</v>
          </cell>
        </row>
        <row r="1796">
          <cell r="F1796">
            <v>315406</v>
          </cell>
          <cell r="G1796" t="str">
            <v>Maria Fernandez Perez Rangel</v>
          </cell>
          <cell r="H1796" t="str">
            <v>Phoenix</v>
          </cell>
        </row>
        <row r="1797">
          <cell r="F1797">
            <v>314302</v>
          </cell>
          <cell r="G1797" t="str">
            <v>Mario Rene Garcia Paredes</v>
          </cell>
          <cell r="H1797" t="str">
            <v>Phoenix</v>
          </cell>
        </row>
        <row r="1798">
          <cell r="F1798">
            <v>313758</v>
          </cell>
          <cell r="G1798" t="str">
            <v>Melani Andrea Salcedo Acevedo</v>
          </cell>
          <cell r="H1798" t="str">
            <v>Phoenix</v>
          </cell>
        </row>
        <row r="1799">
          <cell r="F1799">
            <v>314656</v>
          </cell>
          <cell r="G1799" t="str">
            <v>Nancy Johana Flores Barrera</v>
          </cell>
          <cell r="H1799">
            <v>0</v>
          </cell>
        </row>
        <row r="1800">
          <cell r="F1800">
            <v>313835</v>
          </cell>
          <cell r="G1800" t="str">
            <v>Rainer Daniel Melgar Chajon</v>
          </cell>
          <cell r="H1800">
            <v>0</v>
          </cell>
        </row>
        <row r="1801">
          <cell r="F1801">
            <v>312478</v>
          </cell>
          <cell r="G1801" t="str">
            <v>Walter Josue Ampudia Martinez</v>
          </cell>
          <cell r="H1801">
            <v>0</v>
          </cell>
        </row>
        <row r="1802">
          <cell r="F1802">
            <v>315200</v>
          </cell>
          <cell r="G1802" t="str">
            <v xml:space="preserve">Yeni Amarilis Ruano </v>
          </cell>
          <cell r="H1802" t="str">
            <v>Phoenix</v>
          </cell>
        </row>
        <row r="1803">
          <cell r="F1803">
            <v>315029</v>
          </cell>
          <cell r="G1803" t="str">
            <v>Camelia Bocel Tun</v>
          </cell>
          <cell r="H1803">
            <v>0</v>
          </cell>
        </row>
        <row r="1804">
          <cell r="F1804">
            <v>314847</v>
          </cell>
          <cell r="G1804" t="str">
            <v>Donald Jacshon Abac Velasquez</v>
          </cell>
          <cell r="H1804">
            <v>0</v>
          </cell>
        </row>
        <row r="1805">
          <cell r="F1805">
            <v>314911</v>
          </cell>
          <cell r="G1805" t="str">
            <v>Jose Armando Valdez Juarez</v>
          </cell>
          <cell r="H1805">
            <v>0</v>
          </cell>
        </row>
        <row r="1806">
          <cell r="F1806">
            <v>314907</v>
          </cell>
          <cell r="G1806" t="str">
            <v>Jose Gabriel Armas Sandoval</v>
          </cell>
          <cell r="H1806">
            <v>0</v>
          </cell>
        </row>
        <row r="1807">
          <cell r="F1807">
            <v>315190</v>
          </cell>
          <cell r="G1807" t="str">
            <v xml:space="preserve">Edy Alexander Gonzalez Ramos </v>
          </cell>
          <cell r="H1807">
            <v>0</v>
          </cell>
        </row>
        <row r="1808">
          <cell r="F1808">
            <v>315176</v>
          </cell>
          <cell r="G1808" t="str">
            <v xml:space="preserve">Etson Samuel Villatoro Saballos </v>
          </cell>
          <cell r="H1808">
            <v>0</v>
          </cell>
        </row>
        <row r="1809">
          <cell r="F1809">
            <v>315080</v>
          </cell>
          <cell r="G1809" t="str">
            <v>Horacio Rafael Molina Avila</v>
          </cell>
          <cell r="H1809">
            <v>0</v>
          </cell>
        </row>
        <row r="1810">
          <cell r="F1810">
            <v>315177</v>
          </cell>
          <cell r="G1810" t="str">
            <v xml:space="preserve">Keitlin Anahi Martinez Castillo </v>
          </cell>
          <cell r="H1810">
            <v>0</v>
          </cell>
        </row>
        <row r="1811">
          <cell r="F1811">
            <v>315189</v>
          </cell>
          <cell r="G1811" t="str">
            <v xml:space="preserve">Milthon Yobany Castillo Martinez </v>
          </cell>
          <cell r="H1811">
            <v>0</v>
          </cell>
        </row>
        <row r="1812">
          <cell r="F1812">
            <v>315469</v>
          </cell>
          <cell r="G1812" t="str">
            <v xml:space="preserve">Milvia Fabiola Velasquez </v>
          </cell>
          <cell r="H1812">
            <v>0</v>
          </cell>
        </row>
        <row r="1813">
          <cell r="F1813">
            <v>315360</v>
          </cell>
          <cell r="G1813" t="str">
            <v>Eneas Valdez Colop</v>
          </cell>
          <cell r="H1813">
            <v>0</v>
          </cell>
        </row>
        <row r="1814">
          <cell r="F1814">
            <v>315461</v>
          </cell>
          <cell r="G1814" t="str">
            <v>Teylor Cuyuch</v>
          </cell>
          <cell r="H1814">
            <v>0</v>
          </cell>
        </row>
        <row r="1815">
          <cell r="F1815">
            <v>315390</v>
          </cell>
          <cell r="G1815" t="str">
            <v>Jose Carlos Morales</v>
          </cell>
          <cell r="H1815">
            <v>0</v>
          </cell>
        </row>
        <row r="1816">
          <cell r="F1816">
            <v>315464</v>
          </cell>
          <cell r="G1816" t="str">
            <v>Maria Alejandra Mazariegos</v>
          </cell>
          <cell r="H1816">
            <v>0</v>
          </cell>
        </row>
        <row r="1817">
          <cell r="F1817">
            <v>315574</v>
          </cell>
          <cell r="G1817" t="str">
            <v>Maryury De Los Angeles Garcia Romero</v>
          </cell>
          <cell r="H1817">
            <v>0</v>
          </cell>
        </row>
        <row r="1818">
          <cell r="F1818">
            <v>315596</v>
          </cell>
          <cell r="G1818" t="str">
            <v>Etson Eduardo Hernandez Campos</v>
          </cell>
          <cell r="H1818">
            <v>0</v>
          </cell>
        </row>
        <row r="1819">
          <cell r="F1819">
            <v>315593</v>
          </cell>
          <cell r="G1819" t="str">
            <v>Flora Anabella Yaxcal Fernandez</v>
          </cell>
          <cell r="H1819">
            <v>0</v>
          </cell>
        </row>
        <row r="1820">
          <cell r="F1820">
            <v>315595</v>
          </cell>
          <cell r="G1820" t="str">
            <v xml:space="preserve">Jaqueline Paola Santizo Roman </v>
          </cell>
          <cell r="H1820">
            <v>0</v>
          </cell>
        </row>
        <row r="1821">
          <cell r="F1821">
            <v>315292</v>
          </cell>
          <cell r="G1821" t="str">
            <v>Mijail Erick Joaquin Morales Ortiz</v>
          </cell>
          <cell r="H1821">
            <v>0</v>
          </cell>
        </row>
        <row r="1822">
          <cell r="F1822">
            <v>860486</v>
          </cell>
          <cell r="G1822" t="str">
            <v>Brenda Lucrecia Velasquez Cifuentes</v>
          </cell>
          <cell r="H1822">
            <v>0</v>
          </cell>
        </row>
        <row r="1823">
          <cell r="F1823">
            <v>860236</v>
          </cell>
          <cell r="G1823" t="str">
            <v>Emmanuel Gonzalez</v>
          </cell>
          <cell r="H1823">
            <v>0</v>
          </cell>
        </row>
        <row r="1824">
          <cell r="F1824" t="str">
            <v>UN</v>
          </cell>
          <cell r="G1824" t="str">
            <v>UN</v>
          </cell>
          <cell r="H1824">
            <v>0</v>
          </cell>
        </row>
        <row r="1825">
          <cell r="F1825">
            <v>315625</v>
          </cell>
          <cell r="G1825" t="str">
            <v>CLAUDIA ELIZABETH CARRERA MARROQUIN</v>
          </cell>
          <cell r="H1825">
            <v>0</v>
          </cell>
        </row>
        <row r="1826">
          <cell r="F1826">
            <v>315666</v>
          </cell>
          <cell r="G1826" t="str">
            <v>SINDY AMARILIS SANCHEZ MONTERROSO</v>
          </cell>
          <cell r="H1826" t="str">
            <v>Elements</v>
          </cell>
        </row>
        <row r="1827">
          <cell r="F1827">
            <v>315691</v>
          </cell>
          <cell r="G1827" t="str">
            <v>JAIME RENE JUAREZ SANCHEZ</v>
          </cell>
          <cell r="H1827">
            <v>0</v>
          </cell>
        </row>
        <row r="1828">
          <cell r="F1828">
            <v>315750</v>
          </cell>
          <cell r="G1828" t="str">
            <v>KEILA PAOLA CALDERON LOPEZ</v>
          </cell>
          <cell r="H1828">
            <v>0</v>
          </cell>
        </row>
        <row r="1829">
          <cell r="F1829">
            <v>315721</v>
          </cell>
          <cell r="G1829" t="str">
            <v>HECTOR LEONEL MEJICANOS CRUZ</v>
          </cell>
          <cell r="H1829">
            <v>0</v>
          </cell>
        </row>
        <row r="1830">
          <cell r="F1830">
            <v>315847</v>
          </cell>
          <cell r="G1830" t="str">
            <v>YEFRI ESTUARDO LOPEZ VELASQUEZ</v>
          </cell>
          <cell r="H1830" t="str">
            <v>Espartanos</v>
          </cell>
        </row>
        <row r="1831">
          <cell r="F1831">
            <v>315833</v>
          </cell>
          <cell r="G1831" t="str">
            <v>MARIA DE LOS ANGELES MURALLES MURALLES</v>
          </cell>
          <cell r="H1831">
            <v>0</v>
          </cell>
        </row>
        <row r="1832">
          <cell r="F1832">
            <v>315621</v>
          </cell>
          <cell r="G1832" t="str">
            <v>SAYDA ROCIO JUAREZ SANJAY</v>
          </cell>
          <cell r="H1832">
            <v>0</v>
          </cell>
        </row>
        <row r="1833">
          <cell r="F1833">
            <v>315816</v>
          </cell>
          <cell r="G1833" t="str">
            <v>RANDALL  AREVALO RUIZ</v>
          </cell>
          <cell r="H1833">
            <v>0</v>
          </cell>
        </row>
        <row r="1834">
          <cell r="F1834">
            <v>315692</v>
          </cell>
          <cell r="G1834" t="str">
            <v>Jose David Jimenez Valle</v>
          </cell>
          <cell r="H1834">
            <v>0</v>
          </cell>
        </row>
        <row r="1835">
          <cell r="F1835">
            <v>315801</v>
          </cell>
          <cell r="G1835" t="str">
            <v>YENIFFER GUADALUPE CHIQUIN CARBONELL</v>
          </cell>
          <cell r="H1835">
            <v>0</v>
          </cell>
        </row>
        <row r="1836">
          <cell r="F1836">
            <v>315649</v>
          </cell>
          <cell r="G1836" t="str">
            <v>JOSE LEON CHOGUAJ TOJIN</v>
          </cell>
          <cell r="H1836">
            <v>0</v>
          </cell>
        </row>
        <row r="1837">
          <cell r="F1837">
            <v>315986</v>
          </cell>
          <cell r="G1837" t="str">
            <v>KELVYN AMERICO SOSA OCHOA</v>
          </cell>
          <cell r="H1837" t="str">
            <v>Espartanos</v>
          </cell>
        </row>
        <row r="1838">
          <cell r="F1838">
            <v>315693</v>
          </cell>
          <cell r="G1838" t="str">
            <v>barbara asibinac</v>
          </cell>
          <cell r="H1838">
            <v>0</v>
          </cell>
        </row>
        <row r="1839">
          <cell r="F1839">
            <v>315974</v>
          </cell>
          <cell r="G1839" t="str">
            <v>Ana Victoria Noj Galindo</v>
          </cell>
          <cell r="H1839">
            <v>0</v>
          </cell>
        </row>
        <row r="1840">
          <cell r="F1840">
            <v>316040</v>
          </cell>
          <cell r="G1840" t="str">
            <v>Douglas Armando Flores Mendoza</v>
          </cell>
          <cell r="H1840">
            <v>0</v>
          </cell>
        </row>
        <row r="1841">
          <cell r="F1841">
            <v>315825</v>
          </cell>
          <cell r="G1841" t="str">
            <v>Reina Elizabeth Chacon Vasquez</v>
          </cell>
          <cell r="H1841">
            <v>0</v>
          </cell>
        </row>
        <row r="1842">
          <cell r="F1842">
            <v>315597</v>
          </cell>
          <cell r="G1842" t="str">
            <v>Edgar Jhonatan Contreras Garcia</v>
          </cell>
          <cell r="H1842">
            <v>0</v>
          </cell>
        </row>
        <row r="1843">
          <cell r="F1843">
            <v>316083</v>
          </cell>
          <cell r="G1843" t="str">
            <v>Marlen Erendida Rivas Gonzalez</v>
          </cell>
          <cell r="H1843">
            <v>0</v>
          </cell>
        </row>
        <row r="1844">
          <cell r="F1844">
            <v>315665</v>
          </cell>
          <cell r="G1844" t="str">
            <v>jefferson jose antonio interano solis</v>
          </cell>
          <cell r="H1844">
            <v>0</v>
          </cell>
        </row>
        <row r="1845">
          <cell r="F1845">
            <v>315913</v>
          </cell>
          <cell r="G1845" t="str">
            <v>HERLY SARAI GONZALEZ VELASQUEZ</v>
          </cell>
          <cell r="H1845">
            <v>0</v>
          </cell>
        </row>
        <row r="1846">
          <cell r="F1846">
            <v>315765</v>
          </cell>
          <cell r="G1846" t="str">
            <v>JACQUELINE ESTER PATZAN TZUNUN</v>
          </cell>
          <cell r="H1846">
            <v>0</v>
          </cell>
        </row>
        <row r="1847">
          <cell r="F1847">
            <v>316051</v>
          </cell>
          <cell r="G1847" t="str">
            <v>CHRISTIN ANDREA CASTILLO CALDERON</v>
          </cell>
          <cell r="H1847">
            <v>0</v>
          </cell>
        </row>
        <row r="1848">
          <cell r="F1848">
            <v>315939</v>
          </cell>
          <cell r="G1848" t="str">
            <v>JOSE DAVID BAMACA</v>
          </cell>
          <cell r="H1848">
            <v>0</v>
          </cell>
        </row>
        <row r="1849">
          <cell r="F1849">
            <v>315744</v>
          </cell>
          <cell r="G1849" t="str">
            <v>JACKELINE SUSANA HERRARTE BOCHE</v>
          </cell>
          <cell r="H1849">
            <v>0</v>
          </cell>
        </row>
        <row r="1850">
          <cell r="F1850">
            <v>316187</v>
          </cell>
          <cell r="G1850" t="str">
            <v xml:space="preserve">ADY MICHELLE LOPEZ QUEL </v>
          </cell>
          <cell r="H1850">
            <v>0</v>
          </cell>
        </row>
        <row r="1851">
          <cell r="F1851">
            <v>315786</v>
          </cell>
          <cell r="G1851" t="str">
            <v>EDUARDO ISAIAS HERNANDEZ AMBROCIO</v>
          </cell>
          <cell r="H1851">
            <v>0</v>
          </cell>
        </row>
        <row r="1852">
          <cell r="F1852">
            <v>315803</v>
          </cell>
          <cell r="G1852" t="str">
            <v>DEYVID SAUL OSORIO COLIN</v>
          </cell>
          <cell r="H1852">
            <v>0</v>
          </cell>
        </row>
        <row r="1853">
          <cell r="F1853">
            <v>315893</v>
          </cell>
          <cell r="G1853" t="str">
            <v xml:space="preserve">BRYAN ALEXANDER LAINES MARROQUIN </v>
          </cell>
          <cell r="H1853">
            <v>0</v>
          </cell>
        </row>
        <row r="1854">
          <cell r="F1854">
            <v>315890</v>
          </cell>
          <cell r="G1854" t="str">
            <v>ERICK JOSUE PINEDA CACEROS</v>
          </cell>
          <cell r="H1854">
            <v>0</v>
          </cell>
        </row>
        <row r="1855">
          <cell r="F1855">
            <v>316190</v>
          </cell>
          <cell r="G1855" t="str">
            <v>JOSE MANUEL MELLADO ESQUIBEL</v>
          </cell>
          <cell r="H1855">
            <v>0</v>
          </cell>
        </row>
        <row r="1856">
          <cell r="F1856">
            <v>315843</v>
          </cell>
          <cell r="G1856" t="str">
            <v xml:space="preserve">JENNIFER YESSENIA PEREZ MORALES </v>
          </cell>
          <cell r="H1856">
            <v>0</v>
          </cell>
        </row>
        <row r="1857">
          <cell r="F1857">
            <v>315840</v>
          </cell>
          <cell r="G1857" t="str">
            <v>Cesar David Perez Garrido</v>
          </cell>
          <cell r="H1857">
            <v>0</v>
          </cell>
        </row>
        <row r="1858">
          <cell r="F1858">
            <v>315697</v>
          </cell>
          <cell r="G1858" t="str">
            <v xml:space="preserve">Karen Dayana Xiquin Sanchez </v>
          </cell>
          <cell r="H1858">
            <v>0</v>
          </cell>
        </row>
        <row r="1859">
          <cell r="F1859">
            <v>315946</v>
          </cell>
          <cell r="G1859" t="str">
            <v xml:space="preserve"> MANUEL ADAN SURUY JIMENEZ</v>
          </cell>
          <cell r="H1859">
            <v>0</v>
          </cell>
        </row>
        <row r="1860">
          <cell r="F1860">
            <v>315784</v>
          </cell>
          <cell r="G1860" t="str">
            <v xml:space="preserve">JORGE MARIO SIC </v>
          </cell>
          <cell r="H1860">
            <v>0</v>
          </cell>
        </row>
        <row r="1861">
          <cell r="F1861">
            <v>316001</v>
          </cell>
          <cell r="G1861" t="str">
            <v>WENDY DANIELA CAMEY MATEO</v>
          </cell>
          <cell r="H1861">
            <v>0</v>
          </cell>
        </row>
        <row r="1862">
          <cell r="F1862">
            <v>315777</v>
          </cell>
          <cell r="G1862" t="str">
            <v>Jonatan Mauricio Padilla Marroquin</v>
          </cell>
          <cell r="H1862">
            <v>0</v>
          </cell>
        </row>
        <row r="1863">
          <cell r="F1863">
            <v>315699</v>
          </cell>
          <cell r="G1863" t="str">
            <v>Gualfer Orlando Dieguez Ibanez</v>
          </cell>
          <cell r="H1863">
            <v>0</v>
          </cell>
        </row>
        <row r="1864">
          <cell r="F1864">
            <v>315994</v>
          </cell>
          <cell r="G1864" t="str">
            <v>Edwin Wilfredo Pineda Giron</v>
          </cell>
          <cell r="H1864">
            <v>0</v>
          </cell>
        </row>
        <row r="1865">
          <cell r="F1865">
            <v>315766</v>
          </cell>
          <cell r="G1865" t="str">
            <v>Edgar Omar de Jesus Andrade Monterroso</v>
          </cell>
          <cell r="H1865">
            <v>0</v>
          </cell>
        </row>
        <row r="1866">
          <cell r="F1866">
            <v>315987</v>
          </cell>
          <cell r="G1866" t="str">
            <v>FRANCISCO DANIEL ARGUETA RAMIREZ</v>
          </cell>
          <cell r="H1866">
            <v>0</v>
          </cell>
        </row>
        <row r="1867">
          <cell r="F1867">
            <v>316208</v>
          </cell>
          <cell r="G1867" t="str">
            <v>LEYCER ULICES CANA ANDRADE</v>
          </cell>
          <cell r="H1867">
            <v>0</v>
          </cell>
        </row>
        <row r="1868">
          <cell r="F1868">
            <v>316193</v>
          </cell>
          <cell r="G1868" t="str">
            <v>Maria de Lourdes Leb Nij</v>
          </cell>
          <cell r="H1868">
            <v>0</v>
          </cell>
        </row>
        <row r="1869">
          <cell r="F1869">
            <v>316176</v>
          </cell>
          <cell r="G1869" t="str">
            <v>ROSA ANGELICA ZURDO GONZALEZ</v>
          </cell>
          <cell r="H1869">
            <v>0</v>
          </cell>
        </row>
        <row r="1870">
          <cell r="F1870">
            <v>316293</v>
          </cell>
          <cell r="G1870" t="str">
            <v>LUCIO MOISES CHAVEZ CHAVEZ</v>
          </cell>
          <cell r="H1870" t="str">
            <v>Espartanos</v>
          </cell>
        </row>
        <row r="1871">
          <cell r="F1871">
            <v>316090</v>
          </cell>
          <cell r="G1871" t="str">
            <v>ASTRID SUCELY VELIZ CAAL</v>
          </cell>
          <cell r="H1871">
            <v>0</v>
          </cell>
        </row>
        <row r="1872">
          <cell r="F1872">
            <v>316057</v>
          </cell>
          <cell r="G1872" t="str">
            <v>ROGELIO ARMANDO ACEITUNO HERRERA</v>
          </cell>
          <cell r="H1872">
            <v>0</v>
          </cell>
        </row>
        <row r="1873">
          <cell r="F1873">
            <v>315962</v>
          </cell>
          <cell r="G1873" t="str">
            <v>Jennifer Celeste Delgado Garcia</v>
          </cell>
          <cell r="H1873">
            <v>0</v>
          </cell>
        </row>
        <row r="1874">
          <cell r="F1874">
            <v>316237</v>
          </cell>
          <cell r="G1874" t="str">
            <v>MARIA DEL ROSARIO ESPINOZA CRUZ</v>
          </cell>
          <cell r="H1874">
            <v>0</v>
          </cell>
        </row>
        <row r="1875">
          <cell r="F1875">
            <v>316054</v>
          </cell>
          <cell r="G1875" t="str">
            <v>Kevin Steve Barrera Galicia</v>
          </cell>
          <cell r="H1875">
            <v>0</v>
          </cell>
        </row>
        <row r="1876">
          <cell r="F1876">
            <v>315734</v>
          </cell>
          <cell r="G1876" t="str">
            <v>DULCE MARINA LOPEZ SOLIS</v>
          </cell>
          <cell r="H1876">
            <v>0</v>
          </cell>
        </row>
        <row r="1877">
          <cell r="F1877">
            <v>316098</v>
          </cell>
          <cell r="G1877" t="str">
            <v>KARLA ALEJANDRA CHAVEZ PEÑA</v>
          </cell>
          <cell r="H1877">
            <v>0</v>
          </cell>
        </row>
        <row r="1878">
          <cell r="F1878">
            <v>315679</v>
          </cell>
          <cell r="G1878" t="str">
            <v>ANGELA XIOMARA PONCIANO GONZALEZ</v>
          </cell>
          <cell r="H1878">
            <v>0</v>
          </cell>
        </row>
        <row r="1879">
          <cell r="F1879">
            <v>315769</v>
          </cell>
          <cell r="G1879" t="str">
            <v>URIAS VENANCIO LOPEZ COTON</v>
          </cell>
          <cell r="H1879">
            <v>0</v>
          </cell>
        </row>
        <row r="1880">
          <cell r="F1880">
            <v>316174</v>
          </cell>
          <cell r="G1880" t="str">
            <v>ENRIQUE ALFONSO LOPEZ RAMREZ</v>
          </cell>
          <cell r="H1880">
            <v>0</v>
          </cell>
        </row>
        <row r="1881">
          <cell r="F1881">
            <v>316152</v>
          </cell>
          <cell r="G1881" t="str">
            <v>Yenica Limni López Sebastian</v>
          </cell>
          <cell r="H1881">
            <v>0</v>
          </cell>
        </row>
        <row r="1882">
          <cell r="F1882">
            <v>315882</v>
          </cell>
          <cell r="G1882" t="str">
            <v>RUTH ANAI GOMEZ RAMIREZ</v>
          </cell>
          <cell r="H1882">
            <v>0</v>
          </cell>
        </row>
        <row r="1883">
          <cell r="F1883">
            <v>316241</v>
          </cell>
          <cell r="G1883" t="str">
            <v>ALLAN ESMAYLIN CABRERA PEREZ</v>
          </cell>
          <cell r="H1883">
            <v>0</v>
          </cell>
        </row>
        <row r="1884">
          <cell r="F1884">
            <v>315651</v>
          </cell>
          <cell r="G1884" t="str">
            <v>WALTER EDUARDO RODAS RIOS</v>
          </cell>
          <cell r="H1884">
            <v>0</v>
          </cell>
        </row>
        <row r="1885">
          <cell r="F1885">
            <v>316011</v>
          </cell>
          <cell r="G1885" t="str">
            <v>KEVIN MAUEL PEREZ OROZCO</v>
          </cell>
          <cell r="H1885">
            <v>0</v>
          </cell>
        </row>
        <row r="1886">
          <cell r="F1886">
            <v>316263</v>
          </cell>
          <cell r="G1886" t="str">
            <v>LUIS FERNANDO LOPEZ VASQUEZ</v>
          </cell>
          <cell r="H1886" t="str">
            <v>Elements</v>
          </cell>
        </row>
        <row r="1887">
          <cell r="F1887">
            <v>315661</v>
          </cell>
          <cell r="G1887" t="str">
            <v>MIGUEL ANGEL MENDEZ JUAREZ</v>
          </cell>
          <cell r="H1887">
            <v>0</v>
          </cell>
        </row>
        <row r="1888">
          <cell r="F1888">
            <v>316060</v>
          </cell>
          <cell r="G1888" t="str">
            <v>CARLOS ENRIQUE SOSA HERNANDEZ</v>
          </cell>
          <cell r="H1888">
            <v>0</v>
          </cell>
        </row>
        <row r="1889">
          <cell r="F1889">
            <v>315992</v>
          </cell>
          <cell r="G1889" t="str">
            <v>LISBETH VICTORIA GARCIA</v>
          </cell>
          <cell r="H1889">
            <v>0</v>
          </cell>
        </row>
        <row r="1890">
          <cell r="F1890">
            <v>316191</v>
          </cell>
          <cell r="G1890" t="str">
            <v>Katerin Mishel Acosta Lobos</v>
          </cell>
          <cell r="H1890">
            <v>0</v>
          </cell>
        </row>
        <row r="1891">
          <cell r="F1891">
            <v>316294</v>
          </cell>
          <cell r="G1891" t="str">
            <v>Carmen Fernanda Ramos Jimenez</v>
          </cell>
          <cell r="H1891">
            <v>0</v>
          </cell>
        </row>
        <row r="1892">
          <cell r="F1892">
            <v>90012428</v>
          </cell>
          <cell r="G1892" t="str">
            <v>Lesly Alejandra Urbina Chojolan</v>
          </cell>
          <cell r="H1892">
            <v>0</v>
          </cell>
        </row>
        <row r="1893">
          <cell r="F1893">
            <v>90013944</v>
          </cell>
          <cell r="G1893" t="str">
            <v>KARLA ROSARIO MARTINEZ SOTO</v>
          </cell>
          <cell r="H1893">
            <v>0</v>
          </cell>
        </row>
        <row r="1894">
          <cell r="F1894">
            <v>316240</v>
          </cell>
          <cell r="G1894" t="str">
            <v>WILMER GUILLERMO PEREZ CHAY</v>
          </cell>
          <cell r="H1894">
            <v>0</v>
          </cell>
        </row>
        <row r="1895">
          <cell r="F1895">
            <v>90014151</v>
          </cell>
          <cell r="G1895" t="str">
            <v>ANDERSON NOE MORALES MARROQUIN</v>
          </cell>
          <cell r="H1895">
            <v>0</v>
          </cell>
        </row>
        <row r="1896">
          <cell r="F1896">
            <v>90013720</v>
          </cell>
          <cell r="G1896" t="str">
            <v>OBED DANIEL RAMIREZ FUENTES</v>
          </cell>
          <cell r="H1896">
            <v>0</v>
          </cell>
        </row>
        <row r="1897">
          <cell r="F1897">
            <v>90012315</v>
          </cell>
          <cell r="G1897" t="str">
            <v>Lorenzo Antonio Herrera Tobar</v>
          </cell>
          <cell r="H1897">
            <v>0</v>
          </cell>
        </row>
        <row r="1898">
          <cell r="F1898">
            <v>90013833</v>
          </cell>
          <cell r="G1898" t="str">
            <v>Melane Alejandra Contreras Sicajan</v>
          </cell>
          <cell r="H1898">
            <v>0</v>
          </cell>
        </row>
        <row r="1899">
          <cell r="F1899">
            <v>90018997</v>
          </cell>
          <cell r="G1899" t="str">
            <v>Daniel Uvaldo Barreno Meneses</v>
          </cell>
          <cell r="H1899" t="str">
            <v>Elements</v>
          </cell>
        </row>
        <row r="1900">
          <cell r="F1900">
            <v>90014269</v>
          </cell>
          <cell r="G1900" t="str">
            <v>Lusvin Ariel Villacinda Flores</v>
          </cell>
          <cell r="H1900">
            <v>0</v>
          </cell>
        </row>
        <row r="1901">
          <cell r="F1901" t="str">
            <v>N/A</v>
          </cell>
          <cell r="G1901" t="str">
            <v>N/A</v>
          </cell>
          <cell r="H1901">
            <v>0</v>
          </cell>
        </row>
        <row r="1902">
          <cell r="F1902">
            <v>90014281</v>
          </cell>
          <cell r="G1902" t="str">
            <v>MARIO EMANUEL DE JESUS MENDOZA</v>
          </cell>
          <cell r="H1902">
            <v>0</v>
          </cell>
        </row>
        <row r="1903">
          <cell r="F1903">
            <v>90019660</v>
          </cell>
          <cell r="G1903" t="str">
            <v>MONICA ILDUARA LIMA</v>
          </cell>
          <cell r="H1903">
            <v>0</v>
          </cell>
        </row>
        <row r="1904">
          <cell r="F1904">
            <v>90018838</v>
          </cell>
          <cell r="G1904" t="str">
            <v>PERLA ESPERANZA ORDONEZ ZULETA</v>
          </cell>
          <cell r="H1904">
            <v>0</v>
          </cell>
        </row>
        <row r="1905">
          <cell r="F1905">
            <v>90013719</v>
          </cell>
          <cell r="G1905" t="str">
            <v>MONICA CAROLINA LIMA CIFUENTES</v>
          </cell>
          <cell r="H1905">
            <v>0</v>
          </cell>
        </row>
        <row r="1906">
          <cell r="F1906">
            <v>90019011</v>
          </cell>
          <cell r="G1906" t="str">
            <v>ANGEL JOEL CASTRO COSAJAY</v>
          </cell>
          <cell r="H1906">
            <v>0</v>
          </cell>
        </row>
        <row r="1907">
          <cell r="F1907">
            <v>90019588</v>
          </cell>
          <cell r="G1907" t="str">
            <v>SANDRA MARIELA LÓPEZ MARROQUÍN</v>
          </cell>
          <cell r="H1907">
            <v>0</v>
          </cell>
        </row>
        <row r="1908">
          <cell r="F1908">
            <v>90019689</v>
          </cell>
          <cell r="G1908" t="str">
            <v xml:space="preserve">HELEN YADIRA DE LEON QUIÑONEZ </v>
          </cell>
          <cell r="H1908" t="str">
            <v>Phoenix</v>
          </cell>
        </row>
        <row r="1909">
          <cell r="F1909">
            <v>90024021</v>
          </cell>
          <cell r="G1909" t="str">
            <v>MANUEL MEJIA AYERDI</v>
          </cell>
          <cell r="H1909" t="str">
            <v>Espartanos</v>
          </cell>
        </row>
        <row r="1910">
          <cell r="F1910">
            <v>90013782</v>
          </cell>
          <cell r="G1910" t="str">
            <v>Williams Jose Galvez Jordan</v>
          </cell>
          <cell r="H1910">
            <v>0</v>
          </cell>
        </row>
        <row r="1911">
          <cell r="F1911">
            <v>90024411</v>
          </cell>
          <cell r="G1911" t="str">
            <v>DINA ELIZABETH GARRIDO ALVAREZ</v>
          </cell>
          <cell r="H1911">
            <v>0</v>
          </cell>
        </row>
        <row r="1912">
          <cell r="F1912">
            <v>90024370</v>
          </cell>
          <cell r="G1912" t="str">
            <v>Marilin Yasmin Godoy Morataya</v>
          </cell>
          <cell r="H1912">
            <v>0</v>
          </cell>
        </row>
        <row r="1913">
          <cell r="F1913">
            <v>90024235</v>
          </cell>
          <cell r="G1913" t="str">
            <v>JASON ALBERTO BOLAÑOS GUTIERREZ</v>
          </cell>
          <cell r="H1913">
            <v>0</v>
          </cell>
        </row>
        <row r="1914">
          <cell r="F1914">
            <v>90028187</v>
          </cell>
          <cell r="G1914" t="str">
            <v>MIRELLI RAMIREZ GARCIA</v>
          </cell>
          <cell r="H1914">
            <v>0</v>
          </cell>
        </row>
        <row r="1915">
          <cell r="F1915">
            <v>90025289</v>
          </cell>
          <cell r="G1915" t="str">
            <v>DIEGO ALEJANDRO DONIS JUAREZ</v>
          </cell>
          <cell r="H1915" t="str">
            <v>Elements</v>
          </cell>
        </row>
        <row r="1916">
          <cell r="F1916">
            <v>90028608</v>
          </cell>
          <cell r="G1916" t="str">
            <v>ERLIN ROBERTO XEC ANGULO</v>
          </cell>
          <cell r="H1916">
            <v>0</v>
          </cell>
        </row>
        <row r="1917">
          <cell r="F1917">
            <v>90028491</v>
          </cell>
          <cell r="G1917" t="str">
            <v xml:space="preserve">ADOLFO RAFAEL SEGOVIA QUEZADA </v>
          </cell>
          <cell r="H1917">
            <v>0</v>
          </cell>
        </row>
        <row r="1918">
          <cell r="F1918">
            <v>90024419</v>
          </cell>
          <cell r="G1918" t="str">
            <v>HELEN JASSMIN REYES PALACIOS</v>
          </cell>
          <cell r="H1918">
            <v>0</v>
          </cell>
        </row>
        <row r="1919">
          <cell r="F1919">
            <v>90028606</v>
          </cell>
          <cell r="G1919" t="str">
            <v>Laura Angelica Lux Tzunun</v>
          </cell>
          <cell r="H1919">
            <v>0</v>
          </cell>
        </row>
        <row r="1920">
          <cell r="F1920">
            <v>90028496</v>
          </cell>
          <cell r="G1920" t="str">
            <v>SORAYDA BETZAI CHAVEZ</v>
          </cell>
          <cell r="H1920">
            <v>0</v>
          </cell>
        </row>
        <row r="1921">
          <cell r="F1921">
            <v>90024632</v>
          </cell>
          <cell r="G1921" t="str">
            <v xml:space="preserve">ERICKA SANDOVAL </v>
          </cell>
          <cell r="H1921">
            <v>0</v>
          </cell>
        </row>
        <row r="1922">
          <cell r="F1922">
            <v>90025666</v>
          </cell>
          <cell r="G1922" t="str">
            <v>PAULY MARTINA TOJ</v>
          </cell>
        </row>
        <row r="1923">
          <cell r="F1923">
            <v>90027918</v>
          </cell>
          <cell r="G1923" t="str">
            <v>GERBER ALEXANDER SAGUACHE BENITO</v>
          </cell>
        </row>
        <row r="1924">
          <cell r="F1924">
            <v>90027845</v>
          </cell>
          <cell r="G1924" t="str">
            <v>SHIRLEY DAYANA RAMIREZ GALLARDO</v>
          </cell>
        </row>
        <row r="1925">
          <cell r="F1925">
            <v>90027868</v>
          </cell>
          <cell r="G1925" t="str">
            <v>ASHLY ANABELLA RAYMUNDO GONZALEZ</v>
          </cell>
        </row>
        <row r="1926">
          <cell r="F1926">
            <v>90028292</v>
          </cell>
          <cell r="G1926" t="str">
            <v>JULISSA CRISTIANY ESCOBAR ACEITUNO</v>
          </cell>
        </row>
        <row r="1927">
          <cell r="F1927">
            <v>90025620</v>
          </cell>
          <cell r="G1927" t="str">
            <v>ANA LUISA JIMENEZ CORADO</v>
          </cell>
        </row>
        <row r="1928">
          <cell r="F1928">
            <v>315856</v>
          </cell>
          <cell r="G1928" t="str">
            <v>TERESA CAROLINA PRIMERO JALAL</v>
          </cell>
        </row>
        <row r="1929">
          <cell r="F1929">
            <v>316023</v>
          </cell>
          <cell r="G1929" t="str">
            <v>MARIA ANGELICA TRUJILLO CORONADO DE ANDRADE</v>
          </cell>
        </row>
        <row r="1930">
          <cell r="F1930">
            <v>315925</v>
          </cell>
          <cell r="G1930" t="str">
            <v>JOSTHYN RAUL PARDO OBREGON</v>
          </cell>
        </row>
        <row r="1931">
          <cell r="F1931">
            <v>315841</v>
          </cell>
          <cell r="G1931" t="str">
            <v>LESBIA ROXANA ROJAS CASTRO</v>
          </cell>
        </row>
        <row r="1932">
          <cell r="F1932">
            <v>314692</v>
          </cell>
          <cell r="G1932" t="str">
            <v>Abi Susana Santos Alvarado</v>
          </cell>
        </row>
        <row r="1933">
          <cell r="F1933">
            <v>313537</v>
          </cell>
          <cell r="G1933" t="str">
            <v>Abigail Nohemi Letona Lopez</v>
          </cell>
        </row>
        <row r="1934">
          <cell r="F1934">
            <v>314163</v>
          </cell>
          <cell r="G1934" t="str">
            <v>Abner Amilcar Miguel Pedro</v>
          </cell>
        </row>
        <row r="1935">
          <cell r="F1935">
            <v>300544</v>
          </cell>
          <cell r="G1935" t="str">
            <v>Abner Enmanuel Perez Rodriguez</v>
          </cell>
        </row>
        <row r="1936">
          <cell r="F1936">
            <v>315208</v>
          </cell>
          <cell r="G1936" t="str">
            <v>Abner Juan Alexander Menchu Tiu</v>
          </cell>
        </row>
        <row r="1937">
          <cell r="F1937">
            <v>315069</v>
          </cell>
          <cell r="G1937" t="str">
            <v>Abner Rocael Sosa Escobar</v>
          </cell>
        </row>
        <row r="1938">
          <cell r="F1938">
            <v>310864</v>
          </cell>
          <cell r="G1938" t="str">
            <v>Adelaida Garcia Hernandez</v>
          </cell>
        </row>
        <row r="1939">
          <cell r="F1939">
            <v>314604</v>
          </cell>
          <cell r="G1939" t="str">
            <v>Adieny Moren Ramirez Gamboa</v>
          </cell>
        </row>
        <row r="1940">
          <cell r="F1940">
            <v>311687</v>
          </cell>
          <cell r="G1940" t="str">
            <v>Aida Gabriela De Leon Carrascoza</v>
          </cell>
        </row>
        <row r="1941">
          <cell r="F1941">
            <v>315221</v>
          </cell>
          <cell r="G1941" t="str">
            <v>Alan David Perez Muyus</v>
          </cell>
        </row>
        <row r="1942">
          <cell r="F1942">
            <v>311950</v>
          </cell>
          <cell r="G1942" t="str">
            <v>Alan Javier Castillo Ordoñez</v>
          </cell>
        </row>
        <row r="1943">
          <cell r="F1943">
            <v>313765</v>
          </cell>
          <cell r="G1943" t="str">
            <v>Alan Ricardo Flores Diaz</v>
          </cell>
        </row>
        <row r="1944">
          <cell r="F1944">
            <v>314840</v>
          </cell>
          <cell r="G1944" t="str">
            <v>Alba Andrea Perez Hernandez</v>
          </cell>
        </row>
        <row r="1945">
          <cell r="F1945">
            <v>312686</v>
          </cell>
          <cell r="G1945" t="str">
            <v>Alba Azucena Santeliz Marin</v>
          </cell>
        </row>
        <row r="1946">
          <cell r="F1946">
            <v>313531</v>
          </cell>
          <cell r="G1946" t="str">
            <v>Alejandra Gramajo Marroquin</v>
          </cell>
        </row>
        <row r="1947">
          <cell r="F1947">
            <v>313714</v>
          </cell>
          <cell r="G1947" t="str">
            <v>Alejandra Julissa Solis Aguilar</v>
          </cell>
        </row>
        <row r="1948">
          <cell r="F1948">
            <v>313994</v>
          </cell>
          <cell r="G1948" t="str">
            <v>Alejandra Naime Muñoz Letona</v>
          </cell>
        </row>
        <row r="1949">
          <cell r="F1949">
            <v>314849</v>
          </cell>
          <cell r="G1949" t="str">
            <v>Alejandro Enrique Mejicanos Ramos</v>
          </cell>
        </row>
        <row r="1950">
          <cell r="F1950">
            <v>315220</v>
          </cell>
          <cell r="G1950" t="str">
            <v>Alejandro Jose Mont Diaz</v>
          </cell>
        </row>
        <row r="1951">
          <cell r="F1951">
            <v>311810</v>
          </cell>
          <cell r="G1951" t="str">
            <v>Alexander Macario Gonzalez Monterroso</v>
          </cell>
        </row>
        <row r="1952">
          <cell r="F1952">
            <v>300907</v>
          </cell>
          <cell r="G1952" t="str">
            <v>Alexangel Quan Urrutia</v>
          </cell>
        </row>
        <row r="1953">
          <cell r="F1953">
            <v>312962</v>
          </cell>
          <cell r="G1953" t="str">
            <v>Alexia Paola Marroquin Lopez</v>
          </cell>
        </row>
        <row r="1954">
          <cell r="F1954">
            <v>314671</v>
          </cell>
          <cell r="G1954" t="str">
            <v>Alexsandra Daniela Cano Garcia</v>
          </cell>
        </row>
        <row r="1955">
          <cell r="F1955">
            <v>311103</v>
          </cell>
          <cell r="G1955" t="str">
            <v>Alfredo Chiyal Bocel</v>
          </cell>
        </row>
        <row r="1956">
          <cell r="F1956">
            <v>311576</v>
          </cell>
          <cell r="G1956" t="str">
            <v>Alfredo Gomez Lancerio</v>
          </cell>
        </row>
        <row r="1957">
          <cell r="F1957">
            <v>313014</v>
          </cell>
          <cell r="G1957" t="str">
            <v>Alfredo Monsanto Santos</v>
          </cell>
        </row>
        <row r="1958">
          <cell r="F1958">
            <v>315223</v>
          </cell>
          <cell r="G1958" t="str">
            <v>Alicia Magaly Juarez Quiacain</v>
          </cell>
        </row>
        <row r="1959">
          <cell r="F1959">
            <v>314035</v>
          </cell>
          <cell r="G1959" t="str">
            <v>Alisson Andrea Jacobo Castro</v>
          </cell>
        </row>
        <row r="1960">
          <cell r="F1960">
            <v>315214</v>
          </cell>
          <cell r="G1960" t="str">
            <v>Allan David Galdamez De Leon</v>
          </cell>
        </row>
        <row r="1961">
          <cell r="F1961">
            <v>306902</v>
          </cell>
          <cell r="G1961" t="str">
            <v>Allan Kalleb Garcia Cahuex</v>
          </cell>
        </row>
        <row r="1962">
          <cell r="F1962">
            <v>315434</v>
          </cell>
          <cell r="G1962" t="str">
            <v>Alma Carolina Herrera Pirir</v>
          </cell>
        </row>
        <row r="1963">
          <cell r="F1963">
            <v>315280</v>
          </cell>
          <cell r="G1963" t="str">
            <v>Alma Rosa Valle Blandon</v>
          </cell>
        </row>
        <row r="1964">
          <cell r="F1964">
            <v>302247</v>
          </cell>
          <cell r="G1964" t="str">
            <v>Alma Yecenia Ramon Oroxon</v>
          </cell>
        </row>
        <row r="1965">
          <cell r="F1965">
            <v>310433</v>
          </cell>
          <cell r="G1965" t="str">
            <v>Alma Zucely Sarceño Peralta</v>
          </cell>
        </row>
        <row r="1966">
          <cell r="F1966">
            <v>313286</v>
          </cell>
          <cell r="G1966" t="str">
            <v>Alvaro Fernando Acte Mérida</v>
          </cell>
        </row>
        <row r="1967">
          <cell r="F1967">
            <v>313119</v>
          </cell>
          <cell r="G1967" t="str">
            <v>Alvaro Luis Carias Gonzalez</v>
          </cell>
        </row>
        <row r="1968">
          <cell r="F1968">
            <v>313528</v>
          </cell>
          <cell r="G1968" t="str">
            <v>Amairani Lilibeth Escobar Maquin</v>
          </cell>
        </row>
        <row r="1969">
          <cell r="F1969">
            <v>309338</v>
          </cell>
          <cell r="G1969" t="str">
            <v>Amalia Rebeca Son Juarez</v>
          </cell>
        </row>
        <row r="1970">
          <cell r="F1970">
            <v>309664</v>
          </cell>
          <cell r="G1970" t="str">
            <v>Amarilis Sarita Ajtun Lopez</v>
          </cell>
        </row>
        <row r="1971">
          <cell r="F1971">
            <v>309337</v>
          </cell>
          <cell r="G1971" t="str">
            <v>Amauri Santillano Catalan</v>
          </cell>
        </row>
        <row r="1972">
          <cell r="F1972">
            <v>315553</v>
          </cell>
          <cell r="G1972" t="str">
            <v>Amed Isram Rodas Garcia</v>
          </cell>
        </row>
        <row r="1973">
          <cell r="F1973">
            <v>301503</v>
          </cell>
          <cell r="G1973" t="str">
            <v>America Romilia Martinez Ramirez</v>
          </cell>
        </row>
        <row r="1974">
          <cell r="F1974">
            <v>311055</v>
          </cell>
          <cell r="G1974" t="str">
            <v>Amram Dodanim Lopez Cahuec</v>
          </cell>
        </row>
        <row r="1975">
          <cell r="F1975">
            <v>307790</v>
          </cell>
          <cell r="G1975" t="str">
            <v>Ana Cecilia Navichoc Chiquival</v>
          </cell>
        </row>
        <row r="1976">
          <cell r="F1976">
            <v>315044</v>
          </cell>
          <cell r="G1976" t="str">
            <v>Ana Celeste Garcia Garcia</v>
          </cell>
        </row>
        <row r="1977">
          <cell r="F1977">
            <v>309527</v>
          </cell>
          <cell r="G1977" t="str">
            <v>Ana Gabriela Caal Cruz</v>
          </cell>
        </row>
        <row r="1978">
          <cell r="F1978">
            <v>313217</v>
          </cell>
          <cell r="G1978" t="str">
            <v>Ana Gabriela Damian Ixbalan</v>
          </cell>
        </row>
        <row r="1979">
          <cell r="F1979">
            <v>305932</v>
          </cell>
          <cell r="G1979" t="str">
            <v>Ana Gabriela De La Cruz Aguilar</v>
          </cell>
        </row>
        <row r="1980">
          <cell r="F1980">
            <v>314984</v>
          </cell>
          <cell r="G1980" t="str">
            <v>Ana Gabriela Equite Diaz</v>
          </cell>
        </row>
        <row r="1981">
          <cell r="F1981">
            <v>307751</v>
          </cell>
          <cell r="G1981" t="str">
            <v>Ana Gabriela Gonzalez Herrera</v>
          </cell>
        </row>
        <row r="1982">
          <cell r="F1982">
            <v>310329</v>
          </cell>
          <cell r="G1982" t="str">
            <v>Ana Leticia Lux Say</v>
          </cell>
        </row>
        <row r="1983">
          <cell r="F1983">
            <v>311761</v>
          </cell>
          <cell r="G1983" t="str">
            <v>Ana Lourdes Muñoz Pensamiento</v>
          </cell>
        </row>
        <row r="1984">
          <cell r="F1984">
            <v>311111</v>
          </cell>
          <cell r="G1984" t="str">
            <v>Ana Lucia Donis Franco</v>
          </cell>
        </row>
        <row r="1985">
          <cell r="F1985">
            <v>313991</v>
          </cell>
          <cell r="G1985" t="str">
            <v>Ana Lucia Gudiel Vasquez</v>
          </cell>
        </row>
        <row r="1986">
          <cell r="F1986">
            <v>307442</v>
          </cell>
          <cell r="G1986" t="str">
            <v>Ana Lucia Ramirez Aquino</v>
          </cell>
        </row>
        <row r="1987">
          <cell r="F1987">
            <v>306767</v>
          </cell>
          <cell r="G1987" t="str">
            <v>Ana Marcela Castillo Rodriguez</v>
          </cell>
        </row>
        <row r="1988">
          <cell r="F1988">
            <v>312249</v>
          </cell>
          <cell r="G1988" t="str">
            <v>Ana Margarita Barrera Estrada</v>
          </cell>
        </row>
        <row r="1989">
          <cell r="F1989">
            <v>202795</v>
          </cell>
          <cell r="G1989" t="str">
            <v>Ana Maria Barrios Alejos</v>
          </cell>
        </row>
        <row r="1990">
          <cell r="F1990">
            <v>315474</v>
          </cell>
          <cell r="G1990" t="str">
            <v>Ana Merced Arriola Gomez</v>
          </cell>
        </row>
        <row r="1991">
          <cell r="F1991">
            <v>308129</v>
          </cell>
          <cell r="G1991" t="str">
            <v>Ana Mercedes Tiul Caal</v>
          </cell>
        </row>
        <row r="1992">
          <cell r="F1992">
            <v>314191</v>
          </cell>
          <cell r="G1992" t="str">
            <v>Ana Patricia Escobar Cardona</v>
          </cell>
        </row>
        <row r="1993">
          <cell r="F1993">
            <v>310191</v>
          </cell>
          <cell r="G1993" t="str">
            <v>Ana Paulina Macario Del Cid</v>
          </cell>
        </row>
        <row r="1994">
          <cell r="F1994">
            <v>310728</v>
          </cell>
          <cell r="G1994" t="str">
            <v>Ana Rita Morales Mata</v>
          </cell>
        </row>
        <row r="1995">
          <cell r="F1995">
            <v>314469</v>
          </cell>
          <cell r="G1995" t="str">
            <v>Ana Sofia Castillo Armas</v>
          </cell>
        </row>
        <row r="1996">
          <cell r="F1996">
            <v>312945</v>
          </cell>
          <cell r="G1996" t="str">
            <v>Ana Victoria Gonzalez Garcia</v>
          </cell>
        </row>
        <row r="1997">
          <cell r="F1997">
            <v>314019</v>
          </cell>
          <cell r="G1997" t="str">
            <v>Anali Guadalupe Salazar Rodriguez</v>
          </cell>
        </row>
        <row r="1998">
          <cell r="F1998">
            <v>315372</v>
          </cell>
          <cell r="G1998" t="str">
            <v>Andrea Ayalett Ochoa Lopez</v>
          </cell>
        </row>
        <row r="1999">
          <cell r="F1999">
            <v>311505</v>
          </cell>
          <cell r="G1999" t="str">
            <v>Andrea Dayana Ordoñez Mendez</v>
          </cell>
        </row>
        <row r="2000">
          <cell r="F2000">
            <v>315215</v>
          </cell>
          <cell r="G2000" t="str">
            <v>Andrea Fernanda Villela Hernandez</v>
          </cell>
        </row>
        <row r="2001">
          <cell r="F2001">
            <v>311380</v>
          </cell>
          <cell r="G2001" t="str">
            <v>Andrea Lisbeth Ruiz Rodas</v>
          </cell>
        </row>
        <row r="2002">
          <cell r="F2002">
            <v>311137</v>
          </cell>
          <cell r="G2002" t="str">
            <v>Andrea Lucia Lopez Ajin</v>
          </cell>
        </row>
        <row r="2003">
          <cell r="F2003">
            <v>303012</v>
          </cell>
          <cell r="G2003" t="str">
            <v>Andrea Marbely Letran Juarez</v>
          </cell>
        </row>
        <row r="2004">
          <cell r="F2004">
            <v>315264</v>
          </cell>
          <cell r="G2004" t="str">
            <v>Andrea Margarita Gomez Morales</v>
          </cell>
        </row>
        <row r="2005">
          <cell r="F2005">
            <v>302630</v>
          </cell>
          <cell r="G2005" t="str">
            <v>Andrea Maria Alvarez Calderon</v>
          </cell>
        </row>
        <row r="2006">
          <cell r="F2006">
            <v>314057</v>
          </cell>
          <cell r="G2006" t="str">
            <v>Andrea Michelle Urbina Solorzano</v>
          </cell>
        </row>
        <row r="2007">
          <cell r="F2007">
            <v>312310</v>
          </cell>
          <cell r="G2007" t="str">
            <v>Andrea Paola Santisteban Per</v>
          </cell>
        </row>
        <row r="2008">
          <cell r="F2008">
            <v>311079</v>
          </cell>
          <cell r="G2008" t="str">
            <v>Andrea Sucely Ortiz Villavicencio</v>
          </cell>
        </row>
        <row r="2009">
          <cell r="F2009">
            <v>311759</v>
          </cell>
          <cell r="G2009" t="str">
            <v>Andrea Yesenia Carpio Ramirez</v>
          </cell>
        </row>
        <row r="2010">
          <cell r="F2010">
            <v>313301</v>
          </cell>
          <cell r="G2010" t="str">
            <v>Andreina Antonieta Velasquez Fuentes</v>
          </cell>
        </row>
        <row r="2011">
          <cell r="F2011">
            <v>315450</v>
          </cell>
          <cell r="G2011" t="str">
            <v>Andreina Nataly Canahui Ochoa</v>
          </cell>
        </row>
        <row r="2012">
          <cell r="F2012">
            <v>314933</v>
          </cell>
          <cell r="G2012" t="str">
            <v>Angel Eliu Humberto Caal Lopez</v>
          </cell>
        </row>
        <row r="2013">
          <cell r="F2013">
            <v>306471</v>
          </cell>
          <cell r="G2013" t="str">
            <v>Angel Enmanuel Quim Macz</v>
          </cell>
        </row>
        <row r="2014">
          <cell r="F2014">
            <v>309415</v>
          </cell>
          <cell r="G2014" t="str">
            <v>Angel Jose Figueroa Garcia</v>
          </cell>
        </row>
        <row r="2015">
          <cell r="F2015">
            <v>315312</v>
          </cell>
          <cell r="G2015" t="str">
            <v>Angel Josue Ortiz De Leon</v>
          </cell>
        </row>
        <row r="2016">
          <cell r="F2016">
            <v>305814</v>
          </cell>
          <cell r="G2016" t="str">
            <v>Angel Josue Perez Rivera</v>
          </cell>
        </row>
        <row r="2017">
          <cell r="F2017">
            <v>314564</v>
          </cell>
          <cell r="G2017" t="str">
            <v>Angel Raderyk Vasquez Ovando</v>
          </cell>
        </row>
        <row r="2018">
          <cell r="F2018">
            <v>312055</v>
          </cell>
          <cell r="G2018" t="str">
            <v>Angela Daniela Mazariegos Herrera</v>
          </cell>
        </row>
        <row r="2019">
          <cell r="F2019">
            <v>311086</v>
          </cell>
          <cell r="G2019" t="str">
            <v>Angela Esmeralda Reyes Arriaza</v>
          </cell>
        </row>
        <row r="2020">
          <cell r="F2020">
            <v>309859</v>
          </cell>
          <cell r="G2020" t="str">
            <v>Angela Ester Gramajo Galicia</v>
          </cell>
        </row>
        <row r="2021">
          <cell r="F2021">
            <v>315026</v>
          </cell>
          <cell r="G2021" t="str">
            <v>Angela Marizol Ramon Escobar</v>
          </cell>
        </row>
        <row r="2022">
          <cell r="F2022">
            <v>314696</v>
          </cell>
          <cell r="G2022" t="str">
            <v>Angelica Sol Ortiz</v>
          </cell>
        </row>
        <row r="2023">
          <cell r="F2023">
            <v>311699</v>
          </cell>
          <cell r="G2023" t="str">
            <v>Anika Beira Domingo Escobar</v>
          </cell>
        </row>
        <row r="2024">
          <cell r="F2024">
            <v>315556</v>
          </cell>
          <cell r="G2024" t="str">
            <v>Anthony Enrique Castellanos Perez</v>
          </cell>
        </row>
        <row r="2025">
          <cell r="F2025">
            <v>315121</v>
          </cell>
          <cell r="G2025" t="str">
            <v>Antoni Alexis Del Cid Sian</v>
          </cell>
        </row>
        <row r="2026">
          <cell r="F2026">
            <v>311557</v>
          </cell>
          <cell r="G2026" t="str">
            <v>Aracely Nohemy Fuentes Alonzo</v>
          </cell>
        </row>
        <row r="2027">
          <cell r="F2027">
            <v>102256</v>
          </cell>
          <cell r="G2027" t="str">
            <v>Arelis Noemi Gonzalez Vivar</v>
          </cell>
        </row>
        <row r="2028">
          <cell r="F2028">
            <v>315150</v>
          </cell>
          <cell r="G2028" t="str">
            <v>Arely Maoly Aguilar Y Aguilar</v>
          </cell>
        </row>
        <row r="2029">
          <cell r="F2029">
            <v>309908</v>
          </cell>
          <cell r="G2029" t="str">
            <v>Arleth Julissa Paredez Ramirez</v>
          </cell>
        </row>
        <row r="2030">
          <cell r="F2030">
            <v>315532</v>
          </cell>
          <cell r="G2030" t="str">
            <v>Ashley Dayana Franco Sandoval</v>
          </cell>
        </row>
        <row r="2031">
          <cell r="F2031">
            <v>315493</v>
          </cell>
          <cell r="G2031" t="str">
            <v>Astrid Carolina Lopez Lopez</v>
          </cell>
        </row>
        <row r="2032">
          <cell r="F2032">
            <v>310020</v>
          </cell>
          <cell r="G2032" t="str">
            <v>Astrid Elena Alvarado Lopez</v>
          </cell>
        </row>
        <row r="2033">
          <cell r="F2033">
            <v>315277</v>
          </cell>
          <cell r="G2033" t="str">
            <v>Astrid Guadalupe Fernandez Perez</v>
          </cell>
        </row>
        <row r="2034">
          <cell r="F2034">
            <v>310483</v>
          </cell>
          <cell r="G2034" t="str">
            <v>Astrid Ivone Hernandez</v>
          </cell>
        </row>
        <row r="2035">
          <cell r="F2035">
            <v>309804</v>
          </cell>
          <cell r="G2035" t="str">
            <v>Astrid Leonela Barrios Velasquez</v>
          </cell>
        </row>
        <row r="2036">
          <cell r="F2036">
            <v>312146</v>
          </cell>
          <cell r="G2036" t="str">
            <v>Astrid Lisbeth Morales Morales</v>
          </cell>
        </row>
        <row r="2037">
          <cell r="F2037">
            <v>310967</v>
          </cell>
          <cell r="G2037" t="str">
            <v>Astrid Marielena Mendez Garcia</v>
          </cell>
        </row>
        <row r="2038">
          <cell r="F2038">
            <v>311328</v>
          </cell>
          <cell r="G2038" t="str">
            <v>Astrid Yohana Escobar Oliva</v>
          </cell>
        </row>
        <row r="2039">
          <cell r="F2039">
            <v>314277</v>
          </cell>
          <cell r="G2039" t="str">
            <v>Aura Josefina Coy Tiul</v>
          </cell>
        </row>
        <row r="2040">
          <cell r="F2040">
            <v>202265</v>
          </cell>
          <cell r="G2040" t="str">
            <v>Aura Leticia Aparicio Marin</v>
          </cell>
        </row>
        <row r="2041">
          <cell r="F2041">
            <v>314986</v>
          </cell>
          <cell r="G2041" t="str">
            <v>Aura Lourdes Garcia Gomez</v>
          </cell>
        </row>
        <row r="2042">
          <cell r="F2042">
            <v>314350</v>
          </cell>
          <cell r="G2042" t="str">
            <v>Aura Mirthala Castillo Castillo</v>
          </cell>
        </row>
        <row r="2043">
          <cell r="F2043">
            <v>313666</v>
          </cell>
          <cell r="G2043" t="str">
            <v>Avner Josue Merida Molina</v>
          </cell>
        </row>
        <row r="2044">
          <cell r="F2044">
            <v>315388</v>
          </cell>
          <cell r="G2044" t="str">
            <v>Axel Anderson Montufar Roca</v>
          </cell>
        </row>
        <row r="2045">
          <cell r="F2045">
            <v>314730</v>
          </cell>
          <cell r="G2045" t="str">
            <v>Axel Denilson Hernandez Tocay</v>
          </cell>
        </row>
        <row r="2046">
          <cell r="F2046">
            <v>315271</v>
          </cell>
          <cell r="G2046" t="str">
            <v>Axel Roberto Guzman Coro</v>
          </cell>
        </row>
        <row r="2047">
          <cell r="F2047">
            <v>308798</v>
          </cell>
          <cell r="G2047" t="str">
            <v>Axel Wilfredo Caal Coy</v>
          </cell>
        </row>
        <row r="2048">
          <cell r="F2048">
            <v>307068</v>
          </cell>
          <cell r="G2048" t="str">
            <v>Azucena Raquel Luis Perez</v>
          </cell>
        </row>
        <row r="2049">
          <cell r="F2049">
            <v>313706</v>
          </cell>
          <cell r="G2049" t="str">
            <v>Barbara Alejandra Toj Romero</v>
          </cell>
        </row>
        <row r="2050">
          <cell r="F2050">
            <v>311943</v>
          </cell>
          <cell r="G2050" t="str">
            <v>Beberli Yuceli Gomez Davila</v>
          </cell>
        </row>
        <row r="2051">
          <cell r="F2051">
            <v>311141</v>
          </cell>
          <cell r="G2051" t="str">
            <v>Beberlin Dayana Veron Garcia</v>
          </cell>
        </row>
        <row r="2052">
          <cell r="F2052">
            <v>312544</v>
          </cell>
          <cell r="G2052" t="str">
            <v>Beberly Angeaneth Gonzalez Ruiz</v>
          </cell>
        </row>
        <row r="2053">
          <cell r="F2053">
            <v>309965</v>
          </cell>
          <cell r="G2053" t="str">
            <v>Beberly Karina Ramirez Ismatul</v>
          </cell>
        </row>
        <row r="2054">
          <cell r="F2054">
            <v>313675</v>
          </cell>
          <cell r="G2054" t="str">
            <v>Beberly Salvador Zuñiga</v>
          </cell>
        </row>
        <row r="2055">
          <cell r="F2055">
            <v>311623</v>
          </cell>
          <cell r="G2055" t="str">
            <v>Belgica Lizeth Can Guitz</v>
          </cell>
        </row>
        <row r="2056">
          <cell r="F2056">
            <v>314219</v>
          </cell>
          <cell r="G2056" t="str">
            <v>Berta Leticia Yapan Pelen</v>
          </cell>
        </row>
        <row r="2057">
          <cell r="F2057">
            <v>314495</v>
          </cell>
          <cell r="G2057" t="str">
            <v>Bertha Lidia Morataya Diaz</v>
          </cell>
        </row>
        <row r="2058">
          <cell r="F2058">
            <v>310116</v>
          </cell>
          <cell r="G2058" t="str">
            <v>Bertha Rosalba Gabriel Vasquez</v>
          </cell>
        </row>
        <row r="2059">
          <cell r="F2059">
            <v>312164</v>
          </cell>
          <cell r="G2059" t="str">
            <v>Betzy Dayana Gutierrez Chon</v>
          </cell>
        </row>
        <row r="2060">
          <cell r="F2060">
            <v>314695</v>
          </cell>
          <cell r="G2060" t="str">
            <v>Beverly Jeanette Panjoj Tiriquiz</v>
          </cell>
        </row>
        <row r="2061">
          <cell r="F2061">
            <v>305070</v>
          </cell>
          <cell r="G2061" t="str">
            <v>Beverly Walesca Morales Ibarra</v>
          </cell>
        </row>
        <row r="2062">
          <cell r="F2062">
            <v>314496</v>
          </cell>
          <cell r="G2062" t="str">
            <v>Blanca Cristina Saquic Ac</v>
          </cell>
        </row>
        <row r="2063">
          <cell r="F2063">
            <v>310463</v>
          </cell>
          <cell r="G2063" t="str">
            <v>Blanca Olinda Quintanilla Godoy</v>
          </cell>
        </row>
        <row r="2064">
          <cell r="F2064">
            <v>315542</v>
          </cell>
          <cell r="G2064" t="str">
            <v>Brandon Alberto Jerez Cajas</v>
          </cell>
        </row>
        <row r="2065">
          <cell r="F2065">
            <v>313655</v>
          </cell>
          <cell r="G2065" t="str">
            <v>Brandon Antonio Alvarez Lopez</v>
          </cell>
        </row>
        <row r="2066">
          <cell r="F2066">
            <v>311035</v>
          </cell>
          <cell r="G2066" t="str">
            <v>Brandon Ivan De Mata Monzon</v>
          </cell>
        </row>
        <row r="2067">
          <cell r="F2067">
            <v>315227</v>
          </cell>
          <cell r="G2067" t="str">
            <v>Brayan Alexander Lopez Garcia</v>
          </cell>
        </row>
        <row r="2068">
          <cell r="F2068">
            <v>311689</v>
          </cell>
          <cell r="G2068" t="str">
            <v>Brayan Alexander Recancoy Ramos</v>
          </cell>
        </row>
        <row r="2069">
          <cell r="F2069">
            <v>314853</v>
          </cell>
          <cell r="G2069" t="str">
            <v>Brayan Dennis Lopez Puac</v>
          </cell>
        </row>
        <row r="2070">
          <cell r="F2070">
            <v>310812</v>
          </cell>
          <cell r="G2070" t="str">
            <v>Brayan Franklin Lopez Alvarez</v>
          </cell>
        </row>
        <row r="2071">
          <cell r="F2071">
            <v>308857</v>
          </cell>
          <cell r="G2071" t="str">
            <v>Brenda Elizabeth Sanchez Barrientos</v>
          </cell>
        </row>
        <row r="2072">
          <cell r="F2072">
            <v>305633</v>
          </cell>
          <cell r="G2072" t="str">
            <v>Brenda Esmeralda Alvarado Pascual</v>
          </cell>
        </row>
        <row r="2073">
          <cell r="F2073">
            <v>311220</v>
          </cell>
          <cell r="G2073" t="str">
            <v>Brenda Karina Coxaj Peinado</v>
          </cell>
        </row>
        <row r="2074">
          <cell r="F2074">
            <v>314642</v>
          </cell>
          <cell r="G2074" t="str">
            <v>Brenda Liseth Ixcoy Tulujan</v>
          </cell>
        </row>
        <row r="2075">
          <cell r="F2075">
            <v>304427</v>
          </cell>
          <cell r="G2075" t="str">
            <v>Brenda Lucrecia Lopez Gonzalez</v>
          </cell>
        </row>
        <row r="2076">
          <cell r="F2076">
            <v>315536</v>
          </cell>
          <cell r="G2076" t="str">
            <v>Brenda Lucrecia Ruiz Sanchez</v>
          </cell>
        </row>
        <row r="2077">
          <cell r="F2077">
            <v>310019</v>
          </cell>
          <cell r="G2077" t="str">
            <v>Brenda Maribel Montenegro Reyes</v>
          </cell>
        </row>
        <row r="2078">
          <cell r="F2078">
            <v>301074</v>
          </cell>
          <cell r="G2078" t="str">
            <v>Brenda Marisol Aguilar Patzan</v>
          </cell>
        </row>
        <row r="2079">
          <cell r="F2079">
            <v>313843</v>
          </cell>
          <cell r="G2079" t="str">
            <v>Brenda Marisol Sanchez Chivalan</v>
          </cell>
        </row>
        <row r="2080">
          <cell r="F2080">
            <v>309042</v>
          </cell>
          <cell r="G2080" t="str">
            <v>Brenda Perez Morales</v>
          </cell>
        </row>
        <row r="2081">
          <cell r="F2081">
            <v>306259</v>
          </cell>
          <cell r="G2081" t="str">
            <v>Brenda Raquel Ramirez Sanchez</v>
          </cell>
        </row>
        <row r="2082">
          <cell r="F2082">
            <v>315398</v>
          </cell>
          <cell r="G2082" t="str">
            <v>Bretany Celeste Ramirez Monroy</v>
          </cell>
        </row>
        <row r="2083">
          <cell r="F2083">
            <v>313436</v>
          </cell>
          <cell r="G2083" t="str">
            <v>Brian Baudilio Orozco Perez</v>
          </cell>
        </row>
        <row r="2084">
          <cell r="F2084">
            <v>310691</v>
          </cell>
          <cell r="G2084" t="str">
            <v>Brisley Cristina Ortiz Zelada</v>
          </cell>
        </row>
        <row r="2085">
          <cell r="F2085">
            <v>314290</v>
          </cell>
          <cell r="G2085" t="str">
            <v>Bryan Alexander Emanuel Orozco Lancerio</v>
          </cell>
        </row>
        <row r="2086">
          <cell r="F2086">
            <v>315133</v>
          </cell>
          <cell r="G2086" t="str">
            <v>Bryan Daniel Milián De Leon</v>
          </cell>
        </row>
        <row r="2087">
          <cell r="F2087">
            <v>307335</v>
          </cell>
          <cell r="G2087" t="str">
            <v>Bryllan Armando Sierra Sierra</v>
          </cell>
        </row>
        <row r="2088">
          <cell r="F2088">
            <v>314864</v>
          </cell>
          <cell r="G2088" t="str">
            <v>Byron Estuardo Paredes Villela</v>
          </cell>
        </row>
        <row r="2089">
          <cell r="F2089">
            <v>313648</v>
          </cell>
          <cell r="G2089" t="str">
            <v>Byron Giovanni Veliz Vasquez</v>
          </cell>
        </row>
        <row r="2090">
          <cell r="F2090">
            <v>303766</v>
          </cell>
          <cell r="G2090" t="str">
            <v>Byron Josue Moscoso Vega</v>
          </cell>
        </row>
        <row r="2091">
          <cell r="F2091">
            <v>313985</v>
          </cell>
          <cell r="G2091" t="str">
            <v>Byron Mauricio Amezquita Rivas</v>
          </cell>
        </row>
        <row r="2092">
          <cell r="F2092">
            <v>315267</v>
          </cell>
          <cell r="G2092" t="str">
            <v>Carla Esmeralda Candido Gonzalez</v>
          </cell>
        </row>
        <row r="2093">
          <cell r="F2093">
            <v>314451</v>
          </cell>
          <cell r="G2093" t="str">
            <v>Carla Fernanda Fernandez Lopez</v>
          </cell>
        </row>
        <row r="2094">
          <cell r="F2094">
            <v>312153</v>
          </cell>
          <cell r="G2094" t="str">
            <v>Carlos Adalberto Diaz Escobar</v>
          </cell>
        </row>
        <row r="2095">
          <cell r="F2095">
            <v>315125</v>
          </cell>
          <cell r="G2095" t="str">
            <v>Carlos Alberto Galvez Hernandez</v>
          </cell>
        </row>
        <row r="2096">
          <cell r="F2096">
            <v>314135</v>
          </cell>
          <cell r="G2096" t="str">
            <v>Carlos Alberto Guzman Hernandez</v>
          </cell>
        </row>
        <row r="2097">
          <cell r="F2097">
            <v>315051</v>
          </cell>
          <cell r="G2097" t="str">
            <v>Carlos Alfredo Catun Rax</v>
          </cell>
        </row>
        <row r="2098">
          <cell r="F2098">
            <v>309822</v>
          </cell>
          <cell r="G2098" t="str">
            <v>Carlos Anibal Caal Tux</v>
          </cell>
        </row>
        <row r="2099">
          <cell r="F2099">
            <v>302371</v>
          </cell>
          <cell r="G2099" t="str">
            <v>Carlos Arturo Straube Lopez</v>
          </cell>
        </row>
        <row r="2100">
          <cell r="F2100">
            <v>314738</v>
          </cell>
          <cell r="G2100" t="str">
            <v>Carlos David Castillo Gamboa</v>
          </cell>
        </row>
        <row r="2101">
          <cell r="F2101">
            <v>315158</v>
          </cell>
          <cell r="G2101" t="str">
            <v>Carlos Emilio Cumez Chenol</v>
          </cell>
        </row>
        <row r="2102">
          <cell r="F2102">
            <v>312533</v>
          </cell>
          <cell r="G2102" t="str">
            <v>Carlos Enrique Coz Toc</v>
          </cell>
        </row>
        <row r="2103">
          <cell r="F2103">
            <v>314773</v>
          </cell>
          <cell r="G2103" t="str">
            <v>Carlos Enrique Ramirez Lopez</v>
          </cell>
        </row>
        <row r="2104">
          <cell r="F2104">
            <v>313303</v>
          </cell>
          <cell r="G2104" t="str">
            <v>Carlos Enrique Vasquez Esteban</v>
          </cell>
        </row>
        <row r="2105">
          <cell r="F2105">
            <v>314841</v>
          </cell>
          <cell r="G2105" t="str">
            <v>Carlos Estuardo Campos Asig</v>
          </cell>
        </row>
        <row r="2106">
          <cell r="F2106">
            <v>308075</v>
          </cell>
          <cell r="G2106" t="str">
            <v>Carlos Humberto De Paz Paiz</v>
          </cell>
        </row>
        <row r="2107">
          <cell r="F2107">
            <v>314441</v>
          </cell>
          <cell r="G2107" t="str">
            <v>Carlos Josue Perez Garcia</v>
          </cell>
        </row>
        <row r="2108">
          <cell r="F2108">
            <v>202153</v>
          </cell>
          <cell r="G2108" t="str">
            <v>Carlos Leonel Corado Sosa</v>
          </cell>
        </row>
        <row r="2109">
          <cell r="F2109">
            <v>313324</v>
          </cell>
          <cell r="G2109" t="str">
            <v>Carlos Miguel Carrillo Perez</v>
          </cell>
        </row>
        <row r="2110">
          <cell r="F2110">
            <v>310535</v>
          </cell>
          <cell r="G2110" t="str">
            <v>Carlos Oliverio Ortiz Villalobos</v>
          </cell>
        </row>
        <row r="2111">
          <cell r="F2111">
            <v>315501</v>
          </cell>
          <cell r="G2111" t="str">
            <v>Carlos Onofre Sierra Vasquez</v>
          </cell>
        </row>
        <row r="2112">
          <cell r="F2112">
            <v>313844</v>
          </cell>
          <cell r="G2112" t="str">
            <v>Carlos Raul Pedroza Lopez</v>
          </cell>
        </row>
        <row r="2113">
          <cell r="F2113">
            <v>315111</v>
          </cell>
          <cell r="G2113" t="str">
            <v>Carlos Roberto Arana Garcia</v>
          </cell>
        </row>
        <row r="2114">
          <cell r="F2114">
            <v>304522</v>
          </cell>
          <cell r="G2114" t="str">
            <v>Carlos Saul Santizo Lopez</v>
          </cell>
        </row>
        <row r="2115">
          <cell r="F2115">
            <v>315182</v>
          </cell>
          <cell r="G2115" t="str">
            <v>Carmen Amalia Macario Rixtun</v>
          </cell>
        </row>
        <row r="2116">
          <cell r="F2116">
            <v>311800</v>
          </cell>
          <cell r="G2116" t="str">
            <v>Carmen Elizabeth Vargas Tun</v>
          </cell>
        </row>
        <row r="2117">
          <cell r="F2117">
            <v>312849</v>
          </cell>
          <cell r="G2117" t="str">
            <v>Carmen Liliana Subuyuj Ordoñez</v>
          </cell>
        </row>
        <row r="2118">
          <cell r="F2118">
            <v>315498</v>
          </cell>
          <cell r="G2118" t="str">
            <v>Carolina Azucena Lima Contreras</v>
          </cell>
        </row>
        <row r="2119">
          <cell r="F2119">
            <v>312692</v>
          </cell>
          <cell r="G2119" t="str">
            <v>Catarina Del Rosario Lopez Taquiej</v>
          </cell>
        </row>
        <row r="2120">
          <cell r="F2120">
            <v>314287</v>
          </cell>
          <cell r="G2120" t="str">
            <v>Caterin Berenise Cayax Atz</v>
          </cell>
        </row>
        <row r="2121">
          <cell r="F2121">
            <v>313662</v>
          </cell>
          <cell r="G2121" t="str">
            <v>Catirin Marbella Juarez Garcia</v>
          </cell>
        </row>
        <row r="2122">
          <cell r="F2122">
            <v>307766</v>
          </cell>
          <cell r="G2122" t="str">
            <v>Cecia Amabil Lopez Valencia</v>
          </cell>
        </row>
        <row r="2123">
          <cell r="F2123">
            <v>311730</v>
          </cell>
          <cell r="G2123" t="str">
            <v>Cecilia Margoth Lopez Raymundo</v>
          </cell>
        </row>
        <row r="2124">
          <cell r="F2124">
            <v>314955</v>
          </cell>
          <cell r="G2124" t="str">
            <v>Celia Esperanza Arroyo Chiche</v>
          </cell>
        </row>
        <row r="2125">
          <cell r="F2125">
            <v>310950</v>
          </cell>
          <cell r="G2125" t="str">
            <v>Cendy Regina Axulen Gonzalez</v>
          </cell>
        </row>
        <row r="2126">
          <cell r="F2126">
            <v>314640</v>
          </cell>
          <cell r="G2126" t="str">
            <v>Cesar Estuardo Perez Monterroso</v>
          </cell>
        </row>
        <row r="2127">
          <cell r="F2127">
            <v>300192</v>
          </cell>
          <cell r="G2127" t="str">
            <v>Cesar Fernando Reyna Almengor</v>
          </cell>
        </row>
        <row r="2128">
          <cell r="F2128">
            <v>313484</v>
          </cell>
          <cell r="G2128" t="str">
            <v>Cesar Geovanni Tuc Sum</v>
          </cell>
        </row>
        <row r="2129">
          <cell r="F2129">
            <v>303330</v>
          </cell>
          <cell r="G2129" t="str">
            <v>Cesar Geovanny De Leon Palacios</v>
          </cell>
        </row>
        <row r="2130">
          <cell r="F2130">
            <v>314446</v>
          </cell>
          <cell r="G2130" t="str">
            <v>Cesar Humberto Cazun Hernandez</v>
          </cell>
        </row>
        <row r="2131">
          <cell r="F2131">
            <v>314900</v>
          </cell>
          <cell r="G2131" t="str">
            <v>Cesar Oliverio Orozco Flores</v>
          </cell>
        </row>
        <row r="2132">
          <cell r="F2132">
            <v>311692</v>
          </cell>
          <cell r="G2132" t="str">
            <v>Cesia Paola Marroquin Sanchez</v>
          </cell>
        </row>
        <row r="2133">
          <cell r="F2133">
            <v>315401</v>
          </cell>
          <cell r="G2133" t="str">
            <v>Christa Maria Belen Barrera Mazariegos</v>
          </cell>
        </row>
        <row r="2134">
          <cell r="F2134">
            <v>315509</v>
          </cell>
          <cell r="G2134" t="str">
            <v>Christiam Daniel Arroyo Cisneros</v>
          </cell>
        </row>
        <row r="2135">
          <cell r="F2135">
            <v>310362</v>
          </cell>
          <cell r="G2135" t="str">
            <v>Christian Alejandro Tistoj Lopez</v>
          </cell>
        </row>
        <row r="2136">
          <cell r="F2136">
            <v>315525</v>
          </cell>
          <cell r="G2136" t="str">
            <v>Christian Bladimir Panjoj Mejia</v>
          </cell>
        </row>
        <row r="2137">
          <cell r="F2137">
            <v>314565</v>
          </cell>
          <cell r="G2137" t="str">
            <v>Christian Eduardo Celada Orellana</v>
          </cell>
        </row>
        <row r="2138">
          <cell r="F2138">
            <v>309907</v>
          </cell>
          <cell r="G2138" t="str">
            <v>Christofer Antonio Chali Bacajol</v>
          </cell>
        </row>
        <row r="2139">
          <cell r="F2139">
            <v>312703</v>
          </cell>
          <cell r="G2139" t="str">
            <v>Cindy Aracely Ruano Can</v>
          </cell>
        </row>
        <row r="2140">
          <cell r="F2140">
            <v>307760</v>
          </cell>
          <cell r="G2140" t="str">
            <v>Cindy Beatriz Reyes De Leon</v>
          </cell>
        </row>
        <row r="2141">
          <cell r="F2141">
            <v>312950</v>
          </cell>
          <cell r="G2141" t="str">
            <v>Cindy Carolina Sandoval Ruiz</v>
          </cell>
        </row>
        <row r="2142">
          <cell r="F2142">
            <v>312302</v>
          </cell>
          <cell r="G2142" t="str">
            <v>Cindy Gabriela Chanchavac Mejia</v>
          </cell>
        </row>
        <row r="2143">
          <cell r="F2143">
            <v>315484</v>
          </cell>
          <cell r="G2143" t="str">
            <v>Cindy Gabriela Perez</v>
          </cell>
        </row>
        <row r="2144">
          <cell r="F2144">
            <v>312872</v>
          </cell>
          <cell r="G2144" t="str">
            <v>Cindy Judith Urizar Davila</v>
          </cell>
        </row>
        <row r="2145">
          <cell r="F2145">
            <v>312532</v>
          </cell>
          <cell r="G2145" t="str">
            <v>Cindy Melissa Cordon Alfaro</v>
          </cell>
        </row>
        <row r="2146">
          <cell r="F2146">
            <v>314028</v>
          </cell>
          <cell r="G2146" t="str">
            <v>Cindy Paola Garcia Monroy</v>
          </cell>
        </row>
        <row r="2147">
          <cell r="F2147">
            <v>314689</v>
          </cell>
          <cell r="G2147" t="str">
            <v>Cindy Veronica Bran Polanco</v>
          </cell>
        </row>
        <row r="2148">
          <cell r="F2148">
            <v>314409</v>
          </cell>
          <cell r="G2148" t="str">
            <v>Cindy Yenibeth Cano Claudio</v>
          </cell>
        </row>
        <row r="2149">
          <cell r="F2149">
            <v>310946</v>
          </cell>
          <cell r="G2149" t="str">
            <v>Cindy Yesenia Morales Quevedo De Abril</v>
          </cell>
        </row>
        <row r="2150">
          <cell r="F2150">
            <v>312831</v>
          </cell>
          <cell r="G2150" t="str">
            <v>Cindy Yojana Mendoza Cajas</v>
          </cell>
        </row>
        <row r="2151">
          <cell r="F2151">
            <v>312181</v>
          </cell>
          <cell r="G2151" t="str">
            <v>Clara Elizabeth Joge Torres</v>
          </cell>
        </row>
        <row r="2152">
          <cell r="F2152">
            <v>310768</v>
          </cell>
          <cell r="G2152" t="str">
            <v>Clara Lorena Perez Hernandez</v>
          </cell>
        </row>
        <row r="2153">
          <cell r="F2153">
            <v>315453</v>
          </cell>
          <cell r="G2153" t="str">
            <v>Claudia Analy Argueta Matias</v>
          </cell>
        </row>
        <row r="2154">
          <cell r="F2154">
            <v>306444</v>
          </cell>
          <cell r="G2154" t="str">
            <v>Claudia Dolores Barcenas Guillen</v>
          </cell>
        </row>
        <row r="2155">
          <cell r="F2155">
            <v>301809</v>
          </cell>
          <cell r="G2155" t="str">
            <v>Claudia Eugenia Chavarria Ramos</v>
          </cell>
        </row>
        <row r="2156">
          <cell r="F2156">
            <v>311808</v>
          </cell>
          <cell r="G2156" t="str">
            <v>Claudia Lorena Quino Isaguirre</v>
          </cell>
        </row>
        <row r="2157">
          <cell r="F2157">
            <v>314574</v>
          </cell>
          <cell r="G2157" t="str">
            <v>Claudia Marisol Esquivel Ramirez</v>
          </cell>
        </row>
        <row r="2158">
          <cell r="F2158">
            <v>313613</v>
          </cell>
          <cell r="G2158" t="str">
            <v>Claudia Noemi Marroquin Perez</v>
          </cell>
        </row>
        <row r="2159">
          <cell r="F2159">
            <v>306569</v>
          </cell>
          <cell r="G2159" t="str">
            <v>Claudia Susana Garcia</v>
          </cell>
        </row>
        <row r="2160">
          <cell r="F2160">
            <v>311441</v>
          </cell>
          <cell r="G2160" t="str">
            <v>Claudia Yaneth Hidalgo Gonzalez</v>
          </cell>
        </row>
        <row r="2161">
          <cell r="F2161">
            <v>303265</v>
          </cell>
          <cell r="G2161" t="str">
            <v>Claudia Yesenia Pinto Picen</v>
          </cell>
        </row>
        <row r="2162">
          <cell r="F2162">
            <v>313318</v>
          </cell>
          <cell r="G2162" t="str">
            <v>Claudia Yesenia Ramos Perez</v>
          </cell>
        </row>
        <row r="2163">
          <cell r="F2163">
            <v>309535</v>
          </cell>
          <cell r="G2163" t="str">
            <v>Coralia Brenda Judith Ruano Hernandez</v>
          </cell>
        </row>
        <row r="2164">
          <cell r="F2164">
            <v>310711</v>
          </cell>
          <cell r="G2164" t="str">
            <v>Cristian Alfredo Jimenez Quino</v>
          </cell>
        </row>
        <row r="2165">
          <cell r="F2165">
            <v>312995</v>
          </cell>
          <cell r="G2165" t="str">
            <v>Cristian Esleiter Zuleta Batres</v>
          </cell>
        </row>
        <row r="2166">
          <cell r="F2166">
            <v>314701</v>
          </cell>
          <cell r="G2166" t="str">
            <v>Cristian Orlando Leonardo Cortez</v>
          </cell>
        </row>
        <row r="2167">
          <cell r="F2167">
            <v>314612</v>
          </cell>
          <cell r="G2167" t="str">
            <v>Cristian Romulo Rolando Cojulun Barrera</v>
          </cell>
        </row>
        <row r="2168">
          <cell r="F2168">
            <v>314468</v>
          </cell>
          <cell r="G2168" t="str">
            <v>Cristian Salvador Perez Quiroa</v>
          </cell>
        </row>
        <row r="2169">
          <cell r="F2169">
            <v>314670</v>
          </cell>
          <cell r="G2169" t="str">
            <v>Cristian Tomas Chuc Perez</v>
          </cell>
        </row>
        <row r="2170">
          <cell r="F2170">
            <v>315578</v>
          </cell>
          <cell r="G2170" t="str">
            <v>Cristian Ubaldo De Leon Ramirez</v>
          </cell>
        </row>
        <row r="2171">
          <cell r="F2171">
            <v>307449</v>
          </cell>
          <cell r="G2171" t="str">
            <v>Cristina De Jesus Hernandez Macajola</v>
          </cell>
        </row>
        <row r="2172">
          <cell r="F2172">
            <v>306823</v>
          </cell>
          <cell r="G2172" t="str">
            <v>Cristina Mariela Sapon Morales</v>
          </cell>
        </row>
        <row r="2173">
          <cell r="F2173">
            <v>313589</v>
          </cell>
          <cell r="G2173" t="str">
            <v>Cristobal Vinicio Chacon Rosana</v>
          </cell>
        </row>
        <row r="2174">
          <cell r="F2174">
            <v>310386</v>
          </cell>
          <cell r="G2174" t="str">
            <v>Cristy Charito Bran Guerra</v>
          </cell>
        </row>
        <row r="2175">
          <cell r="F2175">
            <v>314883</v>
          </cell>
          <cell r="G2175" t="str">
            <v>Cynthia Guisela Samayoa Aldana</v>
          </cell>
        </row>
        <row r="2176">
          <cell r="F2176">
            <v>313709</v>
          </cell>
          <cell r="G2176" t="str">
            <v>Cynthia Marisol Gonzalez Vargas</v>
          </cell>
        </row>
        <row r="2177">
          <cell r="F2177">
            <v>314097</v>
          </cell>
          <cell r="G2177" t="str">
            <v>Cynthia Rosaura Cruz Cosajay</v>
          </cell>
        </row>
        <row r="2178">
          <cell r="F2178">
            <v>314981</v>
          </cell>
          <cell r="G2178" t="str">
            <v>Dalila Marisol Ramos Galan</v>
          </cell>
        </row>
        <row r="2179">
          <cell r="F2179">
            <v>308765</v>
          </cell>
          <cell r="G2179" t="str">
            <v>Damaris Abigail Garcia Perez</v>
          </cell>
        </row>
        <row r="2180">
          <cell r="F2180">
            <v>315256</v>
          </cell>
          <cell r="G2180" t="str">
            <v>Damaris Abigail Urizar Martinez</v>
          </cell>
        </row>
        <row r="2181">
          <cell r="F2181">
            <v>312949</v>
          </cell>
          <cell r="G2181" t="str">
            <v>Damaris Liseth Sagastume Pinto</v>
          </cell>
        </row>
        <row r="2182">
          <cell r="F2182">
            <v>314411</v>
          </cell>
          <cell r="G2182" t="str">
            <v>Damaris Paola Gonzalez Gallardo</v>
          </cell>
        </row>
        <row r="2183">
          <cell r="F2183">
            <v>314179</v>
          </cell>
          <cell r="G2183" t="str">
            <v>Damaris Sucely Mendez Roche</v>
          </cell>
        </row>
        <row r="2184">
          <cell r="F2184">
            <v>314276</v>
          </cell>
          <cell r="G2184" t="str">
            <v>Damaris Violeta Gonzalez Miguel</v>
          </cell>
        </row>
        <row r="2185">
          <cell r="F2185">
            <v>313514</v>
          </cell>
          <cell r="G2185" t="str">
            <v>Danae Melissa Xitumul Ruiz</v>
          </cell>
        </row>
        <row r="2186">
          <cell r="F2186">
            <v>313868</v>
          </cell>
          <cell r="G2186" t="str">
            <v>Danely Arleth Rubin Escobar</v>
          </cell>
        </row>
        <row r="2187">
          <cell r="F2187">
            <v>315480</v>
          </cell>
          <cell r="G2187" t="str">
            <v>Daneylie Abigalie Dardon Gomez</v>
          </cell>
        </row>
        <row r="2188">
          <cell r="F2188">
            <v>314406</v>
          </cell>
          <cell r="G2188" t="str">
            <v>Daniel Abrahan Castillo Hernandez</v>
          </cell>
        </row>
        <row r="2189">
          <cell r="F2189">
            <v>314646</v>
          </cell>
          <cell r="G2189" t="str">
            <v>Daniel Alfredo Aguirre Marroquin</v>
          </cell>
        </row>
        <row r="2190">
          <cell r="F2190">
            <v>305521</v>
          </cell>
          <cell r="G2190" t="str">
            <v>Daniel Antonio Aceituno Paredes</v>
          </cell>
        </row>
        <row r="2191">
          <cell r="F2191">
            <v>315568</v>
          </cell>
          <cell r="G2191" t="str">
            <v>Daniel Isai Moran Lima</v>
          </cell>
        </row>
        <row r="2192">
          <cell r="F2192">
            <v>310374</v>
          </cell>
          <cell r="G2192" t="str">
            <v>Daniela Amarilis Davila Juarez</v>
          </cell>
        </row>
        <row r="2193">
          <cell r="F2193">
            <v>315104</v>
          </cell>
          <cell r="G2193" t="str">
            <v>Dany Adalberto Choc Bac</v>
          </cell>
        </row>
        <row r="2194">
          <cell r="F2194">
            <v>314807</v>
          </cell>
          <cell r="G2194" t="str">
            <v>Daomi Mishel Larios Morales</v>
          </cell>
        </row>
        <row r="2195">
          <cell r="F2195">
            <v>312391</v>
          </cell>
          <cell r="G2195" t="str">
            <v>Daphne Pamela Lopez Rodriguez</v>
          </cell>
        </row>
        <row r="2196">
          <cell r="F2196">
            <v>312172</v>
          </cell>
          <cell r="G2196" t="str">
            <v>Darbin Alejandro Soto Rodriguez</v>
          </cell>
        </row>
        <row r="2197">
          <cell r="F2197">
            <v>314845</v>
          </cell>
          <cell r="G2197" t="str">
            <v>Darissa Anahi Galindo Monzon</v>
          </cell>
        </row>
        <row r="2198">
          <cell r="F2198">
            <v>312419</v>
          </cell>
          <cell r="G2198" t="str">
            <v>Darli Asuceli Florian Garcia</v>
          </cell>
        </row>
        <row r="2199">
          <cell r="F2199">
            <v>312836</v>
          </cell>
          <cell r="G2199" t="str">
            <v>Darlin Estefany Coyoy Rivas</v>
          </cell>
        </row>
        <row r="2200">
          <cell r="F2200">
            <v>312077</v>
          </cell>
          <cell r="G2200" t="str">
            <v>Darlin Pamela Aguilar De La Cruz</v>
          </cell>
        </row>
        <row r="2201">
          <cell r="F2201">
            <v>314775</v>
          </cell>
          <cell r="G2201" t="str">
            <v>Darlyn Dayanara Cortez Ramirez</v>
          </cell>
        </row>
        <row r="2202">
          <cell r="F2202">
            <v>312223</v>
          </cell>
          <cell r="G2202" t="str">
            <v>Darlyn Guadalupe Barrios Yax</v>
          </cell>
        </row>
        <row r="2203">
          <cell r="F2203">
            <v>309926</v>
          </cell>
          <cell r="G2203" t="str">
            <v>Darwin Alexis Ponciano Cruz</v>
          </cell>
        </row>
        <row r="2204">
          <cell r="F2204">
            <v>315167</v>
          </cell>
          <cell r="G2204" t="str">
            <v>Darwin Omar Cabrera Cheguen</v>
          </cell>
        </row>
        <row r="2205">
          <cell r="F2205">
            <v>310390</v>
          </cell>
          <cell r="G2205" t="str">
            <v>Dauris Yomira Tellechea Lopez</v>
          </cell>
        </row>
        <row r="2206">
          <cell r="F2206">
            <v>202076</v>
          </cell>
          <cell r="G2206" t="str">
            <v>David De Jesus Quel Orozco</v>
          </cell>
        </row>
        <row r="2207">
          <cell r="F2207">
            <v>314891</v>
          </cell>
          <cell r="G2207" t="str">
            <v>David Emanuel Cachin Morales</v>
          </cell>
        </row>
        <row r="2208">
          <cell r="F2208">
            <v>309831</v>
          </cell>
          <cell r="G2208" t="str">
            <v>David Mejia Vicente</v>
          </cell>
        </row>
        <row r="2209">
          <cell r="F2209">
            <v>315533</v>
          </cell>
          <cell r="G2209" t="str">
            <v>Dayana Paola Lopez Bolanos</v>
          </cell>
        </row>
        <row r="2210">
          <cell r="F2210">
            <v>314017</v>
          </cell>
          <cell r="G2210" t="str">
            <v>Dayanna Beatriz Cachupe Chavac</v>
          </cell>
        </row>
        <row r="2211">
          <cell r="F2211">
            <v>314852</v>
          </cell>
          <cell r="G2211" t="str">
            <v>Daylin Ambrocia Cruz Lopez</v>
          </cell>
        </row>
        <row r="2212">
          <cell r="F2212">
            <v>313408</v>
          </cell>
          <cell r="G2212" t="str">
            <v>Dayne Dalu Sanchez Hernandez</v>
          </cell>
        </row>
        <row r="2213">
          <cell r="F2213">
            <v>315552</v>
          </cell>
          <cell r="G2213" t="str">
            <v>Debora Eunice Tzay Chuluc</v>
          </cell>
        </row>
        <row r="2214">
          <cell r="F2214">
            <v>313629</v>
          </cell>
          <cell r="G2214" t="str">
            <v>Debora Madahi Escobar Gomez</v>
          </cell>
        </row>
        <row r="2215">
          <cell r="F2215">
            <v>315270</v>
          </cell>
          <cell r="G2215" t="str">
            <v>Debora Paola Sepez Cuc</v>
          </cell>
        </row>
        <row r="2216">
          <cell r="F2216">
            <v>314353</v>
          </cell>
          <cell r="G2216" t="str">
            <v>Deisy Gabriela Pineda Paiz</v>
          </cell>
        </row>
        <row r="2217">
          <cell r="F2217">
            <v>302751</v>
          </cell>
          <cell r="G2217" t="str">
            <v>Delia Virginia Piedrasanta Parra</v>
          </cell>
        </row>
        <row r="2218">
          <cell r="F2218">
            <v>201031</v>
          </cell>
          <cell r="G2218" t="str">
            <v>Delio Maynor Lopez Barrios</v>
          </cell>
        </row>
        <row r="2219">
          <cell r="F2219">
            <v>311758</v>
          </cell>
          <cell r="G2219" t="str">
            <v>Delmy Fabiola Orellana Barrientos</v>
          </cell>
        </row>
        <row r="2220">
          <cell r="F2220">
            <v>307870</v>
          </cell>
          <cell r="G2220" t="str">
            <v>Delmy Francisca Lopez Perez</v>
          </cell>
        </row>
        <row r="2221">
          <cell r="F2221">
            <v>314901</v>
          </cell>
          <cell r="G2221" t="str">
            <v>Delmy Vanesa Morales Ramirez</v>
          </cell>
        </row>
        <row r="2222">
          <cell r="F2222">
            <v>306256</v>
          </cell>
          <cell r="G2222" t="str">
            <v>Delwin Leonel Vasquez Barrera</v>
          </cell>
        </row>
        <row r="2223">
          <cell r="F2223">
            <v>314540</v>
          </cell>
          <cell r="G2223" t="str">
            <v>Denilson Laureano De Paz Galdamez</v>
          </cell>
        </row>
        <row r="2224">
          <cell r="F2224">
            <v>312158</v>
          </cell>
          <cell r="G2224" t="str">
            <v>Derick Juan David Coti Camas</v>
          </cell>
        </row>
        <row r="2225">
          <cell r="F2225">
            <v>315437</v>
          </cell>
          <cell r="G2225" t="str">
            <v>Deysi Liliana Caal Oxom</v>
          </cell>
        </row>
        <row r="2226">
          <cell r="F2226">
            <v>309692</v>
          </cell>
          <cell r="G2226" t="str">
            <v>Deysi Margoth Lopez Monroy</v>
          </cell>
        </row>
        <row r="2227">
          <cell r="F2227">
            <v>309418</v>
          </cell>
          <cell r="G2227" t="str">
            <v>Deysi Noemi Aranoli Carias Pimentel</v>
          </cell>
        </row>
        <row r="2228">
          <cell r="F2228">
            <v>313797</v>
          </cell>
          <cell r="G2228" t="str">
            <v>Deysi Paola Lopez Yanes De Conde</v>
          </cell>
        </row>
        <row r="2229">
          <cell r="F2229">
            <v>312166</v>
          </cell>
          <cell r="G2229" t="str">
            <v>Deysi Roxana Pablo Ramirez</v>
          </cell>
        </row>
        <row r="2230">
          <cell r="F2230">
            <v>313856</v>
          </cell>
          <cell r="G2230" t="str">
            <v>Diana Andrea Castillo Mejia</v>
          </cell>
        </row>
        <row r="2231">
          <cell r="F2231">
            <v>310411</v>
          </cell>
          <cell r="G2231" t="str">
            <v>Diana Elizabeth Ayfan Del Cid</v>
          </cell>
        </row>
        <row r="2232">
          <cell r="F2232">
            <v>315070</v>
          </cell>
          <cell r="G2232" t="str">
            <v>Diana Guisela Satey De Leon</v>
          </cell>
        </row>
        <row r="2233">
          <cell r="F2233">
            <v>315089</v>
          </cell>
          <cell r="G2233" t="str">
            <v>Diana Lizeth Acabal Pansay</v>
          </cell>
        </row>
        <row r="2234">
          <cell r="F2234">
            <v>315209</v>
          </cell>
          <cell r="G2234" t="str">
            <v>Diana Mishel Perez Flores</v>
          </cell>
        </row>
        <row r="2235">
          <cell r="F2235">
            <v>314964</v>
          </cell>
          <cell r="G2235" t="str">
            <v>Diana Priscila Reyes Bran</v>
          </cell>
        </row>
        <row r="2236">
          <cell r="F2236">
            <v>315545</v>
          </cell>
          <cell r="G2236" t="str">
            <v>Diego Alejandro Monroy Barillas</v>
          </cell>
        </row>
        <row r="2237">
          <cell r="F2237">
            <v>314603</v>
          </cell>
          <cell r="G2237" t="str">
            <v>Diego Antonio Dubon Suyen</v>
          </cell>
        </row>
        <row r="2238">
          <cell r="F2238">
            <v>314912</v>
          </cell>
          <cell r="G2238" t="str">
            <v>Diego Ezequiel Samayoa Toledo</v>
          </cell>
        </row>
        <row r="2239">
          <cell r="F2239">
            <v>314021</v>
          </cell>
          <cell r="G2239" t="str">
            <v>Diego Josue David Dieguez Vivar</v>
          </cell>
        </row>
        <row r="2240">
          <cell r="F2240">
            <v>314609</v>
          </cell>
          <cell r="G2240" t="str">
            <v>Dilma Carolina Zetino Zepeda</v>
          </cell>
        </row>
        <row r="2241">
          <cell r="F2241">
            <v>315393</v>
          </cell>
          <cell r="G2241" t="str">
            <v>Dina Azucena Ortiz Crispin</v>
          </cell>
        </row>
        <row r="2242">
          <cell r="F2242">
            <v>301534</v>
          </cell>
          <cell r="G2242" t="str">
            <v>Donald Alejandro Mendez Mayen</v>
          </cell>
        </row>
        <row r="2243">
          <cell r="F2243">
            <v>314070</v>
          </cell>
          <cell r="G2243" t="str">
            <v>Donetta Diaz Oroman</v>
          </cell>
        </row>
        <row r="2244">
          <cell r="F2244">
            <v>313316</v>
          </cell>
          <cell r="G2244" t="str">
            <v>Dora Estefany Garcia Zetino</v>
          </cell>
        </row>
        <row r="2245">
          <cell r="F2245">
            <v>308707</v>
          </cell>
          <cell r="G2245" t="str">
            <v>Dorcas Raquel Palacios Reyes</v>
          </cell>
        </row>
        <row r="2246">
          <cell r="F2246">
            <v>308921</v>
          </cell>
          <cell r="G2246" t="str">
            <v>Doris Elizabeth Sandoval Gonzalez</v>
          </cell>
        </row>
        <row r="2247">
          <cell r="F2247">
            <v>315057</v>
          </cell>
          <cell r="G2247" t="str">
            <v>Dorman Fernando Gomez Perez</v>
          </cell>
        </row>
        <row r="2248">
          <cell r="F2248">
            <v>312651</v>
          </cell>
          <cell r="G2248" t="str">
            <v>Douglas Alberto Luna</v>
          </cell>
        </row>
        <row r="2249">
          <cell r="F2249">
            <v>314635</v>
          </cell>
          <cell r="G2249" t="str">
            <v>Douglas Armando Garcia Machic</v>
          </cell>
        </row>
        <row r="2250">
          <cell r="F2250">
            <v>313351</v>
          </cell>
          <cell r="G2250" t="str">
            <v>Douglas Nehemias Paz Agustin</v>
          </cell>
        </row>
        <row r="2251">
          <cell r="F2251">
            <v>309154</v>
          </cell>
          <cell r="G2251" t="str">
            <v>Duglas Alexander Ramirez</v>
          </cell>
        </row>
        <row r="2252">
          <cell r="F2252">
            <v>310593</v>
          </cell>
          <cell r="G2252" t="str">
            <v>Dulce Estrellita Boche Pineda</v>
          </cell>
        </row>
        <row r="2253">
          <cell r="F2253">
            <v>312578</v>
          </cell>
          <cell r="G2253" t="str">
            <v>Dulce Fabiola Cabrera Alvarado</v>
          </cell>
        </row>
        <row r="2254">
          <cell r="F2254">
            <v>314977</v>
          </cell>
          <cell r="G2254" t="str">
            <v>Dulce Gollin Garcia</v>
          </cell>
        </row>
        <row r="2255">
          <cell r="F2255">
            <v>315028</v>
          </cell>
          <cell r="G2255" t="str">
            <v>Dulce Maria Barillas Pineda</v>
          </cell>
        </row>
        <row r="2256">
          <cell r="F2256">
            <v>314016</v>
          </cell>
          <cell r="G2256" t="str">
            <v>Dulce Maria De Los Angeles Carranza Poitan</v>
          </cell>
        </row>
        <row r="2257">
          <cell r="F2257">
            <v>314338</v>
          </cell>
          <cell r="G2257" t="str">
            <v>Dulce Maria Sican Galicia</v>
          </cell>
        </row>
        <row r="2258">
          <cell r="F2258">
            <v>301052</v>
          </cell>
          <cell r="G2258" t="str">
            <v>Dulsse Gabriela Muñoz Giordano</v>
          </cell>
        </row>
        <row r="2259">
          <cell r="F2259">
            <v>313406</v>
          </cell>
          <cell r="G2259" t="str">
            <v>Duncan Vladimir Fuentes Marroquin</v>
          </cell>
        </row>
        <row r="2260">
          <cell r="F2260">
            <v>315551</v>
          </cell>
          <cell r="G2260" t="str">
            <v>Dylan Anderson Rodriguez Paredes</v>
          </cell>
        </row>
        <row r="2261">
          <cell r="F2261">
            <v>301579</v>
          </cell>
          <cell r="G2261" t="str">
            <v>Eber Manuel Valdes Samayoa</v>
          </cell>
        </row>
        <row r="2262">
          <cell r="F2262">
            <v>314077</v>
          </cell>
          <cell r="G2262" t="str">
            <v>Eddy Estuardo Lool Calderon</v>
          </cell>
        </row>
        <row r="2263">
          <cell r="F2263">
            <v>304630</v>
          </cell>
          <cell r="G2263" t="str">
            <v>Eddy Jose Cabrera Rivas</v>
          </cell>
        </row>
        <row r="2264">
          <cell r="F2264">
            <v>315163</v>
          </cell>
          <cell r="G2264" t="str">
            <v>Edgar Alejandro Alvarado Juarez</v>
          </cell>
        </row>
        <row r="2265">
          <cell r="F2265">
            <v>314231</v>
          </cell>
          <cell r="G2265" t="str">
            <v>Edgar Alfonso Escoto Asig</v>
          </cell>
        </row>
        <row r="2266">
          <cell r="F2266">
            <v>312910</v>
          </cell>
          <cell r="G2266" t="str">
            <v>Edgar Augusto Lara Joachin</v>
          </cell>
        </row>
        <row r="2267">
          <cell r="F2267">
            <v>314531</v>
          </cell>
          <cell r="G2267" t="str">
            <v>Edgar Josue Lopez Cahuec</v>
          </cell>
        </row>
        <row r="2268">
          <cell r="F2268">
            <v>309428</v>
          </cell>
          <cell r="G2268" t="str">
            <v>Edgar Manrique Flores Sanchez</v>
          </cell>
        </row>
        <row r="2269">
          <cell r="F2269">
            <v>313559</v>
          </cell>
          <cell r="G2269" t="str">
            <v>Edgar Ricardo Lopez Valenzuela</v>
          </cell>
        </row>
        <row r="2270">
          <cell r="F2270">
            <v>314916</v>
          </cell>
          <cell r="G2270" t="str">
            <v>Edgar Samuel Chavez Garcia</v>
          </cell>
        </row>
        <row r="2271">
          <cell r="F2271">
            <v>313861</v>
          </cell>
          <cell r="G2271" t="str">
            <v>Edith Guadalupe Del Cid Orellana</v>
          </cell>
        </row>
        <row r="2272">
          <cell r="F2272">
            <v>304240</v>
          </cell>
          <cell r="G2272" t="str">
            <v>Edna Fabiola Miranda Nufio</v>
          </cell>
        </row>
        <row r="2273">
          <cell r="F2273">
            <v>313770</v>
          </cell>
          <cell r="G2273" t="str">
            <v>Edna Rubi Hernandez Retana</v>
          </cell>
        </row>
        <row r="2274">
          <cell r="F2274">
            <v>308533</v>
          </cell>
          <cell r="G2274" t="str">
            <v>Eduardo Antonio Sotoj Zepeda</v>
          </cell>
        </row>
        <row r="2275">
          <cell r="F2275">
            <v>315502</v>
          </cell>
          <cell r="G2275" t="str">
            <v>Eduardo Eliu Camey Coyoy</v>
          </cell>
        </row>
        <row r="2276">
          <cell r="F2276">
            <v>315483</v>
          </cell>
          <cell r="G2276" t="str">
            <v>Eduardo Jose Perez Pichilla</v>
          </cell>
        </row>
        <row r="2277">
          <cell r="F2277">
            <v>306695</v>
          </cell>
          <cell r="G2277" t="str">
            <v>Eduvina Lisbeth Chilel Garcia</v>
          </cell>
        </row>
        <row r="2278">
          <cell r="F2278">
            <v>313804</v>
          </cell>
          <cell r="G2278" t="str">
            <v>Edvin Daniel Compa Oroxom</v>
          </cell>
        </row>
        <row r="2279">
          <cell r="F2279">
            <v>305736</v>
          </cell>
          <cell r="G2279" t="str">
            <v>Edvin Estuardo Ordoñez Gonzalez</v>
          </cell>
        </row>
        <row r="2280">
          <cell r="F2280">
            <v>313327</v>
          </cell>
          <cell r="G2280" t="str">
            <v>Edvin Raul Chavez Monroy</v>
          </cell>
        </row>
        <row r="2281">
          <cell r="F2281">
            <v>309209</v>
          </cell>
          <cell r="G2281" t="str">
            <v>Edward Andoni Alvarez Agueda</v>
          </cell>
        </row>
        <row r="2282">
          <cell r="F2282">
            <v>311219</v>
          </cell>
          <cell r="G2282" t="str">
            <v>Edward Oswaldo Mo Macz</v>
          </cell>
        </row>
        <row r="2283">
          <cell r="F2283">
            <v>315174</v>
          </cell>
          <cell r="G2283" t="str">
            <v>Edwin Adolfo Soberanis Mazariegos</v>
          </cell>
        </row>
        <row r="2284">
          <cell r="F2284">
            <v>312540</v>
          </cell>
          <cell r="G2284" t="str">
            <v>Edwin Alexander Davila Xitumul</v>
          </cell>
        </row>
        <row r="2285">
          <cell r="F2285">
            <v>313701</v>
          </cell>
          <cell r="G2285" t="str">
            <v>Edwin Ernesto Sut Chinol</v>
          </cell>
        </row>
        <row r="2286">
          <cell r="F2286">
            <v>312557</v>
          </cell>
          <cell r="G2286" t="str">
            <v>Edwin Romeo Eleazar Ochoa Lopez</v>
          </cell>
        </row>
        <row r="2287">
          <cell r="F2287">
            <v>311167</v>
          </cell>
          <cell r="G2287" t="str">
            <v>Edy Giancarlo Moreno Pineda</v>
          </cell>
        </row>
        <row r="2288">
          <cell r="F2288">
            <v>312542</v>
          </cell>
          <cell r="G2288" t="str">
            <v>Elba Eulalia Esquite Lemus</v>
          </cell>
        </row>
        <row r="2289">
          <cell r="F2289">
            <v>303412</v>
          </cell>
          <cell r="G2289" t="str">
            <v>Elder Antonio Mendez Tobar</v>
          </cell>
        </row>
        <row r="2290">
          <cell r="F2290">
            <v>315436</v>
          </cell>
          <cell r="G2290" t="str">
            <v>Elder Frankiln Cax Dionicio</v>
          </cell>
        </row>
        <row r="2291">
          <cell r="F2291">
            <v>311891</v>
          </cell>
          <cell r="G2291" t="str">
            <v>Elder Uzias Jordan Perez</v>
          </cell>
        </row>
        <row r="2292">
          <cell r="F2292">
            <v>309812</v>
          </cell>
          <cell r="G2292" t="str">
            <v>Elena Yazmin Valdez Gallegos</v>
          </cell>
        </row>
        <row r="2293">
          <cell r="F2293">
            <v>314275</v>
          </cell>
          <cell r="G2293" t="str">
            <v>Elias Jose Daniel Estrada Nufio</v>
          </cell>
        </row>
        <row r="2294">
          <cell r="F2294">
            <v>307588</v>
          </cell>
          <cell r="G2294" t="str">
            <v>Elida Noemi Monroy Ortega</v>
          </cell>
        </row>
        <row r="2295">
          <cell r="F2295">
            <v>315463</v>
          </cell>
          <cell r="G2295" t="str">
            <v>Elin Magali Gallardo Velasquez</v>
          </cell>
        </row>
        <row r="2296">
          <cell r="F2296">
            <v>310755</v>
          </cell>
          <cell r="G2296" t="str">
            <v>Elisa Clementina Mazariegos Andrade</v>
          </cell>
        </row>
        <row r="2297">
          <cell r="F2297">
            <v>314466</v>
          </cell>
          <cell r="G2297" t="str">
            <v>Eliseo Gonzalez De Leon</v>
          </cell>
        </row>
        <row r="2298">
          <cell r="F2298">
            <v>310043</v>
          </cell>
          <cell r="G2298" t="str">
            <v>Elizangela Jazmin Barillas Ramirez</v>
          </cell>
        </row>
        <row r="2299">
          <cell r="F2299">
            <v>314443</v>
          </cell>
          <cell r="G2299" t="str">
            <v>Elmer Antonio Muñoz Alvarez</v>
          </cell>
        </row>
        <row r="2300">
          <cell r="F2300">
            <v>314763</v>
          </cell>
          <cell r="G2300" t="str">
            <v>Elsa Edith Alixjandra Morales Cordon</v>
          </cell>
        </row>
        <row r="2301">
          <cell r="F2301">
            <v>311227</v>
          </cell>
          <cell r="G2301" t="str">
            <v>Elsa Karina Siquibache Perez</v>
          </cell>
        </row>
        <row r="2302">
          <cell r="F2302">
            <v>308968</v>
          </cell>
          <cell r="G2302" t="str">
            <v>Eluizer Amadeus De Leon De Leon</v>
          </cell>
        </row>
        <row r="2303">
          <cell r="F2303">
            <v>314871</v>
          </cell>
          <cell r="G2303" t="str">
            <v>Elvis Ariel Juarez Solis</v>
          </cell>
        </row>
        <row r="2304">
          <cell r="F2304">
            <v>313368</v>
          </cell>
          <cell r="G2304" t="str">
            <v>Elvis Orlando Lopez Marroquin</v>
          </cell>
        </row>
        <row r="2305">
          <cell r="F2305">
            <v>314342</v>
          </cell>
          <cell r="G2305" t="str">
            <v>Emanuel Perez Garnillo</v>
          </cell>
        </row>
        <row r="2306">
          <cell r="F2306">
            <v>312736</v>
          </cell>
          <cell r="G2306" t="str">
            <v>Emely Johanna Urbina Beltran</v>
          </cell>
        </row>
        <row r="2307">
          <cell r="F2307">
            <v>312762</v>
          </cell>
          <cell r="G2307" t="str">
            <v>Emerson Ezequiel Giron Lopez</v>
          </cell>
        </row>
        <row r="2308">
          <cell r="F2308">
            <v>303591</v>
          </cell>
          <cell r="G2308" t="str">
            <v>Emerson Josue Lopez Hernandez</v>
          </cell>
        </row>
        <row r="2309">
          <cell r="F2309">
            <v>312165</v>
          </cell>
          <cell r="G2309" t="str">
            <v>Emily Jisselle Rosales Paz</v>
          </cell>
        </row>
        <row r="2310">
          <cell r="F2310">
            <v>313560</v>
          </cell>
          <cell r="G2310" t="str">
            <v>Emy Noemi Vicente Herrera</v>
          </cell>
        </row>
        <row r="2311">
          <cell r="F2311">
            <v>315047</v>
          </cell>
          <cell r="G2311" t="str">
            <v>Erick Adolfo Orellana Lopez</v>
          </cell>
        </row>
        <row r="2312">
          <cell r="F2312">
            <v>311598</v>
          </cell>
          <cell r="G2312" t="str">
            <v>Erick Antonio Perez Perez</v>
          </cell>
        </row>
        <row r="2313">
          <cell r="F2313">
            <v>311742</v>
          </cell>
          <cell r="G2313" t="str">
            <v>Erick Estuardo Morales Samayoa</v>
          </cell>
        </row>
        <row r="2314">
          <cell r="F2314">
            <v>308758</v>
          </cell>
          <cell r="G2314" t="str">
            <v>Erick Gamaliel Pineda Mendez</v>
          </cell>
        </row>
        <row r="2315">
          <cell r="F2315">
            <v>314371</v>
          </cell>
          <cell r="G2315" t="str">
            <v>Erick Guillermo Sierra Escobar</v>
          </cell>
        </row>
        <row r="2316">
          <cell r="F2316">
            <v>314095</v>
          </cell>
          <cell r="G2316" t="str">
            <v>Erick Joel Diaz Barrera</v>
          </cell>
        </row>
        <row r="2317">
          <cell r="F2317">
            <v>314408</v>
          </cell>
          <cell r="G2317" t="str">
            <v>Erick Josue Martinez Pineda</v>
          </cell>
        </row>
        <row r="2318">
          <cell r="F2318">
            <v>312434</v>
          </cell>
          <cell r="G2318" t="str">
            <v>Erick Manuel Umul Quiej</v>
          </cell>
        </row>
        <row r="2319">
          <cell r="F2319">
            <v>202410</v>
          </cell>
          <cell r="G2319" t="str">
            <v>Erick Oswaldo Aguilar Santiago</v>
          </cell>
        </row>
        <row r="2320">
          <cell r="F2320">
            <v>310750</v>
          </cell>
          <cell r="G2320" t="str">
            <v>Erick Uriel Sandoval Herrera</v>
          </cell>
        </row>
        <row r="2321">
          <cell r="F2321">
            <v>304557</v>
          </cell>
          <cell r="G2321" t="str">
            <v>Ericka Arceli Gonzalez Astorga</v>
          </cell>
        </row>
        <row r="2322">
          <cell r="F2322">
            <v>308593</v>
          </cell>
          <cell r="G2322" t="str">
            <v>Ericka Beatriz Tiu Arriola</v>
          </cell>
        </row>
        <row r="2323">
          <cell r="F2323">
            <v>310893</v>
          </cell>
          <cell r="G2323" t="str">
            <v>Ericka Florentina Hernandez Bermudes</v>
          </cell>
        </row>
        <row r="2324">
          <cell r="F2324">
            <v>310845</v>
          </cell>
          <cell r="G2324" t="str">
            <v>Ericka Gricelda Beatriz Calderon Lopez</v>
          </cell>
        </row>
        <row r="2325">
          <cell r="F2325">
            <v>313654</v>
          </cell>
          <cell r="G2325" t="str">
            <v>Ericka Mabel Choc Vasquez</v>
          </cell>
        </row>
        <row r="2326">
          <cell r="F2326">
            <v>308152</v>
          </cell>
          <cell r="G2326" t="str">
            <v>Ericka Nathali Huitz Ortega</v>
          </cell>
        </row>
        <row r="2327">
          <cell r="F2327">
            <v>313812</v>
          </cell>
          <cell r="G2327" t="str">
            <v>Erickson Amilcar Vasquez Garrido</v>
          </cell>
        </row>
        <row r="2328">
          <cell r="F2328">
            <v>303616</v>
          </cell>
          <cell r="G2328" t="str">
            <v>Erik Leonel Alva</v>
          </cell>
        </row>
        <row r="2329">
          <cell r="F2329">
            <v>310011</v>
          </cell>
          <cell r="G2329" t="str">
            <v>Erika Alejandra Hernandez Vega</v>
          </cell>
        </row>
        <row r="2330">
          <cell r="F2330">
            <v>314808</v>
          </cell>
          <cell r="G2330" t="str">
            <v>Erika Carolina Lopez Chiroy</v>
          </cell>
        </row>
        <row r="2331">
          <cell r="F2331">
            <v>306497</v>
          </cell>
          <cell r="G2331" t="str">
            <v>Erika Ixtan Canil</v>
          </cell>
        </row>
        <row r="2332">
          <cell r="F2332">
            <v>314703</v>
          </cell>
          <cell r="G2332" t="str">
            <v>Erlinda Elizabeth Cabrera</v>
          </cell>
        </row>
        <row r="2333">
          <cell r="F2333">
            <v>315535</v>
          </cell>
          <cell r="G2333" t="str">
            <v>Ernesto Perez Tecun</v>
          </cell>
        </row>
        <row r="2334">
          <cell r="F2334">
            <v>313727</v>
          </cell>
          <cell r="G2334" t="str">
            <v>Erwin Antonio Lorenzo Zamora</v>
          </cell>
        </row>
        <row r="2335">
          <cell r="F2335">
            <v>315123</v>
          </cell>
          <cell r="G2335" t="str">
            <v>Esdras Daniel Pablo Solis</v>
          </cell>
        </row>
        <row r="2336">
          <cell r="F2336">
            <v>315491</v>
          </cell>
          <cell r="G2336" t="str">
            <v>Esdras Eduardo Hernadez Morales</v>
          </cell>
        </row>
        <row r="2337">
          <cell r="F2337">
            <v>314068</v>
          </cell>
          <cell r="G2337" t="str">
            <v>Esdras Manases Vasquez Vasquez</v>
          </cell>
        </row>
        <row r="2338">
          <cell r="F2338">
            <v>313871</v>
          </cell>
          <cell r="G2338" t="str">
            <v>Eskarleth Julieta Coloma Camey</v>
          </cell>
        </row>
        <row r="2339">
          <cell r="F2339">
            <v>312554</v>
          </cell>
          <cell r="G2339" t="str">
            <v>Esmaylin Alexis Melchor Lopez</v>
          </cell>
        </row>
        <row r="2340">
          <cell r="F2340">
            <v>315510</v>
          </cell>
          <cell r="G2340" t="str">
            <v>Esteban Alfonso Gonzalez Osuna</v>
          </cell>
        </row>
        <row r="2341">
          <cell r="F2341">
            <v>313644</v>
          </cell>
          <cell r="G2341" t="str">
            <v>Estefani Elizabeth Tzul Macario</v>
          </cell>
        </row>
        <row r="2342">
          <cell r="F2342">
            <v>312323</v>
          </cell>
          <cell r="G2342" t="str">
            <v>Estefani Mishel Carpio Alvarado</v>
          </cell>
        </row>
        <row r="2343">
          <cell r="F2343">
            <v>313428</v>
          </cell>
          <cell r="G2343" t="str">
            <v>Estefany Catalina Suazo Garcia</v>
          </cell>
        </row>
        <row r="2344">
          <cell r="F2344">
            <v>311094</v>
          </cell>
          <cell r="G2344" t="str">
            <v>Estefany Virginia Perez Leiva</v>
          </cell>
        </row>
        <row r="2345">
          <cell r="F2345">
            <v>313151</v>
          </cell>
          <cell r="G2345" t="str">
            <v>Ester Yulissa Salazar Sanches</v>
          </cell>
        </row>
        <row r="2346">
          <cell r="F2346">
            <v>308702</v>
          </cell>
          <cell r="G2346" t="str">
            <v>Estuardo Alejandro Us Chanchavac</v>
          </cell>
        </row>
        <row r="2347">
          <cell r="F2347">
            <v>315564</v>
          </cell>
          <cell r="G2347" t="str">
            <v>Esvin Rolando Orozco Mulul</v>
          </cell>
        </row>
        <row r="2348">
          <cell r="F2348">
            <v>314285</v>
          </cell>
          <cell r="G2348" t="str">
            <v>Eswin Antonio Carrillo Barrera</v>
          </cell>
        </row>
        <row r="2349">
          <cell r="F2349">
            <v>311882</v>
          </cell>
          <cell r="G2349" t="str">
            <v>Eswin Aroldo Ordoñez Robles</v>
          </cell>
        </row>
        <row r="2350">
          <cell r="F2350">
            <v>315041</v>
          </cell>
          <cell r="G2350" t="str">
            <v>Eugenia Azucely Lopez De De Aguirre</v>
          </cell>
        </row>
        <row r="2351">
          <cell r="F2351">
            <v>313219</v>
          </cell>
          <cell r="G2351" t="str">
            <v>Eunice Alejandrina Simon Gonzalez</v>
          </cell>
        </row>
        <row r="2352">
          <cell r="F2352">
            <v>314553</v>
          </cell>
          <cell r="G2352" t="str">
            <v>Eva Argentina Ramirez Perez</v>
          </cell>
        </row>
        <row r="2353">
          <cell r="F2353">
            <v>313803</v>
          </cell>
          <cell r="G2353" t="str">
            <v>Eva Yustinia Lopez Zuñiga</v>
          </cell>
        </row>
        <row r="2354">
          <cell r="F2354">
            <v>314445</v>
          </cell>
          <cell r="G2354" t="str">
            <v>Evelin Lorena Noguera García</v>
          </cell>
        </row>
        <row r="2355">
          <cell r="F2355">
            <v>314320</v>
          </cell>
          <cell r="G2355" t="str">
            <v>Evelin Maria Padilla Garcia</v>
          </cell>
        </row>
        <row r="2356">
          <cell r="F2356">
            <v>313699</v>
          </cell>
          <cell r="G2356" t="str">
            <v>Evelin Yulissa Lopez Villar</v>
          </cell>
        </row>
        <row r="2357">
          <cell r="F2357">
            <v>307498</v>
          </cell>
          <cell r="G2357" t="str">
            <v>Evelyn Julieta Lopez Peralta</v>
          </cell>
        </row>
        <row r="2358">
          <cell r="F2358">
            <v>312811</v>
          </cell>
          <cell r="G2358" t="str">
            <v>Evelyn Maritza Chumil Monroy</v>
          </cell>
        </row>
        <row r="2359">
          <cell r="F2359">
            <v>313353</v>
          </cell>
          <cell r="G2359" t="str">
            <v>Evelyn Marleny Rosales Cutz</v>
          </cell>
        </row>
        <row r="2360">
          <cell r="F2360">
            <v>313264</v>
          </cell>
          <cell r="G2360" t="str">
            <v>Evelyn Mishell Catalan Pixtun</v>
          </cell>
        </row>
        <row r="2361">
          <cell r="F2361">
            <v>314528</v>
          </cell>
          <cell r="G2361" t="str">
            <v>Evelyn Nohemi Morales Lopez</v>
          </cell>
        </row>
        <row r="2362">
          <cell r="F2362">
            <v>311933</v>
          </cell>
          <cell r="G2362" t="str">
            <v>Evelyn Rocio Chiquival Piquic</v>
          </cell>
        </row>
        <row r="2363">
          <cell r="F2363">
            <v>315213</v>
          </cell>
          <cell r="G2363" t="str">
            <v>Evelyn Susana Hernandez Ambrosio</v>
          </cell>
        </row>
        <row r="2364">
          <cell r="F2364">
            <v>311721</v>
          </cell>
          <cell r="G2364" t="str">
            <v>Evelyn Yaneth Aceituno Lara</v>
          </cell>
        </row>
        <row r="2365">
          <cell r="F2365">
            <v>313016</v>
          </cell>
          <cell r="G2365" t="str">
            <v>Ever Josue Del Valle Rivera</v>
          </cell>
        </row>
        <row r="2366">
          <cell r="F2366">
            <v>313552</v>
          </cell>
          <cell r="G2366" t="str">
            <v>Everilda Choc Caal</v>
          </cell>
        </row>
        <row r="2367">
          <cell r="F2367">
            <v>313091</v>
          </cell>
          <cell r="G2367" t="str">
            <v>Fabian De Jesus Ramirez Icute</v>
          </cell>
        </row>
        <row r="2368">
          <cell r="F2368">
            <v>312169</v>
          </cell>
          <cell r="G2368" t="str">
            <v>Fabiola Hernandez Bartolon</v>
          </cell>
        </row>
        <row r="2369">
          <cell r="F2369">
            <v>308284</v>
          </cell>
          <cell r="G2369" t="str">
            <v>Fabiola Ninett Beteta Barillas</v>
          </cell>
        </row>
        <row r="2370">
          <cell r="F2370">
            <v>312293</v>
          </cell>
          <cell r="G2370" t="str">
            <v>Fabricio Daniel Cajas Cifuentes</v>
          </cell>
        </row>
        <row r="2371">
          <cell r="F2371">
            <v>315582</v>
          </cell>
          <cell r="G2371" t="str">
            <v>Fatima Mercedes Montes Quezada</v>
          </cell>
        </row>
        <row r="2372">
          <cell r="F2372">
            <v>314263</v>
          </cell>
          <cell r="G2372" t="str">
            <v>Feliciana Isabel Ramirez Raymundo</v>
          </cell>
        </row>
        <row r="2373">
          <cell r="F2373">
            <v>314012</v>
          </cell>
          <cell r="G2373" t="str">
            <v>Felix Rodolfo Alvarado Jimenez</v>
          </cell>
        </row>
        <row r="2374">
          <cell r="F2374">
            <v>314349</v>
          </cell>
          <cell r="G2374" t="str">
            <v>Fernanda Lucia Lopez Estrada</v>
          </cell>
        </row>
        <row r="2375">
          <cell r="F2375">
            <v>312409</v>
          </cell>
          <cell r="G2375" t="str">
            <v>Fernanda Rene Villatoro Guarcas</v>
          </cell>
        </row>
        <row r="2376">
          <cell r="F2376">
            <v>314934</v>
          </cell>
          <cell r="G2376" t="str">
            <v>Fernando Jose Monzon Castañeda</v>
          </cell>
        </row>
        <row r="2377">
          <cell r="F2377">
            <v>315303</v>
          </cell>
          <cell r="G2377" t="str">
            <v>Flavio Ernesto Monzón Rummler</v>
          </cell>
        </row>
        <row r="2378">
          <cell r="F2378">
            <v>315309</v>
          </cell>
          <cell r="G2378" t="str">
            <v>Flor De Maria Lopez Garcia</v>
          </cell>
        </row>
        <row r="2379">
          <cell r="F2379">
            <v>307917</v>
          </cell>
          <cell r="G2379" t="str">
            <v>Flor De Maria Mux Ramos</v>
          </cell>
        </row>
        <row r="2380">
          <cell r="F2380">
            <v>315038</v>
          </cell>
          <cell r="G2380" t="str">
            <v>Flor Sylvestre Orellana Gonzalez</v>
          </cell>
        </row>
        <row r="2381">
          <cell r="F2381">
            <v>101729</v>
          </cell>
          <cell r="G2381" t="str">
            <v>Florencio Monterroso Estrada</v>
          </cell>
        </row>
        <row r="2382">
          <cell r="F2382">
            <v>314230</v>
          </cell>
          <cell r="G2382" t="str">
            <v>Floridalma Leticia Lopez Ramirez</v>
          </cell>
        </row>
        <row r="2383">
          <cell r="F2383">
            <v>314093</v>
          </cell>
          <cell r="G2383" t="str">
            <v>Floridalma Nicolas Yos</v>
          </cell>
        </row>
        <row r="2384">
          <cell r="F2384">
            <v>312717</v>
          </cell>
          <cell r="G2384" t="str">
            <v>Florita Reyes Roblero Morales</v>
          </cell>
        </row>
        <row r="2385">
          <cell r="F2385">
            <v>314785</v>
          </cell>
          <cell r="G2385" t="str">
            <v>Flory Azucena De Leon Ventura</v>
          </cell>
        </row>
        <row r="2386">
          <cell r="F2386">
            <v>310144</v>
          </cell>
          <cell r="G2386" t="str">
            <v>Francisco Javier Diaz Avila</v>
          </cell>
        </row>
        <row r="2387">
          <cell r="F2387">
            <v>315457</v>
          </cell>
          <cell r="G2387" t="str">
            <v>Francisco Joel Gomez Rodriguez</v>
          </cell>
        </row>
        <row r="2388">
          <cell r="F2388">
            <v>311612</v>
          </cell>
          <cell r="G2388" t="str">
            <v>Franklin Alexander Perez Paiz</v>
          </cell>
        </row>
        <row r="2389">
          <cell r="F2389">
            <v>315204</v>
          </cell>
          <cell r="G2389" t="str">
            <v>Gabriel Antonio Rodas Domingo</v>
          </cell>
        </row>
        <row r="2390">
          <cell r="F2390">
            <v>311548</v>
          </cell>
          <cell r="G2390" t="str">
            <v>Gabriela Alejandra Estrada Aroche</v>
          </cell>
        </row>
        <row r="2391">
          <cell r="F2391">
            <v>306667</v>
          </cell>
          <cell r="G2391" t="str">
            <v>Gabriela Elizabeth Flores Santos</v>
          </cell>
        </row>
        <row r="2392">
          <cell r="F2392">
            <v>314533</v>
          </cell>
          <cell r="G2392" t="str">
            <v>Gabriela Liseth Perez Monzon</v>
          </cell>
        </row>
        <row r="2393">
          <cell r="F2393">
            <v>311817</v>
          </cell>
          <cell r="G2393" t="str">
            <v>Gabriela Paola Macario Lopez</v>
          </cell>
        </row>
        <row r="2394">
          <cell r="F2394">
            <v>301309</v>
          </cell>
          <cell r="G2394" t="str">
            <v>Gabriela Pelaez Gonzalez</v>
          </cell>
        </row>
        <row r="2395">
          <cell r="F2395">
            <v>315530</v>
          </cell>
          <cell r="G2395" t="str">
            <v>Gabriela Raquel Pixtun Trujillo</v>
          </cell>
        </row>
        <row r="2396">
          <cell r="F2396">
            <v>315343</v>
          </cell>
          <cell r="G2396" t="str">
            <v>Gabriela Valeska Lemus Cotuc</v>
          </cell>
        </row>
        <row r="2397">
          <cell r="F2397">
            <v>309911</v>
          </cell>
          <cell r="G2397" t="str">
            <v>Gaby Beatriz Lopez Lopez</v>
          </cell>
        </row>
        <row r="2398">
          <cell r="F2398">
            <v>315485</v>
          </cell>
          <cell r="G2398" t="str">
            <v>Geraldy Daleska Cuyan Giron</v>
          </cell>
        </row>
        <row r="2399">
          <cell r="F2399">
            <v>307104</v>
          </cell>
          <cell r="G2399" t="str">
            <v>Gerber Ariel De Leon Elias</v>
          </cell>
        </row>
        <row r="2400">
          <cell r="F2400">
            <v>312975</v>
          </cell>
          <cell r="G2400" t="str">
            <v>Gerberth Aridmendi Arevalo Zepeda</v>
          </cell>
        </row>
        <row r="2401">
          <cell r="F2401">
            <v>306654</v>
          </cell>
          <cell r="G2401" t="str">
            <v>Gerson Arcadio Hernandez Barrios</v>
          </cell>
        </row>
        <row r="2402">
          <cell r="F2402">
            <v>315035</v>
          </cell>
          <cell r="G2402" t="str">
            <v>Gerson David Ortega Soto</v>
          </cell>
        </row>
        <row r="2403">
          <cell r="F2403">
            <v>315255</v>
          </cell>
          <cell r="G2403" t="str">
            <v>Gerson Rene Galicia Alvarez</v>
          </cell>
        </row>
        <row r="2404">
          <cell r="F2404">
            <v>313730</v>
          </cell>
          <cell r="G2404" t="str">
            <v>Gerson Rolando Alcantara Gonzalez</v>
          </cell>
        </row>
        <row r="2405">
          <cell r="F2405">
            <v>315273</v>
          </cell>
          <cell r="G2405" t="str">
            <v>Gladis Guadalupe Tuyuc Ramirez</v>
          </cell>
        </row>
        <row r="2406">
          <cell r="F2406">
            <v>309429</v>
          </cell>
          <cell r="G2406" t="str">
            <v>Gladis Mishel Aguilar Garcia</v>
          </cell>
        </row>
        <row r="2407">
          <cell r="F2407">
            <v>315265</v>
          </cell>
          <cell r="G2407" t="str">
            <v>Gladis Nohemi Noj Hernandez De De Leon</v>
          </cell>
        </row>
        <row r="2408">
          <cell r="F2408">
            <v>301514</v>
          </cell>
          <cell r="G2408" t="str">
            <v>Gladiz Maricela Guamuch Caracun De Lopez</v>
          </cell>
        </row>
        <row r="2409">
          <cell r="F2409">
            <v>309950</v>
          </cell>
          <cell r="G2409" t="str">
            <v>Gladys Maribel Chamale Cotzajay</v>
          </cell>
        </row>
        <row r="2410">
          <cell r="F2410">
            <v>315349</v>
          </cell>
          <cell r="G2410" t="str">
            <v>Gladys Marleny Rodriguez Tzoc</v>
          </cell>
        </row>
        <row r="2411">
          <cell r="F2411">
            <v>306248</v>
          </cell>
          <cell r="G2411" t="str">
            <v>Gladys Susana Marin De Leon</v>
          </cell>
        </row>
        <row r="2412">
          <cell r="F2412">
            <v>310719</v>
          </cell>
          <cell r="G2412" t="str">
            <v>Gladyz Ninett Sanchez Perez</v>
          </cell>
        </row>
        <row r="2413">
          <cell r="F2413">
            <v>309945</v>
          </cell>
          <cell r="G2413" t="str">
            <v>Glenda Flor De Maria Caal</v>
          </cell>
        </row>
        <row r="2414">
          <cell r="F2414">
            <v>314619</v>
          </cell>
          <cell r="G2414" t="str">
            <v>Glenda Isabel Perez Velasquez</v>
          </cell>
        </row>
        <row r="2415">
          <cell r="F2415">
            <v>315263</v>
          </cell>
          <cell r="G2415" t="str">
            <v>Glendy Aracely Arevalo Estrada</v>
          </cell>
        </row>
        <row r="2416">
          <cell r="F2416">
            <v>312140</v>
          </cell>
          <cell r="G2416" t="str">
            <v>Glendy Elizabeth Aspuac Xunux</v>
          </cell>
        </row>
        <row r="2417">
          <cell r="F2417">
            <v>304949</v>
          </cell>
          <cell r="G2417" t="str">
            <v>Glendy Modesta Orellana Sanabria</v>
          </cell>
        </row>
        <row r="2418">
          <cell r="F2418">
            <v>314189</v>
          </cell>
          <cell r="G2418" t="str">
            <v>Gloria Angelica Torres Franco</v>
          </cell>
        </row>
        <row r="2419">
          <cell r="F2419">
            <v>304943</v>
          </cell>
          <cell r="G2419" t="str">
            <v>Gloria Hernandez Reyes</v>
          </cell>
        </row>
        <row r="2420">
          <cell r="F2420">
            <v>314569</v>
          </cell>
          <cell r="G2420" t="str">
            <v>Gonzalo Danilo Castillo Miche</v>
          </cell>
        </row>
        <row r="2421">
          <cell r="F2421">
            <v>310114</v>
          </cell>
          <cell r="G2421" t="str">
            <v>Guadalupe Marroquin Mayen</v>
          </cell>
        </row>
        <row r="2422">
          <cell r="F2422">
            <v>313710</v>
          </cell>
          <cell r="G2422" t="str">
            <v>Gustavo Adolfo Mixtun Sunun</v>
          </cell>
        </row>
        <row r="2423">
          <cell r="F2423">
            <v>314863</v>
          </cell>
          <cell r="G2423" t="str">
            <v>Gustavo Manuel Cifuentes De Mata</v>
          </cell>
        </row>
        <row r="2424">
          <cell r="F2424">
            <v>315412</v>
          </cell>
          <cell r="G2424" t="str">
            <v>Hairo Andre Contreras Paz</v>
          </cell>
        </row>
        <row r="2425">
          <cell r="F2425">
            <v>311419</v>
          </cell>
          <cell r="G2425" t="str">
            <v>Hallari Michel Orozco Chapen</v>
          </cell>
        </row>
        <row r="2426">
          <cell r="F2426">
            <v>312961</v>
          </cell>
          <cell r="G2426" t="str">
            <v>Hans Estuard Milian Alarcon</v>
          </cell>
        </row>
        <row r="2427">
          <cell r="F2427">
            <v>315569</v>
          </cell>
          <cell r="G2427" t="str">
            <v>Heber Benjamin Gomez Ramirez</v>
          </cell>
        </row>
        <row r="2428">
          <cell r="F2428">
            <v>315175</v>
          </cell>
          <cell r="G2428" t="str">
            <v>Heber Nehemias Velasquez Lorenzo</v>
          </cell>
        </row>
        <row r="2429">
          <cell r="F2429">
            <v>315576</v>
          </cell>
          <cell r="G2429" t="str">
            <v>Heber Uziel Ruiz Escobar</v>
          </cell>
        </row>
        <row r="2430">
          <cell r="F2430">
            <v>315154</v>
          </cell>
          <cell r="G2430" t="str">
            <v>Hector Estuardo Velasquez Carvajal</v>
          </cell>
        </row>
        <row r="2431">
          <cell r="F2431">
            <v>312588</v>
          </cell>
          <cell r="G2431" t="str">
            <v>Hector Manuel Pojoy Berduo</v>
          </cell>
        </row>
        <row r="2432">
          <cell r="F2432">
            <v>309925</v>
          </cell>
          <cell r="G2432" t="str">
            <v>Hector Marco Tulio Torres Garcia</v>
          </cell>
        </row>
        <row r="2433">
          <cell r="F2433">
            <v>312114</v>
          </cell>
          <cell r="G2433" t="str">
            <v>Hegner Aquino Mateo Recinos</v>
          </cell>
        </row>
        <row r="2434">
          <cell r="F2434">
            <v>310694</v>
          </cell>
          <cell r="G2434" t="str">
            <v>Heidy Carolina Monterroso Monterroso</v>
          </cell>
        </row>
        <row r="2435">
          <cell r="F2435">
            <v>315300</v>
          </cell>
          <cell r="G2435" t="str">
            <v>Heidy Karina Gil Quinti</v>
          </cell>
        </row>
        <row r="2436">
          <cell r="F2436">
            <v>314029</v>
          </cell>
          <cell r="G2436" t="str">
            <v>Heidy Noely Yupe Hernandez</v>
          </cell>
        </row>
        <row r="2437">
          <cell r="F2437">
            <v>313510</v>
          </cell>
          <cell r="G2437" t="str">
            <v>Heidy Patricia Santizo López</v>
          </cell>
        </row>
        <row r="2438">
          <cell r="F2438">
            <v>308951</v>
          </cell>
          <cell r="G2438" t="str">
            <v>Heidy Sucely Boc Monroy</v>
          </cell>
        </row>
        <row r="2439">
          <cell r="F2439">
            <v>301847</v>
          </cell>
          <cell r="G2439" t="str">
            <v>Heidy Yanet Reyes Presencin</v>
          </cell>
        </row>
        <row r="2440">
          <cell r="F2440">
            <v>314009</v>
          </cell>
          <cell r="G2440" t="str">
            <v>Heily Marie Taracena Diaz</v>
          </cell>
        </row>
        <row r="2441">
          <cell r="F2441">
            <v>303959</v>
          </cell>
          <cell r="G2441" t="str">
            <v>Helen Editt Solorzano Estrada</v>
          </cell>
        </row>
        <row r="2442">
          <cell r="F2442">
            <v>308028</v>
          </cell>
          <cell r="G2442" t="str">
            <v>Helen Eunice Hernandez Recinos</v>
          </cell>
        </row>
        <row r="2443">
          <cell r="F2443">
            <v>302479</v>
          </cell>
          <cell r="G2443" t="str">
            <v>Helen Xiomara Roldan Sagastume</v>
          </cell>
        </row>
        <row r="2444">
          <cell r="F2444">
            <v>313041</v>
          </cell>
          <cell r="G2444" t="str">
            <v>Hellen Marisol Velasquez Ciprian</v>
          </cell>
        </row>
        <row r="2445">
          <cell r="F2445">
            <v>313729</v>
          </cell>
          <cell r="G2445" t="str">
            <v>Henry David Lopez Perez</v>
          </cell>
        </row>
        <row r="2446">
          <cell r="F2446">
            <v>307713</v>
          </cell>
          <cell r="G2446" t="str">
            <v>Henry Donaldo Rodriguez Perez</v>
          </cell>
        </row>
        <row r="2447">
          <cell r="F2447">
            <v>315304</v>
          </cell>
          <cell r="G2447" t="str">
            <v>Henry Gabriel Morales Chinchilla</v>
          </cell>
        </row>
        <row r="2448">
          <cell r="F2448">
            <v>314630</v>
          </cell>
          <cell r="G2448" t="str">
            <v>Henry Misael Serech Ramon</v>
          </cell>
        </row>
        <row r="2449">
          <cell r="F2449">
            <v>312139</v>
          </cell>
          <cell r="G2449" t="str">
            <v>Herber Ardany Lucho Samayoa</v>
          </cell>
        </row>
        <row r="2450">
          <cell r="F2450">
            <v>310725</v>
          </cell>
          <cell r="G2450" t="str">
            <v>Herber Humberto Cax Gonzales</v>
          </cell>
        </row>
        <row r="2451">
          <cell r="F2451">
            <v>309034</v>
          </cell>
          <cell r="G2451" t="str">
            <v>Herbert Josue Mucia Garcia</v>
          </cell>
        </row>
        <row r="2452">
          <cell r="F2452">
            <v>315218</v>
          </cell>
          <cell r="G2452" t="str">
            <v>Herberth Alberto Barrios Perez</v>
          </cell>
        </row>
        <row r="2453">
          <cell r="F2453">
            <v>315050</v>
          </cell>
          <cell r="G2453" t="str">
            <v>Hercy Dayana Hidalgo Romero</v>
          </cell>
        </row>
        <row r="2454">
          <cell r="F2454">
            <v>312377</v>
          </cell>
          <cell r="G2454" t="str">
            <v>Hesler Jonathan Quevedo De La Cruz</v>
          </cell>
        </row>
        <row r="2455">
          <cell r="F2455">
            <v>315495</v>
          </cell>
          <cell r="G2455" t="str">
            <v>Heydee Johana Marisol Cho Del Valle</v>
          </cell>
        </row>
        <row r="2456">
          <cell r="F2456">
            <v>302285</v>
          </cell>
          <cell r="G2456" t="str">
            <v>Heydi Yaneth Sales Mazariegos</v>
          </cell>
        </row>
        <row r="2457">
          <cell r="F2457">
            <v>309528</v>
          </cell>
          <cell r="G2457" t="str">
            <v>Heydi Zuleyma Gue Cac</v>
          </cell>
        </row>
        <row r="2458">
          <cell r="F2458">
            <v>310612</v>
          </cell>
          <cell r="G2458" t="str">
            <v>Heydy Mariela Santiago Armas</v>
          </cell>
        </row>
        <row r="2459">
          <cell r="F2459">
            <v>301649</v>
          </cell>
          <cell r="G2459" t="str">
            <v>Hilda Paola Lopez Cano</v>
          </cell>
        </row>
        <row r="2460">
          <cell r="F2460">
            <v>306404</v>
          </cell>
          <cell r="G2460" t="str">
            <v>Hugo Leonel Tahual Ramos</v>
          </cell>
        </row>
        <row r="2461">
          <cell r="F2461">
            <v>313743</v>
          </cell>
          <cell r="G2461" t="str">
            <v>Hugo Rolando Ruiz Alquijay</v>
          </cell>
        </row>
        <row r="2462">
          <cell r="F2462">
            <v>310888</v>
          </cell>
          <cell r="G2462" t="str">
            <v>Hugo Vinicio Chavez Barrios</v>
          </cell>
        </row>
        <row r="2463">
          <cell r="F2463">
            <v>302261</v>
          </cell>
          <cell r="G2463" t="str">
            <v>Idalia Ester Espino Lopez</v>
          </cell>
        </row>
        <row r="2464">
          <cell r="F2464">
            <v>304392</v>
          </cell>
          <cell r="G2464" t="str">
            <v>Ilda Gricelda Garcia Zacarias</v>
          </cell>
        </row>
        <row r="2465">
          <cell r="F2465">
            <v>313703</v>
          </cell>
          <cell r="G2465" t="str">
            <v>Ilda Magnolia Lopez Ramirez</v>
          </cell>
        </row>
        <row r="2466">
          <cell r="F2466">
            <v>310432</v>
          </cell>
          <cell r="G2466" t="str">
            <v>Ilda Merary Calachij Mendez</v>
          </cell>
        </row>
        <row r="2467">
          <cell r="F2467">
            <v>309389</v>
          </cell>
          <cell r="G2467" t="str">
            <v>Ilsy Meliza Matzir Lebon</v>
          </cell>
        </row>
        <row r="2468">
          <cell r="F2468">
            <v>303674</v>
          </cell>
          <cell r="G2468" t="str">
            <v>Imelda Elizabeth Castro Rodas</v>
          </cell>
        </row>
        <row r="2469">
          <cell r="F2469">
            <v>301644</v>
          </cell>
          <cell r="G2469" t="str">
            <v>Imelda Eugenia Recinos Martinez</v>
          </cell>
        </row>
        <row r="2470">
          <cell r="F2470">
            <v>307030</v>
          </cell>
          <cell r="G2470" t="str">
            <v>Ingrid Alejandra Juarez Yanes</v>
          </cell>
        </row>
        <row r="2471">
          <cell r="F2471">
            <v>315503</v>
          </cell>
          <cell r="G2471" t="str">
            <v>Ingrid Benita Tojin Chuc</v>
          </cell>
        </row>
        <row r="2472">
          <cell r="F2472">
            <v>312398</v>
          </cell>
          <cell r="G2472" t="str">
            <v>Ingrid Esteffany Salazar Sosa</v>
          </cell>
        </row>
        <row r="2473">
          <cell r="F2473">
            <v>301199</v>
          </cell>
          <cell r="G2473" t="str">
            <v>Ingrid Haydee Minchez Monzon</v>
          </cell>
        </row>
        <row r="2474">
          <cell r="F2474">
            <v>304317</v>
          </cell>
          <cell r="G2474" t="str">
            <v>Ingrid Johana Muñoz Choc</v>
          </cell>
        </row>
        <row r="2475">
          <cell r="F2475">
            <v>311286</v>
          </cell>
          <cell r="G2475" t="str">
            <v>Ingrid Lorena Anleu Morales</v>
          </cell>
        </row>
        <row r="2476">
          <cell r="F2476">
            <v>311133</v>
          </cell>
          <cell r="G2476" t="str">
            <v>Ingrid Mariela Maldonado Tubac</v>
          </cell>
        </row>
        <row r="2477">
          <cell r="F2477">
            <v>313304</v>
          </cell>
          <cell r="G2477" t="str">
            <v>Ingrid Yojana Ramos Sacalxot</v>
          </cell>
        </row>
        <row r="2478">
          <cell r="F2478">
            <v>311997</v>
          </cell>
          <cell r="G2478" t="str">
            <v>Irene Lizbeth Rodas Cuc</v>
          </cell>
        </row>
        <row r="2479">
          <cell r="F2479">
            <v>313128</v>
          </cell>
          <cell r="G2479" t="str">
            <v>Iris Elizabeth Cardona Gonzalez</v>
          </cell>
        </row>
        <row r="2480">
          <cell r="F2480">
            <v>314232</v>
          </cell>
          <cell r="G2480" t="str">
            <v>Iris Yulisa Camposeco Funes</v>
          </cell>
        </row>
        <row r="2481">
          <cell r="F2481">
            <v>312920</v>
          </cell>
          <cell r="G2481" t="str">
            <v>Irma Leticia Raquec Yos</v>
          </cell>
        </row>
        <row r="2482">
          <cell r="F2482">
            <v>314336</v>
          </cell>
          <cell r="G2482" t="str">
            <v>Isaac David Ismael Calderon Socop</v>
          </cell>
        </row>
        <row r="2483">
          <cell r="F2483">
            <v>315186</v>
          </cell>
          <cell r="G2483" t="str">
            <v>Isabelita Retana Zepeda</v>
          </cell>
        </row>
        <row r="2484">
          <cell r="F2484">
            <v>311913</v>
          </cell>
          <cell r="G2484" t="str">
            <v>Isai Bernabe Quiroa Alvarez</v>
          </cell>
        </row>
        <row r="2485">
          <cell r="F2485">
            <v>315302</v>
          </cell>
          <cell r="G2485" t="str">
            <v>Isai De Jesus Cabrera Tirado</v>
          </cell>
        </row>
        <row r="2486">
          <cell r="F2486">
            <v>314983</v>
          </cell>
          <cell r="G2486" t="str">
            <v>Ismael Josafat Barrios</v>
          </cell>
        </row>
        <row r="2487">
          <cell r="F2487">
            <v>313569</v>
          </cell>
          <cell r="G2487" t="str">
            <v>Ismar Manfredo Gomez Batres</v>
          </cell>
        </row>
        <row r="2488">
          <cell r="F2488">
            <v>315034</v>
          </cell>
          <cell r="G2488" t="str">
            <v>Jackeline Andrea Yancor Wilhelm</v>
          </cell>
        </row>
        <row r="2489">
          <cell r="F2489">
            <v>315352</v>
          </cell>
          <cell r="G2489" t="str">
            <v>Jackeline Ester Vasquez Pernillo</v>
          </cell>
        </row>
        <row r="2490">
          <cell r="F2490">
            <v>100717</v>
          </cell>
          <cell r="G2490" t="str">
            <v>Jackeline Larisa De Leon Roldan</v>
          </cell>
        </row>
        <row r="2491">
          <cell r="F2491">
            <v>313656</v>
          </cell>
          <cell r="G2491" t="str">
            <v>Jackelinne Judith Paz Morales</v>
          </cell>
        </row>
        <row r="2492">
          <cell r="F2492">
            <v>312255</v>
          </cell>
          <cell r="G2492" t="str">
            <v>Jacqueline Mercedes Portuguez Simaj</v>
          </cell>
        </row>
        <row r="2493">
          <cell r="F2493">
            <v>314780</v>
          </cell>
          <cell r="G2493" t="str">
            <v>Jacqueline Michell Arroyo Mendoza</v>
          </cell>
        </row>
        <row r="2494">
          <cell r="F2494">
            <v>301265</v>
          </cell>
          <cell r="G2494" t="str">
            <v>Jaime Estuardo Gonzalez Lopez</v>
          </cell>
        </row>
        <row r="2495">
          <cell r="F2495">
            <v>314552</v>
          </cell>
          <cell r="G2495" t="str">
            <v>Jaime Ottoniel Del Aguila Pineda</v>
          </cell>
        </row>
        <row r="2496">
          <cell r="F2496">
            <v>301608</v>
          </cell>
          <cell r="G2496" t="str">
            <v>Jaime Rene Guzman Muy</v>
          </cell>
        </row>
        <row r="2497">
          <cell r="F2497">
            <v>314866</v>
          </cell>
          <cell r="G2497" t="str">
            <v>Jaime Wilfredo Chub Coc</v>
          </cell>
        </row>
        <row r="2498">
          <cell r="F2498">
            <v>314935</v>
          </cell>
          <cell r="G2498" t="str">
            <v>Jairo Anibal Veliz Carrera</v>
          </cell>
        </row>
        <row r="2499">
          <cell r="F2499">
            <v>313086</v>
          </cell>
          <cell r="G2499" t="str">
            <v>Jairo Onesimo Aguilar Cabrera</v>
          </cell>
        </row>
        <row r="2500">
          <cell r="F2500">
            <v>314146</v>
          </cell>
          <cell r="G2500" t="str">
            <v>Jairo Saul Lopez Quinteros</v>
          </cell>
        </row>
        <row r="2501">
          <cell r="F2501">
            <v>315130</v>
          </cell>
          <cell r="G2501" t="str">
            <v>Jakelyn Estrella Erazo Asencio</v>
          </cell>
        </row>
        <row r="2502">
          <cell r="F2502">
            <v>315546</v>
          </cell>
          <cell r="G2502" t="str">
            <v>James Alexander Marquez Salazar</v>
          </cell>
        </row>
        <row r="2503">
          <cell r="F2503">
            <v>314261</v>
          </cell>
          <cell r="G2503" t="str">
            <v>Jannely Darlene Telon Giron</v>
          </cell>
        </row>
        <row r="2504">
          <cell r="F2504">
            <v>313187</v>
          </cell>
          <cell r="G2504" t="str">
            <v>Janyer Violeta Aguirre Alvarez</v>
          </cell>
        </row>
        <row r="2505">
          <cell r="F2505">
            <v>308525</v>
          </cell>
          <cell r="G2505" t="str">
            <v>Jaquelin Paola Lopez Bocel</v>
          </cell>
        </row>
        <row r="2506">
          <cell r="F2506">
            <v>308189</v>
          </cell>
          <cell r="G2506" t="str">
            <v>Jaquelin Rocxana Cantey De Leon</v>
          </cell>
        </row>
        <row r="2507">
          <cell r="F2507">
            <v>312758</v>
          </cell>
          <cell r="G2507" t="str">
            <v>Jaqueline Gabriela Vasquez Icute De Padilla</v>
          </cell>
        </row>
        <row r="2508">
          <cell r="F2508">
            <v>301462</v>
          </cell>
          <cell r="G2508" t="str">
            <v>Jaqueline Johana Hernandez Masaya</v>
          </cell>
        </row>
        <row r="2509">
          <cell r="F2509">
            <v>310027</v>
          </cell>
          <cell r="G2509" t="str">
            <v>Jaqueline Mishel Zetino Culan</v>
          </cell>
        </row>
        <row r="2510">
          <cell r="F2510">
            <v>313663</v>
          </cell>
          <cell r="G2510" t="str">
            <v>Jaqueline Mishell Perez Sanic</v>
          </cell>
        </row>
        <row r="2511">
          <cell r="F2511">
            <v>314697</v>
          </cell>
          <cell r="G2511" t="str">
            <v>Jaqueline Noemi Cojon Franco</v>
          </cell>
        </row>
        <row r="2512">
          <cell r="F2512">
            <v>314526</v>
          </cell>
          <cell r="G2512" t="str">
            <v>Jaqueline Sarai Reynoso Perez</v>
          </cell>
        </row>
        <row r="2513">
          <cell r="F2513">
            <v>314952</v>
          </cell>
          <cell r="G2513" t="str">
            <v>Jaqueline Stephanie Espinoza Espinoza</v>
          </cell>
        </row>
        <row r="2514">
          <cell r="F2514">
            <v>315467</v>
          </cell>
          <cell r="G2514" t="str">
            <v>Jaqueline Vanessa Cardona Del Cid</v>
          </cell>
        </row>
        <row r="2515">
          <cell r="F2515">
            <v>314066</v>
          </cell>
          <cell r="G2515" t="str">
            <v>Jaquelyn Marleny Fernandez</v>
          </cell>
        </row>
        <row r="2516">
          <cell r="F2516">
            <v>314639</v>
          </cell>
          <cell r="G2516" t="str">
            <v>Jarod Emanuel Prado Sanchez</v>
          </cell>
        </row>
        <row r="2517">
          <cell r="F2517">
            <v>311320</v>
          </cell>
          <cell r="G2517" t="str">
            <v>Jasly Elisama Escobar Mayen</v>
          </cell>
        </row>
        <row r="2518">
          <cell r="F2518">
            <v>304531</v>
          </cell>
          <cell r="G2518" t="str">
            <v>Jasmin Cristabel Rosales</v>
          </cell>
        </row>
        <row r="2519">
          <cell r="F2519">
            <v>315500</v>
          </cell>
          <cell r="G2519" t="str">
            <v>Jasson Daniel Morales Garcia</v>
          </cell>
        </row>
        <row r="2520">
          <cell r="F2520">
            <v>315383</v>
          </cell>
          <cell r="G2520" t="str">
            <v>Javier Estuardo Calderon Caceres</v>
          </cell>
        </row>
        <row r="2521">
          <cell r="F2521">
            <v>307598</v>
          </cell>
          <cell r="G2521" t="str">
            <v>Javier Ignacio Monzon Leon</v>
          </cell>
        </row>
        <row r="2522">
          <cell r="F2522">
            <v>312743</v>
          </cell>
          <cell r="G2522" t="str">
            <v>Jayro Vinicio Alvarado Rodriguez</v>
          </cell>
        </row>
        <row r="2523">
          <cell r="F2523">
            <v>313435</v>
          </cell>
          <cell r="G2523" t="str">
            <v>Jefferson Marvin Baudilio Aldana Lozano</v>
          </cell>
        </row>
        <row r="2524">
          <cell r="F2524">
            <v>310987</v>
          </cell>
          <cell r="G2524" t="str">
            <v>Jeffrey Donely Alvarez Garcia</v>
          </cell>
        </row>
        <row r="2525">
          <cell r="F2525">
            <v>315307</v>
          </cell>
          <cell r="G2525" t="str">
            <v>Jeicob Manrique Argueta Ovalle</v>
          </cell>
        </row>
        <row r="2526">
          <cell r="F2526">
            <v>313167</v>
          </cell>
          <cell r="G2526" t="str">
            <v>Jency Julissa Chavarria Garcia</v>
          </cell>
        </row>
        <row r="2527">
          <cell r="F2527">
            <v>309592</v>
          </cell>
          <cell r="G2527" t="str">
            <v>Jenifer Estrella Alvarez Cruz</v>
          </cell>
        </row>
        <row r="2528">
          <cell r="F2528">
            <v>308871</v>
          </cell>
          <cell r="G2528" t="str">
            <v>Jenifer Lisset Chicol Solis</v>
          </cell>
        </row>
        <row r="2529">
          <cell r="F2529">
            <v>310744</v>
          </cell>
          <cell r="G2529" t="str">
            <v>Jenifer Lucrecia Herrera Gonzalez</v>
          </cell>
        </row>
        <row r="2530">
          <cell r="F2530">
            <v>312022</v>
          </cell>
          <cell r="G2530" t="str">
            <v>Jenifer Maria Lopez Jimenez</v>
          </cell>
        </row>
        <row r="2531">
          <cell r="F2531">
            <v>311998</v>
          </cell>
          <cell r="G2531" t="str">
            <v>Jenifer Patricia Ruano Camo</v>
          </cell>
        </row>
        <row r="2532">
          <cell r="F2532">
            <v>314393</v>
          </cell>
          <cell r="G2532" t="str">
            <v>Jeniffer Yadaris Villegas Montepeque</v>
          </cell>
        </row>
        <row r="2533">
          <cell r="F2533">
            <v>312144</v>
          </cell>
          <cell r="G2533" t="str">
            <v>Jennie Beatriz Aguilar Gonzalez</v>
          </cell>
        </row>
        <row r="2534">
          <cell r="F2534">
            <v>310751</v>
          </cell>
          <cell r="G2534" t="str">
            <v>Jennifer Alejandra Escobar De Leon</v>
          </cell>
        </row>
        <row r="2535">
          <cell r="F2535">
            <v>311804</v>
          </cell>
          <cell r="G2535" t="str">
            <v>Jennifer Carolina Xitimul Aguilar</v>
          </cell>
        </row>
        <row r="2536">
          <cell r="F2536">
            <v>315185</v>
          </cell>
          <cell r="G2536" t="str">
            <v>Jennifer Estefany Argueta De Leon</v>
          </cell>
        </row>
        <row r="2537">
          <cell r="F2537">
            <v>313611</v>
          </cell>
          <cell r="G2537" t="str">
            <v>Jennifer Mishel Reyes Solis</v>
          </cell>
        </row>
        <row r="2538">
          <cell r="F2538">
            <v>314306</v>
          </cell>
          <cell r="G2538" t="str">
            <v>Jennifer Noemi Soch Castro</v>
          </cell>
        </row>
        <row r="2539">
          <cell r="F2539">
            <v>312876</v>
          </cell>
          <cell r="G2539" t="str">
            <v>Jennifer Pahola Calderon Lopez</v>
          </cell>
        </row>
        <row r="2540">
          <cell r="F2540">
            <v>311421</v>
          </cell>
          <cell r="G2540" t="str">
            <v>Jennifer Scarlett Garcia Perez</v>
          </cell>
        </row>
        <row r="2541">
          <cell r="F2541">
            <v>312270</v>
          </cell>
          <cell r="G2541" t="str">
            <v>Jennifer Vanessa Rodriguez Hernandez</v>
          </cell>
        </row>
        <row r="2542">
          <cell r="F2542">
            <v>313387</v>
          </cell>
          <cell r="G2542" t="str">
            <v>Jennifer Waleska Arévalo Barrios</v>
          </cell>
        </row>
        <row r="2543">
          <cell r="F2543">
            <v>312117</v>
          </cell>
          <cell r="G2543" t="str">
            <v>Jenniffer Jazmin Ramos Madriles</v>
          </cell>
        </row>
        <row r="2544">
          <cell r="F2544">
            <v>310238</v>
          </cell>
          <cell r="G2544" t="str">
            <v>Jennyfer Cristina Zamora Rosales</v>
          </cell>
        </row>
        <row r="2545">
          <cell r="F2545">
            <v>312732</v>
          </cell>
          <cell r="G2545" t="str">
            <v>Jerson Herminio Melchor Vasquez</v>
          </cell>
        </row>
        <row r="2546">
          <cell r="F2546">
            <v>314962</v>
          </cell>
          <cell r="G2546" t="str">
            <v>Jessica Alejandra Castillo Alvarado</v>
          </cell>
        </row>
        <row r="2547">
          <cell r="F2547">
            <v>314100</v>
          </cell>
          <cell r="G2547" t="str">
            <v>Jessica Elizabeth Perez Noriega</v>
          </cell>
        </row>
        <row r="2548">
          <cell r="F2548">
            <v>311601</v>
          </cell>
          <cell r="G2548" t="str">
            <v>Jessica Haydee Garcia Cuyuche</v>
          </cell>
        </row>
        <row r="2549">
          <cell r="F2549">
            <v>314620</v>
          </cell>
          <cell r="G2549" t="str">
            <v>Jessica Jasmin Baltazar Fuentes</v>
          </cell>
        </row>
        <row r="2550">
          <cell r="F2550">
            <v>302841</v>
          </cell>
          <cell r="G2550" t="str">
            <v>Jessica Maria Jose Santizo Guzman</v>
          </cell>
        </row>
        <row r="2551">
          <cell r="F2551">
            <v>306420</v>
          </cell>
          <cell r="G2551" t="str">
            <v>Jessica Paola Espinoza Solares</v>
          </cell>
        </row>
        <row r="2552">
          <cell r="F2552">
            <v>313826</v>
          </cell>
          <cell r="G2552" t="str">
            <v>Jesus Alberto Vasquez</v>
          </cell>
        </row>
        <row r="2553">
          <cell r="F2553">
            <v>314641</v>
          </cell>
          <cell r="G2553" t="str">
            <v>Jesus Emanuel Ramos Perez</v>
          </cell>
        </row>
        <row r="2554">
          <cell r="F2554">
            <v>314554</v>
          </cell>
          <cell r="G2554" t="str">
            <v>Jhonatan Alexis Ramos Tecun</v>
          </cell>
        </row>
        <row r="2555">
          <cell r="F2555">
            <v>309115</v>
          </cell>
          <cell r="G2555" t="str">
            <v>Jhony Ivan Perez Castillo</v>
          </cell>
        </row>
        <row r="2556">
          <cell r="F2556">
            <v>311171</v>
          </cell>
          <cell r="G2556" t="str">
            <v>Jhoselyn Guadalupe Aquino Maldonado</v>
          </cell>
        </row>
        <row r="2557">
          <cell r="F2557">
            <v>311987</v>
          </cell>
          <cell r="G2557" t="str">
            <v>Jhosseline Stefanie Zermeño Ayala</v>
          </cell>
        </row>
        <row r="2558">
          <cell r="F2558">
            <v>315116</v>
          </cell>
          <cell r="G2558" t="str">
            <v>Jocelyn Fabiola Negro Vasquez</v>
          </cell>
        </row>
        <row r="2559">
          <cell r="F2559">
            <v>314644</v>
          </cell>
          <cell r="G2559" t="str">
            <v>Joel Bernardino Pu Vicente</v>
          </cell>
        </row>
        <row r="2560">
          <cell r="F2560">
            <v>314368</v>
          </cell>
          <cell r="G2560" t="str">
            <v>Johanna Cecilia Hernandez Ixtecoc</v>
          </cell>
        </row>
        <row r="2561">
          <cell r="F2561">
            <v>314339</v>
          </cell>
          <cell r="G2561" t="str">
            <v>Jonatan Estuardo Lopez Gonzalez</v>
          </cell>
        </row>
        <row r="2562">
          <cell r="F2562">
            <v>313157</v>
          </cell>
          <cell r="G2562" t="str">
            <v>Jonatan Guillermo Soto Urbina</v>
          </cell>
        </row>
        <row r="2563">
          <cell r="F2563">
            <v>315492</v>
          </cell>
          <cell r="G2563" t="str">
            <v>Jonathan Daniel Perez Marroquin</v>
          </cell>
        </row>
        <row r="2564">
          <cell r="F2564">
            <v>315156</v>
          </cell>
          <cell r="G2564" t="str">
            <v>Jonathan Donely Sandoval Soch</v>
          </cell>
        </row>
        <row r="2565">
          <cell r="F2565">
            <v>315451</v>
          </cell>
          <cell r="G2565" t="str">
            <v>Jonathan Estuardo Boteo Hernandez</v>
          </cell>
        </row>
        <row r="2566">
          <cell r="F2566">
            <v>314228</v>
          </cell>
          <cell r="G2566" t="str">
            <v>Jordi Alexander Yuman Ramos</v>
          </cell>
        </row>
        <row r="2567">
          <cell r="F2567">
            <v>305955</v>
          </cell>
          <cell r="G2567" t="str">
            <v>Jorge Alfredo Gutierrez Rodriguez</v>
          </cell>
        </row>
        <row r="2568">
          <cell r="F2568">
            <v>309695</v>
          </cell>
          <cell r="G2568" t="str">
            <v>Jorge Andres Sunum Sacul</v>
          </cell>
        </row>
        <row r="2569">
          <cell r="F2569">
            <v>310641</v>
          </cell>
          <cell r="G2569" t="str">
            <v>Jorge Antonio Ramirez Sicay</v>
          </cell>
        </row>
        <row r="2570">
          <cell r="F2570">
            <v>300150</v>
          </cell>
          <cell r="G2570" t="str">
            <v>Jorge Ckristian Murga</v>
          </cell>
        </row>
        <row r="2571">
          <cell r="F2571">
            <v>315114</v>
          </cell>
          <cell r="G2571" t="str">
            <v>Jorge Enrique Tzic Cruz</v>
          </cell>
        </row>
        <row r="2572">
          <cell r="F2572">
            <v>300590</v>
          </cell>
          <cell r="G2572" t="str">
            <v>Jorge Luis Hernandez Corado</v>
          </cell>
        </row>
        <row r="2573">
          <cell r="F2573">
            <v>315173</v>
          </cell>
          <cell r="G2573" t="str">
            <v>Jorge Luis Morales Lopez</v>
          </cell>
        </row>
        <row r="2574">
          <cell r="F2574">
            <v>315067</v>
          </cell>
          <cell r="G2574" t="str">
            <v>Jorge Luis Rizo Melgar</v>
          </cell>
        </row>
        <row r="2575">
          <cell r="F2575">
            <v>309498</v>
          </cell>
          <cell r="G2575" t="str">
            <v>Jorge Ramiro Ixpec Tinti</v>
          </cell>
        </row>
        <row r="2576">
          <cell r="F2576">
            <v>313405</v>
          </cell>
          <cell r="G2576" t="str">
            <v>Josabet Anai Paz Lobos</v>
          </cell>
        </row>
        <row r="2577">
          <cell r="F2577">
            <v>315268</v>
          </cell>
          <cell r="G2577" t="str">
            <v>Jose Alberto Alveno Chacon</v>
          </cell>
        </row>
        <row r="2578">
          <cell r="F2578">
            <v>312319</v>
          </cell>
          <cell r="G2578" t="str">
            <v>Jose Alberto Sosa</v>
          </cell>
        </row>
        <row r="2579">
          <cell r="F2579">
            <v>315039</v>
          </cell>
          <cell r="G2579" t="str">
            <v>Jose Alejandro Hernandez Escobar</v>
          </cell>
        </row>
        <row r="2580">
          <cell r="F2580">
            <v>310674</v>
          </cell>
          <cell r="G2580" t="str">
            <v>Jose Armando Bamaca De Leon</v>
          </cell>
        </row>
        <row r="2581">
          <cell r="F2581">
            <v>313612</v>
          </cell>
          <cell r="G2581" t="str">
            <v>Jose Baldemar Galicia Muñoz</v>
          </cell>
        </row>
        <row r="2582">
          <cell r="F2582">
            <v>314216</v>
          </cell>
          <cell r="G2582" t="str">
            <v>Jose Bernardo Yax Pop</v>
          </cell>
        </row>
        <row r="2583">
          <cell r="F2583">
            <v>314504</v>
          </cell>
          <cell r="G2583" t="str">
            <v>Jose Carlos Lopez Santisteban</v>
          </cell>
        </row>
        <row r="2584">
          <cell r="F2584">
            <v>310673</v>
          </cell>
          <cell r="G2584" t="str">
            <v>Jose Carlos Orozco Lopez</v>
          </cell>
        </row>
        <row r="2585">
          <cell r="F2585">
            <v>308982</v>
          </cell>
          <cell r="G2585" t="str">
            <v>Jose Daniel Sosa Torres</v>
          </cell>
        </row>
        <row r="2586">
          <cell r="F2586">
            <v>314510</v>
          </cell>
          <cell r="G2586" t="str">
            <v>Jose David Flores Enriquez</v>
          </cell>
        </row>
        <row r="2587">
          <cell r="F2587">
            <v>315261</v>
          </cell>
          <cell r="G2587" t="str">
            <v>Jose Emmanuel Ixcajo Higueros</v>
          </cell>
        </row>
        <row r="2588">
          <cell r="F2588">
            <v>313766</v>
          </cell>
          <cell r="G2588" t="str">
            <v>Jose Francisco Aquino Monterroso</v>
          </cell>
        </row>
        <row r="2589">
          <cell r="F2589">
            <v>315415</v>
          </cell>
          <cell r="G2589" t="str">
            <v>Jose Guillermo Marroquin Alvarado</v>
          </cell>
        </row>
        <row r="2590">
          <cell r="F2590">
            <v>306915</v>
          </cell>
          <cell r="G2590" t="str">
            <v>Jose Luis Chinchilla</v>
          </cell>
        </row>
        <row r="2592">
          <cell r="F2592">
            <v>314262</v>
          </cell>
          <cell r="G2592" t="str">
            <v>Jose Manuel Carreto Lopez</v>
          </cell>
        </row>
        <row r="2593">
          <cell r="F2593">
            <v>315487</v>
          </cell>
          <cell r="G2593" t="str">
            <v>Jose Manuel Vasquez Osoy</v>
          </cell>
        </row>
        <row r="2594">
          <cell r="F2594">
            <v>304892</v>
          </cell>
          <cell r="G2594" t="str">
            <v>Jose Mario Alberto Ordoñez Quiñonez</v>
          </cell>
        </row>
        <row r="2595">
          <cell r="F2595">
            <v>313023</v>
          </cell>
          <cell r="G2595" t="str">
            <v>Jose Miguel Angel Noj Aguilar</v>
          </cell>
        </row>
        <row r="2596">
          <cell r="F2596">
            <v>312573</v>
          </cell>
          <cell r="G2596" t="str">
            <v>Jose Miguel Santos Roca</v>
          </cell>
        </row>
        <row r="2597">
          <cell r="F2597">
            <v>311802</v>
          </cell>
          <cell r="G2597" t="str">
            <v>Jose Roberto Samayoa Bernal</v>
          </cell>
        </row>
        <row r="2598">
          <cell r="F2598">
            <v>314614</v>
          </cell>
          <cell r="G2598" t="str">
            <v>Jose Rodrigo Choc Turcios</v>
          </cell>
        </row>
        <row r="2599">
          <cell r="F2599">
            <v>314729</v>
          </cell>
          <cell r="G2599" t="str">
            <v>Joselin Rocio Galicia Mendez</v>
          </cell>
        </row>
        <row r="2600">
          <cell r="F2600">
            <v>315496</v>
          </cell>
          <cell r="G2600" t="str">
            <v>Joseline Otilia Lorenzana Obando</v>
          </cell>
        </row>
        <row r="2601">
          <cell r="F2601">
            <v>310302</v>
          </cell>
          <cell r="G2601" t="str">
            <v>Joselyn Amparo Jolon Arenas</v>
          </cell>
        </row>
        <row r="2602">
          <cell r="F2602">
            <v>315573</v>
          </cell>
          <cell r="G2602" t="str">
            <v>Joselyn Marilu Lima Hernandez</v>
          </cell>
        </row>
        <row r="2603">
          <cell r="F2603">
            <v>313361</v>
          </cell>
          <cell r="G2603" t="str">
            <v>Joselyne Elizabeth Sanchez Rodriguez</v>
          </cell>
        </row>
        <row r="2604">
          <cell r="F2604">
            <v>309870</v>
          </cell>
          <cell r="G2604" t="str">
            <v>Joselyne Gabriela Ruiz Serra</v>
          </cell>
        </row>
        <row r="2605">
          <cell r="F2605">
            <v>311407</v>
          </cell>
          <cell r="G2605" t="str">
            <v>Joshelyn Andrea Ozuna Rosales</v>
          </cell>
        </row>
        <row r="2606">
          <cell r="F2606">
            <v>315066</v>
          </cell>
          <cell r="G2606" t="str">
            <v>Joshua Leonel Pardo Carrera</v>
          </cell>
        </row>
        <row r="2607">
          <cell r="F2607">
            <v>314433</v>
          </cell>
          <cell r="G2607" t="str">
            <v>Josselin Azucena Cortez Hernandez</v>
          </cell>
        </row>
        <row r="2608">
          <cell r="F2608">
            <v>315560</v>
          </cell>
          <cell r="G2608" t="str">
            <v>Josseline Maribel Sarceno Guerra</v>
          </cell>
        </row>
        <row r="2609">
          <cell r="F2609">
            <v>314268</v>
          </cell>
          <cell r="G2609" t="str">
            <v>Josseline Mishel Flores Baren</v>
          </cell>
        </row>
        <row r="2610">
          <cell r="F2610">
            <v>313034</v>
          </cell>
          <cell r="G2610" t="str">
            <v>Josselyn Raab Morales Arana</v>
          </cell>
        </row>
        <row r="2611">
          <cell r="F2611">
            <v>314989</v>
          </cell>
          <cell r="G2611" t="str">
            <v>Josue Adrian Gutierrez Garcia</v>
          </cell>
        </row>
        <row r="2612">
          <cell r="F2612">
            <v>308461</v>
          </cell>
          <cell r="G2612" t="str">
            <v>Josue Gamaliel Rivera</v>
          </cell>
        </row>
        <row r="2613">
          <cell r="F2613">
            <v>315155</v>
          </cell>
          <cell r="G2613" t="str">
            <v>Josue Helaman Delgado Rivera</v>
          </cell>
        </row>
        <row r="2614">
          <cell r="F2614">
            <v>315011</v>
          </cell>
          <cell r="G2614" t="str">
            <v>Josue Ivan Escobar De Leon</v>
          </cell>
        </row>
        <row r="2615">
          <cell r="F2615">
            <v>313389</v>
          </cell>
          <cell r="G2615" t="str">
            <v>Josue Leonel Hernandez Diaz</v>
          </cell>
        </row>
        <row r="2616">
          <cell r="F2616">
            <v>301059</v>
          </cell>
          <cell r="G2616" t="str">
            <v>Jovita Vasquez Cuestas</v>
          </cell>
        </row>
        <row r="2617">
          <cell r="F2617">
            <v>314492</v>
          </cell>
          <cell r="G2617" t="str">
            <v>Juan Antonio Alvarez Paniagua</v>
          </cell>
        </row>
        <row r="2618">
          <cell r="F2618">
            <v>313594</v>
          </cell>
          <cell r="G2618" t="str">
            <v>Juan Carlos Enrique Molina Ramirez</v>
          </cell>
        </row>
        <row r="2619">
          <cell r="F2619">
            <v>314452</v>
          </cell>
          <cell r="G2619" t="str">
            <v>Juan Carlos Ivan Garcia Garcia</v>
          </cell>
        </row>
        <row r="2620">
          <cell r="F2620">
            <v>307279</v>
          </cell>
          <cell r="G2620" t="str">
            <v>Juan Carlos Perez Cahueque</v>
          </cell>
        </row>
        <row r="2621">
          <cell r="F2621">
            <v>315455</v>
          </cell>
          <cell r="G2621" t="str">
            <v>Juan Daniel Davila Juarez</v>
          </cell>
        </row>
        <row r="2622">
          <cell r="F2622">
            <v>312318</v>
          </cell>
          <cell r="G2622" t="str">
            <v>Juan Enrique Garcia</v>
          </cell>
        </row>
        <row r="2623">
          <cell r="F2623">
            <v>314669</v>
          </cell>
          <cell r="G2623" t="str">
            <v>Juan Enrique Jul Coc</v>
          </cell>
        </row>
        <row r="2624">
          <cell r="F2624">
            <v>311223</v>
          </cell>
          <cell r="G2624" t="str">
            <v>Juan Francisco Gudiel Castillo</v>
          </cell>
        </row>
        <row r="2625">
          <cell r="F2625">
            <v>313343</v>
          </cell>
          <cell r="G2625" t="str">
            <v>Juan Francisco Lopez Salic</v>
          </cell>
        </row>
        <row r="2626">
          <cell r="F2626">
            <v>300401</v>
          </cell>
          <cell r="G2626" t="str">
            <v>Juan Gabriel Mendoza Alvarez</v>
          </cell>
        </row>
        <row r="2627">
          <cell r="F2627">
            <v>313617</v>
          </cell>
          <cell r="G2627" t="str">
            <v>Juan Isael Amador</v>
          </cell>
        </row>
        <row r="2628">
          <cell r="F2628">
            <v>314961</v>
          </cell>
          <cell r="G2628" t="str">
            <v>Juan Jose Cifuentes Chavez</v>
          </cell>
        </row>
        <row r="2629">
          <cell r="F2629">
            <v>300919</v>
          </cell>
          <cell r="G2629" t="str">
            <v>Juan Jose Rodriguez Catu</v>
          </cell>
        </row>
        <row r="2630">
          <cell r="F2630">
            <v>313044</v>
          </cell>
          <cell r="G2630" t="str">
            <v>Juan Luis Ajcet Xicay</v>
          </cell>
        </row>
        <row r="2631">
          <cell r="F2631">
            <v>314665</v>
          </cell>
          <cell r="G2631" t="str">
            <v>Juan Manuel Lopez Hernandez</v>
          </cell>
        </row>
        <row r="2632">
          <cell r="F2632">
            <v>315275</v>
          </cell>
          <cell r="G2632" t="str">
            <v>Juana Del Carmen Arias Lopez</v>
          </cell>
        </row>
        <row r="2633">
          <cell r="F2633">
            <v>314557</v>
          </cell>
          <cell r="G2633" t="str">
            <v>Juana Ester Alvarez Tuluxan</v>
          </cell>
        </row>
        <row r="2634">
          <cell r="F2634">
            <v>313604</v>
          </cell>
          <cell r="G2634" t="str">
            <v>Julia Damaris Raquel Ramirez Torres</v>
          </cell>
        </row>
        <row r="2635">
          <cell r="F2635">
            <v>315411</v>
          </cell>
          <cell r="G2635" t="str">
            <v>Julio Alberto Guerra Jacinto</v>
          </cell>
        </row>
        <row r="2636">
          <cell r="F2636">
            <v>306242</v>
          </cell>
          <cell r="G2636" t="str">
            <v>Julio Amilcar Oswaldo Ico Rey</v>
          </cell>
        </row>
        <row r="2637">
          <cell r="F2637">
            <v>310693</v>
          </cell>
          <cell r="G2637" t="str">
            <v>Julio Antonio Gonzalez Izaguirre</v>
          </cell>
        </row>
        <row r="2638">
          <cell r="F2638">
            <v>302559</v>
          </cell>
          <cell r="G2638" t="str">
            <v>Julio Belarmino Mendez Camey</v>
          </cell>
        </row>
        <row r="2639">
          <cell r="F2639">
            <v>314740</v>
          </cell>
          <cell r="G2639" t="str">
            <v>Julio Cesar Cuellar Revolorio</v>
          </cell>
        </row>
        <row r="2640">
          <cell r="F2640">
            <v>308266</v>
          </cell>
          <cell r="G2640" t="str">
            <v>Julio Cesar De Leon Huinac</v>
          </cell>
        </row>
        <row r="2641">
          <cell r="F2641">
            <v>311388</v>
          </cell>
          <cell r="G2641" t="str">
            <v>Julio David Ambrosio Hernandez</v>
          </cell>
        </row>
        <row r="2642">
          <cell r="F2642">
            <v>313493</v>
          </cell>
          <cell r="G2642" t="str">
            <v>Julio Rene Medina Mendez</v>
          </cell>
        </row>
        <row r="2643">
          <cell r="F2643">
            <v>314194</v>
          </cell>
          <cell r="G2643" t="str">
            <v>Junior Stiven Gonzalez Fuentes</v>
          </cell>
        </row>
        <row r="2644">
          <cell r="F2644">
            <v>308411</v>
          </cell>
          <cell r="G2644" t="str">
            <v>Karen Alejandra Cotoc Valdes</v>
          </cell>
        </row>
        <row r="2645">
          <cell r="F2645">
            <v>313225</v>
          </cell>
          <cell r="G2645" t="str">
            <v>Karen Deniss Lucas Chavez</v>
          </cell>
        </row>
        <row r="2646">
          <cell r="F2646">
            <v>311553</v>
          </cell>
          <cell r="G2646" t="str">
            <v>Karen Elizabeth Racancoj Tin</v>
          </cell>
        </row>
        <row r="2647">
          <cell r="F2647">
            <v>312029</v>
          </cell>
          <cell r="G2647" t="str">
            <v>Karen Faviola Lutin Sanchez</v>
          </cell>
        </row>
        <row r="2648">
          <cell r="F2648">
            <v>314954</v>
          </cell>
          <cell r="G2648" t="str">
            <v>Karen Jeanet Pacheco Gomez</v>
          </cell>
        </row>
        <row r="2649">
          <cell r="F2649">
            <v>305618</v>
          </cell>
          <cell r="G2649" t="str">
            <v>Karen Julisa Fernandez Vides</v>
          </cell>
        </row>
        <row r="2650">
          <cell r="F2650">
            <v>308561</v>
          </cell>
          <cell r="G2650" t="str">
            <v>Karen Leticia Vasquez Castañeda</v>
          </cell>
        </row>
        <row r="2651">
          <cell r="F2651">
            <v>313722</v>
          </cell>
          <cell r="G2651" t="str">
            <v>Karen Marilu Chavez Suchite</v>
          </cell>
        </row>
        <row r="2652">
          <cell r="F2652">
            <v>315110</v>
          </cell>
          <cell r="G2652" t="str">
            <v>Karen Marleny Perez Fuentes</v>
          </cell>
        </row>
        <row r="2653">
          <cell r="F2653">
            <v>311616</v>
          </cell>
          <cell r="G2653" t="str">
            <v>Karen Meliza Saavedra Morataya</v>
          </cell>
        </row>
        <row r="2654">
          <cell r="F2654">
            <v>309014</v>
          </cell>
          <cell r="G2654" t="str">
            <v>Karen Mishelle Chavez Segura</v>
          </cell>
        </row>
        <row r="2655">
          <cell r="F2655">
            <v>314217</v>
          </cell>
          <cell r="G2655" t="str">
            <v>Karen Nohemi Perez Santos</v>
          </cell>
        </row>
        <row r="2656">
          <cell r="F2656">
            <v>315274</v>
          </cell>
          <cell r="G2656" t="str">
            <v>Karen Rubi Perez Calderon</v>
          </cell>
        </row>
        <row r="2657">
          <cell r="F2657">
            <v>308426</v>
          </cell>
          <cell r="G2657" t="str">
            <v>Karen Susana Marcos Yupe</v>
          </cell>
        </row>
        <row r="2658">
          <cell r="F2658">
            <v>311722</v>
          </cell>
          <cell r="G2658" t="str">
            <v>Karen Verali Sagastume Oliveros</v>
          </cell>
        </row>
        <row r="2659">
          <cell r="F2659">
            <v>308244</v>
          </cell>
          <cell r="G2659" t="str">
            <v>Karen Yamileth Rosales Alarcon</v>
          </cell>
        </row>
        <row r="2660">
          <cell r="F2660">
            <v>312215</v>
          </cell>
          <cell r="G2660" t="str">
            <v>Karin Liseth Son Chonay</v>
          </cell>
        </row>
        <row r="2661">
          <cell r="F2661">
            <v>301583</v>
          </cell>
          <cell r="G2661" t="str">
            <v>Karin Yesenia Nova Posadas</v>
          </cell>
        </row>
        <row r="2662">
          <cell r="F2662">
            <v>313918</v>
          </cell>
          <cell r="G2662" t="str">
            <v>Karina Lizeth Pineda Ortiz</v>
          </cell>
        </row>
        <row r="2663">
          <cell r="F2663">
            <v>312403</v>
          </cell>
          <cell r="G2663" t="str">
            <v>Karla Elizabeth Lopez Tupul</v>
          </cell>
        </row>
        <row r="2664">
          <cell r="F2664">
            <v>304664</v>
          </cell>
          <cell r="G2664" t="str">
            <v>Karla Eunice Godinez Mendoza</v>
          </cell>
        </row>
        <row r="2665">
          <cell r="F2665">
            <v>315490</v>
          </cell>
          <cell r="G2665" t="str">
            <v>Karla Jasmin Pelen Rafael</v>
          </cell>
        </row>
        <row r="2666">
          <cell r="F2666">
            <v>314673</v>
          </cell>
          <cell r="G2666" t="str">
            <v>Karla Maria Montejo Martinez</v>
          </cell>
        </row>
        <row r="2667">
          <cell r="F2667">
            <v>313079</v>
          </cell>
          <cell r="G2667" t="str">
            <v>Karla Mariela Lopez Salguero</v>
          </cell>
        </row>
        <row r="2668">
          <cell r="F2668">
            <v>314464</v>
          </cell>
          <cell r="G2668" t="str">
            <v>Karla Melisa Trejo Lopez</v>
          </cell>
        </row>
        <row r="2669">
          <cell r="F2669">
            <v>314206</v>
          </cell>
          <cell r="G2669" t="str">
            <v>Karla Nineth Guzman Carrera De Velasquez</v>
          </cell>
        </row>
        <row r="2670">
          <cell r="F2670">
            <v>314831</v>
          </cell>
          <cell r="G2670" t="str">
            <v>Karla Paola Solorzano Monroy</v>
          </cell>
        </row>
        <row r="2671">
          <cell r="F2671">
            <v>309957</v>
          </cell>
          <cell r="G2671" t="str">
            <v>Karla Veronica Zepeda Moran</v>
          </cell>
        </row>
        <row r="2672">
          <cell r="F2672">
            <v>310487</v>
          </cell>
          <cell r="G2672" t="str">
            <v>Karla Yaneth Vasquez Gomez</v>
          </cell>
        </row>
        <row r="2673">
          <cell r="F2673">
            <v>314444</v>
          </cell>
          <cell r="G2673" t="str">
            <v>Karla Yanira Francisco Morales</v>
          </cell>
        </row>
        <row r="2674">
          <cell r="F2674">
            <v>305608</v>
          </cell>
          <cell r="G2674" t="str">
            <v>Karla Yanira Franco Perez</v>
          </cell>
        </row>
        <row r="2675">
          <cell r="F2675">
            <v>312982</v>
          </cell>
          <cell r="G2675" t="str">
            <v>Karla Yessenia Garcia Lopez</v>
          </cell>
        </row>
        <row r="2676">
          <cell r="F2676">
            <v>314044</v>
          </cell>
          <cell r="G2676" t="str">
            <v>Karol Liset Reyes Alvarez</v>
          </cell>
        </row>
        <row r="2677">
          <cell r="F2677">
            <v>311039</v>
          </cell>
          <cell r="G2677" t="str">
            <v>Karolyn Gisselle Palma Ramirez</v>
          </cell>
        </row>
        <row r="2678">
          <cell r="F2678">
            <v>309255</v>
          </cell>
          <cell r="G2678" t="str">
            <v>Katerin Mariela Miranda Perez</v>
          </cell>
        </row>
        <row r="2679">
          <cell r="F2679">
            <v>308909</v>
          </cell>
          <cell r="G2679" t="str">
            <v>Katerine Andrea Mansilla Vasquez</v>
          </cell>
        </row>
        <row r="2680">
          <cell r="F2680">
            <v>314344</v>
          </cell>
          <cell r="G2680" t="str">
            <v>Katherin Maria Del Rosario Curiales Catalan</v>
          </cell>
        </row>
        <row r="2681">
          <cell r="F2681">
            <v>311930</v>
          </cell>
          <cell r="G2681" t="str">
            <v>Katherine Andreina Rodriguez Flores</v>
          </cell>
        </row>
        <row r="2682">
          <cell r="F2682">
            <v>314987</v>
          </cell>
          <cell r="G2682" t="str">
            <v>Katherine Dayana Sinay Colindres</v>
          </cell>
        </row>
        <row r="2683">
          <cell r="F2683">
            <v>313018</v>
          </cell>
          <cell r="G2683" t="str">
            <v>Katherine Guissele Camey Gonzalez</v>
          </cell>
        </row>
        <row r="2684">
          <cell r="F2684">
            <v>305303</v>
          </cell>
          <cell r="G2684" t="str">
            <v>Katherine Stephani Cazanga Giron</v>
          </cell>
        </row>
        <row r="2685">
          <cell r="F2685">
            <v>310764</v>
          </cell>
          <cell r="G2685" t="str">
            <v>Katherine Yorleny Montepeque Echeverria</v>
          </cell>
        </row>
        <row r="2686">
          <cell r="F2686">
            <v>312313</v>
          </cell>
          <cell r="G2686" t="str">
            <v>Katherinne Marleny Ruano Vasquez</v>
          </cell>
        </row>
        <row r="2687">
          <cell r="F2687">
            <v>312966</v>
          </cell>
          <cell r="G2687" t="str">
            <v>Katheryn Nohemi Pineda Sun</v>
          </cell>
        </row>
        <row r="2688">
          <cell r="F2688">
            <v>314949</v>
          </cell>
          <cell r="G2688" t="str">
            <v>Kathleen Yadira Martinez Salazar</v>
          </cell>
        </row>
        <row r="2689">
          <cell r="F2689">
            <v>307014</v>
          </cell>
          <cell r="G2689" t="str">
            <v>Keila Abigail Lopez Argueta</v>
          </cell>
        </row>
        <row r="2690">
          <cell r="F2690">
            <v>315508</v>
          </cell>
          <cell r="G2690" t="str">
            <v>Keila Betsaida Mendoza Pineda</v>
          </cell>
        </row>
        <row r="2691">
          <cell r="F2691">
            <v>315062</v>
          </cell>
          <cell r="G2691" t="str">
            <v>Keili Yanira Arceno Solano</v>
          </cell>
        </row>
        <row r="2692">
          <cell r="F2692">
            <v>314165</v>
          </cell>
          <cell r="G2692" t="str">
            <v>Kelly Dayanna Patzan Giron</v>
          </cell>
        </row>
        <row r="2693">
          <cell r="F2693">
            <v>315570</v>
          </cell>
          <cell r="G2693" t="str">
            <v>Kemberly Del Rosario Zecena Ramos</v>
          </cell>
        </row>
        <row r="2694">
          <cell r="F2694">
            <v>314804</v>
          </cell>
          <cell r="G2694" t="str">
            <v>Kendy Daniela Ramirez Lopez</v>
          </cell>
        </row>
        <row r="2695">
          <cell r="F2695">
            <v>313433</v>
          </cell>
          <cell r="G2695" t="str">
            <v>Kenia Estefania Mateo Castro</v>
          </cell>
        </row>
        <row r="2696">
          <cell r="F2696">
            <v>314991</v>
          </cell>
          <cell r="G2696" t="str">
            <v>Kevin Alberto Castillo Matias</v>
          </cell>
        </row>
        <row r="2697">
          <cell r="F2697">
            <v>314026</v>
          </cell>
          <cell r="G2697" t="str">
            <v>Kevin Alberto Lopez Ortiz</v>
          </cell>
        </row>
        <row r="2698">
          <cell r="F2698">
            <v>315246</v>
          </cell>
          <cell r="G2698" t="str">
            <v>Kevin Alexander Escobar Cante</v>
          </cell>
        </row>
        <row r="2699">
          <cell r="F2699">
            <v>312218</v>
          </cell>
          <cell r="G2699" t="str">
            <v>Kevin Amilcar Cor Guzman</v>
          </cell>
        </row>
        <row r="2700">
          <cell r="F2700">
            <v>311369</v>
          </cell>
          <cell r="G2700" t="str">
            <v>Kevin Antonio Perez Gonzalez</v>
          </cell>
        </row>
        <row r="2701">
          <cell r="F2701">
            <v>314627</v>
          </cell>
          <cell r="G2701" t="str">
            <v>Kevin Daniel Chonay Perez</v>
          </cell>
        </row>
        <row r="2702">
          <cell r="F2702">
            <v>311228</v>
          </cell>
          <cell r="G2702" t="str">
            <v>Kevin Doley Alexander Gomez Lopez</v>
          </cell>
        </row>
        <row r="2703">
          <cell r="F2703">
            <v>309148</v>
          </cell>
          <cell r="G2703" t="str">
            <v>Kevin Estuardo Yac Garcia</v>
          </cell>
        </row>
        <row r="2704">
          <cell r="F2704">
            <v>311643</v>
          </cell>
          <cell r="G2704" t="str">
            <v>Kevin Javier Ortiz Gonzalez</v>
          </cell>
        </row>
        <row r="2705">
          <cell r="F2705">
            <v>311034</v>
          </cell>
          <cell r="G2705" t="str">
            <v>Kevin Jordano Barrios Chin</v>
          </cell>
        </row>
        <row r="2706">
          <cell r="F2706">
            <v>314011</v>
          </cell>
          <cell r="G2706" t="str">
            <v>Kevin Jose Mijangos Vasquez</v>
          </cell>
        </row>
        <row r="2707">
          <cell r="F2707">
            <v>314743</v>
          </cell>
          <cell r="G2707" t="str">
            <v>Kevin Josue Sevilla Nieto</v>
          </cell>
        </row>
        <row r="2708">
          <cell r="F2708">
            <v>311639</v>
          </cell>
          <cell r="G2708" t="str">
            <v>Kevin Omar Ortiz Contreras</v>
          </cell>
        </row>
        <row r="2709">
          <cell r="F2709">
            <v>310538</v>
          </cell>
          <cell r="G2709" t="str">
            <v>Kevin Orlando Ventura Lopez</v>
          </cell>
        </row>
        <row r="2710">
          <cell r="F2710">
            <v>311932</v>
          </cell>
          <cell r="G2710" t="str">
            <v>Kevin Rene Medrano Sarceño</v>
          </cell>
        </row>
        <row r="2711">
          <cell r="F2711">
            <v>308269</v>
          </cell>
          <cell r="G2711" t="str">
            <v>Kevin Ruben Perez Lopez</v>
          </cell>
        </row>
        <row r="2712">
          <cell r="F2712">
            <v>313566</v>
          </cell>
          <cell r="G2712" t="str">
            <v>Kevin Saul Rodriguez Vasquez</v>
          </cell>
        </row>
        <row r="2713">
          <cell r="F2713">
            <v>313520</v>
          </cell>
          <cell r="G2713" t="str">
            <v>Kevin Winston Chavez Alvarez</v>
          </cell>
        </row>
        <row r="2714">
          <cell r="F2714">
            <v>312178</v>
          </cell>
          <cell r="G2714" t="str">
            <v>Keyla Cristy Dubon Pernillo</v>
          </cell>
        </row>
        <row r="2715">
          <cell r="F2715">
            <v>305666</v>
          </cell>
          <cell r="G2715" t="str">
            <v>Kezmi Romani Garcia Mendez</v>
          </cell>
        </row>
        <row r="2716">
          <cell r="F2716">
            <v>314754</v>
          </cell>
          <cell r="G2716" t="str">
            <v>Kimberly Anayanci Tello Morales</v>
          </cell>
        </row>
        <row r="2717">
          <cell r="F2717">
            <v>314051</v>
          </cell>
          <cell r="G2717" t="str">
            <v>Kimberly Dayanna Herrera Marroquin</v>
          </cell>
        </row>
        <row r="2718">
          <cell r="F2718">
            <v>313302</v>
          </cell>
          <cell r="G2718" t="str">
            <v>Kimberly Guadalupe Mulul Pelico</v>
          </cell>
        </row>
        <row r="2719">
          <cell r="F2719">
            <v>314218</v>
          </cell>
          <cell r="G2719" t="str">
            <v>Kimberly Guadalupe Soto</v>
          </cell>
        </row>
        <row r="2720">
          <cell r="F2720">
            <v>305285</v>
          </cell>
          <cell r="G2720" t="str">
            <v>Kimberly Judith Lopez Amaya</v>
          </cell>
        </row>
        <row r="2721">
          <cell r="F2721">
            <v>309753</v>
          </cell>
          <cell r="G2721" t="str">
            <v>Kimberly Melissa Juarez Ramirez</v>
          </cell>
        </row>
        <row r="2722">
          <cell r="F2722">
            <v>312174</v>
          </cell>
          <cell r="G2722" t="str">
            <v>Kimberly Mishel Merida Cortez</v>
          </cell>
        </row>
        <row r="2723">
          <cell r="F2723">
            <v>310926</v>
          </cell>
          <cell r="G2723" t="str">
            <v>Kimberly Nohemi Alvarado Toj</v>
          </cell>
        </row>
        <row r="2724">
          <cell r="F2724">
            <v>315095</v>
          </cell>
          <cell r="G2724" t="str">
            <v>Kimberly Suseli Ibarra Barahona</v>
          </cell>
        </row>
        <row r="2725">
          <cell r="F2725">
            <v>313601</v>
          </cell>
          <cell r="G2725" t="str">
            <v>Kimberly Yasmin Alvarado Veliz</v>
          </cell>
        </row>
        <row r="2726">
          <cell r="F2726">
            <v>310820</v>
          </cell>
          <cell r="G2726" t="str">
            <v>Kleidy Smaily Lopez Lopez De Vicente</v>
          </cell>
        </row>
        <row r="2727">
          <cell r="F2727">
            <v>315345</v>
          </cell>
          <cell r="G2727" t="str">
            <v>Klisman Julio Rolando Lopez Garcia</v>
          </cell>
        </row>
        <row r="2728">
          <cell r="F2728">
            <v>315369</v>
          </cell>
          <cell r="G2728" t="str">
            <v>Krisla Mayte Madrigales Palencia</v>
          </cell>
        </row>
        <row r="2729">
          <cell r="F2729">
            <v>314417</v>
          </cell>
          <cell r="G2729" t="str">
            <v>Krisley Mary Dayana Mazariegos Vega</v>
          </cell>
        </row>
        <row r="2730">
          <cell r="F2730">
            <v>311096</v>
          </cell>
          <cell r="G2730" t="str">
            <v>Larry Noel Gomez Cuellar</v>
          </cell>
        </row>
        <row r="2731">
          <cell r="F2731">
            <v>315400</v>
          </cell>
          <cell r="G2731" t="str">
            <v>Laura Cecilia De Leon Zapeta</v>
          </cell>
        </row>
        <row r="2732">
          <cell r="F2732">
            <v>312722</v>
          </cell>
          <cell r="G2732" t="str">
            <v>Laura Dairis Analy Zeceña Minera</v>
          </cell>
        </row>
        <row r="2733">
          <cell r="F2733">
            <v>314274</v>
          </cell>
          <cell r="G2733" t="str">
            <v>Laura Estefania Cardona Mateo</v>
          </cell>
        </row>
        <row r="2734">
          <cell r="F2734">
            <v>309643</v>
          </cell>
          <cell r="G2734" t="str">
            <v>Laura Gabriela Hernandez Merida</v>
          </cell>
        </row>
        <row r="2735">
          <cell r="F2735">
            <v>312253</v>
          </cell>
          <cell r="G2735" t="str">
            <v>Laura Jajairy Ramirez Veron</v>
          </cell>
        </row>
        <row r="2736">
          <cell r="F2736">
            <v>315183</v>
          </cell>
          <cell r="G2736" t="str">
            <v>Laura Lisbeth Gonzalez Ajin</v>
          </cell>
        </row>
        <row r="2737">
          <cell r="F2737">
            <v>315144</v>
          </cell>
          <cell r="G2737" t="str">
            <v>Lazaro Castro Cajanti</v>
          </cell>
        </row>
        <row r="2738">
          <cell r="F2738">
            <v>314220</v>
          </cell>
          <cell r="G2738" t="str">
            <v>Lea Maria Lopez Agustin</v>
          </cell>
        </row>
        <row r="2739">
          <cell r="F2739">
            <v>303284</v>
          </cell>
          <cell r="G2739" t="str">
            <v>Legbi Evangelina Martinez Vicente</v>
          </cell>
        </row>
        <row r="2740">
          <cell r="F2740">
            <v>304200</v>
          </cell>
          <cell r="G2740" t="str">
            <v>Legna Magali Juarez Aroche</v>
          </cell>
        </row>
        <row r="2741">
          <cell r="F2741">
            <v>310692</v>
          </cell>
          <cell r="G2741" t="str">
            <v>Leidy Ana Deisy Macz Valey</v>
          </cell>
        </row>
        <row r="2742">
          <cell r="F2742">
            <v>303971</v>
          </cell>
          <cell r="G2742" t="str">
            <v>Leidy Marisol Perez Arias</v>
          </cell>
        </row>
        <row r="2743">
          <cell r="F2743">
            <v>312969</v>
          </cell>
          <cell r="G2743" t="str">
            <v>Lely Herrera Molina</v>
          </cell>
        </row>
        <row r="2744">
          <cell r="F2744">
            <v>315278</v>
          </cell>
          <cell r="G2744" t="str">
            <v>Leon Vicente Estuardo Ical Chub</v>
          </cell>
        </row>
        <row r="2745">
          <cell r="F2745">
            <v>306895</v>
          </cell>
          <cell r="G2745" t="str">
            <v>Leonardo Bocel Lopez</v>
          </cell>
        </row>
        <row r="2746">
          <cell r="F2746">
            <v>315257</v>
          </cell>
          <cell r="G2746" t="str">
            <v>Lesli Carolina Iquique Chamale</v>
          </cell>
        </row>
        <row r="2747">
          <cell r="F2747">
            <v>310605</v>
          </cell>
          <cell r="G2747" t="str">
            <v>Lesli Paola Mendez Palencia</v>
          </cell>
        </row>
        <row r="2748">
          <cell r="F2748">
            <v>307367</v>
          </cell>
          <cell r="G2748" t="str">
            <v>Lesli Paola Vasquez Villalta</v>
          </cell>
        </row>
        <row r="2749">
          <cell r="F2749">
            <v>314870</v>
          </cell>
          <cell r="G2749" t="str">
            <v>Leslie Karina Peliz Garcia</v>
          </cell>
        </row>
        <row r="2750">
          <cell r="F2750">
            <v>314382</v>
          </cell>
          <cell r="G2750" t="str">
            <v>Leslie Veronica Varela Echeverria</v>
          </cell>
        </row>
        <row r="2751">
          <cell r="F2751">
            <v>310067</v>
          </cell>
          <cell r="G2751" t="str">
            <v>Lesly Alejandra Estrada Chacon</v>
          </cell>
        </row>
        <row r="2752">
          <cell r="F2752">
            <v>307352</v>
          </cell>
          <cell r="G2752" t="str">
            <v>Lesly Anali Monterroso Ramirez</v>
          </cell>
        </row>
        <row r="2753">
          <cell r="F2753">
            <v>310143</v>
          </cell>
          <cell r="G2753" t="str">
            <v>Lesly Aurora Hernandez Godoy</v>
          </cell>
        </row>
        <row r="2754">
          <cell r="F2754">
            <v>312833</v>
          </cell>
          <cell r="G2754" t="str">
            <v>Lesly Fabiola Solorzano Garcia</v>
          </cell>
        </row>
        <row r="2755">
          <cell r="F2755">
            <v>315132</v>
          </cell>
          <cell r="G2755" t="str">
            <v>Lesly Lisseth Ligorria Torres</v>
          </cell>
        </row>
        <row r="2756">
          <cell r="F2756">
            <v>309366</v>
          </cell>
          <cell r="G2756" t="str">
            <v>Lesly Maribel Hidalgo Barrios</v>
          </cell>
        </row>
        <row r="2757">
          <cell r="F2757">
            <v>314328</v>
          </cell>
          <cell r="G2757" t="str">
            <v>Lesly Marileny De Leon De Leon</v>
          </cell>
        </row>
        <row r="2758">
          <cell r="F2758">
            <v>315317</v>
          </cell>
          <cell r="G2758" t="str">
            <v>Lesly Nereyda Ixquiac Vidaurre</v>
          </cell>
        </row>
        <row r="2759">
          <cell r="F2759">
            <v>313889</v>
          </cell>
          <cell r="G2759" t="str">
            <v>Lesly Noemi Morales Molina</v>
          </cell>
        </row>
        <row r="2760">
          <cell r="F2760">
            <v>310261</v>
          </cell>
          <cell r="G2760" t="str">
            <v>Lesly Rosibel Asencio Estrada</v>
          </cell>
        </row>
        <row r="2761">
          <cell r="F2761">
            <v>311985</v>
          </cell>
          <cell r="G2761" t="str">
            <v>Lesly Vanessa Jerez Herrera</v>
          </cell>
        </row>
        <row r="2762">
          <cell r="F2762">
            <v>307718</v>
          </cell>
          <cell r="G2762" t="str">
            <v>Lesly Yohanna Ramirez Sarceño</v>
          </cell>
        </row>
        <row r="2763">
          <cell r="F2763">
            <v>307269</v>
          </cell>
          <cell r="G2763" t="str">
            <v>Lester Alexander Rodriguez Arevalo</v>
          </cell>
        </row>
        <row r="2764">
          <cell r="F2764">
            <v>102070</v>
          </cell>
          <cell r="G2764" t="str">
            <v>Lester Giovanni Barrios Gonzalez</v>
          </cell>
        </row>
        <row r="2765">
          <cell r="F2765">
            <v>313030</v>
          </cell>
          <cell r="G2765" t="str">
            <v>Lester Ottoniel Martinez Gonzalez</v>
          </cell>
        </row>
        <row r="2766">
          <cell r="F2766">
            <v>314628</v>
          </cell>
          <cell r="G2766" t="str">
            <v>Levy Jhafreth Molina Castellanos</v>
          </cell>
        </row>
        <row r="2767">
          <cell r="F2767">
            <v>315074</v>
          </cell>
          <cell r="G2767" t="str">
            <v>Leyvis Anihela Melendez Garcia</v>
          </cell>
        </row>
        <row r="2768">
          <cell r="F2768">
            <v>310347</v>
          </cell>
          <cell r="G2768" t="str">
            <v>Lidia Sarahi Rodriguez Zamora</v>
          </cell>
        </row>
        <row r="2769">
          <cell r="F2769">
            <v>313802</v>
          </cell>
          <cell r="G2769" t="str">
            <v>Ligia Delfina Caal Coy</v>
          </cell>
        </row>
        <row r="2770">
          <cell r="F2770">
            <v>303594</v>
          </cell>
          <cell r="G2770" t="str">
            <v>Ligia Iveth Marroquin Lechuga</v>
          </cell>
        </row>
        <row r="2771">
          <cell r="F2771">
            <v>311440</v>
          </cell>
          <cell r="G2771" t="str">
            <v>Lili Azucena Perez Yantuch</v>
          </cell>
        </row>
        <row r="2772">
          <cell r="F2772">
            <v>310148</v>
          </cell>
          <cell r="G2772" t="str">
            <v>Lilian Carolina Quiñonez Garcia</v>
          </cell>
        </row>
        <row r="2773">
          <cell r="F2773">
            <v>300280</v>
          </cell>
          <cell r="G2773" t="str">
            <v>Lilian Del Carmen Franco Curin</v>
          </cell>
        </row>
        <row r="2774">
          <cell r="F2774">
            <v>306962</v>
          </cell>
          <cell r="G2774" t="str">
            <v>Lilian Elizabeth Diaz Rivera</v>
          </cell>
        </row>
        <row r="2775">
          <cell r="F2775">
            <v>314279</v>
          </cell>
          <cell r="G2775" t="str">
            <v>Lilian Evelyn Sajbochol Garcia</v>
          </cell>
        </row>
        <row r="2776">
          <cell r="F2776">
            <v>305035</v>
          </cell>
          <cell r="G2776" t="str">
            <v>Lilian Nohemi Santos Bailon</v>
          </cell>
        </row>
        <row r="2777">
          <cell r="F2777">
            <v>314899</v>
          </cell>
          <cell r="G2777" t="str">
            <v>Lilian Vanessa Tezó Monterroso</v>
          </cell>
        </row>
        <row r="2778">
          <cell r="F2778">
            <v>314728</v>
          </cell>
          <cell r="G2778" t="str">
            <v>Lilian Yomara Perez Ajxup</v>
          </cell>
        </row>
        <row r="2779">
          <cell r="F2779">
            <v>313768</v>
          </cell>
          <cell r="G2779" t="str">
            <v>Liliana Marisela Chamorro Tax</v>
          </cell>
        </row>
        <row r="2780">
          <cell r="F2780">
            <v>314091</v>
          </cell>
          <cell r="G2780" t="str">
            <v>Linda Gineli Segura Perez</v>
          </cell>
        </row>
        <row r="2781">
          <cell r="F2781">
            <v>310198</v>
          </cell>
          <cell r="G2781" t="str">
            <v>Linsi Mishell Batz Marroquin</v>
          </cell>
        </row>
        <row r="2782">
          <cell r="F2782">
            <v>309262</v>
          </cell>
          <cell r="G2782" t="str">
            <v>Lisbeth Carolina Hernandez Urrutia</v>
          </cell>
        </row>
        <row r="2783">
          <cell r="F2783">
            <v>315486</v>
          </cell>
          <cell r="G2783" t="str">
            <v>Lisbeth Jeaneth Sucup</v>
          </cell>
        </row>
        <row r="2784">
          <cell r="F2784">
            <v>311492</v>
          </cell>
          <cell r="G2784" t="str">
            <v>Liseth Aldai De La Cruz Lopez</v>
          </cell>
        </row>
        <row r="2785">
          <cell r="F2785">
            <v>315403</v>
          </cell>
          <cell r="G2785" t="str">
            <v>Lizbeth Liliana Peren Velasquez</v>
          </cell>
        </row>
        <row r="2786">
          <cell r="F2786">
            <v>312792</v>
          </cell>
          <cell r="G2786" t="str">
            <v>Llori Eriselda Zuñiga Gomez</v>
          </cell>
        </row>
        <row r="2787">
          <cell r="F2787">
            <v>314774</v>
          </cell>
          <cell r="G2787" t="str">
            <v>Loida Eunice Celada Panjoj</v>
          </cell>
        </row>
        <row r="2788">
          <cell r="F2788">
            <v>310872</v>
          </cell>
          <cell r="G2788" t="str">
            <v>Loida Raquel Juarez Ixpata</v>
          </cell>
        </row>
        <row r="2789">
          <cell r="F2789">
            <v>312765</v>
          </cell>
          <cell r="G2789" t="str">
            <v>Londy Yazmin Gonzalez Ramirez</v>
          </cell>
        </row>
        <row r="2790">
          <cell r="F2790">
            <v>303967</v>
          </cell>
          <cell r="G2790" t="str">
            <v>Loren Alejandra Gutierrez Perez</v>
          </cell>
        </row>
        <row r="2791">
          <cell r="F2791">
            <v>311367</v>
          </cell>
          <cell r="G2791" t="str">
            <v>Lorena Elisbeth Gomez Ajanel</v>
          </cell>
        </row>
        <row r="2792">
          <cell r="F2792">
            <v>310502</v>
          </cell>
          <cell r="G2792" t="str">
            <v>Lourdes Cristina Flores Tahuite</v>
          </cell>
        </row>
        <row r="2793">
          <cell r="F2793">
            <v>315124</v>
          </cell>
          <cell r="G2793" t="str">
            <v>Lourdes Guadalupe Solorzano Herrera</v>
          </cell>
        </row>
        <row r="2794">
          <cell r="F2794">
            <v>313529</v>
          </cell>
          <cell r="G2794" t="str">
            <v>Lucia Adali Alvarado Juarez</v>
          </cell>
        </row>
        <row r="2795">
          <cell r="F2795">
            <v>314022</v>
          </cell>
          <cell r="G2795" t="str">
            <v>Lucinda Nova Garcia</v>
          </cell>
        </row>
        <row r="2796">
          <cell r="F2796">
            <v>309747</v>
          </cell>
          <cell r="G2796" t="str">
            <v>Ludwin Enrique Pineda Soto</v>
          </cell>
        </row>
        <row r="2797">
          <cell r="F2797">
            <v>315489</v>
          </cell>
          <cell r="G2797" t="str">
            <v>Ludwyn Alejandro Estrada Giron</v>
          </cell>
        </row>
        <row r="2798">
          <cell r="F2798">
            <v>313595</v>
          </cell>
          <cell r="G2798" t="str">
            <v>Luis Alan Caceros Chub</v>
          </cell>
        </row>
        <row r="2799">
          <cell r="F2799">
            <v>311207</v>
          </cell>
          <cell r="G2799" t="str">
            <v>Luis Alberto Figueroa Vasquez</v>
          </cell>
        </row>
        <row r="2800">
          <cell r="F2800">
            <v>304473</v>
          </cell>
          <cell r="G2800" t="str">
            <v>Luis Alberto Najera Solis</v>
          </cell>
        </row>
        <row r="2801">
          <cell r="F2801">
            <v>314202</v>
          </cell>
          <cell r="G2801" t="str">
            <v>Luis Antonio Cotzajay Quelex</v>
          </cell>
        </row>
        <row r="2803">
          <cell r="F2803">
            <v>315385</v>
          </cell>
          <cell r="G2803" t="str">
            <v>Luis Carlos Xitimul Ramirez</v>
          </cell>
        </row>
        <row r="2804">
          <cell r="F2804">
            <v>308614</v>
          </cell>
          <cell r="G2804" t="str">
            <v>Luis De Jesus Julian Lopez</v>
          </cell>
        </row>
        <row r="2805">
          <cell r="F2805">
            <v>315222</v>
          </cell>
          <cell r="G2805" t="str">
            <v>Luis Diego Figueroa Coronado</v>
          </cell>
        </row>
        <row r="2806">
          <cell r="F2806">
            <v>306213</v>
          </cell>
          <cell r="G2806" t="str">
            <v>Luis Eduardo Corado Lara</v>
          </cell>
        </row>
        <row r="2807">
          <cell r="F2807">
            <v>315363</v>
          </cell>
          <cell r="G2807" t="str">
            <v>Luis Eduardo Fuentes Flores</v>
          </cell>
        </row>
        <row r="2808">
          <cell r="F2808">
            <v>314162</v>
          </cell>
          <cell r="G2808" t="str">
            <v>Luis Eduardo Gonzalez Arriaza</v>
          </cell>
        </row>
        <row r="2809">
          <cell r="F2809">
            <v>311975</v>
          </cell>
          <cell r="G2809" t="str">
            <v>Luis Eduardo Ramirez Arriaza</v>
          </cell>
        </row>
        <row r="2810">
          <cell r="F2810">
            <v>300922</v>
          </cell>
          <cell r="G2810" t="str">
            <v>Luis Ernesto Medrano Chajon</v>
          </cell>
        </row>
        <row r="2811">
          <cell r="F2811">
            <v>308519</v>
          </cell>
          <cell r="G2811" t="str">
            <v>Luis Felipe Cuzal Gomez</v>
          </cell>
        </row>
        <row r="2812">
          <cell r="F2812">
            <v>314812</v>
          </cell>
          <cell r="G2812" t="str">
            <v>Luis Fernando Alvarado Tocay</v>
          </cell>
        </row>
        <row r="2813">
          <cell r="F2813">
            <v>304509</v>
          </cell>
          <cell r="G2813" t="str">
            <v>Luis Fernando Jerez Perez</v>
          </cell>
        </row>
        <row r="2814">
          <cell r="F2814">
            <v>313479</v>
          </cell>
          <cell r="G2814" t="str">
            <v>Luis Fernando Lopez Lopez</v>
          </cell>
        </row>
        <row r="2815">
          <cell r="F2815">
            <v>310923</v>
          </cell>
          <cell r="G2815" t="str">
            <v>Luis Fernando Lopez Lopez</v>
          </cell>
        </row>
        <row r="2816">
          <cell r="F2816">
            <v>307904</v>
          </cell>
          <cell r="G2816" t="str">
            <v>Luis Fernando Martin Mateo</v>
          </cell>
        </row>
        <row r="2817">
          <cell r="F2817">
            <v>312303</v>
          </cell>
          <cell r="G2817" t="str">
            <v>Luis Fernando Morales Chocoy</v>
          </cell>
        </row>
        <row r="2818">
          <cell r="F2818">
            <v>314124</v>
          </cell>
          <cell r="G2818" t="str">
            <v>Luis Fernando Perez Torres</v>
          </cell>
        </row>
        <row r="2819">
          <cell r="F2819">
            <v>306713</v>
          </cell>
          <cell r="G2819" t="str">
            <v>Luis Fernando Santos Aguilar</v>
          </cell>
        </row>
        <row r="2820">
          <cell r="F2820">
            <v>315342</v>
          </cell>
          <cell r="G2820" t="str">
            <v>Luis Fernando Valle Cuyun</v>
          </cell>
        </row>
        <row r="2821">
          <cell r="F2821">
            <v>312257</v>
          </cell>
          <cell r="G2821" t="str">
            <v>Luis Giovanni Coronado Vasquez</v>
          </cell>
        </row>
        <row r="2822">
          <cell r="F2822">
            <v>307113</v>
          </cell>
          <cell r="G2822" t="str">
            <v>Luis Pedro Herrera España</v>
          </cell>
        </row>
        <row r="2823">
          <cell r="F2823">
            <v>303961</v>
          </cell>
          <cell r="G2823" t="str">
            <v>Luis Rene Morales Lopez</v>
          </cell>
        </row>
        <row r="2824">
          <cell r="F2824">
            <v>308796</v>
          </cell>
          <cell r="G2824" t="str">
            <v>Luis Tito Rene Esquivel Yancor</v>
          </cell>
        </row>
        <row r="2825">
          <cell r="F2825">
            <v>307862</v>
          </cell>
          <cell r="G2825" t="str">
            <v>Luisa Fernanda Castro Garcia</v>
          </cell>
        </row>
        <row r="2826">
          <cell r="F2826">
            <v>310734</v>
          </cell>
          <cell r="G2826" t="str">
            <v>Lupita Genesis Samanta Granados Valenzuela</v>
          </cell>
        </row>
        <row r="2827">
          <cell r="F2827">
            <v>309761</v>
          </cell>
          <cell r="G2827" t="str">
            <v>Lusi Angelica Coyoy Hernandez</v>
          </cell>
        </row>
        <row r="2828">
          <cell r="F2828">
            <v>310867</v>
          </cell>
          <cell r="G2828" t="str">
            <v>Madelin Raquel Garcia Punay</v>
          </cell>
        </row>
        <row r="2829">
          <cell r="F2829">
            <v>310796</v>
          </cell>
          <cell r="G2829" t="str">
            <v>Madelyn Estefany Vega Velasquez</v>
          </cell>
        </row>
        <row r="2830">
          <cell r="F2830">
            <v>314563</v>
          </cell>
          <cell r="G2830" t="str">
            <v>Madelyn Siomara Mazul De Leon</v>
          </cell>
        </row>
        <row r="2831">
          <cell r="F2831">
            <v>304658</v>
          </cell>
          <cell r="G2831" t="str">
            <v>Madelyn Virginia Lopez Ortega</v>
          </cell>
        </row>
        <row r="2832">
          <cell r="F2832">
            <v>315181</v>
          </cell>
          <cell r="G2832" t="str">
            <v>Magda Beatriz Galvez Fernandez</v>
          </cell>
        </row>
        <row r="2833">
          <cell r="F2833">
            <v>311615</v>
          </cell>
          <cell r="G2833" t="str">
            <v>Magda Corina Gutierrez Yool</v>
          </cell>
        </row>
        <row r="2834">
          <cell r="F2834">
            <v>312044</v>
          </cell>
          <cell r="G2834" t="str">
            <v>Magda Danira Catalan Paz</v>
          </cell>
        </row>
        <row r="2835">
          <cell r="F2835">
            <v>307582</v>
          </cell>
          <cell r="G2835" t="str">
            <v>Mahely Elva Maria Franco Gualim</v>
          </cell>
        </row>
        <row r="2836">
          <cell r="F2836">
            <v>301669</v>
          </cell>
          <cell r="G2836" t="str">
            <v>Manfredo Alexander Castillo Quex</v>
          </cell>
        </row>
        <row r="2837">
          <cell r="F2837">
            <v>309811</v>
          </cell>
          <cell r="G2837" t="str">
            <v>Manfredo Isaias Orozco Perez</v>
          </cell>
        </row>
        <row r="2838">
          <cell r="F2838">
            <v>314136</v>
          </cell>
          <cell r="G2838" t="str">
            <v>Manlio Alcides Godinez Yanez</v>
          </cell>
        </row>
        <row r="2839">
          <cell r="F2839">
            <v>315094</v>
          </cell>
          <cell r="G2839" t="str">
            <v>Manuel Enrique Espinoza Cermeño</v>
          </cell>
        </row>
        <row r="2840">
          <cell r="F2840">
            <v>312835</v>
          </cell>
          <cell r="G2840" t="str">
            <v>Manuel Estuardo Arriaga Garcia</v>
          </cell>
        </row>
        <row r="2841">
          <cell r="F2841">
            <v>314608</v>
          </cell>
          <cell r="G2841" t="str">
            <v>Marbin Yobani Calderon Vicente</v>
          </cell>
        </row>
        <row r="2842">
          <cell r="F2842">
            <v>314041</v>
          </cell>
          <cell r="G2842" t="str">
            <v>Marcela Isabel Medrano Ajquiy</v>
          </cell>
        </row>
        <row r="2843">
          <cell r="F2843">
            <v>308478</v>
          </cell>
          <cell r="G2843" t="str">
            <v>Marco Antonio Tejada Herrera</v>
          </cell>
        </row>
        <row r="2844">
          <cell r="F2844">
            <v>315216</v>
          </cell>
          <cell r="G2844" t="str">
            <v>Marcos Avilio Santizo Roman</v>
          </cell>
        </row>
        <row r="2845">
          <cell r="F2845">
            <v>312919</v>
          </cell>
          <cell r="G2845" t="str">
            <v>Marcos Daniel Miranda Ordoñez</v>
          </cell>
        </row>
        <row r="2846">
          <cell r="F2846">
            <v>306192</v>
          </cell>
          <cell r="G2846" t="str">
            <v>Marenda Mishel Galeano Lopez</v>
          </cell>
        </row>
        <row r="2847">
          <cell r="F2847">
            <v>311597</v>
          </cell>
          <cell r="G2847" t="str">
            <v>Maria Alejandra Estrada Morales</v>
          </cell>
        </row>
        <row r="2848">
          <cell r="F2848">
            <v>315488</v>
          </cell>
          <cell r="G2848" t="str">
            <v>Maria Alejandra Lanuza Perez</v>
          </cell>
        </row>
        <row r="2849">
          <cell r="F2849">
            <v>315414</v>
          </cell>
          <cell r="G2849" t="str">
            <v>Maria Alejandra Perez Martinez</v>
          </cell>
        </row>
        <row r="2850">
          <cell r="F2850">
            <v>314383</v>
          </cell>
          <cell r="G2850" t="str">
            <v>Maria De La Luz Masaya Moreno</v>
          </cell>
        </row>
        <row r="2851">
          <cell r="F2851">
            <v>314419</v>
          </cell>
          <cell r="G2851" t="str">
            <v>Maria De Los Angeles Hernandez Oliva</v>
          </cell>
        </row>
        <row r="2852">
          <cell r="F2852">
            <v>309455</v>
          </cell>
          <cell r="G2852" t="str">
            <v>Maria Del Rosario De Leon Puac</v>
          </cell>
        </row>
        <row r="2853">
          <cell r="F2853">
            <v>310240</v>
          </cell>
          <cell r="G2853" t="str">
            <v>Maria Del Rosario Sion Calel</v>
          </cell>
        </row>
        <row r="2854">
          <cell r="F2854">
            <v>311583</v>
          </cell>
          <cell r="G2854" t="str">
            <v>Maria Elizabeth Recinos Villagran</v>
          </cell>
        </row>
        <row r="2855">
          <cell r="F2855">
            <v>315128</v>
          </cell>
          <cell r="G2855" t="str">
            <v>Maria Eugenia Alvarez Lopez</v>
          </cell>
        </row>
        <row r="2856">
          <cell r="F2856">
            <v>309571</v>
          </cell>
          <cell r="G2856" t="str">
            <v>Maria Fernanda Aldana Fernandez</v>
          </cell>
        </row>
        <row r="2857">
          <cell r="F2857">
            <v>305630</v>
          </cell>
          <cell r="G2857" t="str">
            <v>Maria Fernanda Duran Barrera De De De Leon</v>
          </cell>
        </row>
        <row r="2858">
          <cell r="F2858">
            <v>315325</v>
          </cell>
          <cell r="G2858" t="str">
            <v>Maria Fernanda García Patzán</v>
          </cell>
        </row>
        <row r="2859">
          <cell r="F2859">
            <v>315310</v>
          </cell>
          <cell r="G2859" t="str">
            <v>Maria Fernanda Reyes Trinidad</v>
          </cell>
        </row>
        <row r="2860">
          <cell r="F2860">
            <v>314265</v>
          </cell>
          <cell r="G2860" t="str">
            <v>Maria Fernanda Sanches Yoc</v>
          </cell>
        </row>
        <row r="2861">
          <cell r="F2861">
            <v>313724</v>
          </cell>
          <cell r="G2861" t="str">
            <v>Maria Fernanda Tomas</v>
          </cell>
        </row>
        <row r="2862">
          <cell r="F2862">
            <v>315252</v>
          </cell>
          <cell r="G2862" t="str">
            <v>Maria Gabriela Giron De Leon</v>
          </cell>
        </row>
        <row r="2863">
          <cell r="F2863">
            <v>309515</v>
          </cell>
          <cell r="G2863" t="str">
            <v>Maria Guadalupe Marroquin Camargo</v>
          </cell>
        </row>
        <row r="2864">
          <cell r="F2864">
            <v>313732</v>
          </cell>
          <cell r="G2864" t="str">
            <v>Maria Isabel Martinez</v>
          </cell>
        </row>
        <row r="2865">
          <cell r="F2865">
            <v>314027</v>
          </cell>
          <cell r="G2865" t="str">
            <v>Maria Isabel Reyes Aguirre</v>
          </cell>
        </row>
        <row r="2866">
          <cell r="F2866">
            <v>311474</v>
          </cell>
          <cell r="G2866" t="str">
            <v>Maria Jose Alvarado Lopez De Barrientos</v>
          </cell>
        </row>
        <row r="2867">
          <cell r="F2867">
            <v>312356</v>
          </cell>
          <cell r="G2867" t="str">
            <v>Maria Jose Fernandez Melendez</v>
          </cell>
        </row>
        <row r="2868">
          <cell r="F2868">
            <v>313800</v>
          </cell>
          <cell r="G2868" t="str">
            <v>Maria Jose Flores Alvarez</v>
          </cell>
        </row>
        <row r="2869">
          <cell r="F2869">
            <v>314566</v>
          </cell>
          <cell r="G2869" t="str">
            <v>Maria Jose Gonzalez Orellana</v>
          </cell>
        </row>
        <row r="2870">
          <cell r="F2870">
            <v>311569</v>
          </cell>
          <cell r="G2870" t="str">
            <v>Maria Jose Gramajo Garcia De Monzon</v>
          </cell>
        </row>
        <row r="2871">
          <cell r="F2871">
            <v>313095</v>
          </cell>
          <cell r="G2871" t="str">
            <v>Maria Jose Meza De Leon</v>
          </cell>
        </row>
        <row r="2872">
          <cell r="F2872">
            <v>300191</v>
          </cell>
          <cell r="G2872" t="str">
            <v>Maria Jose Salazar Rueda</v>
          </cell>
        </row>
        <row r="2873">
          <cell r="F2873">
            <v>314226</v>
          </cell>
          <cell r="G2873" t="str">
            <v>Maria Josee Morales Vaides</v>
          </cell>
        </row>
        <row r="2874">
          <cell r="F2874">
            <v>315362</v>
          </cell>
          <cell r="G2874" t="str">
            <v>Maria Lourdes Ajpuz Julajuj</v>
          </cell>
        </row>
        <row r="2875">
          <cell r="F2875">
            <v>306697</v>
          </cell>
          <cell r="G2875" t="str">
            <v>Maria Luisa Ramos Lopez</v>
          </cell>
        </row>
        <row r="2876">
          <cell r="F2876">
            <v>314180</v>
          </cell>
          <cell r="G2876" t="str">
            <v>Maria Ruby Tzamol Pacay</v>
          </cell>
        </row>
        <row r="2877">
          <cell r="F2877">
            <v>311686</v>
          </cell>
          <cell r="G2877" t="str">
            <v>Maria Teresa Recinos Estrada</v>
          </cell>
        </row>
        <row r="2878">
          <cell r="F2878">
            <v>315351</v>
          </cell>
          <cell r="G2878" t="str">
            <v>Maria Vicenta Lopez Mancilla</v>
          </cell>
        </row>
        <row r="2879">
          <cell r="F2879">
            <v>311755</v>
          </cell>
          <cell r="G2879" t="str">
            <v>Marian Rebeca Gallardo Alvarez</v>
          </cell>
        </row>
        <row r="2880">
          <cell r="F2880">
            <v>313660</v>
          </cell>
          <cell r="G2880" t="str">
            <v>Mariana Del Rosario Escobar Sanchez</v>
          </cell>
        </row>
        <row r="2881">
          <cell r="F2881">
            <v>314169</v>
          </cell>
          <cell r="G2881" t="str">
            <v>Mariano Jose Lopez Cojon</v>
          </cell>
        </row>
        <row r="2882">
          <cell r="F2882">
            <v>314341</v>
          </cell>
          <cell r="G2882" t="str">
            <v>Mariano Jose Trujillo Baldizon</v>
          </cell>
        </row>
        <row r="2883">
          <cell r="F2883">
            <v>314050</v>
          </cell>
          <cell r="G2883" t="str">
            <v>Mariela Alejandra Batz De Leon</v>
          </cell>
        </row>
        <row r="2884">
          <cell r="F2884">
            <v>311273</v>
          </cell>
          <cell r="G2884" t="str">
            <v>Marili Cecilia Ramirez Cardona</v>
          </cell>
        </row>
        <row r="2885">
          <cell r="F2885">
            <v>312576</v>
          </cell>
          <cell r="G2885" t="str">
            <v>Marilin Melisa Lopez Yoc</v>
          </cell>
        </row>
        <row r="2886">
          <cell r="F2886">
            <v>314530</v>
          </cell>
          <cell r="G2886" t="str">
            <v>Marilyn Alexandra Davila Chavez</v>
          </cell>
        </row>
        <row r="2887">
          <cell r="F2887">
            <v>315099</v>
          </cell>
          <cell r="G2887" t="str">
            <v>Marilyn Yulissa Alvarez Toscano</v>
          </cell>
        </row>
        <row r="2888">
          <cell r="F2888">
            <v>311405</v>
          </cell>
          <cell r="G2888" t="str">
            <v>Marina Elena Giron Roldan</v>
          </cell>
        </row>
        <row r="2889">
          <cell r="F2889">
            <v>314803</v>
          </cell>
          <cell r="G2889" t="str">
            <v>Mario David Quilo Hernandez</v>
          </cell>
        </row>
        <row r="2890">
          <cell r="F2890">
            <v>306487</v>
          </cell>
          <cell r="G2890" t="str">
            <v>Mario Estuardo Chavez Zelada</v>
          </cell>
        </row>
        <row r="2891">
          <cell r="F2891">
            <v>315445</v>
          </cell>
          <cell r="G2891" t="str">
            <v>Mario Guberlindo Gonzalez Velasquez</v>
          </cell>
        </row>
        <row r="2892">
          <cell r="F2892">
            <v>313107</v>
          </cell>
          <cell r="G2892" t="str">
            <v>Mario Jose Mejia Escobar</v>
          </cell>
        </row>
        <row r="2893">
          <cell r="F2893">
            <v>314737</v>
          </cell>
          <cell r="G2893" t="str">
            <v>Mario Rene Lopez Gudiel</v>
          </cell>
        </row>
        <row r="2894">
          <cell r="F2894">
            <v>309842</v>
          </cell>
          <cell r="G2894" t="str">
            <v>Maritza Morales Tzoc</v>
          </cell>
        </row>
        <row r="2895">
          <cell r="F2895">
            <v>312996</v>
          </cell>
          <cell r="G2895" t="str">
            <v>Marlen Aida Pelaez Ramirez</v>
          </cell>
        </row>
        <row r="2896">
          <cell r="F2896">
            <v>310203</v>
          </cell>
          <cell r="G2896" t="str">
            <v>Marlen Brigitt Rosales De Leon</v>
          </cell>
        </row>
        <row r="2897">
          <cell r="F2897">
            <v>314089</v>
          </cell>
          <cell r="G2897" t="str">
            <v>Marlin Yesenia Chacon Garcia</v>
          </cell>
        </row>
        <row r="2898">
          <cell r="F2898">
            <v>314054</v>
          </cell>
          <cell r="G2898" t="str">
            <v>Marlon Eduardo Arreaga Escobar</v>
          </cell>
        </row>
        <row r="2899">
          <cell r="F2899">
            <v>315505</v>
          </cell>
          <cell r="G2899" t="str">
            <v>Marlon Eduardo Medrano Sandoval</v>
          </cell>
        </row>
        <row r="2900">
          <cell r="F2900">
            <v>310727</v>
          </cell>
          <cell r="G2900" t="str">
            <v>Marlon Ivan Dardon Hernandez</v>
          </cell>
        </row>
        <row r="2901">
          <cell r="F2901">
            <v>315341</v>
          </cell>
          <cell r="G2901" t="str">
            <v>Marlon Miguelangel Morales Jerez</v>
          </cell>
        </row>
        <row r="2902">
          <cell r="F2902">
            <v>311604</v>
          </cell>
          <cell r="G2902" t="str">
            <v>Marolet Patricia Palacios Argueta</v>
          </cell>
        </row>
        <row r="2903">
          <cell r="F2903">
            <v>310466</v>
          </cell>
          <cell r="G2903" t="str">
            <v>Marta Emilia Moran Lopez</v>
          </cell>
        </row>
        <row r="2904">
          <cell r="F2904">
            <v>314611</v>
          </cell>
          <cell r="G2904" t="str">
            <v>Marta Iris Martinez Sete</v>
          </cell>
        </row>
        <row r="2905">
          <cell r="F2905">
            <v>312109</v>
          </cell>
          <cell r="G2905" t="str">
            <v>Martha Julia Shar Velasquez</v>
          </cell>
        </row>
        <row r="2906">
          <cell r="F2906">
            <v>315103</v>
          </cell>
          <cell r="G2906" t="str">
            <v>Martin Aroldo Lorenzana Flores</v>
          </cell>
        </row>
        <row r="2907">
          <cell r="F2907">
            <v>315481</v>
          </cell>
          <cell r="G2907" t="str">
            <v>Marvin Alejandro Puac Mulul</v>
          </cell>
        </row>
        <row r="2908">
          <cell r="F2908">
            <v>306655</v>
          </cell>
          <cell r="G2908" t="str">
            <v>Marvin Alexander Choguix Chex</v>
          </cell>
        </row>
        <row r="2909">
          <cell r="F2909">
            <v>311176</v>
          </cell>
          <cell r="G2909" t="str">
            <v>Marvin Andolfo Garcia De Leon</v>
          </cell>
        </row>
        <row r="2910">
          <cell r="F2910">
            <v>315475</v>
          </cell>
          <cell r="G2910" t="str">
            <v>Marvin Eduardo Coxaj Sanic</v>
          </cell>
        </row>
        <row r="2911">
          <cell r="F2911">
            <v>312374</v>
          </cell>
          <cell r="G2911" t="str">
            <v>Marvin Eleazar Sunun Acuta</v>
          </cell>
        </row>
        <row r="2912">
          <cell r="F2912">
            <v>310680</v>
          </cell>
          <cell r="G2912" t="str">
            <v>Marvin Estuardo Xiloj De Leon</v>
          </cell>
        </row>
        <row r="2913">
          <cell r="F2913">
            <v>315460</v>
          </cell>
          <cell r="G2913" t="str">
            <v>Marvin Leonel Hernandez Alvarez</v>
          </cell>
        </row>
        <row r="2914">
          <cell r="F2914">
            <v>307409</v>
          </cell>
          <cell r="G2914" t="str">
            <v>Marvin Rodolfo Santizo Rosales</v>
          </cell>
        </row>
        <row r="2915">
          <cell r="F2915">
            <v>313194</v>
          </cell>
          <cell r="G2915" t="str">
            <v>Mary Isabel Xiloj Tajiboy</v>
          </cell>
        </row>
        <row r="2916">
          <cell r="F2916">
            <v>314092</v>
          </cell>
          <cell r="G2916" t="str">
            <v>Maryory Marilu Ramos Reyes</v>
          </cell>
        </row>
        <row r="2917">
          <cell r="F2917">
            <v>314207</v>
          </cell>
          <cell r="G2917" t="str">
            <v>Maryury Yasmin Suret Mejia</v>
          </cell>
        </row>
        <row r="2918">
          <cell r="F2918">
            <v>314618</v>
          </cell>
          <cell r="G2918" t="str">
            <v>Mauro Gilberto Rax Suc</v>
          </cell>
        </row>
        <row r="2919">
          <cell r="F2919">
            <v>304166</v>
          </cell>
          <cell r="G2919" t="str">
            <v>Maviela Bibianeth Castillo Avila</v>
          </cell>
        </row>
        <row r="2920">
          <cell r="F2920">
            <v>309285</v>
          </cell>
          <cell r="G2920" t="str">
            <v>Mavilin Griselda Jacome Molina</v>
          </cell>
        </row>
        <row r="2921">
          <cell r="F2921">
            <v>315042</v>
          </cell>
          <cell r="G2921" t="str">
            <v>Mayki Waleska Alvarez Guzman</v>
          </cell>
        </row>
        <row r="2922">
          <cell r="F2922">
            <v>314691</v>
          </cell>
          <cell r="G2922" t="str">
            <v>Maylin Fernanda Cifuentes Guevara</v>
          </cell>
        </row>
        <row r="2923">
          <cell r="F2923">
            <v>314857</v>
          </cell>
          <cell r="G2923" t="str">
            <v>Maynor Alexander Chen Franco</v>
          </cell>
        </row>
        <row r="2924">
          <cell r="F2924">
            <v>315320</v>
          </cell>
          <cell r="G2924" t="str">
            <v>Maynor David Montufar De La Cruz</v>
          </cell>
        </row>
        <row r="2925">
          <cell r="F2925">
            <v>314784</v>
          </cell>
          <cell r="G2925" t="str">
            <v>Mayra Alejandra Perez Cordero</v>
          </cell>
        </row>
        <row r="2926">
          <cell r="F2926">
            <v>307616</v>
          </cell>
          <cell r="G2926" t="str">
            <v>Mayra Ester Lopez Gonzalez</v>
          </cell>
        </row>
        <row r="2927">
          <cell r="F2927">
            <v>304234</v>
          </cell>
          <cell r="G2927" t="str">
            <v>Mayra Julieta Sincal Coy</v>
          </cell>
        </row>
        <row r="2928">
          <cell r="F2928">
            <v>314324</v>
          </cell>
          <cell r="G2928" t="str">
            <v>Mayra Karina Soc Ovalle</v>
          </cell>
        </row>
        <row r="2929">
          <cell r="F2929">
            <v>313096</v>
          </cell>
          <cell r="G2929" t="str">
            <v>Mayra Noemi Godoy Carrera</v>
          </cell>
        </row>
        <row r="2930">
          <cell r="F2930">
            <v>315528</v>
          </cell>
          <cell r="G2930" t="str">
            <v>Melanie Azucena Choc Garcia</v>
          </cell>
        </row>
        <row r="2931">
          <cell r="F2931">
            <v>309903</v>
          </cell>
          <cell r="G2931" t="str">
            <v>Melanie Vanessa Chacon Godoy</v>
          </cell>
        </row>
        <row r="2932">
          <cell r="F2932">
            <v>301165</v>
          </cell>
          <cell r="G2932" t="str">
            <v>Melissa Lissette Recinos Massella</v>
          </cell>
        </row>
        <row r="2933">
          <cell r="F2933">
            <v>314782</v>
          </cell>
          <cell r="G2933" t="str">
            <v>Melissandra Ruiz Ramirez</v>
          </cell>
        </row>
        <row r="2934">
          <cell r="F2934">
            <v>314053</v>
          </cell>
          <cell r="G2934" t="str">
            <v>Melody Arelis Elvira Monterroso</v>
          </cell>
        </row>
        <row r="2935">
          <cell r="F2935">
            <v>314777</v>
          </cell>
          <cell r="G2935" t="str">
            <v>Melvin Antonio Hernandez Gutierrez</v>
          </cell>
        </row>
        <row r="2936">
          <cell r="F2936">
            <v>315452</v>
          </cell>
          <cell r="G2936" t="str">
            <v>Melvin Everardo Morales Navas</v>
          </cell>
        </row>
        <row r="2937">
          <cell r="F2937">
            <v>315416</v>
          </cell>
          <cell r="G2937" t="str">
            <v>Melvin Hermenegildo Yagut Monterroso</v>
          </cell>
        </row>
        <row r="2938">
          <cell r="F2938">
            <v>315107</v>
          </cell>
          <cell r="G2938" t="str">
            <v>Merari Abigail Orantes Gonzalez</v>
          </cell>
        </row>
        <row r="2939">
          <cell r="F2939">
            <v>304528</v>
          </cell>
          <cell r="G2939" t="str">
            <v>Merari Abigail Veliz Samayoa</v>
          </cell>
        </row>
        <row r="2940">
          <cell r="F2940">
            <v>311310</v>
          </cell>
          <cell r="G2940" t="str">
            <v>Merari Madai Arana Erazo</v>
          </cell>
        </row>
        <row r="2941">
          <cell r="F2941">
            <v>314447</v>
          </cell>
          <cell r="G2941" t="str">
            <v>Mercy Roxana Galvez Canales</v>
          </cell>
        </row>
        <row r="2942">
          <cell r="F2942">
            <v>314610</v>
          </cell>
          <cell r="G2942" t="str">
            <v>Merly Carolina Lopez Laynez</v>
          </cell>
        </row>
        <row r="2943">
          <cell r="F2943">
            <v>315402</v>
          </cell>
          <cell r="G2943" t="str">
            <v>Merly Sorayda Ramirez Mendez</v>
          </cell>
        </row>
        <row r="2944">
          <cell r="F2944">
            <v>315499</v>
          </cell>
          <cell r="G2944" t="str">
            <v>Miguel Angel Arias Maquin</v>
          </cell>
        </row>
        <row r="2945">
          <cell r="F2945">
            <v>302368</v>
          </cell>
          <cell r="G2945" t="str">
            <v>Miguel Angel Moya Cabnal</v>
          </cell>
        </row>
        <row r="2946">
          <cell r="F2946">
            <v>307315</v>
          </cell>
          <cell r="G2946" t="str">
            <v>Miguel Angel Vicente Morales</v>
          </cell>
        </row>
        <row r="2947">
          <cell r="F2947">
            <v>307063</v>
          </cell>
          <cell r="G2947" t="str">
            <v>Miguel Omar Zuleta Solorzano</v>
          </cell>
        </row>
        <row r="2948">
          <cell r="F2948">
            <v>311165</v>
          </cell>
          <cell r="G2948" t="str">
            <v>Miguel Orlando Sebastian Juchan</v>
          </cell>
        </row>
        <row r="2949">
          <cell r="F2949">
            <v>310954</v>
          </cell>
          <cell r="G2949" t="str">
            <v>Mildre Fabiola Gomez Barillas</v>
          </cell>
        </row>
        <row r="2950">
          <cell r="F2950">
            <v>315346</v>
          </cell>
          <cell r="G2950" t="str">
            <v>Mildred Elizabeth Solis Quevedo</v>
          </cell>
        </row>
        <row r="2951">
          <cell r="F2951">
            <v>314330</v>
          </cell>
          <cell r="G2951" t="str">
            <v>Mildred Magaly Ortega Pac</v>
          </cell>
        </row>
        <row r="2952">
          <cell r="F2952">
            <v>314985</v>
          </cell>
          <cell r="G2952" t="str">
            <v>Mildred Magaly Sul Lopez</v>
          </cell>
        </row>
        <row r="2953">
          <cell r="F2953">
            <v>309503</v>
          </cell>
          <cell r="G2953" t="str">
            <v>Mildred Yaneth Figueroa Garcia</v>
          </cell>
        </row>
        <row r="2954">
          <cell r="F2954">
            <v>301826</v>
          </cell>
          <cell r="G2954" t="str">
            <v>Mildred Yanett Cruz Alvarez</v>
          </cell>
        </row>
        <row r="2955">
          <cell r="F2955">
            <v>313864</v>
          </cell>
          <cell r="G2955" t="str">
            <v>Milena Maria Mendez Cheguen</v>
          </cell>
        </row>
        <row r="2956">
          <cell r="F2956">
            <v>314919</v>
          </cell>
          <cell r="G2956" t="str">
            <v>Milton Enrique Yax Sosa</v>
          </cell>
        </row>
        <row r="2957">
          <cell r="F2957">
            <v>312699</v>
          </cell>
          <cell r="G2957" t="str">
            <v>Milton Rene Estrada Coc</v>
          </cell>
        </row>
        <row r="2958">
          <cell r="F2958">
            <v>310468</v>
          </cell>
          <cell r="G2958" t="str">
            <v>Milton Roberto Juarez Lemus</v>
          </cell>
        </row>
        <row r="2959">
          <cell r="F2959">
            <v>313534</v>
          </cell>
          <cell r="G2959" t="str">
            <v>Milver Moises Maldonado Pelico</v>
          </cell>
        </row>
        <row r="2960">
          <cell r="F2960">
            <v>314555</v>
          </cell>
          <cell r="G2960" t="str">
            <v>Milvia Fernanda Talento Urbina</v>
          </cell>
        </row>
        <row r="2961">
          <cell r="F2961">
            <v>301347</v>
          </cell>
          <cell r="G2961" t="str">
            <v>Miriam Betsabe Rodas Perez</v>
          </cell>
        </row>
        <row r="2962">
          <cell r="F2962">
            <v>313439</v>
          </cell>
          <cell r="G2962" t="str">
            <v>Miriam Elizabeth Pérez Guerra</v>
          </cell>
        </row>
        <row r="2963">
          <cell r="F2963">
            <v>307748</v>
          </cell>
          <cell r="G2963" t="str">
            <v>Miriam Judith Cermeño Cetino</v>
          </cell>
        </row>
        <row r="2964">
          <cell r="F2964">
            <v>313772</v>
          </cell>
          <cell r="G2964" t="str">
            <v>Miriam Mineidy Moscoso Mayen</v>
          </cell>
        </row>
        <row r="2965">
          <cell r="F2965">
            <v>306649</v>
          </cell>
          <cell r="G2965" t="str">
            <v>Miriam Stefanie Hernandez Subuyuj</v>
          </cell>
        </row>
        <row r="2966">
          <cell r="F2966">
            <v>201909</v>
          </cell>
          <cell r="G2966" t="str">
            <v>Mirian Del Carmen Guzman Maldonado</v>
          </cell>
        </row>
        <row r="2967">
          <cell r="F2967">
            <v>314023</v>
          </cell>
          <cell r="G2967" t="str">
            <v>Mirna Consuelo Muñoz Ordoñez</v>
          </cell>
        </row>
        <row r="2968">
          <cell r="F2968">
            <v>315506</v>
          </cell>
          <cell r="G2968" t="str">
            <v>Mirna Elizabeth Zolote Patzan</v>
          </cell>
        </row>
        <row r="2969">
          <cell r="F2969">
            <v>101866</v>
          </cell>
          <cell r="G2969" t="str">
            <v>Mirna Violeta Carrillo Gonzalez</v>
          </cell>
        </row>
        <row r="2970">
          <cell r="F2970">
            <v>310687</v>
          </cell>
          <cell r="G2970" t="str">
            <v>Mirna Yesenia Umaña Ramos</v>
          </cell>
        </row>
        <row r="2971">
          <cell r="F2971">
            <v>313842</v>
          </cell>
          <cell r="G2971" t="str">
            <v>Mirza Johana Cosigua Rabinal</v>
          </cell>
        </row>
        <row r="2972">
          <cell r="F2972">
            <v>313441</v>
          </cell>
          <cell r="G2972" t="str">
            <v>Moises Dario Flores Amaya</v>
          </cell>
        </row>
        <row r="2973">
          <cell r="F2973">
            <v>313480</v>
          </cell>
          <cell r="G2973" t="str">
            <v>Monica Cecilia Perez Lopez</v>
          </cell>
        </row>
        <row r="2974">
          <cell r="F2974">
            <v>313674</v>
          </cell>
          <cell r="G2974" t="str">
            <v>Monica Gabriela Canizales Santos</v>
          </cell>
        </row>
        <row r="2975">
          <cell r="F2975">
            <v>307706</v>
          </cell>
          <cell r="G2975" t="str">
            <v>Monica Guadalupe Garcia Rivera</v>
          </cell>
        </row>
        <row r="2976">
          <cell r="F2976">
            <v>314918</v>
          </cell>
          <cell r="G2976" t="str">
            <v>Monica Isabel Castillo Avila</v>
          </cell>
        </row>
        <row r="2977">
          <cell r="F2977">
            <v>313553</v>
          </cell>
          <cell r="G2977" t="str">
            <v>Monica Laj De La Cruz</v>
          </cell>
        </row>
        <row r="2978">
          <cell r="F2978">
            <v>308910</v>
          </cell>
          <cell r="G2978" t="str">
            <v>Monica Lisseth Marroquin Salazar</v>
          </cell>
        </row>
        <row r="2979">
          <cell r="F2979">
            <v>302232</v>
          </cell>
          <cell r="G2979" t="str">
            <v>Monica Lizbeth Franco Chacon</v>
          </cell>
        </row>
        <row r="2980">
          <cell r="F2980">
            <v>311945</v>
          </cell>
          <cell r="G2980" t="str">
            <v>Monica Michelle Diaz De Leon De Baltazar</v>
          </cell>
        </row>
        <row r="2981">
          <cell r="F2981">
            <v>315559</v>
          </cell>
          <cell r="G2981" t="str">
            <v>Monica Mishell Perez Ballesteros</v>
          </cell>
        </row>
        <row r="2982">
          <cell r="F2982">
            <v>313346</v>
          </cell>
          <cell r="G2982" t="str">
            <v>Monica Mishell Rendon Gamboa</v>
          </cell>
        </row>
        <row r="2983">
          <cell r="F2983">
            <v>314616</v>
          </cell>
          <cell r="G2983" t="str">
            <v>Monica Raquel Palacios Piedrasanta</v>
          </cell>
        </row>
        <row r="2984">
          <cell r="F2984">
            <v>314653</v>
          </cell>
          <cell r="G2984" t="str">
            <v>Monica Yulissa Sun Pacay</v>
          </cell>
        </row>
        <row r="2985">
          <cell r="F2985">
            <v>311311</v>
          </cell>
          <cell r="G2985" t="str">
            <v>Monica Yulissa Vicente Velasquez</v>
          </cell>
        </row>
        <row r="2986">
          <cell r="F2986">
            <v>313427</v>
          </cell>
          <cell r="G2986" t="str">
            <v>Mynor Genaro Salazar Merida</v>
          </cell>
        </row>
        <row r="2987">
          <cell r="F2987">
            <v>201518</v>
          </cell>
          <cell r="G2987" t="str">
            <v>Myriam Aracely Rivera Gonzalez</v>
          </cell>
        </row>
        <row r="2988">
          <cell r="F2988">
            <v>315266</v>
          </cell>
          <cell r="G2988" t="str">
            <v>Myrka Jessel Rivera Camo</v>
          </cell>
        </row>
        <row r="2989">
          <cell r="F2989">
            <v>314223</v>
          </cell>
          <cell r="G2989" t="str">
            <v>Nadia Estefania Gramajo Archila</v>
          </cell>
        </row>
        <row r="2990">
          <cell r="F2990">
            <v>314959</v>
          </cell>
          <cell r="G2990" t="str">
            <v>Nanci Magali Noj Santos</v>
          </cell>
        </row>
        <row r="2991">
          <cell r="F2991">
            <v>302592</v>
          </cell>
          <cell r="G2991" t="str">
            <v>Nanci Paola Con Morales</v>
          </cell>
        </row>
        <row r="2992">
          <cell r="F2992">
            <v>301700</v>
          </cell>
          <cell r="G2992" t="str">
            <v>Nanci Yanira Navas Garcia</v>
          </cell>
        </row>
        <row r="2993">
          <cell r="F2993">
            <v>312111</v>
          </cell>
          <cell r="G2993" t="str">
            <v>Nancy Corina Quiñonez Rodriguez</v>
          </cell>
        </row>
        <row r="2994">
          <cell r="F2994">
            <v>303538</v>
          </cell>
          <cell r="G2994" t="str">
            <v>Nancy Magaly Izaguirre Galicia</v>
          </cell>
        </row>
        <row r="2995">
          <cell r="F2995">
            <v>305223</v>
          </cell>
          <cell r="G2995" t="str">
            <v>Nancy Pahola De Leon Patzan</v>
          </cell>
        </row>
        <row r="2996">
          <cell r="F2996">
            <v>311423</v>
          </cell>
          <cell r="G2996" t="str">
            <v>Nancy Paola Jimenez Pamal</v>
          </cell>
        </row>
        <row r="2997">
          <cell r="F2997">
            <v>310510</v>
          </cell>
          <cell r="G2997" t="str">
            <v>Nancy Paola Morales Rodriguez</v>
          </cell>
        </row>
        <row r="2998">
          <cell r="F2998">
            <v>312587</v>
          </cell>
          <cell r="G2998" t="str">
            <v>Nancy Roxana Chuy Ponce</v>
          </cell>
        </row>
        <row r="2999">
          <cell r="F2999">
            <v>314745</v>
          </cell>
          <cell r="G2999" t="str">
            <v>Nancy Yaneth Vasquez Chiguichon</v>
          </cell>
        </row>
        <row r="3000">
          <cell r="F3000">
            <v>309809</v>
          </cell>
          <cell r="G3000" t="str">
            <v>Nancy Yessenia Set Iquite</v>
          </cell>
        </row>
        <row r="3001">
          <cell r="F3001">
            <v>311261</v>
          </cell>
          <cell r="G3001" t="str">
            <v>Nasly Abigail Cazian Lopez</v>
          </cell>
        </row>
        <row r="3002">
          <cell r="F3002">
            <v>312545</v>
          </cell>
          <cell r="G3002" t="str">
            <v>Nataly Pamela Fransheska Aguilar Escobar</v>
          </cell>
        </row>
        <row r="3003">
          <cell r="F3003">
            <v>314192</v>
          </cell>
          <cell r="G3003" t="str">
            <v>Neftaly Eliseo Aguilar Hernandez</v>
          </cell>
        </row>
        <row r="3004">
          <cell r="F3004">
            <v>314024</v>
          </cell>
          <cell r="G3004" t="str">
            <v>Nelson Aurelio Portillo Martinez</v>
          </cell>
        </row>
        <row r="3005">
          <cell r="F3005">
            <v>314913</v>
          </cell>
          <cell r="G3005" t="str">
            <v>Nelson Humberto Caal Güe</v>
          </cell>
        </row>
        <row r="3006">
          <cell r="F3006">
            <v>314631</v>
          </cell>
          <cell r="G3006" t="str">
            <v>Nelsy Adali Nova Vivar</v>
          </cell>
        </row>
        <row r="3007">
          <cell r="F3007">
            <v>309216</v>
          </cell>
          <cell r="G3007" t="str">
            <v>Nery Daniel Chipin Lindo</v>
          </cell>
        </row>
        <row r="3009">
          <cell r="F3009">
            <v>312176</v>
          </cell>
          <cell r="G3009" t="str">
            <v>Nestor Edgardo Gutierrez Lazaro</v>
          </cell>
        </row>
        <row r="3010">
          <cell r="F3010">
            <v>309178</v>
          </cell>
          <cell r="G3010" t="str">
            <v>Nestor Enmanuel Retana Castellanos</v>
          </cell>
        </row>
        <row r="3011">
          <cell r="F3011">
            <v>313878</v>
          </cell>
          <cell r="G3011" t="str">
            <v>Nestor Orlando Aguilar Santos</v>
          </cell>
        </row>
        <row r="3012">
          <cell r="F3012">
            <v>305532</v>
          </cell>
          <cell r="G3012" t="str">
            <v>Nicolas Ajiquichi Ibate</v>
          </cell>
        </row>
        <row r="3013">
          <cell r="F3013">
            <v>312763</v>
          </cell>
          <cell r="G3013" t="str">
            <v>Nicolas Walter Toma Zacarias</v>
          </cell>
        </row>
        <row r="3014">
          <cell r="F3014">
            <v>315413</v>
          </cell>
          <cell r="G3014" t="str">
            <v>Nicomedes Israel Echeverria Pacheco</v>
          </cell>
        </row>
        <row r="3015">
          <cell r="F3015">
            <v>310907</v>
          </cell>
          <cell r="G3015" t="str">
            <v>Nidia Dalila Bantes Segura De Manchame</v>
          </cell>
        </row>
        <row r="3016">
          <cell r="F3016">
            <v>314818</v>
          </cell>
          <cell r="G3016" t="str">
            <v>Nidia Lucy Herrera Lopez</v>
          </cell>
        </row>
        <row r="3017">
          <cell r="F3017">
            <v>301486</v>
          </cell>
          <cell r="G3017" t="str">
            <v>Nidia Maribel Carpio Roca</v>
          </cell>
        </row>
        <row r="3018">
          <cell r="F3018">
            <v>306850</v>
          </cell>
          <cell r="G3018" t="str">
            <v>Nilda Julieta Boror Xuya</v>
          </cell>
        </row>
        <row r="3019">
          <cell r="F3019">
            <v>311624</v>
          </cell>
          <cell r="G3019" t="str">
            <v>Noe Amos Marroquin Sicajol</v>
          </cell>
        </row>
        <row r="3020">
          <cell r="F3020">
            <v>309912</v>
          </cell>
          <cell r="G3020" t="str">
            <v>Noelia Azucena Garcia Mazariegos</v>
          </cell>
        </row>
        <row r="3021">
          <cell r="F3021">
            <v>102045</v>
          </cell>
          <cell r="G3021" t="str">
            <v>Noemi Ruth Hernandez Urrutia</v>
          </cell>
        </row>
        <row r="3022">
          <cell r="F3022">
            <v>310375</v>
          </cell>
          <cell r="G3022" t="str">
            <v>Nora Lisseth Lam Sanchez</v>
          </cell>
        </row>
        <row r="3023">
          <cell r="F3023">
            <v>313429</v>
          </cell>
          <cell r="G3023" t="str">
            <v>Norman Alessandro Madrid Garcia</v>
          </cell>
        </row>
        <row r="3024">
          <cell r="F3024">
            <v>309744</v>
          </cell>
          <cell r="G3024" t="str">
            <v>Odalis Ruby Garcia Siquina</v>
          </cell>
        </row>
        <row r="3025">
          <cell r="F3025">
            <v>315554</v>
          </cell>
          <cell r="G3025" t="str">
            <v>Odalys Faviola Reyes Rivera</v>
          </cell>
        </row>
        <row r="3026">
          <cell r="F3026">
            <v>315037</v>
          </cell>
          <cell r="G3026" t="str">
            <v>Odiel Armando Guerra Aguirre</v>
          </cell>
        </row>
        <row r="3027">
          <cell r="F3027">
            <v>307511</v>
          </cell>
          <cell r="G3027" t="str">
            <v>Odra Arcadia Barduel Sarat</v>
          </cell>
        </row>
        <row r="3028">
          <cell r="F3028">
            <v>310763</v>
          </cell>
          <cell r="G3028" t="str">
            <v>Olga Gabriela Lopez Tzic</v>
          </cell>
        </row>
        <row r="3029">
          <cell r="F3029">
            <v>309989</v>
          </cell>
          <cell r="G3029" t="str">
            <v>Olga Maricela Guarcas Tol</v>
          </cell>
        </row>
        <row r="3030">
          <cell r="F3030">
            <v>315281</v>
          </cell>
          <cell r="G3030" t="str">
            <v>Olinda Juarez Figueno</v>
          </cell>
        </row>
        <row r="3031">
          <cell r="F3031">
            <v>312972</v>
          </cell>
          <cell r="G3031" t="str">
            <v>Omar Anibal Barreda Valenzuela</v>
          </cell>
        </row>
        <row r="3032">
          <cell r="F3032">
            <v>302263</v>
          </cell>
          <cell r="G3032" t="str">
            <v>Oneida Del Carmen Corzo Morales</v>
          </cell>
        </row>
        <row r="3033">
          <cell r="F3033">
            <v>308263</v>
          </cell>
          <cell r="G3033" t="str">
            <v>Oscar Eduardo Xoyon Gomez</v>
          </cell>
        </row>
        <row r="3034">
          <cell r="F3034">
            <v>314104</v>
          </cell>
          <cell r="G3034" t="str">
            <v>Oscar Emilio Gomez Orozco</v>
          </cell>
        </row>
        <row r="3035">
          <cell r="F3035">
            <v>314270</v>
          </cell>
          <cell r="G3035" t="str">
            <v>Oscar Enrique Garcia Gualip</v>
          </cell>
        </row>
        <row r="3036">
          <cell r="F3036">
            <v>315507</v>
          </cell>
          <cell r="G3036" t="str">
            <v>Oscar Estuardo Mancilla Najarro</v>
          </cell>
        </row>
        <row r="3037">
          <cell r="F3037">
            <v>314914</v>
          </cell>
          <cell r="G3037" t="str">
            <v>Oscar Geovany Patzan Patzan</v>
          </cell>
        </row>
        <row r="3038">
          <cell r="F3038">
            <v>308805</v>
          </cell>
          <cell r="G3038" t="str">
            <v>Oscar Israel Thiel Hidalgo</v>
          </cell>
        </row>
        <row r="3039">
          <cell r="F3039">
            <v>315115</v>
          </cell>
          <cell r="G3039" t="str">
            <v>Osman Amilcar Zarate Ixcoy</v>
          </cell>
        </row>
        <row r="3040">
          <cell r="F3040">
            <v>315497</v>
          </cell>
          <cell r="G3040" t="str">
            <v>Osman Ivan Boanerges Coc Coronado</v>
          </cell>
        </row>
        <row r="3041">
          <cell r="F3041">
            <v>310031</v>
          </cell>
          <cell r="G3041" t="str">
            <v>Osvin Daniel Gomez Gonzalez</v>
          </cell>
        </row>
        <row r="3042">
          <cell r="F3042">
            <v>307209</v>
          </cell>
          <cell r="G3042" t="str">
            <v>Oswaldo Marcelino Huix Gomez</v>
          </cell>
        </row>
        <row r="3043">
          <cell r="F3043">
            <v>309656</v>
          </cell>
          <cell r="G3043" t="str">
            <v>Otto Alejandro Barahona Lopez</v>
          </cell>
        </row>
        <row r="3044">
          <cell r="F3044">
            <v>312335</v>
          </cell>
          <cell r="G3044" t="str">
            <v>Otto Leonel Zavala Rodas</v>
          </cell>
        </row>
        <row r="3045">
          <cell r="F3045">
            <v>314894</v>
          </cell>
          <cell r="G3045" t="str">
            <v>Ottoniel Amilcar Gomez Rodriguez</v>
          </cell>
        </row>
        <row r="3046">
          <cell r="F3046">
            <v>315122</v>
          </cell>
          <cell r="G3046" t="str">
            <v>Ottoniel De Jesus Castellanos Ordoñez</v>
          </cell>
        </row>
        <row r="3047">
          <cell r="F3047">
            <v>315454</v>
          </cell>
          <cell r="G3047" t="str">
            <v>Pablo Jose Barillas Sobalvarro</v>
          </cell>
        </row>
        <row r="3048">
          <cell r="F3048">
            <v>314010</v>
          </cell>
          <cell r="G3048" t="str">
            <v>Pablo Raul Calimayor</v>
          </cell>
        </row>
        <row r="3049">
          <cell r="F3049">
            <v>313530</v>
          </cell>
          <cell r="G3049" t="str">
            <v>Paola Veronica Cardenas Toscano</v>
          </cell>
        </row>
        <row r="3050">
          <cell r="F3050">
            <v>314884</v>
          </cell>
          <cell r="G3050" t="str">
            <v>Paula Eliza Santos Corado</v>
          </cell>
        </row>
        <row r="3051">
          <cell r="F3051">
            <v>309035</v>
          </cell>
          <cell r="G3051" t="str">
            <v>Pedro Alexander Sazo Machac</v>
          </cell>
        </row>
        <row r="3052">
          <cell r="F3052">
            <v>308158</v>
          </cell>
          <cell r="G3052" t="str">
            <v>Pedro David Ixcoy Chiquin</v>
          </cell>
        </row>
        <row r="3053">
          <cell r="F3053">
            <v>314694</v>
          </cell>
          <cell r="G3053" t="str">
            <v>Pedro Karol Gomez Lopez</v>
          </cell>
        </row>
        <row r="3054">
          <cell r="F3054">
            <v>311221</v>
          </cell>
          <cell r="G3054" t="str">
            <v>Pedro Natanahel Caxaj Rodriguez</v>
          </cell>
        </row>
        <row r="3055">
          <cell r="F3055">
            <v>314951</v>
          </cell>
          <cell r="G3055" t="str">
            <v>Pedro Rene Ramirez Guzman</v>
          </cell>
        </row>
        <row r="3056">
          <cell r="F3056">
            <v>306911</v>
          </cell>
          <cell r="G3056" t="str">
            <v>Perla Michelle Giron Galdamez</v>
          </cell>
        </row>
        <row r="3057">
          <cell r="F3057">
            <v>303664</v>
          </cell>
          <cell r="G3057" t="str">
            <v>Priscila Merari Sosa Sanabria</v>
          </cell>
        </row>
        <row r="3058">
          <cell r="F3058">
            <v>314450</v>
          </cell>
          <cell r="G3058" t="str">
            <v>Rafael Anibal Sut Tucubal</v>
          </cell>
        </row>
        <row r="3059">
          <cell r="F3059">
            <v>315367</v>
          </cell>
          <cell r="G3059" t="str">
            <v>Raul Adrian Priego Castellanos</v>
          </cell>
        </row>
        <row r="3060">
          <cell r="F3060">
            <v>311720</v>
          </cell>
          <cell r="G3060" t="str">
            <v>Raul Estuardo Roquel Suyuc</v>
          </cell>
        </row>
        <row r="3061">
          <cell r="F3061">
            <v>313341</v>
          </cell>
          <cell r="G3061" t="str">
            <v>Raul Geovanny Garcia Fuentes</v>
          </cell>
        </row>
        <row r="3062">
          <cell r="F3062">
            <v>309191</v>
          </cell>
          <cell r="G3062" t="str">
            <v>Raul Matias Matias</v>
          </cell>
        </row>
        <row r="3063">
          <cell r="F3063">
            <v>315321</v>
          </cell>
          <cell r="G3063" t="str">
            <v>Reina Lorena Canán</v>
          </cell>
        </row>
        <row r="3064">
          <cell r="F3064">
            <v>312312</v>
          </cell>
          <cell r="G3064" t="str">
            <v>Remigio Alexander Gonzalez Suchite</v>
          </cell>
        </row>
        <row r="3065">
          <cell r="F3065">
            <v>306619</v>
          </cell>
          <cell r="G3065" t="str">
            <v>Reyna Angelica Ba Vega</v>
          </cell>
        </row>
        <row r="3066">
          <cell r="F3066">
            <v>315347</v>
          </cell>
          <cell r="G3066" t="str">
            <v>Reyna Floridalma Donis Marroquin</v>
          </cell>
        </row>
        <row r="3067">
          <cell r="F3067">
            <v>314960</v>
          </cell>
          <cell r="G3067" t="str">
            <v>Reyna Sebastiana Reyes Zurdo</v>
          </cell>
        </row>
        <row r="3068">
          <cell r="F3068">
            <v>315170</v>
          </cell>
          <cell r="G3068" t="str">
            <v>Ricardo Alexander Morales Moran</v>
          </cell>
        </row>
        <row r="3069">
          <cell r="F3069">
            <v>315179</v>
          </cell>
          <cell r="G3069" t="str">
            <v>Ricardo Alfonso Chan Lopez</v>
          </cell>
        </row>
        <row r="3070">
          <cell r="F3070">
            <v>311846</v>
          </cell>
          <cell r="G3070" t="str">
            <v>Ricardo Antonio Vasquez Meza</v>
          </cell>
        </row>
        <row r="3071">
          <cell r="F3071">
            <v>314666</v>
          </cell>
          <cell r="G3071" t="str">
            <v>Ricardo Esau Hernandez Baten</v>
          </cell>
        </row>
        <row r="3072">
          <cell r="F3072">
            <v>310610</v>
          </cell>
          <cell r="G3072" t="str">
            <v>Ricky Edson Lux Cassia</v>
          </cell>
        </row>
        <row r="3073">
          <cell r="F3073">
            <v>314813</v>
          </cell>
          <cell r="G3073" t="str">
            <v>Roberto Ardon Ramos</v>
          </cell>
        </row>
        <row r="3074">
          <cell r="F3074">
            <v>312901</v>
          </cell>
          <cell r="G3074" t="str">
            <v>Roberto Augusto Silva Hernandez</v>
          </cell>
        </row>
        <row r="3075">
          <cell r="F3075">
            <v>308852</v>
          </cell>
          <cell r="G3075" t="str">
            <v>Roberto Caal Sente</v>
          </cell>
        </row>
        <row r="3076">
          <cell r="F3076">
            <v>306098</v>
          </cell>
          <cell r="G3076" t="str">
            <v>Roderico Simeon Lopez Lopez</v>
          </cell>
        </row>
        <row r="3077">
          <cell r="F3077">
            <v>313517</v>
          </cell>
          <cell r="G3077" t="str">
            <v>Rogelio Waldemar Aldana Turcios</v>
          </cell>
        </row>
        <row r="3078">
          <cell r="F3078">
            <v>314945</v>
          </cell>
          <cell r="G3078" t="str">
            <v>Rolando Esau Solis Santos</v>
          </cell>
        </row>
        <row r="3079">
          <cell r="F3079">
            <v>313403</v>
          </cell>
          <cell r="G3079" t="str">
            <v>Rolman Eliseo Bautista Mazariegos</v>
          </cell>
        </row>
        <row r="3080">
          <cell r="F3080">
            <v>314776</v>
          </cell>
          <cell r="G3080" t="str">
            <v>Romario Humberto Perez Us</v>
          </cell>
        </row>
        <row r="3081">
          <cell r="F3081">
            <v>315539</v>
          </cell>
          <cell r="G3081" t="str">
            <v>Ronald Arturo Sanchez Mijangos</v>
          </cell>
        </row>
        <row r="3082">
          <cell r="F3082">
            <v>314096</v>
          </cell>
          <cell r="G3082" t="str">
            <v>Ronald Erickson Hernandez Bamac</v>
          </cell>
        </row>
        <row r="3083">
          <cell r="F3083">
            <v>307943</v>
          </cell>
          <cell r="G3083" t="str">
            <v>Ronald Guillermo Garcia</v>
          </cell>
        </row>
        <row r="3084">
          <cell r="F3084">
            <v>315118</v>
          </cell>
          <cell r="G3084" t="str">
            <v>Ronald Ottoniel Ramos Argueta</v>
          </cell>
        </row>
        <row r="3085">
          <cell r="F3085">
            <v>315165</v>
          </cell>
          <cell r="G3085" t="str">
            <v>Ronie Ernesto Gonzalez Alvarado</v>
          </cell>
        </row>
        <row r="3086">
          <cell r="F3086">
            <v>312877</v>
          </cell>
          <cell r="G3086" t="str">
            <v>Rony David Ruano Vasquez</v>
          </cell>
        </row>
        <row r="3087">
          <cell r="F3087">
            <v>310267</v>
          </cell>
          <cell r="G3087" t="str">
            <v>Rony Josue Giron Roca</v>
          </cell>
        </row>
        <row r="3088">
          <cell r="F3088">
            <v>314930</v>
          </cell>
          <cell r="G3088" t="str">
            <v>Rony Oswaldo Gonzalez Lemus</v>
          </cell>
        </row>
        <row r="3089">
          <cell r="F3089">
            <v>315305</v>
          </cell>
          <cell r="G3089" t="str">
            <v>Rosa Isabel Garcia Menchu De Itzep</v>
          </cell>
        </row>
        <row r="3090">
          <cell r="F3090">
            <v>305255</v>
          </cell>
          <cell r="G3090" t="str">
            <v>Rosa Maria Raxtun Estrada</v>
          </cell>
        </row>
        <row r="3091">
          <cell r="F3091">
            <v>313771</v>
          </cell>
          <cell r="G3091" t="str">
            <v>Rosa Maribel Par Gutierrez De Parada</v>
          </cell>
        </row>
        <row r="3092">
          <cell r="F3092">
            <v>315353</v>
          </cell>
          <cell r="G3092" t="str">
            <v>Rosa Mariela Muñoz Samayoa</v>
          </cell>
        </row>
        <row r="3093">
          <cell r="F3093">
            <v>301835</v>
          </cell>
          <cell r="G3093" t="str">
            <v>Rosa Melia Isales Reyes</v>
          </cell>
        </row>
        <row r="3094">
          <cell r="F3094">
            <v>315389</v>
          </cell>
          <cell r="G3094" t="str">
            <v>Rosa Yadira Salguero Ceballos</v>
          </cell>
        </row>
        <row r="3095">
          <cell r="F3095">
            <v>312729</v>
          </cell>
          <cell r="G3095" t="str">
            <v>Rosalbina Magdali Alvarado Ramirez</v>
          </cell>
        </row>
        <row r="3096">
          <cell r="F3096">
            <v>300594</v>
          </cell>
          <cell r="G3096" t="str">
            <v>Rosaura Grisleny Perez Rios</v>
          </cell>
        </row>
        <row r="3097">
          <cell r="F3097">
            <v>303901</v>
          </cell>
          <cell r="G3097" t="str">
            <v>Rosmery Ana Lee Cojom Rodriguez</v>
          </cell>
        </row>
        <row r="3098">
          <cell r="F3098">
            <v>312040</v>
          </cell>
          <cell r="G3098" t="str">
            <v>Rosmery Figueroa Ramirez</v>
          </cell>
        </row>
        <row r="3099">
          <cell r="F3099">
            <v>313606</v>
          </cell>
          <cell r="G3099" t="str">
            <v>Rossana Alejandra Rodas Salguero</v>
          </cell>
        </row>
        <row r="3100">
          <cell r="F3100">
            <v>310534</v>
          </cell>
          <cell r="G3100" t="str">
            <v>Rossel Jose Hernandez Oliva</v>
          </cell>
        </row>
        <row r="3101">
          <cell r="F3101">
            <v>315045</v>
          </cell>
          <cell r="G3101" t="str">
            <v>Roxana Leticia Avila Villatoro</v>
          </cell>
        </row>
        <row r="3102">
          <cell r="F3102">
            <v>314308</v>
          </cell>
          <cell r="G3102" t="str">
            <v>Ruben Dario Peñate Aquino</v>
          </cell>
        </row>
        <row r="3103">
          <cell r="F3103">
            <v>311511</v>
          </cell>
          <cell r="G3103" t="str">
            <v>Ruby Alejandra Merida Rivas</v>
          </cell>
        </row>
        <row r="3104">
          <cell r="F3104">
            <v>312888</v>
          </cell>
          <cell r="G3104" t="str">
            <v>Rudy Alexander Gramajo Reyes</v>
          </cell>
        </row>
        <row r="3105">
          <cell r="F3105">
            <v>314814</v>
          </cell>
          <cell r="G3105" t="str">
            <v>Rudy Fernando Lopez Ajcabal</v>
          </cell>
        </row>
        <row r="3106">
          <cell r="F3106">
            <v>311551</v>
          </cell>
          <cell r="G3106" t="str">
            <v>Ruth Betsabe Campos Vargas</v>
          </cell>
        </row>
        <row r="3107">
          <cell r="F3107">
            <v>312546</v>
          </cell>
          <cell r="G3107" t="str">
            <v>Ruth Hermelinda Cardona Blanco</v>
          </cell>
        </row>
        <row r="3108">
          <cell r="F3108">
            <v>313599</v>
          </cell>
          <cell r="G3108" t="str">
            <v>Ruth Noemi Solis Contreras</v>
          </cell>
        </row>
        <row r="3109">
          <cell r="F3109">
            <v>301658</v>
          </cell>
          <cell r="G3109" t="str">
            <v>Ruth Nohemi Contreras Hernandez</v>
          </cell>
        </row>
        <row r="3110">
          <cell r="F3110">
            <v>301786</v>
          </cell>
          <cell r="G3110" t="str">
            <v>Ruth Nohemi Perez Esteban</v>
          </cell>
        </row>
        <row r="3111">
          <cell r="F3111">
            <v>314606</v>
          </cell>
          <cell r="G3111" t="str">
            <v>Saida Yasmin Garcia Xot</v>
          </cell>
        </row>
        <row r="3112">
          <cell r="F3112">
            <v>312383</v>
          </cell>
          <cell r="G3112" t="str">
            <v>Samuel Everardo Garcia Lemus</v>
          </cell>
        </row>
        <row r="3113">
          <cell r="F3113">
            <v>313592</v>
          </cell>
          <cell r="G3113" t="str">
            <v>Samuel Nehemias Nuñez Michicoj</v>
          </cell>
        </row>
        <row r="3114">
          <cell r="F3114">
            <v>305099</v>
          </cell>
          <cell r="G3114" t="str">
            <v>Sandi Anavela Mejia Alvarado</v>
          </cell>
        </row>
        <row r="3115">
          <cell r="F3115">
            <v>312923</v>
          </cell>
          <cell r="G3115" t="str">
            <v>Sandra Esmeralda Martinez Baeza</v>
          </cell>
        </row>
        <row r="3116">
          <cell r="F3116">
            <v>314420</v>
          </cell>
          <cell r="G3116" t="str">
            <v>Sandra Jeaneth Ajcuc Garcia</v>
          </cell>
        </row>
        <row r="3117">
          <cell r="F3117">
            <v>301460</v>
          </cell>
          <cell r="G3117" t="str">
            <v>Sandra Judith Vasquez Fernandez</v>
          </cell>
        </row>
        <row r="3118">
          <cell r="F3118">
            <v>312012</v>
          </cell>
          <cell r="G3118" t="str">
            <v>Sandra Lucrecia Hernandez Aceituno</v>
          </cell>
        </row>
        <row r="3119">
          <cell r="F3119">
            <v>200872</v>
          </cell>
          <cell r="G3119" t="str">
            <v>Sandra Maritza Mus Chaman</v>
          </cell>
        </row>
        <row r="3120">
          <cell r="F3120">
            <v>314820</v>
          </cell>
          <cell r="G3120" t="str">
            <v>Sandra Mishell Amarilis Gutierrez Palma</v>
          </cell>
        </row>
        <row r="3121">
          <cell r="F3121">
            <v>313875</v>
          </cell>
          <cell r="G3121" t="str">
            <v>Sandra Patricia Mejia Raguex</v>
          </cell>
        </row>
        <row r="3122">
          <cell r="F3122">
            <v>311092</v>
          </cell>
          <cell r="G3122" t="str">
            <v>Sandra Patricia Ochoa Sanchez</v>
          </cell>
        </row>
        <row r="3123">
          <cell r="F3123">
            <v>306416</v>
          </cell>
          <cell r="G3123" t="str">
            <v>Sandy Claribel Barrientos Caal</v>
          </cell>
        </row>
        <row r="3124">
          <cell r="F3124">
            <v>315024</v>
          </cell>
          <cell r="G3124" t="str">
            <v>Sandy Jasmyn Gonzalez Catun</v>
          </cell>
        </row>
        <row r="3125">
          <cell r="F3125">
            <v>312908</v>
          </cell>
          <cell r="G3125" t="str">
            <v>Sandy Maria Flores</v>
          </cell>
        </row>
        <row r="3126">
          <cell r="F3126">
            <v>313078</v>
          </cell>
          <cell r="G3126" t="str">
            <v>Sandy Maribel Herrera Mazariegos</v>
          </cell>
        </row>
        <row r="3127">
          <cell r="F3127">
            <v>301438</v>
          </cell>
          <cell r="G3127" t="str">
            <v>Sandy Mariela Batres Orozco</v>
          </cell>
        </row>
        <row r="3128">
          <cell r="F3128">
            <v>313622</v>
          </cell>
          <cell r="G3128" t="str">
            <v>Sandy Nohemy Sontay Agueda</v>
          </cell>
        </row>
        <row r="3129">
          <cell r="F3129">
            <v>315408</v>
          </cell>
          <cell r="G3129" t="str">
            <v>Sandy Suset Morales Barrientos</v>
          </cell>
        </row>
        <row r="3130">
          <cell r="F3130">
            <v>307105</v>
          </cell>
          <cell r="G3130" t="str">
            <v>Santiago Isaias Barreno Rosales</v>
          </cell>
        </row>
        <row r="3131">
          <cell r="F3131">
            <v>315254</v>
          </cell>
          <cell r="G3131" t="str">
            <v>Santos Ismael Najera Culajay</v>
          </cell>
        </row>
        <row r="3132">
          <cell r="F3132">
            <v>313402</v>
          </cell>
          <cell r="G3132" t="str">
            <v>Santos Valentin Coroy Ruyan</v>
          </cell>
        </row>
        <row r="3133">
          <cell r="F3133">
            <v>312501</v>
          </cell>
          <cell r="G3133" t="str">
            <v>Sara Elizabeth Guzman Linares</v>
          </cell>
        </row>
        <row r="3134">
          <cell r="F3134">
            <v>313492</v>
          </cell>
          <cell r="G3134" t="str">
            <v>Sarvia Bitia Orellana Ortiz</v>
          </cell>
        </row>
        <row r="3135">
          <cell r="F3135">
            <v>309816</v>
          </cell>
          <cell r="G3135" t="str">
            <v>Sayra Elizabeth Reyes Zuñiga</v>
          </cell>
        </row>
        <row r="3136">
          <cell r="F3136">
            <v>314956</v>
          </cell>
          <cell r="G3136" t="str">
            <v>Sebastian Geovanny Calel Ixtuc</v>
          </cell>
        </row>
        <row r="3137">
          <cell r="F3137">
            <v>314855</v>
          </cell>
          <cell r="G3137" t="str">
            <v>Selvin Adan Garcia Portillo</v>
          </cell>
        </row>
        <row r="3138">
          <cell r="F3138">
            <v>312294</v>
          </cell>
          <cell r="G3138" t="str">
            <v>Selvin Geronimo Aguilar</v>
          </cell>
        </row>
        <row r="3139">
          <cell r="F3139">
            <v>302278</v>
          </cell>
          <cell r="G3139" t="str">
            <v>Selvin Manolo Montepeque Merida</v>
          </cell>
        </row>
        <row r="3140">
          <cell r="F3140">
            <v>314266</v>
          </cell>
          <cell r="G3140" t="str">
            <v>Selvin Rodolfo De La Cruz Contreras</v>
          </cell>
        </row>
        <row r="3141">
          <cell r="F3141">
            <v>301308</v>
          </cell>
          <cell r="G3141" t="str">
            <v>Selvyn Ivan Sierra Ramirez</v>
          </cell>
        </row>
        <row r="3142">
          <cell r="F3142">
            <v>312346</v>
          </cell>
          <cell r="G3142" t="str">
            <v>Sendy Vanessa Villagran Garcia</v>
          </cell>
        </row>
        <row r="3143">
          <cell r="F3143">
            <v>314559</v>
          </cell>
          <cell r="G3143" t="str">
            <v>Sergio Alejandro Aguilar Perez</v>
          </cell>
        </row>
        <row r="3144">
          <cell r="F3144">
            <v>101896</v>
          </cell>
          <cell r="G3144" t="str">
            <v>Sergio Estuardo Mejia Lopez</v>
          </cell>
        </row>
        <row r="3145">
          <cell r="F3145">
            <v>315294</v>
          </cell>
          <cell r="G3145" t="str">
            <v>Sergio Obdulio Chali Chocojay</v>
          </cell>
        </row>
        <row r="3146">
          <cell r="F3146">
            <v>314079</v>
          </cell>
          <cell r="G3146" t="str">
            <v>Sharon Klarivel Santis Najarro</v>
          </cell>
        </row>
        <row r="3147">
          <cell r="F3147">
            <v>311147</v>
          </cell>
          <cell r="G3147" t="str">
            <v>Shaury Jazmeny Garcia Arias</v>
          </cell>
        </row>
        <row r="3148">
          <cell r="F3148">
            <v>310599</v>
          </cell>
          <cell r="G3148" t="str">
            <v>Sheila Nineth Mendez Lopez</v>
          </cell>
        </row>
        <row r="3149">
          <cell r="F3149">
            <v>315541</v>
          </cell>
          <cell r="G3149" t="str">
            <v>Sheily Nahomy Oliva Morales</v>
          </cell>
        </row>
        <row r="3150">
          <cell r="F3150">
            <v>304805</v>
          </cell>
          <cell r="G3150" t="str">
            <v>Sheily Raquel Angel Arreaga</v>
          </cell>
        </row>
        <row r="3151">
          <cell r="F3151">
            <v>312357</v>
          </cell>
          <cell r="G3151" t="str">
            <v>Shirley Andrea Lopez Lopez</v>
          </cell>
        </row>
        <row r="3152">
          <cell r="F3152">
            <v>311646</v>
          </cell>
          <cell r="G3152" t="str">
            <v>Shirley Leticia Lissette Lopez Guzman</v>
          </cell>
        </row>
        <row r="3153">
          <cell r="F3153">
            <v>312096</v>
          </cell>
          <cell r="G3153" t="str">
            <v>Silvia Edelmira Garcia Donis</v>
          </cell>
        </row>
        <row r="3154">
          <cell r="F3154">
            <v>301371</v>
          </cell>
          <cell r="G3154" t="str">
            <v>Silvia Gabriela Gonzalez Siliezar</v>
          </cell>
        </row>
        <row r="3155">
          <cell r="F3155">
            <v>313328</v>
          </cell>
          <cell r="G3155" t="str">
            <v>Silvia Leticia Morales Perez</v>
          </cell>
        </row>
        <row r="3156">
          <cell r="F3156">
            <v>309948</v>
          </cell>
          <cell r="G3156" t="str">
            <v>Silvia Lucrecia Gonzalez Char</v>
          </cell>
        </row>
        <row r="3157">
          <cell r="F3157">
            <v>305230</v>
          </cell>
          <cell r="G3157" t="str">
            <v>Silvia Marleni Rac Yoc</v>
          </cell>
        </row>
        <row r="3158">
          <cell r="F3158">
            <v>305427</v>
          </cell>
          <cell r="G3158" t="str">
            <v>Silvia Noemi Calderon</v>
          </cell>
        </row>
        <row r="3159">
          <cell r="F3159">
            <v>306034</v>
          </cell>
          <cell r="G3159" t="str">
            <v>Silvia Patricia Gonzalez Hernandez</v>
          </cell>
        </row>
        <row r="3160">
          <cell r="F3160">
            <v>310105</v>
          </cell>
          <cell r="G3160" t="str">
            <v>Simeon Valentin Gomez Flores</v>
          </cell>
        </row>
        <row r="3161">
          <cell r="F3161">
            <v>313981</v>
          </cell>
          <cell r="G3161" t="str">
            <v>Sindy Beatriz Perez Sanchez</v>
          </cell>
        </row>
        <row r="3162">
          <cell r="F3162">
            <v>314976</v>
          </cell>
          <cell r="G3162" t="str">
            <v>Sindy Carolina Ramirez Pur</v>
          </cell>
        </row>
        <row r="3163">
          <cell r="F3163">
            <v>312881</v>
          </cell>
          <cell r="G3163" t="str">
            <v>Sindy Karina Ramirez Lopez</v>
          </cell>
        </row>
        <row r="3164">
          <cell r="F3164">
            <v>310066</v>
          </cell>
          <cell r="G3164" t="str">
            <v>Sindy Paola Vargas Calderon</v>
          </cell>
        </row>
        <row r="3165">
          <cell r="F3165">
            <v>315466</v>
          </cell>
          <cell r="G3165" t="str">
            <v>Siomara Victoria Valle Sac</v>
          </cell>
        </row>
        <row r="3166">
          <cell r="F3166">
            <v>313593</v>
          </cell>
          <cell r="G3166" t="str">
            <v>Slayker Andony Santiago Natareno</v>
          </cell>
        </row>
        <row r="3167">
          <cell r="F3167">
            <v>315439</v>
          </cell>
          <cell r="G3167" t="str">
            <v>Smaylin Sarita Villatoro Angel</v>
          </cell>
        </row>
        <row r="3168">
          <cell r="F3168">
            <v>310731</v>
          </cell>
          <cell r="G3168" t="str">
            <v>Sofia Etelvina Lopez Perez</v>
          </cell>
        </row>
        <row r="3169">
          <cell r="F3169">
            <v>314735</v>
          </cell>
          <cell r="G3169" t="str">
            <v>Sofia Ines Bermudez Avila</v>
          </cell>
        </row>
        <row r="3170">
          <cell r="F3170">
            <v>315340</v>
          </cell>
          <cell r="G3170" t="str">
            <v>Stefanny Manuela Azaneth Garcia Garcia</v>
          </cell>
        </row>
        <row r="3171">
          <cell r="F3171">
            <v>308054</v>
          </cell>
          <cell r="G3171" t="str">
            <v>Stephanie Abigail De Los Angeles Villalta</v>
          </cell>
        </row>
        <row r="3172">
          <cell r="F3172">
            <v>303382</v>
          </cell>
          <cell r="G3172" t="str">
            <v>Sucely Abigail Nerios Rodriguez</v>
          </cell>
        </row>
        <row r="3173">
          <cell r="F3173">
            <v>314787</v>
          </cell>
          <cell r="G3173" t="str">
            <v>Sucely Analy Arias Paredes</v>
          </cell>
        </row>
        <row r="3174">
          <cell r="F3174">
            <v>310671</v>
          </cell>
          <cell r="G3174" t="str">
            <v>Sucely Paola Godinez Gomez De Perez</v>
          </cell>
        </row>
        <row r="3175">
          <cell r="F3175">
            <v>315386</v>
          </cell>
          <cell r="G3175" t="str">
            <v>Sulibeth Estela Ortega Mendez</v>
          </cell>
        </row>
        <row r="3176">
          <cell r="F3176">
            <v>314347</v>
          </cell>
          <cell r="G3176" t="str">
            <v>Suri Mireidy Perez Estrada</v>
          </cell>
        </row>
        <row r="3177">
          <cell r="F3177">
            <v>313630</v>
          </cell>
          <cell r="G3177" t="str">
            <v>Susan Andrea Perez Lima</v>
          </cell>
        </row>
        <row r="3178">
          <cell r="F3178">
            <v>313395</v>
          </cell>
          <cell r="G3178" t="str">
            <v>Susan Maria Jose Rodas Carranza</v>
          </cell>
        </row>
        <row r="3179">
          <cell r="F3179">
            <v>309883</v>
          </cell>
          <cell r="G3179" t="str">
            <v>Susana Alvarado Gonzalez</v>
          </cell>
        </row>
        <row r="3180">
          <cell r="F3180">
            <v>307664</v>
          </cell>
          <cell r="G3180" t="str">
            <v>Susana Jeanneth Lemus Pineda</v>
          </cell>
        </row>
        <row r="3181">
          <cell r="F3181">
            <v>315313</v>
          </cell>
          <cell r="G3181" t="str">
            <v>Tayme Gabriela Uzu Ramirez</v>
          </cell>
        </row>
        <row r="3182">
          <cell r="F3182">
            <v>314575</v>
          </cell>
          <cell r="G3182" t="str">
            <v>Telma Esperanza Santos Orantes</v>
          </cell>
        </row>
        <row r="3183">
          <cell r="F3183">
            <v>302658</v>
          </cell>
          <cell r="G3183" t="str">
            <v>Telma Sucely Solis Merida</v>
          </cell>
        </row>
        <row r="3184">
          <cell r="F3184">
            <v>315048</v>
          </cell>
          <cell r="G3184" t="str">
            <v>Thania Lucia Romero Garcia</v>
          </cell>
        </row>
        <row r="3185">
          <cell r="F3185">
            <v>302332</v>
          </cell>
          <cell r="G3185" t="str">
            <v>Thelma Patricia Mena Melchor</v>
          </cell>
        </row>
        <row r="3186">
          <cell r="F3186">
            <v>314108</v>
          </cell>
          <cell r="G3186" t="str">
            <v>Thelma Yolanda De Candelaria Garcia Sanchez</v>
          </cell>
        </row>
        <row r="3187">
          <cell r="F3187">
            <v>315049</v>
          </cell>
          <cell r="G3187" t="str">
            <v>Tomas Amador Manuel Martin</v>
          </cell>
        </row>
        <row r="3188">
          <cell r="F3188">
            <v>315373</v>
          </cell>
          <cell r="G3188" t="str">
            <v>Tomas Xiloj Mejia</v>
          </cell>
        </row>
        <row r="3189">
          <cell r="F3189">
            <v>311866</v>
          </cell>
          <cell r="G3189" t="str">
            <v>Treisy Lisbeth Orozco Orozco</v>
          </cell>
        </row>
        <row r="3190">
          <cell r="F3190">
            <v>310220</v>
          </cell>
          <cell r="G3190" t="str">
            <v>Urias Samuel Velasquez Ardeano</v>
          </cell>
        </row>
        <row r="3191">
          <cell r="F3191">
            <v>305903</v>
          </cell>
          <cell r="G3191" t="str">
            <v>Valeska Paola Rivas Gomez</v>
          </cell>
        </row>
        <row r="3192">
          <cell r="F3192">
            <v>314544</v>
          </cell>
          <cell r="G3192" t="str">
            <v>Velvet Sofia Estrada Ruiz</v>
          </cell>
        </row>
        <row r="3193">
          <cell r="F3193">
            <v>314405</v>
          </cell>
          <cell r="G3193" t="str">
            <v>Veronica Alejandra Barahona Santa Cruz</v>
          </cell>
        </row>
        <row r="3194">
          <cell r="F3194">
            <v>311048</v>
          </cell>
          <cell r="G3194" t="str">
            <v>Veronica Dalila Barrios Hernandez</v>
          </cell>
        </row>
        <row r="3195">
          <cell r="F3195">
            <v>311005</v>
          </cell>
          <cell r="G3195" t="str">
            <v>Veronica Sierra Xo</v>
          </cell>
        </row>
        <row r="3196">
          <cell r="F3196">
            <v>304024</v>
          </cell>
          <cell r="G3196" t="str">
            <v>Vicky Roxana Lopez Hernandez</v>
          </cell>
        </row>
        <row r="3197">
          <cell r="F3197">
            <v>300999</v>
          </cell>
          <cell r="G3197" t="str">
            <v>Victor Adolfo Barrios Monzon</v>
          </cell>
        </row>
        <row r="3198">
          <cell r="F3198">
            <v>309689</v>
          </cell>
          <cell r="G3198" t="str">
            <v>Victor Demecio Leon Villeda</v>
          </cell>
        </row>
        <row r="3199">
          <cell r="F3199">
            <v>311258</v>
          </cell>
          <cell r="G3199" t="str">
            <v>Victor Otoniel Sebastian Cardona</v>
          </cell>
        </row>
        <row r="3200">
          <cell r="F3200">
            <v>314367</v>
          </cell>
          <cell r="G3200" t="str">
            <v>Victoria Maria Llamas Perez</v>
          </cell>
        </row>
        <row r="3201">
          <cell r="F3201">
            <v>315399</v>
          </cell>
          <cell r="G3201" t="str">
            <v>Vilma Rossibel Mendez Vasquez</v>
          </cell>
        </row>
        <row r="3202">
          <cell r="F3202">
            <v>312875</v>
          </cell>
          <cell r="G3202" t="str">
            <v>Virginia Nohemi Perez Ajtum</v>
          </cell>
        </row>
        <row r="3203">
          <cell r="F3203">
            <v>313671</v>
          </cell>
          <cell r="G3203" t="str">
            <v>Virginia Yesenia Merida Lopez De Lopez</v>
          </cell>
        </row>
        <row r="3204">
          <cell r="F3204">
            <v>315529</v>
          </cell>
          <cell r="G3204" t="str">
            <v>Vivian Alejandra Ramirez Samayoa</v>
          </cell>
        </row>
        <row r="3205">
          <cell r="F3205">
            <v>310009</v>
          </cell>
          <cell r="G3205" t="str">
            <v>Vivian Celeste De Leon Rian</v>
          </cell>
        </row>
        <row r="3206">
          <cell r="F3206">
            <v>308693</v>
          </cell>
          <cell r="G3206" t="str">
            <v>Vivian Dinora Fuentes Carrillo</v>
          </cell>
        </row>
        <row r="3207">
          <cell r="F3207">
            <v>300347</v>
          </cell>
          <cell r="G3207" t="str">
            <v>Vivian Roxana Piedrasanta Rodriguez</v>
          </cell>
        </row>
        <row r="3208">
          <cell r="F3208">
            <v>306597</v>
          </cell>
          <cell r="G3208" t="str">
            <v>Vivian Samara Sanchez Lopez</v>
          </cell>
        </row>
        <row r="3209">
          <cell r="F3209">
            <v>312772</v>
          </cell>
          <cell r="G3209" t="str">
            <v>Viviana Isabet Machic Tiño</v>
          </cell>
        </row>
        <row r="3210">
          <cell r="F3210">
            <v>314636</v>
          </cell>
          <cell r="G3210" t="str">
            <v>Walkiria Anais Herrera Castillo</v>
          </cell>
        </row>
        <row r="3211">
          <cell r="F3211">
            <v>301033</v>
          </cell>
          <cell r="G3211" t="str">
            <v>Walter Daniel Perea Flores</v>
          </cell>
        </row>
        <row r="3212">
          <cell r="F3212">
            <v>305935</v>
          </cell>
          <cell r="G3212" t="str">
            <v>Walter David De Leon Gomez</v>
          </cell>
        </row>
        <row r="3213">
          <cell r="F3213">
            <v>315324</v>
          </cell>
          <cell r="G3213" t="str">
            <v>Walter Estuardo Guerra López</v>
          </cell>
        </row>
        <row r="3214">
          <cell r="F3214">
            <v>310994</v>
          </cell>
          <cell r="G3214" t="str">
            <v>Walter Geovany Hernandez Hernandez</v>
          </cell>
        </row>
        <row r="3215">
          <cell r="F3215">
            <v>315577</v>
          </cell>
          <cell r="G3215" t="str">
            <v>Walter Yovany Sequec Lopic</v>
          </cell>
        </row>
        <row r="3216">
          <cell r="F3216">
            <v>312305</v>
          </cell>
          <cell r="G3216" t="str">
            <v>Wanda Marisol Cabrera Lemus</v>
          </cell>
        </row>
        <row r="3217">
          <cell r="F3217">
            <v>313388</v>
          </cell>
          <cell r="G3217" t="str">
            <v>Wander Andres Grijlava Porras</v>
          </cell>
        </row>
        <row r="3218">
          <cell r="F3218">
            <v>312738</v>
          </cell>
          <cell r="G3218" t="str">
            <v>Wendoly Beatriz Morales Cornel</v>
          </cell>
        </row>
        <row r="3219">
          <cell r="F3219">
            <v>304802</v>
          </cell>
          <cell r="G3219" t="str">
            <v>Wendy Alejandra Cuyan Alvarez</v>
          </cell>
        </row>
        <row r="3220">
          <cell r="F3220">
            <v>315438</v>
          </cell>
          <cell r="G3220" t="str">
            <v>Wendy Alejandra Monzon Lopez</v>
          </cell>
        </row>
        <row r="3221">
          <cell r="F3221">
            <v>309177</v>
          </cell>
          <cell r="G3221" t="str">
            <v>Wendy Carolina Lopez Alvizuriz</v>
          </cell>
        </row>
        <row r="3222">
          <cell r="F3222">
            <v>315364</v>
          </cell>
          <cell r="G3222" t="str">
            <v>Wendy Corina Najera Vasquez</v>
          </cell>
        </row>
        <row r="3223">
          <cell r="F3223">
            <v>308431</v>
          </cell>
          <cell r="G3223" t="str">
            <v>Wendy Jessenia Arredondo Lopez</v>
          </cell>
        </row>
        <row r="3224">
          <cell r="F3224">
            <v>315096</v>
          </cell>
          <cell r="G3224" t="str">
            <v>Wendy Mariela Diaz Hernandez</v>
          </cell>
        </row>
        <row r="3225">
          <cell r="F3225">
            <v>314551</v>
          </cell>
          <cell r="G3225" t="str">
            <v>Wendy Nineth Perez Roque</v>
          </cell>
        </row>
        <row r="3226">
          <cell r="F3226">
            <v>312886</v>
          </cell>
          <cell r="G3226" t="str">
            <v>Wendy Paola Baquiax Cu</v>
          </cell>
        </row>
        <row r="3227">
          <cell r="F3227">
            <v>306851</v>
          </cell>
          <cell r="G3227" t="str">
            <v>Wendy Paola De Paz Prado</v>
          </cell>
        </row>
        <row r="3228">
          <cell r="F3228">
            <v>313707</v>
          </cell>
          <cell r="G3228" t="str">
            <v>Wendy Paola Rodriguez Gonzalez</v>
          </cell>
        </row>
        <row r="3229">
          <cell r="F3229">
            <v>314055</v>
          </cell>
          <cell r="G3229" t="str">
            <v>Wendy Patricia Lopez Gonzalez</v>
          </cell>
        </row>
        <row r="3230">
          <cell r="F3230">
            <v>310388</v>
          </cell>
          <cell r="G3230" t="str">
            <v>Wendy Susana Chinchilla Cotill</v>
          </cell>
        </row>
        <row r="3231">
          <cell r="F3231">
            <v>315106</v>
          </cell>
          <cell r="G3231" t="str">
            <v>Wendy Victoria Rodriguez Chacon</v>
          </cell>
        </row>
        <row r="3232">
          <cell r="F3232">
            <v>314063</v>
          </cell>
          <cell r="G3232" t="str">
            <v>Wensler David Obando Polanco</v>
          </cell>
        </row>
        <row r="3233">
          <cell r="F3233">
            <v>308069</v>
          </cell>
          <cell r="G3233" t="str">
            <v>Wilda Yohandra Atz Cruz</v>
          </cell>
        </row>
        <row r="3234">
          <cell r="F3234">
            <v>313300</v>
          </cell>
          <cell r="G3234" t="str">
            <v>Wilfido Abraham Cardona Garcia</v>
          </cell>
        </row>
        <row r="3235">
          <cell r="F3235">
            <v>309284</v>
          </cell>
          <cell r="G3235" t="str">
            <v>Wilian Aroldo Lucero Cardona</v>
          </cell>
        </row>
        <row r="3236">
          <cell r="F3236">
            <v>314821</v>
          </cell>
          <cell r="G3236" t="str">
            <v>William Alexander Tobias Gomez</v>
          </cell>
        </row>
        <row r="3237">
          <cell r="F3237">
            <v>314881</v>
          </cell>
          <cell r="G3237" t="str">
            <v>William Eduardo Velasquez Castillo</v>
          </cell>
        </row>
        <row r="3238">
          <cell r="F3238">
            <v>313027</v>
          </cell>
          <cell r="G3238" t="str">
            <v>William Rodolfo Yool Tucux</v>
          </cell>
        </row>
        <row r="3239">
          <cell r="F3239">
            <v>314221</v>
          </cell>
          <cell r="G3239" t="str">
            <v>Willian Baldemar Castillo Ramirez</v>
          </cell>
        </row>
        <row r="3240">
          <cell r="F3240">
            <v>314947</v>
          </cell>
          <cell r="G3240" t="str">
            <v>Wilmer Arnoldo Diaz Martinez</v>
          </cell>
        </row>
        <row r="3241">
          <cell r="F3241">
            <v>306656</v>
          </cell>
          <cell r="G3241" t="str">
            <v>Wilmer Benjamin Vasquez Puac</v>
          </cell>
        </row>
        <row r="3242">
          <cell r="F3242">
            <v>314391</v>
          </cell>
          <cell r="G3242" t="str">
            <v>Wilmer Esteban Lopez Hernandez</v>
          </cell>
        </row>
        <row r="3243">
          <cell r="F3243">
            <v>308506</v>
          </cell>
          <cell r="G3243" t="str">
            <v>Wilmer Estuardo Salama Golon</v>
          </cell>
        </row>
        <row r="3244">
          <cell r="F3244">
            <v>308686</v>
          </cell>
          <cell r="G3244" t="str">
            <v>Wilson Arnoldo Lopez Revolorio</v>
          </cell>
        </row>
        <row r="3245">
          <cell r="F3245">
            <v>312770</v>
          </cell>
          <cell r="G3245" t="str">
            <v>Wilson Manuel Zuñiga Perez</v>
          </cell>
        </row>
        <row r="3246">
          <cell r="F3246">
            <v>300978</v>
          </cell>
          <cell r="G3246" t="str">
            <v>Wuangler Geovane Cal Sucup</v>
          </cell>
        </row>
        <row r="3247">
          <cell r="F3247">
            <v>305989</v>
          </cell>
          <cell r="G3247" t="str">
            <v>Wuilson Ottoniel Hernandez Alonzo</v>
          </cell>
        </row>
        <row r="3248">
          <cell r="F3248">
            <v>314819</v>
          </cell>
          <cell r="G3248" t="str">
            <v>Xiomara Karina Rendon Peinado</v>
          </cell>
        </row>
        <row r="3249">
          <cell r="F3249">
            <v>306493</v>
          </cell>
          <cell r="G3249" t="str">
            <v>Yackelin Maribel Zamora Medina</v>
          </cell>
        </row>
        <row r="3250">
          <cell r="F3250">
            <v>309963</v>
          </cell>
          <cell r="G3250" t="str">
            <v>Yajaira Emiliana Reyes Zapet</v>
          </cell>
        </row>
        <row r="3251">
          <cell r="F3251">
            <v>312248</v>
          </cell>
          <cell r="G3251" t="str">
            <v>Yakelin Consuelo Zapeta Perez</v>
          </cell>
        </row>
        <row r="3252">
          <cell r="F3252">
            <v>310159</v>
          </cell>
          <cell r="G3252" t="str">
            <v>Yaquelin Dinora Xicara Mejia</v>
          </cell>
        </row>
        <row r="3253">
          <cell r="F3253">
            <v>309920</v>
          </cell>
          <cell r="G3253" t="str">
            <v>Yaquelin Karina Virula Patzan</v>
          </cell>
        </row>
        <row r="3254">
          <cell r="F3254">
            <v>312505</v>
          </cell>
          <cell r="G3254" t="str">
            <v>Yaquelin Yessenia Sapon Gonzalez</v>
          </cell>
        </row>
        <row r="3255">
          <cell r="F3255">
            <v>309463</v>
          </cell>
          <cell r="G3255" t="str">
            <v>Yasmin Paola Sicay Marroquin</v>
          </cell>
        </row>
        <row r="3256">
          <cell r="F3256">
            <v>313857</v>
          </cell>
          <cell r="G3256" t="str">
            <v>Yefersson Zabala Aviles</v>
          </cell>
        </row>
        <row r="3257">
          <cell r="F3257">
            <v>313628</v>
          </cell>
          <cell r="G3257" t="str">
            <v>Yefry Jesus Soto</v>
          </cell>
        </row>
        <row r="3258">
          <cell r="F3258">
            <v>310318</v>
          </cell>
          <cell r="G3258" t="str">
            <v>Yeimi Yareli Moscoso Guzman</v>
          </cell>
        </row>
        <row r="3259">
          <cell r="F3259">
            <v>313558</v>
          </cell>
          <cell r="G3259" t="str">
            <v>Yener Catarino Chilel Velasquez</v>
          </cell>
        </row>
        <row r="3260">
          <cell r="F3260">
            <v>303083</v>
          </cell>
          <cell r="G3260" t="str">
            <v>Yeni Elizabeth Carrillo Barrios</v>
          </cell>
        </row>
        <row r="3261">
          <cell r="F3261">
            <v>313221</v>
          </cell>
          <cell r="G3261" t="str">
            <v>Yeni Jannet Morales Sintud</v>
          </cell>
        </row>
        <row r="3262">
          <cell r="F3262">
            <v>315374</v>
          </cell>
          <cell r="G3262" t="str">
            <v>Yeni Sabrina Ordonez Gonzalez De Chicas</v>
          </cell>
        </row>
        <row r="3263">
          <cell r="F3263">
            <v>314613</v>
          </cell>
          <cell r="G3263" t="str">
            <v>Yenifer Alicia Yessenia Tzib Lemus</v>
          </cell>
        </row>
        <row r="3264">
          <cell r="F3264">
            <v>308434</v>
          </cell>
          <cell r="G3264" t="str">
            <v>Yenifer Antonieta Borja Aragon</v>
          </cell>
        </row>
        <row r="3265">
          <cell r="F3265">
            <v>313725</v>
          </cell>
          <cell r="G3265" t="str">
            <v>Yenner Antonio Perez Castro</v>
          </cell>
        </row>
        <row r="3266">
          <cell r="F3266">
            <v>314562</v>
          </cell>
          <cell r="G3266" t="str">
            <v>Yesenia Noemi Gutierrez Argueta</v>
          </cell>
        </row>
        <row r="3267">
          <cell r="F3267">
            <v>311581</v>
          </cell>
          <cell r="G3267" t="str">
            <v>Yesi Lisbet Fuentes Velarde</v>
          </cell>
        </row>
        <row r="3268">
          <cell r="F3268">
            <v>312579</v>
          </cell>
          <cell r="G3268" t="str">
            <v>Yesica Elizabet Marroquin Vielman</v>
          </cell>
        </row>
        <row r="3269">
          <cell r="F3269">
            <v>315433</v>
          </cell>
          <cell r="G3269" t="str">
            <v>Yessica Paola Perez Poma</v>
          </cell>
        </row>
        <row r="3270">
          <cell r="F3270">
            <v>311486</v>
          </cell>
          <cell r="G3270" t="str">
            <v>Yolisma Yaneth Vasquez Najera</v>
          </cell>
        </row>
        <row r="3271">
          <cell r="F3271">
            <v>315060</v>
          </cell>
          <cell r="G3271" t="str">
            <v>Yonatan Alexander Perez Scott</v>
          </cell>
        </row>
        <row r="3272">
          <cell r="F3272">
            <v>312632</v>
          </cell>
          <cell r="G3272" t="str">
            <v>Yonatan Nazareth Zapeta Gomez</v>
          </cell>
        </row>
        <row r="3273">
          <cell r="F3273">
            <v>312988</v>
          </cell>
          <cell r="G3273" t="str">
            <v>Yonathan Neftali Moran Velasquez</v>
          </cell>
        </row>
        <row r="3274">
          <cell r="F3274">
            <v>305872</v>
          </cell>
          <cell r="G3274" t="str">
            <v>Yoni Adan Gutierrez Veliz</v>
          </cell>
        </row>
        <row r="3275">
          <cell r="F3275">
            <v>312087</v>
          </cell>
          <cell r="G3275" t="str">
            <v>Yoni Yosuen Rodriguez Sosa</v>
          </cell>
        </row>
        <row r="3276">
          <cell r="F3276">
            <v>312317</v>
          </cell>
          <cell r="G3276" t="str">
            <v>Yoselin Alejandra Barrios Reyes</v>
          </cell>
        </row>
        <row r="3277">
          <cell r="F3277">
            <v>313057</v>
          </cell>
          <cell r="G3277" t="str">
            <v>Yoselin Alejandra Moran Burgos</v>
          </cell>
        </row>
        <row r="3278">
          <cell r="F3278">
            <v>314700</v>
          </cell>
          <cell r="G3278" t="str">
            <v>Yoselin Andrea Cipriano Garcia</v>
          </cell>
        </row>
        <row r="3279">
          <cell r="F3279">
            <v>314280</v>
          </cell>
          <cell r="G3279" t="str">
            <v>Yoselin Ninet Lopez Quibaja</v>
          </cell>
        </row>
        <row r="3280">
          <cell r="F3280">
            <v>314388</v>
          </cell>
          <cell r="G3280" t="str">
            <v>Yubithza Azucena Gamez Agustin De Cordova</v>
          </cell>
        </row>
        <row r="3281">
          <cell r="F3281">
            <v>310717</v>
          </cell>
          <cell r="G3281" t="str">
            <v>Yuliana Elizabeth Hernandez Lopez</v>
          </cell>
        </row>
        <row r="3282">
          <cell r="F3282">
            <v>314472</v>
          </cell>
          <cell r="G3282" t="str">
            <v>Yuri Madali Cabrera Garcia</v>
          </cell>
        </row>
        <row r="3283">
          <cell r="F3283">
            <v>310871</v>
          </cell>
          <cell r="G3283" t="str">
            <v>Yuri Vanessa Bac Caal</v>
          </cell>
        </row>
        <row r="3284">
          <cell r="F3284">
            <v>302802</v>
          </cell>
          <cell r="G3284" t="str">
            <v>Yuri Yesenia Beza Ramirez</v>
          </cell>
        </row>
        <row r="3285">
          <cell r="F3285">
            <v>310778</v>
          </cell>
          <cell r="G3285" t="str">
            <v>Zacarias Rigoberto Cuc Tiul</v>
          </cell>
        </row>
        <row r="3286">
          <cell r="F3286">
            <v>309651</v>
          </cell>
          <cell r="G3286" t="str">
            <v>Zaira Eloiza Orantes Ramirez</v>
          </cell>
        </row>
        <row r="3287">
          <cell r="F3287">
            <v>315308</v>
          </cell>
          <cell r="G3287" t="str">
            <v>Zalma Esmeralda Flores Tojin</v>
          </cell>
        </row>
        <row r="3288">
          <cell r="F3288">
            <v>306856</v>
          </cell>
          <cell r="G3288" t="str">
            <v>Zoraida Marisol Martinez Perez</v>
          </cell>
        </row>
        <row r="3289">
          <cell r="F3289">
            <v>313411</v>
          </cell>
          <cell r="G3289" t="str">
            <v>Zulema Noemy Aristondo Lopez</v>
          </cell>
        </row>
        <row r="3290">
          <cell r="F3290">
            <v>312665</v>
          </cell>
          <cell r="G3290" t="str">
            <v>Zulma Damaris Menchu Mendez</v>
          </cell>
        </row>
        <row r="3291">
          <cell r="F3291">
            <v>314042</v>
          </cell>
          <cell r="G3291" t="str">
            <v>Zulmy Paola Mateo Salazar</v>
          </cell>
        </row>
        <row r="3292">
          <cell r="F3292">
            <v>313161</v>
          </cell>
          <cell r="G3292" t="str">
            <v>Zuly Beatriz De Jesus Lopez Martinez</v>
          </cell>
        </row>
        <row r="3293">
          <cell r="F3293">
            <v>314783</v>
          </cell>
          <cell r="G3293" t="str">
            <v>Jency Noeli Estrada Paredes</v>
          </cell>
        </row>
        <row r="3294">
          <cell r="F3294">
            <v>311880</v>
          </cell>
          <cell r="G3294" t="str">
            <v>Patricia Alejandra Ramos Velasquez</v>
          </cell>
        </row>
        <row r="3295">
          <cell r="F3295">
            <v>313031</v>
          </cell>
          <cell r="G3295" t="str">
            <v>Lesly Sucely Ramirez Maxin</v>
          </cell>
        </row>
        <row r="3296">
          <cell r="F3296">
            <v>313155</v>
          </cell>
          <cell r="G3296" t="str">
            <v>Aylin Jiceli Romero Cruz</v>
          </cell>
        </row>
        <row r="3297">
          <cell r="F3297">
            <v>314858</v>
          </cell>
          <cell r="G3297" t="str">
            <v>Henry De Jesus Mujo Garcia</v>
          </cell>
        </row>
        <row r="3298">
          <cell r="F3298">
            <v>315188</v>
          </cell>
          <cell r="G3298" t="str">
            <v>Zoila Edmunda Pirir Tezen</v>
          </cell>
        </row>
        <row r="3299">
          <cell r="F3299">
            <v>314690</v>
          </cell>
          <cell r="G3299" t="str">
            <v>Scarlet Iveth Rosales Rivera</v>
          </cell>
        </row>
        <row r="3300">
          <cell r="F3300">
            <v>309417</v>
          </cell>
          <cell r="G3300" t="str">
            <v>Lisbeth Sarai Gutierrez Oscal</v>
          </cell>
        </row>
        <row r="3301">
          <cell r="F3301">
            <v>314284</v>
          </cell>
          <cell r="G3301" t="str">
            <v>William Alexander Gonzalez Mendoza</v>
          </cell>
        </row>
        <row r="3302">
          <cell r="F3302">
            <v>312424</v>
          </cell>
          <cell r="G3302" t="str">
            <v>Andrea Fernanda Martin Flores</v>
          </cell>
        </row>
        <row r="3303">
          <cell r="F3303">
            <v>313081</v>
          </cell>
          <cell r="G3303" t="str">
            <v>Alba Mariana Higueros Micheo</v>
          </cell>
        </row>
        <row r="3304">
          <cell r="F3304">
            <v>315184</v>
          </cell>
          <cell r="G3304" t="str">
            <v>Leysly Rubi Panchoy Rivera</v>
          </cell>
        </row>
        <row r="3305">
          <cell r="F3305">
            <v>315248</v>
          </cell>
          <cell r="G3305" t="str">
            <v>Claudia Marissa Chuquiej Granados</v>
          </cell>
        </row>
        <row r="3306">
          <cell r="F3306">
            <v>314982</v>
          </cell>
          <cell r="G3306" t="str">
            <v>Alvin David Cush Roman</v>
          </cell>
        </row>
        <row r="3307">
          <cell r="F3307">
            <v>312859</v>
          </cell>
          <cell r="G3307" t="str">
            <v>Wilson Eli Pineda Argueta</v>
          </cell>
        </row>
        <row r="3308">
          <cell r="F3308">
            <v>315040</v>
          </cell>
          <cell r="G3308" t="str">
            <v>Renny Camilo Ixcopal Ramirez</v>
          </cell>
        </row>
        <row r="3309">
          <cell r="F3309">
            <v>315061</v>
          </cell>
          <cell r="G3309" t="str">
            <v>Durvin Dayanara Mejicanos Ramos</v>
          </cell>
        </row>
        <row r="3310">
          <cell r="F3310">
            <v>314923</v>
          </cell>
          <cell r="G3310" t="str">
            <v>Sergio Alexander Urizar Godínez</v>
          </cell>
        </row>
        <row r="3311">
          <cell r="F3311">
            <v>314511</v>
          </cell>
          <cell r="G3311" t="str">
            <v>Dulce Maria Fajardo Ramos</v>
          </cell>
        </row>
        <row r="3312">
          <cell r="F3312">
            <v>315316</v>
          </cell>
          <cell r="G3312" t="str">
            <v>Axel Alexander Lemus Ovando</v>
          </cell>
        </row>
        <row r="3313">
          <cell r="F3313">
            <v>314538</v>
          </cell>
          <cell r="G3313" t="str">
            <v>Cristofer Melgar Ortega</v>
          </cell>
        </row>
        <row r="3314">
          <cell r="F3314">
            <v>315046</v>
          </cell>
          <cell r="G3314" t="str">
            <v>Maria Damaris Noemi Asig Cu</v>
          </cell>
        </row>
        <row r="3315">
          <cell r="F3315">
            <v>314652</v>
          </cell>
          <cell r="G3315" t="str">
            <v>Leyvi Diana Morales Garrido</v>
          </cell>
        </row>
        <row r="3316">
          <cell r="F3316">
            <v>314440</v>
          </cell>
          <cell r="G3316" t="str">
            <v>Luis Alexsander Barco Ramirez</v>
          </cell>
        </row>
        <row r="3317">
          <cell r="F3317">
            <v>315249</v>
          </cell>
          <cell r="G3317" t="str">
            <v>Estuardo Rocael Chivalan Caal</v>
          </cell>
        </row>
        <row r="3318">
          <cell r="F3318">
            <v>315301</v>
          </cell>
          <cell r="G3318" t="str">
            <v>Carlos Edmundo Hernandez Miranda</v>
          </cell>
        </row>
        <row r="3319">
          <cell r="F3319">
            <v>313008</v>
          </cell>
          <cell r="G3319" t="str">
            <v>Jose Guillermo Ixen Queche</v>
          </cell>
        </row>
        <row r="3320">
          <cell r="F3320">
            <v>309110</v>
          </cell>
          <cell r="G3320" t="str">
            <v>Josselyn Fabiola Xunic Taquiej</v>
          </cell>
        </row>
        <row r="3321">
          <cell r="F3321">
            <v>312944</v>
          </cell>
          <cell r="G3321" t="str">
            <v>Lesly Araceli Mendez Gonzalez</v>
          </cell>
        </row>
        <row r="3322">
          <cell r="F3322">
            <v>314043</v>
          </cell>
          <cell r="G3322" t="str">
            <v>Luis Miguel Camaja Recinos</v>
          </cell>
        </row>
        <row r="3323">
          <cell r="F3323">
            <v>308753</v>
          </cell>
          <cell r="G3323" t="str">
            <v>Wilson Estuardo Vicente Tzun</v>
          </cell>
        </row>
        <row r="3324">
          <cell r="F3324">
            <v>312219</v>
          </cell>
          <cell r="G3324" t="str">
            <v>Yenifer Magali Arana Tezen</v>
          </cell>
        </row>
        <row r="3325">
          <cell r="F3325">
            <v>314664</v>
          </cell>
          <cell r="G3325" t="str">
            <v>Favio Juan Manuel Citalan Gomez</v>
          </cell>
        </row>
        <row r="3326">
          <cell r="F3326">
            <v>315314</v>
          </cell>
          <cell r="G3326" t="str">
            <v>Katherine Maria Pereira Estacuy</v>
          </cell>
        </row>
        <row r="3327">
          <cell r="F3327">
            <v>309750</v>
          </cell>
          <cell r="G3327" t="str">
            <v>Maria Teresa Hom Guit</v>
          </cell>
        </row>
        <row r="3328">
          <cell r="F3328">
            <v>307867</v>
          </cell>
          <cell r="G3328" t="str">
            <v>Alex Jose Bamaca Baltazar</v>
          </cell>
        </row>
        <row r="3329">
          <cell r="F3329">
            <v>313410</v>
          </cell>
          <cell r="G3329" t="str">
            <v>Esmeralda Claribel Velasquez Hernandez</v>
          </cell>
        </row>
        <row r="3330">
          <cell r="F3330">
            <v>315157</v>
          </cell>
          <cell r="G3330" t="str">
            <v>Nancy Rocio Maldonado Lopez</v>
          </cell>
        </row>
        <row r="3331">
          <cell r="F3331">
            <v>303878</v>
          </cell>
          <cell r="G3331" t="str">
            <v>Milka Patricia Merida Muñoz</v>
          </cell>
        </row>
        <row r="3332">
          <cell r="F3332">
            <v>315187</v>
          </cell>
          <cell r="G3332" t="str">
            <v>Luis Fernando Ramos Reynoso</v>
          </cell>
        </row>
        <row r="3333">
          <cell r="F3333">
            <v>310537</v>
          </cell>
          <cell r="G3333" t="str">
            <v>Astrid Anybeth Ochoa Sac</v>
          </cell>
        </row>
        <row r="3334">
          <cell r="F3334">
            <v>314578</v>
          </cell>
          <cell r="G3334" t="str">
            <v>Ana Gabriela Garcia Ajanel</v>
          </cell>
        </row>
        <row r="3335">
          <cell r="F3335">
            <v>315331</v>
          </cell>
          <cell r="G3335" t="str">
            <v>Dallynn Eunice Perez Herrera</v>
          </cell>
        </row>
        <row r="3336">
          <cell r="F3336">
            <v>314950</v>
          </cell>
          <cell r="G3336" t="str">
            <v>Saul Rodrigo Monterroso Belteton</v>
          </cell>
        </row>
        <row r="3337">
          <cell r="F3337">
            <v>312575</v>
          </cell>
          <cell r="G3337" t="str">
            <v>Sugey Alejandrina Ramirez Zepeda</v>
          </cell>
        </row>
        <row r="3338">
          <cell r="F3338">
            <v>309102</v>
          </cell>
          <cell r="G3338" t="str">
            <v>Josselyn Jasmin Asencio Revolorio De Lopez</v>
          </cell>
        </row>
        <row r="3339">
          <cell r="F3339">
            <v>313516</v>
          </cell>
          <cell r="G3339" t="str">
            <v>Mayra Leticia Diaz Armas</v>
          </cell>
        </row>
        <row r="3340">
          <cell r="F3340">
            <v>314786</v>
          </cell>
          <cell r="G3340" t="str">
            <v>Andrea Stephany Villeda Bran</v>
          </cell>
        </row>
        <row r="3341">
          <cell r="F3341">
            <v>313482</v>
          </cell>
          <cell r="G3341" t="str">
            <v>Alexandra Stefania Estrada Flores</v>
          </cell>
        </row>
        <row r="3342">
          <cell r="F3342">
            <v>313642</v>
          </cell>
          <cell r="G3342" t="str">
            <v>Jose Luis Landaverry Arana</v>
          </cell>
        </row>
        <row r="3343">
          <cell r="F3343">
            <v>314734</v>
          </cell>
          <cell r="G3343" t="str">
            <v>Maria Teresa Barrientos Perdomo</v>
          </cell>
        </row>
        <row r="3344">
          <cell r="F3344">
            <v>312551</v>
          </cell>
          <cell r="G3344" t="str">
            <v>Zenia Estefania Alvarado Alvarado</v>
          </cell>
        </row>
        <row r="3345">
          <cell r="F3345">
            <v>311524</v>
          </cell>
          <cell r="G3345" t="str">
            <v>Iris Marleny Alvarado Barrios</v>
          </cell>
        </row>
        <row r="3346">
          <cell r="F3346">
            <v>309360</v>
          </cell>
          <cell r="G3346" t="str">
            <v>Diana Violeta Yaguas Carin</v>
          </cell>
        </row>
        <row r="3347">
          <cell r="F3347">
            <v>309560</v>
          </cell>
          <cell r="G3347" t="str">
            <v>Astrid Gabriela Carin Castillo</v>
          </cell>
        </row>
        <row r="3348">
          <cell r="F3348">
            <v>313834</v>
          </cell>
          <cell r="G3348" t="str">
            <v>Luis Fernando Cuque Marquez</v>
          </cell>
        </row>
        <row r="3349">
          <cell r="F3349">
            <v>312983</v>
          </cell>
          <cell r="G3349" t="str">
            <v>Jennifer Jeaneth Patzan Urizar</v>
          </cell>
        </row>
        <row r="3350">
          <cell r="F3350">
            <v>313043</v>
          </cell>
          <cell r="G3350" t="str">
            <v>Saul Alexander Sicay Ramirez</v>
          </cell>
        </row>
        <row r="3351">
          <cell r="F3351">
            <v>315052</v>
          </cell>
          <cell r="G3351" t="str">
            <v>Ana Ruth Garcia Garcia</v>
          </cell>
        </row>
        <row r="3352">
          <cell r="F3352">
            <v>311322</v>
          </cell>
          <cell r="G3352" t="str">
            <v>Valerie Andrea Rivas Del Valle</v>
          </cell>
        </row>
        <row r="3353">
          <cell r="F3353">
            <v>313852</v>
          </cell>
          <cell r="G3353" t="str">
            <v>Brandon Steven Quiñonez Garcia</v>
          </cell>
        </row>
        <row r="3354">
          <cell r="F3354">
            <v>310326</v>
          </cell>
          <cell r="G3354" t="str">
            <v>Bryan Daniel Donado Ortiz</v>
          </cell>
        </row>
        <row r="3355">
          <cell r="F3355">
            <v>312039</v>
          </cell>
          <cell r="G3355" t="str">
            <v>Lourdes Yamileth Escobar Recinos</v>
          </cell>
        </row>
        <row r="3356">
          <cell r="F3356">
            <v>315030</v>
          </cell>
          <cell r="G3356" t="str">
            <v>Daniel Antonio Gonzalez Del Cid</v>
          </cell>
        </row>
        <row r="3357">
          <cell r="F3357">
            <v>314898</v>
          </cell>
          <cell r="G3357" t="str">
            <v>Jose Danilo Chacar Saguach</v>
          </cell>
        </row>
        <row r="3358">
          <cell r="F3358">
            <v>315306</v>
          </cell>
          <cell r="G3358" t="str">
            <v>Karen Melissa Munoz Guevara</v>
          </cell>
        </row>
        <row r="3359">
          <cell r="F3359">
            <v>315370</v>
          </cell>
          <cell r="G3359" t="str">
            <v>Mario Eduardo Reyes Argueta</v>
          </cell>
        </row>
        <row r="3360">
          <cell r="F3360">
            <v>315354</v>
          </cell>
          <cell r="G3360" t="str">
            <v>Diego Rodrigo Morales Camacho</v>
          </cell>
        </row>
        <row r="3361">
          <cell r="F3361">
            <v>314676</v>
          </cell>
          <cell r="G3361" t="str">
            <v>Irvin Lizardo Miranda Guzman</v>
          </cell>
        </row>
        <row r="3362">
          <cell r="F3362">
            <v>314069</v>
          </cell>
          <cell r="G3362" t="str">
            <v>Yesenia Nataly Alvarado Sarpec</v>
          </cell>
        </row>
        <row r="3363">
          <cell r="F3363">
            <v>315328</v>
          </cell>
          <cell r="G3363" t="str">
            <v xml:space="preserve">Ludwin Oscar David Chavez </v>
          </cell>
        </row>
        <row r="3364">
          <cell r="F3364">
            <v>314629</v>
          </cell>
          <cell r="G3364" t="str">
            <v>Heidy Azucena Martinez Garcia</v>
          </cell>
        </row>
        <row r="3365">
          <cell r="F3365">
            <v>314358</v>
          </cell>
          <cell r="G3365" t="str">
            <v>Manuel Eduardo Garcia Diaz</v>
          </cell>
        </row>
        <row r="3366">
          <cell r="F3366">
            <v>314090</v>
          </cell>
          <cell r="G3366" t="str">
            <v>Dayana Mishell Mazariegos Gomez</v>
          </cell>
        </row>
        <row r="3367">
          <cell r="F3367">
            <v>311202</v>
          </cell>
          <cell r="G3367" t="str">
            <v>Vilma Lizeth Caal Yantuche</v>
          </cell>
        </row>
        <row r="3368">
          <cell r="F3368">
            <v>314693</v>
          </cell>
          <cell r="G3368" t="str">
            <v>Oscar Javier Veliz Galvez</v>
          </cell>
        </row>
        <row r="3369">
          <cell r="F3369">
            <v>307008</v>
          </cell>
          <cell r="G3369" t="str">
            <v>Evelyn Rebeca Lopez Socoy</v>
          </cell>
        </row>
        <row r="3370">
          <cell r="F3370">
            <v>313003</v>
          </cell>
          <cell r="G3370" t="str">
            <v>Jonathan Renato Chete Urias</v>
          </cell>
        </row>
        <row r="3371">
          <cell r="F3371">
            <v>315224</v>
          </cell>
          <cell r="G3371" t="str">
            <v>Dina Nohemi Solano Juarez</v>
          </cell>
        </row>
        <row r="3372">
          <cell r="F3372">
            <v>315178</v>
          </cell>
          <cell r="G3372" t="str">
            <v>Melany Nohemi Velasquez Solorzano</v>
          </cell>
        </row>
        <row r="3373">
          <cell r="F3373">
            <v>314040</v>
          </cell>
          <cell r="G3373" t="str">
            <v>Cindy Abigail Patzan Perez</v>
          </cell>
        </row>
        <row r="3374">
          <cell r="F3374">
            <v>315172</v>
          </cell>
          <cell r="G3374" t="str">
            <v>Merlyn Esther Pérez Girón</v>
          </cell>
        </row>
        <row r="3375">
          <cell r="F3375">
            <v>314726</v>
          </cell>
          <cell r="G3375" t="str">
            <v>Bryan Roberto Sanchez Echeverria</v>
          </cell>
        </row>
        <row r="3376">
          <cell r="F3376">
            <v>306350</v>
          </cell>
          <cell r="G3376" t="str">
            <v>Andrea Eunice Velasquez Mazariegos</v>
          </cell>
        </row>
        <row r="3377">
          <cell r="F3377">
            <v>314282</v>
          </cell>
          <cell r="G3377" t="str">
            <v>Yolanda Genoveva Lopez Bamaca</v>
          </cell>
        </row>
        <row r="3378">
          <cell r="F3378">
            <v>314675</v>
          </cell>
          <cell r="G3378" t="str">
            <v>Edson Romeo Maldonado Reyes</v>
          </cell>
        </row>
        <row r="3379">
          <cell r="F3379">
            <v>313056</v>
          </cell>
          <cell r="G3379" t="str">
            <v>Suceli Isamar Orozco Fuentes</v>
          </cell>
        </row>
        <row r="3380">
          <cell r="F3380">
            <v>311573</v>
          </cell>
          <cell r="G3380" t="str">
            <v>Karen Gabriela Uz Shalix</v>
          </cell>
        </row>
        <row r="3381">
          <cell r="F3381">
            <v>313661</v>
          </cell>
          <cell r="G3381" t="str">
            <v>Mario Jose Herrera De Leon</v>
          </cell>
        </row>
        <row r="3382">
          <cell r="F3382">
            <v>314134</v>
          </cell>
          <cell r="G3382" t="str">
            <v>Rogelia Emperatriz Ortiz Alcantara</v>
          </cell>
        </row>
        <row r="3383">
          <cell r="F3383">
            <v>315207</v>
          </cell>
          <cell r="G3383" t="str">
            <v>Yeison Lemuel Lopez Vasquez</v>
          </cell>
        </row>
        <row r="3384">
          <cell r="F3384">
            <v>312659</v>
          </cell>
          <cell r="G3384" t="str">
            <v>Danny Johana Perez Reyes</v>
          </cell>
        </row>
        <row r="3385">
          <cell r="F3385">
            <v>315587</v>
          </cell>
          <cell r="G3385" t="str">
            <v>Pedro Jose Castañeda Velasquez</v>
          </cell>
        </row>
        <row r="3386">
          <cell r="F3386">
            <v>315590</v>
          </cell>
          <cell r="G3386" t="str">
            <v>Jamileth Andreina Arreaga Quin</v>
          </cell>
        </row>
        <row r="3387">
          <cell r="F3387">
            <v>315602</v>
          </cell>
          <cell r="G3387" t="str">
            <v>Ventura Rivera, Rhode Esperanza</v>
          </cell>
        </row>
        <row r="3388">
          <cell r="F3388">
            <v>315607</v>
          </cell>
          <cell r="G3388" t="str">
            <v>Ruiz Castillo, Maria Antonia</v>
          </cell>
        </row>
        <row r="3389">
          <cell r="F3389">
            <v>315611</v>
          </cell>
          <cell r="G3389" t="str">
            <v>Cordova Newbery, Allison Alejandra</v>
          </cell>
        </row>
        <row r="3390">
          <cell r="F3390">
            <v>315612</v>
          </cell>
          <cell r="G3390" t="str">
            <v>Castanon Lopez, Brandon Eliberto</v>
          </cell>
        </row>
        <row r="3391">
          <cell r="F3391">
            <v>315616</v>
          </cell>
          <cell r="G3391" t="str">
            <v>Diaz Calderon, Josue Noe</v>
          </cell>
        </row>
        <row r="3392">
          <cell r="F3392">
            <v>315629</v>
          </cell>
          <cell r="G3392" t="str">
            <v>Rucuch Choguaj, Miguel</v>
          </cell>
        </row>
        <row r="3393">
          <cell r="F3393">
            <v>315630</v>
          </cell>
          <cell r="G3393" t="str">
            <v>Zavala Soto, Alisson Yisel</v>
          </cell>
        </row>
        <row r="3394">
          <cell r="F3394">
            <v>309658</v>
          </cell>
          <cell r="G3394" t="str">
            <v xml:space="preserve">Otto Alejandro Barahona López </v>
          </cell>
        </row>
        <row r="3395">
          <cell r="F3395">
            <v>301291</v>
          </cell>
          <cell r="G3395" t="str">
            <v>Alexandra Carolina Valdez Vasquez</v>
          </cell>
        </row>
        <row r="3396">
          <cell r="F3396">
            <v>307550</v>
          </cell>
          <cell r="G3396" t="str">
            <v>Aura Marleny Perez Ventura</v>
          </cell>
        </row>
        <row r="3397">
          <cell r="F3397">
            <v>312210</v>
          </cell>
          <cell r="G3397" t="str">
            <v>Carlos Enrique Saenz Cardona</v>
          </cell>
        </row>
        <row r="3398">
          <cell r="F3398">
            <v>304801</v>
          </cell>
          <cell r="G3398" t="str">
            <v>Celeste Azucena Estrada Salvador De Estrada</v>
          </cell>
        </row>
        <row r="3399">
          <cell r="F3399">
            <v>314684</v>
          </cell>
          <cell r="G3399" t="str">
            <v>Escarlet Liliana Molina Herrera De Bolaños</v>
          </cell>
        </row>
        <row r="3400">
          <cell r="F3400">
            <v>309956</v>
          </cell>
          <cell r="G3400" t="str">
            <v>Heidy Celeste San Jose Diaz</v>
          </cell>
        </row>
        <row r="3401">
          <cell r="F3401">
            <v>314978</v>
          </cell>
          <cell r="G3401" t="str">
            <v>Jhoseline Esmeralda Medina Rivas</v>
          </cell>
        </row>
        <row r="3402">
          <cell r="F3402">
            <v>302674</v>
          </cell>
          <cell r="G3402" t="str">
            <v>Karen Elizabeth Roman Castellanos</v>
          </cell>
        </row>
        <row r="3403">
          <cell r="F3403">
            <v>315147</v>
          </cell>
          <cell r="G3403" t="str">
            <v>Karin Zulema Molina Fonseca</v>
          </cell>
        </row>
        <row r="3404">
          <cell r="F3404">
            <v>312838</v>
          </cell>
          <cell r="G3404" t="str">
            <v>Katherine Lucia Carranza Ortega</v>
          </cell>
        </row>
        <row r="3405">
          <cell r="F3405">
            <v>305064</v>
          </cell>
          <cell r="G3405" t="str">
            <v>Lilian Jose Lopez Quevedo</v>
          </cell>
        </row>
        <row r="3406">
          <cell r="F3406">
            <v>308754</v>
          </cell>
          <cell r="G3406" t="str">
            <v>Luis Alberto Perez Barrios</v>
          </cell>
        </row>
        <row r="3407">
          <cell r="F3407">
            <v>313396</v>
          </cell>
          <cell r="G3407" t="str">
            <v>Luz Mariela Donis Gonzalez</v>
          </cell>
        </row>
        <row r="3408">
          <cell r="F3408">
            <v>306330</v>
          </cell>
          <cell r="G3408" t="str">
            <v>Maria Andree Gonzalez</v>
          </cell>
        </row>
        <row r="3409">
          <cell r="F3409">
            <v>307198</v>
          </cell>
          <cell r="G3409" t="str">
            <v>Maria Gabriela Coloma Morales</v>
          </cell>
        </row>
        <row r="3410">
          <cell r="F3410">
            <v>307786</v>
          </cell>
          <cell r="G3410" t="str">
            <v>Marvin Alfredo Asturias Mendez</v>
          </cell>
        </row>
        <row r="3411">
          <cell r="F3411">
            <v>300268</v>
          </cell>
          <cell r="G3411" t="str">
            <v>Monica Carolina Pappa Dominguez</v>
          </cell>
        </row>
        <row r="3412">
          <cell r="F3412">
            <v>313636</v>
          </cell>
          <cell r="G3412" t="str">
            <v>Pablo Cesar Oliva Lopez</v>
          </cell>
        </row>
        <row r="3413">
          <cell r="F3413">
            <v>307702</v>
          </cell>
          <cell r="G3413" t="str">
            <v>Rosmeri Elizabeth Alvarez Lopez De Corado</v>
          </cell>
        </row>
        <row r="3414">
          <cell r="F3414">
            <v>314648</v>
          </cell>
          <cell r="G3414" t="str">
            <v>Sergio Vinicio Natareno Paredes</v>
          </cell>
        </row>
        <row r="3415">
          <cell r="F3415">
            <v>309567</v>
          </cell>
          <cell r="G3415" t="str">
            <v>Sindy Elizabeth Chavez Guzman</v>
          </cell>
        </row>
        <row r="3416">
          <cell r="F3416">
            <v>313649</v>
          </cell>
          <cell r="G3416" t="str">
            <v>Victor Hugo Turriz Flores</v>
          </cell>
        </row>
        <row r="3417">
          <cell r="F3417">
            <v>302684</v>
          </cell>
          <cell r="G3417" t="str">
            <v>Ana Melisa Giron Gonzalez</v>
          </cell>
        </row>
        <row r="3418">
          <cell r="F3418">
            <v>302866</v>
          </cell>
          <cell r="G3418" t="str">
            <v>Maria Magdalena Solis Carrera</v>
          </cell>
        </row>
        <row r="3419">
          <cell r="F3419">
            <v>313111</v>
          </cell>
          <cell r="G3419" t="str">
            <v>Mynor Arturo Barrios Reyes</v>
          </cell>
        </row>
        <row r="3420">
          <cell r="F3420">
            <v>313203</v>
          </cell>
          <cell r="G3420" t="str">
            <v>Marvin Alejandro Lopez Solis</v>
          </cell>
        </row>
        <row r="3421">
          <cell r="F3421">
            <v>302596</v>
          </cell>
          <cell r="G3421" t="str">
            <v>Victor Alfonso Ortega Torres</v>
          </cell>
        </row>
        <row r="3422">
          <cell r="F3422">
            <v>310241</v>
          </cell>
          <cell r="G3422" t="str">
            <v>Heidi Marleny Fajardo Ortiz De Cojon</v>
          </cell>
        </row>
        <row r="3423">
          <cell r="F3423">
            <v>313342</v>
          </cell>
          <cell r="G3423" t="str">
            <v>Magda Karina Mendoza Hernandez</v>
          </cell>
        </row>
        <row r="3424">
          <cell r="F3424">
            <v>301234</v>
          </cell>
          <cell r="G3424" t="str">
            <v>Ana Bertha Guzman Yaggi</v>
          </cell>
        </row>
        <row r="3425">
          <cell r="F3425">
            <v>307154</v>
          </cell>
          <cell r="G3425" t="str">
            <v>Evelin Gicela Burgos Franco</v>
          </cell>
        </row>
        <row r="3426">
          <cell r="F3426">
            <v>305181</v>
          </cell>
          <cell r="G3426" t="str">
            <v>Jose Luis Chay Machic</v>
          </cell>
        </row>
        <row r="3427">
          <cell r="F3427">
            <v>303552</v>
          </cell>
          <cell r="G3427" t="str">
            <v>Liliam Lisseth Santizo Mejia De Cordova</v>
          </cell>
        </row>
        <row r="3428">
          <cell r="F3428">
            <v>303704</v>
          </cell>
          <cell r="G3428" t="str">
            <v>Lisbeth Noemi Hernandez Giron</v>
          </cell>
        </row>
        <row r="3429">
          <cell r="F3429">
            <v>102171</v>
          </cell>
          <cell r="G3429" t="str">
            <v>Maritza Isabel Hernandez Cruz</v>
          </cell>
        </row>
        <row r="3430">
          <cell r="F3430">
            <v>310126</v>
          </cell>
          <cell r="G3430" t="str">
            <v>Jony Estuardo Gamarro Chinchilla</v>
          </cell>
        </row>
        <row r="3431">
          <cell r="F3431">
            <v>307812</v>
          </cell>
          <cell r="G3431" t="str">
            <v>Kevin Josue Moscoso Espino</v>
          </cell>
        </row>
        <row r="3432">
          <cell r="F3432">
            <v>308137</v>
          </cell>
          <cell r="G3432" t="str">
            <v>Oscar Rene Zacarias Jordan</v>
          </cell>
        </row>
        <row r="3433">
          <cell r="F3433">
            <v>311466</v>
          </cell>
          <cell r="G3433" t="str">
            <v>Edgar Estuardo Guerra Romero</v>
          </cell>
        </row>
        <row r="3434">
          <cell r="F3434">
            <v>301374</v>
          </cell>
          <cell r="G3434" t="str">
            <v>Karla Paola Martinez Salazar</v>
          </cell>
        </row>
        <row r="3435">
          <cell r="F3435">
            <v>313446</v>
          </cell>
          <cell r="G3435" t="str">
            <v>Ursula Deyanira Molina Mendoza</v>
          </cell>
        </row>
        <row r="3436">
          <cell r="F3436">
            <v>313780</v>
          </cell>
          <cell r="G3436" t="str">
            <v>Habraham Cesar Torres Alfaro</v>
          </cell>
        </row>
        <row r="3437">
          <cell r="F3437">
            <v>313576</v>
          </cell>
          <cell r="G3437" t="str">
            <v>Hilda Janina Diaz</v>
          </cell>
        </row>
        <row r="3438">
          <cell r="F3438">
            <v>314171</v>
          </cell>
          <cell r="G3438" t="str">
            <v>Jose Alejandro Carrera Tecun</v>
          </cell>
        </row>
        <row r="3439">
          <cell r="F3439">
            <v>313022</v>
          </cell>
          <cell r="G3439" t="str">
            <v>Karim Yaneth Mendez Hidalgo</v>
          </cell>
        </row>
        <row r="3440">
          <cell r="F3440">
            <v>313141</v>
          </cell>
          <cell r="G3440" t="str">
            <v>Edith Carolina Rojas Moreno</v>
          </cell>
        </row>
        <row r="3441">
          <cell r="F3441">
            <v>312615</v>
          </cell>
          <cell r="G3441" t="str">
            <v>Juan Jose Sarceño Siquiej</v>
          </cell>
        </row>
        <row r="3442">
          <cell r="F3442">
            <v>312858</v>
          </cell>
          <cell r="G3442" t="str">
            <v>Juan Pablo Marroquin Franco</v>
          </cell>
        </row>
        <row r="3443">
          <cell r="F3443">
            <v>314739</v>
          </cell>
          <cell r="G3443" t="str">
            <v>Elmer Josue Chinchilla Mendoza</v>
          </cell>
        </row>
        <row r="3444">
          <cell r="F3444">
            <v>315299</v>
          </cell>
          <cell r="G3444" t="str">
            <v>Luis Rodrigo Polanco Marroquin</v>
          </cell>
        </row>
        <row r="3445">
          <cell r="F3445">
            <v>315357</v>
          </cell>
          <cell r="G3445" t="str">
            <v>Linda Garcia          </v>
          </cell>
        </row>
        <row r="3446">
          <cell r="F3446">
            <v>315315</v>
          </cell>
          <cell r="G3446" t="str">
            <v xml:space="preserve">Shirley Guadalupe Munguia Gil </v>
          </cell>
        </row>
        <row r="3447">
          <cell r="F3447">
            <v>315477</v>
          </cell>
          <cell r="G3447" t="str">
            <v xml:space="preserve">Yesenia Guadalupe Ajcu Castillo </v>
          </cell>
        </row>
        <row r="3448">
          <cell r="F3448">
            <v>314170</v>
          </cell>
          <cell r="G3448" t="str">
            <v>Herman Gabriel Mendez Castellanos</v>
          </cell>
        </row>
        <row r="3450">
          <cell r="F3450">
            <v>309795</v>
          </cell>
          <cell r="G3450" t="str">
            <v xml:space="preserve"> Evelin Johana Perez Fajardo De Estayul</v>
          </cell>
        </row>
        <row r="3451">
          <cell r="F3451">
            <v>308490</v>
          </cell>
          <cell r="G3451" t="str">
            <v xml:space="preserve"> Gabriela Poitan Ordoñez De Garcia</v>
          </cell>
        </row>
        <row r="3452">
          <cell r="F3452">
            <v>311663</v>
          </cell>
          <cell r="G3452" t="str">
            <v xml:space="preserve"> Jenny Betzabel Solis De Hernandez</v>
          </cell>
        </row>
        <row r="3453">
          <cell r="F3453">
            <v>300878</v>
          </cell>
          <cell r="G3453" t="str">
            <v xml:space="preserve"> Juan Francisco Lara Villavicencio</v>
          </cell>
        </row>
        <row r="3454">
          <cell r="F3454">
            <v>311195</v>
          </cell>
          <cell r="G3454" t="str">
            <v xml:space="preserve"> Julia Mariela Lourdette Gonzalez Rosales</v>
          </cell>
        </row>
        <row r="3455">
          <cell r="F3455">
            <v>311073</v>
          </cell>
          <cell r="G3455" t="str">
            <v xml:space="preserve"> Julio Roberto Castellanos Ordoñez</v>
          </cell>
        </row>
        <row r="3456">
          <cell r="F3456">
            <v>309602</v>
          </cell>
          <cell r="G3456" t="str">
            <v xml:space="preserve"> Linda Aracely Garcia Beteta De Cuxulic</v>
          </cell>
        </row>
        <row r="3457">
          <cell r="F3457">
            <v>311706</v>
          </cell>
          <cell r="G3457" t="str">
            <v xml:space="preserve"> Mailyn Anely Chavez Gonzalez</v>
          </cell>
        </row>
        <row r="3458">
          <cell r="F3458">
            <v>311347</v>
          </cell>
          <cell r="G3458" t="str">
            <v xml:space="preserve"> Mario Adolfo Telon Pedroza</v>
          </cell>
        </row>
        <row r="3459">
          <cell r="F3459">
            <v>311236</v>
          </cell>
          <cell r="G3459" t="str">
            <v xml:space="preserve"> Marlon Aroldo De Leon Juarez</v>
          </cell>
        </row>
        <row r="3460">
          <cell r="F3460">
            <v>304620</v>
          </cell>
          <cell r="G3460" t="str">
            <v xml:space="preserve"> Mayra Judith Marroquin Guevara De Melendez</v>
          </cell>
        </row>
        <row r="3461">
          <cell r="F3461">
            <v>311196</v>
          </cell>
          <cell r="G3461" t="str">
            <v xml:space="preserve"> Nancy Mariela Estrada Calel De Samayoa</v>
          </cell>
        </row>
        <row r="3462">
          <cell r="F3462">
            <v>309398</v>
          </cell>
          <cell r="G3462" t="str">
            <v xml:space="preserve"> Sindy Yesenia Fuentes Alvarez De Flores</v>
          </cell>
        </row>
        <row r="3463">
          <cell r="F3463">
            <v>311588</v>
          </cell>
          <cell r="G3463" t="str">
            <v xml:space="preserve"> Wendy Carolina Flores Garcia</v>
          </cell>
        </row>
        <row r="3464">
          <cell r="F3464">
            <v>313885</v>
          </cell>
          <cell r="G3464" t="str">
            <v>Adrian Emanuel Turcios Azurdia</v>
          </cell>
        </row>
        <row r="3465">
          <cell r="F3465">
            <v>314224</v>
          </cell>
          <cell r="G3465" t="str">
            <v>Ana Ruth Wong Mejia</v>
          </cell>
        </row>
        <row r="3466">
          <cell r="F3466">
            <v>314304</v>
          </cell>
          <cell r="G3466" t="str">
            <v>Brenda Yaneth Perez Lucas</v>
          </cell>
        </row>
        <row r="3467">
          <cell r="F3467">
            <v>313839</v>
          </cell>
          <cell r="G3467" t="str">
            <v>Carlos Enrique Dighero Lopez</v>
          </cell>
        </row>
        <row r="3468">
          <cell r="F3468">
            <v>311901</v>
          </cell>
          <cell r="G3468" t="str">
            <v>Edith Veranice Palacios</v>
          </cell>
        </row>
        <row r="3469">
          <cell r="F3469">
            <v>314439</v>
          </cell>
          <cell r="G3469" t="str">
            <v>Hersson Eduardo Leal Garcia</v>
          </cell>
        </row>
        <row r="3470">
          <cell r="F3470">
            <v>313884</v>
          </cell>
          <cell r="G3470" t="str">
            <v>Jasminia Sarai Cotzajay Peñate</v>
          </cell>
        </row>
        <row r="3471">
          <cell r="F3471">
            <v>309852</v>
          </cell>
          <cell r="G3471" t="str">
            <v>Jonathan Rene Villavicencio Soto</v>
          </cell>
        </row>
        <row r="3472">
          <cell r="F3472">
            <v>312709</v>
          </cell>
          <cell r="G3472" t="str">
            <v>Jorge Alfonso Hernandez Chinchilla</v>
          </cell>
        </row>
        <row r="3473">
          <cell r="F3473">
            <v>314436</v>
          </cell>
          <cell r="G3473" t="str">
            <v xml:space="preserve">Jorge Francisco Saban Lopez </v>
          </cell>
        </row>
        <row r="3474">
          <cell r="F3474">
            <v>313114</v>
          </cell>
          <cell r="G3474" t="str">
            <v xml:space="preserve">Jose Albino Albeño Galicia </v>
          </cell>
        </row>
        <row r="3475">
          <cell r="F3475">
            <v>308558</v>
          </cell>
          <cell r="G3475" t="str">
            <v>Jose Emilio Yuman Roche</v>
          </cell>
        </row>
        <row r="3476">
          <cell r="F3476">
            <v>313233</v>
          </cell>
          <cell r="G3476" t="str">
            <v>Jose Miguel Silva Contreras</v>
          </cell>
        </row>
        <row r="3477">
          <cell r="F3477">
            <v>313739</v>
          </cell>
          <cell r="G3477" t="str">
            <v>Lester Onelio Lopez Rosales</v>
          </cell>
        </row>
        <row r="3478">
          <cell r="F3478">
            <v>315361</v>
          </cell>
          <cell r="G3478" t="str">
            <v>Luis Fernando Roche Valenzuela</v>
          </cell>
        </row>
        <row r="3479">
          <cell r="F3479">
            <v>314103</v>
          </cell>
          <cell r="G3479" t="str">
            <v>Luisa Fernanda Marroquin Tiguila</v>
          </cell>
        </row>
        <row r="3480">
          <cell r="F3480">
            <v>313680</v>
          </cell>
          <cell r="G3480" t="str">
            <v>Marco Antonio Salazar Alinzo</v>
          </cell>
        </row>
        <row r="3481">
          <cell r="F3481">
            <v>314359</v>
          </cell>
          <cell r="G3481" t="str">
            <v>Maynor Alexander Perez Surque</v>
          </cell>
        </row>
        <row r="3482">
          <cell r="F3482">
            <v>309332</v>
          </cell>
          <cell r="G3482" t="str">
            <v>Melani Mishell Vasquez Castillo</v>
          </cell>
        </row>
        <row r="3483">
          <cell r="F3483">
            <v>314547</v>
          </cell>
          <cell r="G3483" t="str">
            <v>Nancy Elizabeth Lopez Perez</v>
          </cell>
        </row>
        <row r="3484">
          <cell r="F3484">
            <v>314370</v>
          </cell>
          <cell r="G3484" t="str">
            <v>Olga Roxana Gomez</v>
          </cell>
        </row>
        <row r="3485">
          <cell r="F3485">
            <v>315419</v>
          </cell>
          <cell r="G3485" t="str">
            <v>Rubeldi Ajaniel Roblero Gonzales</v>
          </cell>
        </row>
        <row r="3486">
          <cell r="F3486">
            <v>314769</v>
          </cell>
          <cell r="G3486" t="str">
            <v>Abel Eduardo Lopez Lopez</v>
          </cell>
        </row>
        <row r="3487">
          <cell r="F3487">
            <v>314839</v>
          </cell>
          <cell r="G3487" t="str">
            <v>Ana Gabriela Samayoa Lopez</v>
          </cell>
        </row>
        <row r="3488">
          <cell r="F3488">
            <v>315422</v>
          </cell>
          <cell r="G3488" t="str">
            <v xml:space="preserve">Carlos Alberto Roque </v>
          </cell>
        </row>
        <row r="3489">
          <cell r="F3489">
            <v>314836</v>
          </cell>
          <cell r="G3489" t="str">
            <v xml:space="preserve">Carlos David Ajmac </v>
          </cell>
        </row>
        <row r="3490">
          <cell r="F3490">
            <v>314759</v>
          </cell>
          <cell r="G3490" t="str">
            <v>Carlos Roberto Hernandez Gonzalez</v>
          </cell>
        </row>
        <row r="3491">
          <cell r="F3491">
            <v>314757</v>
          </cell>
          <cell r="G3491" t="str">
            <v>Cristal Estephania Juarroz Muñoz</v>
          </cell>
        </row>
        <row r="3492">
          <cell r="F3492">
            <v>314817</v>
          </cell>
          <cell r="G3492" t="str">
            <v>Cristian Orlando Monzon De Leon</v>
          </cell>
        </row>
        <row r="3493">
          <cell r="F3493">
            <v>314815</v>
          </cell>
          <cell r="G3493" t="str">
            <v>Gabriela Elizabeth Alvarez Mix</v>
          </cell>
        </row>
        <row r="3494">
          <cell r="F3494">
            <v>315421</v>
          </cell>
          <cell r="G3494" t="str">
            <v xml:space="preserve">Gladis Morales Cutzal </v>
          </cell>
        </row>
        <row r="3495">
          <cell r="F3495">
            <v>314794</v>
          </cell>
          <cell r="G3495" t="str">
            <v>Herbert Wellington Rodriguez Ramirez</v>
          </cell>
        </row>
        <row r="3496">
          <cell r="F3496">
            <v>314760</v>
          </cell>
          <cell r="G3496" t="str">
            <v>Jadurani Devi Dasi Archila Lool</v>
          </cell>
        </row>
        <row r="3497">
          <cell r="F3497">
            <v>314838</v>
          </cell>
          <cell r="G3497" t="str">
            <v>Jenifer Lucerito Sique Mayorga</v>
          </cell>
        </row>
        <row r="3498">
          <cell r="F3498">
            <v>314790</v>
          </cell>
          <cell r="G3498" t="str">
            <v>Johana Vidalia Chach Ixcoy</v>
          </cell>
        </row>
        <row r="3499">
          <cell r="F3499">
            <v>314846</v>
          </cell>
          <cell r="G3499" t="str">
            <v>Jonnathan Josue Rodas Florian</v>
          </cell>
        </row>
        <row r="3500">
          <cell r="F3500">
            <v>314761</v>
          </cell>
          <cell r="G3500" t="str">
            <v>Jorge Eduardo Fonseca Palacios</v>
          </cell>
        </row>
        <row r="3501">
          <cell r="F3501">
            <v>314842</v>
          </cell>
          <cell r="G3501" t="str">
            <v>Jose Geovanni Castañeda Galindo</v>
          </cell>
        </row>
        <row r="3502">
          <cell r="F3502">
            <v>314756</v>
          </cell>
          <cell r="G3502" t="str">
            <v>Juan Manuel Gomez Sampuel</v>
          </cell>
        </row>
        <row r="3503">
          <cell r="F3503">
            <v>315366</v>
          </cell>
          <cell r="G3503" t="str">
            <v xml:space="preserve">Mario Enrique Morales Escobar </v>
          </cell>
        </row>
        <row r="3504">
          <cell r="F3504">
            <v>315392</v>
          </cell>
          <cell r="G3504" t="str">
            <v xml:space="preserve">Mijail Erick Joaquín Morales Ortiz </v>
          </cell>
        </row>
        <row r="3505">
          <cell r="F3505">
            <v>314843</v>
          </cell>
          <cell r="G3505" t="str">
            <v>Nancy Pahola Arevalo Yuman</v>
          </cell>
        </row>
        <row r="3506">
          <cell r="F3506">
            <v>314791</v>
          </cell>
          <cell r="G3506" t="str">
            <v>Norman Scott Castillo Rivera</v>
          </cell>
        </row>
        <row r="3507">
          <cell r="F3507">
            <v>314799</v>
          </cell>
          <cell r="G3507" t="str">
            <v>Rusbelindo  Miguel Lopez</v>
          </cell>
        </row>
        <row r="3508">
          <cell r="F3508">
            <v>314751</v>
          </cell>
          <cell r="G3508" t="str">
            <v>Ana Lucia Veliz Solares</v>
          </cell>
        </row>
        <row r="3509">
          <cell r="F3509">
            <v>315169</v>
          </cell>
          <cell r="G3509" t="str">
            <v>Andy Oswaldo Pineda Arriola</v>
          </cell>
        </row>
        <row r="3510">
          <cell r="F3510">
            <v>314903</v>
          </cell>
          <cell r="G3510" t="str">
            <v>Cindy Julissa Herrera</v>
          </cell>
        </row>
        <row r="3511">
          <cell r="F3511">
            <v>314800</v>
          </cell>
          <cell r="G3511" t="str">
            <v>Elmer Eduardo Castillo</v>
          </cell>
        </row>
        <row r="3512">
          <cell r="F3512">
            <v>314748</v>
          </cell>
          <cell r="G3512" t="str">
            <v>Freddy Reynaldo Velarde Valenzuela</v>
          </cell>
        </row>
        <row r="3513">
          <cell r="F3513">
            <v>314795</v>
          </cell>
          <cell r="G3513" t="str">
            <v>Gustavo Ernesto Altan Gonzalez</v>
          </cell>
        </row>
        <row r="3514">
          <cell r="F3514">
            <v>315148</v>
          </cell>
          <cell r="G3514" t="str">
            <v>Irene Beatriz Pena Orellana</v>
          </cell>
        </row>
        <row r="3515">
          <cell r="F3515">
            <v>314906</v>
          </cell>
          <cell r="G3515" t="str">
            <v>Juan Pedro Tiney Cax</v>
          </cell>
        </row>
        <row r="3516">
          <cell r="F3516">
            <v>315322</v>
          </cell>
          <cell r="G3516" t="str">
            <v>Lester Juan Jose Arevalo Reynoso</v>
          </cell>
        </row>
        <row r="3517">
          <cell r="F3517">
            <v>315368</v>
          </cell>
          <cell r="G3517" t="str">
            <v>Marlon Enrique Del Cid Roque</v>
          </cell>
        </row>
        <row r="3518">
          <cell r="F3518">
            <v>315093</v>
          </cell>
          <cell r="G3518" t="str">
            <v>Miriam Eugenia Santizo Montenegro</v>
          </cell>
        </row>
        <row r="3519">
          <cell r="F3519">
            <v>314902</v>
          </cell>
          <cell r="G3519" t="str">
            <v>Roberto Alejandro Alvarez Abularach</v>
          </cell>
        </row>
        <row r="3520">
          <cell r="F3520">
            <v>314755</v>
          </cell>
          <cell r="G3520" t="str">
            <v>Sergio David Gonzalez Perez</v>
          </cell>
        </row>
        <row r="3521">
          <cell r="F3521">
            <v>314967</v>
          </cell>
          <cell r="G3521" t="str">
            <v>Sergio Javier Cortez Tunchez</v>
          </cell>
        </row>
        <row r="3522">
          <cell r="F3522">
            <v>314968</v>
          </cell>
          <cell r="G3522" t="str">
            <v>Sharon Dayana Ninoshka López Márquez</v>
          </cell>
        </row>
        <row r="3523">
          <cell r="F3523">
            <v>311961</v>
          </cell>
          <cell r="G3523" t="str">
            <v xml:space="preserve"> Abner Eli Gonzalez Gonzalez</v>
          </cell>
        </row>
        <row r="3524">
          <cell r="F3524">
            <v>311188</v>
          </cell>
          <cell r="G3524" t="str">
            <v xml:space="preserve"> Ana Ester Cuyan Aguilar De Dominguez</v>
          </cell>
        </row>
        <row r="3525">
          <cell r="F3525">
            <v>311894</v>
          </cell>
          <cell r="G3525" t="str">
            <v xml:space="preserve"> Christyan Stuardo Ronquillo Saravia</v>
          </cell>
        </row>
        <row r="3526">
          <cell r="F3526">
            <v>308901</v>
          </cell>
          <cell r="G3526" t="str">
            <v xml:space="preserve"> David Estuardo Rosales Corado</v>
          </cell>
        </row>
        <row r="3527">
          <cell r="F3527">
            <v>312069</v>
          </cell>
          <cell r="G3527" t="str">
            <v xml:space="preserve"> De Leon Cach Roberto Carlos</v>
          </cell>
        </row>
        <row r="3528">
          <cell r="F3528">
            <v>310331</v>
          </cell>
          <cell r="G3528" t="str">
            <v xml:space="preserve"> Elda Luzbina Valdez Guerra De Fuentes</v>
          </cell>
        </row>
        <row r="3529">
          <cell r="F3529">
            <v>310822</v>
          </cell>
          <cell r="G3529" t="str">
            <v xml:space="preserve"> Jennifer Leticia Gonzalez Pineda</v>
          </cell>
        </row>
        <row r="3530">
          <cell r="F3530">
            <v>308012</v>
          </cell>
          <cell r="G3530" t="str">
            <v xml:space="preserve"> Jocelyn Sucel Yantuche Chin</v>
          </cell>
        </row>
        <row r="3531">
          <cell r="F3531">
            <v>312160</v>
          </cell>
          <cell r="G3531" t="str">
            <v xml:space="preserve"> Jose Rigoberto Osorio Abarca</v>
          </cell>
        </row>
        <row r="3532">
          <cell r="F3532">
            <v>311465</v>
          </cell>
          <cell r="G3532" t="str">
            <v xml:space="preserve"> Kevin Alejandro Corado Estrada</v>
          </cell>
        </row>
        <row r="3533">
          <cell r="F3533">
            <v>311294</v>
          </cell>
          <cell r="G3533" t="str">
            <v xml:space="preserve"> Lotar Robson Araujo Perez</v>
          </cell>
        </row>
        <row r="3534">
          <cell r="F3534">
            <v>310910</v>
          </cell>
          <cell r="G3534" t="str">
            <v xml:space="preserve"> Luis Fernando Lopez Vasquez</v>
          </cell>
        </row>
        <row r="3535">
          <cell r="F3535">
            <v>304279</v>
          </cell>
          <cell r="G3535" t="str">
            <v xml:space="preserve"> Marlon Estuardo Hernandez</v>
          </cell>
        </row>
        <row r="3536">
          <cell r="F3536">
            <v>308911</v>
          </cell>
          <cell r="G3536" t="str">
            <v xml:space="preserve"> Rudy Fernando Orozco Tejeda</v>
          </cell>
        </row>
        <row r="3537">
          <cell r="F3537">
            <v>310214</v>
          </cell>
          <cell r="G3537" t="str">
            <v xml:space="preserve"> Vivian Pamela Rodas Lopez</v>
          </cell>
        </row>
        <row r="3538">
          <cell r="F3538">
            <v>314928</v>
          </cell>
          <cell r="G3538" t="str">
            <v xml:space="preserve">
Brandon Steve Juarez Arrazola </v>
          </cell>
        </row>
        <row r="3539">
          <cell r="F3539">
            <v>313239</v>
          </cell>
          <cell r="G3539" t="str">
            <v>Addy Aida Cifuentes Coronado</v>
          </cell>
        </row>
        <row r="3540">
          <cell r="F3540">
            <v>313694</v>
          </cell>
          <cell r="G3540" t="str">
            <v>Alex Humberto Montezuma</v>
          </cell>
        </row>
        <row r="3541">
          <cell r="F3541">
            <v>313241</v>
          </cell>
          <cell r="G3541" t="str">
            <v>Angel Arturo Mauricio Ayapan</v>
          </cell>
        </row>
        <row r="3542">
          <cell r="F3542">
            <v>314323</v>
          </cell>
          <cell r="G3542" t="str">
            <v>Angel Arturo Mauricio Ayapan</v>
          </cell>
        </row>
        <row r="3543">
          <cell r="F3543">
            <v>312327</v>
          </cell>
          <cell r="G3543" t="str">
            <v>Armando Andree Quiñonez Flores</v>
          </cell>
        </row>
        <row r="3544">
          <cell r="F3544">
            <v>313749</v>
          </cell>
          <cell r="G3544" t="str">
            <v>Cesar Haroldo Ixcayau Castro</v>
          </cell>
        </row>
        <row r="3545">
          <cell r="F3545">
            <v>313840</v>
          </cell>
          <cell r="G3545" t="str">
            <v>Claudia Maria Orozco Garcia</v>
          </cell>
        </row>
        <row r="3546">
          <cell r="F3546">
            <v>314119</v>
          </cell>
          <cell r="G3546" t="str">
            <v>Cristian David Urizar Canteo</v>
          </cell>
        </row>
        <row r="3547">
          <cell r="F3547">
            <v>313242</v>
          </cell>
          <cell r="G3547" t="str">
            <v>Guillermo Alejandro Pirir</v>
          </cell>
        </row>
        <row r="3548">
          <cell r="F3548">
            <v>313539</v>
          </cell>
          <cell r="G3548" t="str">
            <v>Joaquin Alonso Murillo Perez</v>
          </cell>
        </row>
        <row r="3549">
          <cell r="F3549">
            <v>314082</v>
          </cell>
          <cell r="G3549" t="str">
            <v>Johanna Amarilis Hernandez Perez</v>
          </cell>
        </row>
        <row r="3550">
          <cell r="F3550">
            <v>313983</v>
          </cell>
          <cell r="G3550" t="str">
            <v>Jose Anibal Reyes Sandoval</v>
          </cell>
        </row>
        <row r="3551">
          <cell r="F3551">
            <v>308875</v>
          </cell>
          <cell r="G3551" t="str">
            <v>Joselyn Manuela Sandoval De Leon</v>
          </cell>
        </row>
        <row r="3552">
          <cell r="F3552">
            <v>313240</v>
          </cell>
          <cell r="G3552" t="str">
            <v>Karen Jamara Luna Menendez</v>
          </cell>
        </row>
        <row r="3553">
          <cell r="F3553">
            <v>314083</v>
          </cell>
          <cell r="G3553" t="str">
            <v>Luis Alfredo Ruben Castillo Mejia</v>
          </cell>
        </row>
        <row r="3554">
          <cell r="F3554">
            <v>312489</v>
          </cell>
          <cell r="G3554" t="str">
            <v>Marliz Irene Bonifaz Lopez</v>
          </cell>
        </row>
        <row r="3555">
          <cell r="F3555">
            <v>313823</v>
          </cell>
          <cell r="G3555" t="str">
            <v>Mildred Mazciel Almazan Lemus Codigo</v>
          </cell>
        </row>
        <row r="3556">
          <cell r="F3556">
            <v>313289</v>
          </cell>
          <cell r="G3556" t="str">
            <v>Orellana Alvarez, Nestor Giovanni</v>
          </cell>
        </row>
        <row r="3557">
          <cell r="F3557">
            <v>312476</v>
          </cell>
          <cell r="G3557" t="str">
            <v>Oscar Oswaldo Ramirez Tahuite</v>
          </cell>
        </row>
        <row r="3558">
          <cell r="F3558">
            <v>313392</v>
          </cell>
          <cell r="G3558" t="str">
            <v>Sandra Marisol Ramirez Solis</v>
          </cell>
        </row>
        <row r="3559">
          <cell r="F3559">
            <v>315101</v>
          </cell>
          <cell r="G3559" t="str">
            <v>Alvaro Oswaldo De La Rosa Hernandez</v>
          </cell>
        </row>
        <row r="3560">
          <cell r="F3560">
            <v>314905</v>
          </cell>
          <cell r="G3560" t="str">
            <v>Antonio Carlos Alvarenga Diaz</v>
          </cell>
        </row>
        <row r="3561">
          <cell r="F3561">
            <v>314885</v>
          </cell>
          <cell r="G3561" t="str">
            <v>Edi Ibander Osoy Lopez</v>
          </cell>
        </row>
        <row r="3562">
          <cell r="F3562">
            <v>314750</v>
          </cell>
          <cell r="G3562" t="str">
            <v>Eswin Leonel Fernandez Diaz</v>
          </cell>
        </row>
        <row r="3563">
          <cell r="F3563">
            <v>314753</v>
          </cell>
          <cell r="G3563" t="str">
            <v>Gabriel Antonio Mucur Arriaga</v>
          </cell>
        </row>
        <row r="3564">
          <cell r="F3564">
            <v>315318</v>
          </cell>
          <cell r="G3564" t="str">
            <v>Gabriela Melissa Arias Ovando</v>
          </cell>
        </row>
        <row r="3565">
          <cell r="F3565">
            <v>315164</v>
          </cell>
          <cell r="G3565" t="str">
            <v>Hernan Antonio Castro Guzman</v>
          </cell>
        </row>
        <row r="3566">
          <cell r="F3566">
            <v>315149</v>
          </cell>
          <cell r="G3566" t="str">
            <v>Jennifer Karla Maria De Leon Yoc</v>
          </cell>
        </row>
        <row r="3567">
          <cell r="F3567">
            <v>315065</v>
          </cell>
          <cell r="G3567" t="str">
            <v>Jennifer Veronica Flores Pineda</v>
          </cell>
        </row>
        <row r="3568">
          <cell r="F3568">
            <v>314797</v>
          </cell>
          <cell r="G3568" t="str">
            <v>Jimmy Alfredo Coronado Cabrera</v>
          </cell>
        </row>
        <row r="3569">
          <cell r="F3569">
            <v>314746</v>
          </cell>
          <cell r="G3569" t="str">
            <v>Jose Luis Quisquinay Inay</v>
          </cell>
        </row>
        <row r="3570">
          <cell r="F3570">
            <v>315231</v>
          </cell>
          <cell r="G3570" t="str">
            <v>Juan Fernando Alvarez Argueta</v>
          </cell>
        </row>
        <row r="3571">
          <cell r="F3571">
            <v>314752</v>
          </cell>
          <cell r="G3571" t="str">
            <v>Luis Arturo Fuentes Jerez</v>
          </cell>
        </row>
        <row r="3572">
          <cell r="F3572">
            <v>314990</v>
          </cell>
          <cell r="G3572" t="str">
            <v>Maria Fernanda Ambrocio Reyes</v>
          </cell>
        </row>
        <row r="3573">
          <cell r="F3573">
            <v>314966</v>
          </cell>
          <cell r="G3573" t="str">
            <v>Marlin Argelia Herrera Claveria</v>
          </cell>
        </row>
        <row r="3574">
          <cell r="F3574">
            <v>314904</v>
          </cell>
          <cell r="G3574" t="str">
            <v>Miguel Estuardo Marín</v>
          </cell>
        </row>
        <row r="3575">
          <cell r="F3575">
            <v>314796</v>
          </cell>
          <cell r="G3575" t="str">
            <v>Ricardo Antonio Ruiz Orozco</v>
          </cell>
        </row>
        <row r="3576">
          <cell r="F3576">
            <v>315365</v>
          </cell>
          <cell r="G3576" t="str">
            <v>Ruth Liliana Reyes Rivas</v>
          </cell>
        </row>
        <row r="3577">
          <cell r="F3577">
            <v>314758</v>
          </cell>
          <cell r="G3577" t="str">
            <v>Sergio Alejandro Estrada Velasco</v>
          </cell>
        </row>
        <row r="3578">
          <cell r="F3578">
            <v>312045</v>
          </cell>
          <cell r="G3578" t="str">
            <v xml:space="preserve"> Edgar Marco Tulio Sanchez Ochoa</v>
          </cell>
        </row>
        <row r="3579">
          <cell r="F3579">
            <v>309496</v>
          </cell>
          <cell r="G3579" t="str">
            <v xml:space="preserve"> Elcira Livduvina Perez Lopez De Merlos</v>
          </cell>
        </row>
        <row r="3580">
          <cell r="F3580">
            <v>311750</v>
          </cell>
          <cell r="G3580" t="str">
            <v xml:space="preserve"> Juan Toma Torrez</v>
          </cell>
        </row>
        <row r="3581">
          <cell r="F3581">
            <v>311539</v>
          </cell>
          <cell r="G3581" t="str">
            <v xml:space="preserve"> Luis Eduardo Garcia Gomez</v>
          </cell>
        </row>
        <row r="3582">
          <cell r="F3582">
            <v>311898</v>
          </cell>
          <cell r="G3582" t="str">
            <v xml:space="preserve"> Nori Liseth Bautista</v>
          </cell>
        </row>
        <row r="3583">
          <cell r="F3583">
            <v>312283</v>
          </cell>
          <cell r="G3583" t="str">
            <v xml:space="preserve"> Oscar Javier Galvez</v>
          </cell>
        </row>
        <row r="3584">
          <cell r="F3584">
            <v>311190</v>
          </cell>
          <cell r="G3584" t="str">
            <v xml:space="preserve"> Pedro Chas Morales</v>
          </cell>
        </row>
        <row r="3585">
          <cell r="F3585">
            <v>311632</v>
          </cell>
          <cell r="G3585" t="str">
            <v>Virginia Del Rosario Matilde Garcia Ico</v>
          </cell>
        </row>
        <row r="3586">
          <cell r="F3586">
            <v>311906</v>
          </cell>
          <cell r="G3586" t="str">
            <v xml:space="preserve"> Yenifer Alejandra Ordoñez</v>
          </cell>
        </row>
        <row r="3587">
          <cell r="F3587">
            <v>314705</v>
          </cell>
          <cell r="G3587" t="str">
            <v>Alex Eduardo Gil Paniagua</v>
          </cell>
        </row>
        <row r="3588">
          <cell r="F3588">
            <v>313182</v>
          </cell>
          <cell r="G3588" t="str">
            <v>Allan Kenneth Chiguichon Solis</v>
          </cell>
        </row>
        <row r="3589">
          <cell r="F3589">
            <v>314363</v>
          </cell>
          <cell r="G3589" t="str">
            <v xml:space="preserve">Anderson Noe Chunix Morales </v>
          </cell>
        </row>
        <row r="3590">
          <cell r="F3590">
            <v>314241</v>
          </cell>
          <cell r="G3590" t="str">
            <v>Andres Simon Sunun</v>
          </cell>
        </row>
        <row r="3591">
          <cell r="F3591">
            <v>309341</v>
          </cell>
          <cell r="G3591" t="str">
            <v>Angel Estuardo Perez Veliz</v>
          </cell>
        </row>
        <row r="3592">
          <cell r="F3592">
            <v>312093</v>
          </cell>
          <cell r="G3592" t="str">
            <v xml:space="preserve">Bobadilla Romero Alan Gonzalo </v>
          </cell>
        </row>
        <row r="3593">
          <cell r="F3593">
            <v>314080</v>
          </cell>
          <cell r="G3593" t="str">
            <v>Bryan Leonardo Lopez</v>
          </cell>
        </row>
        <row r="3594">
          <cell r="F3594">
            <v>314704</v>
          </cell>
          <cell r="G3594" t="str">
            <v xml:space="preserve">Cindy Damaris Villagran Castellano </v>
          </cell>
        </row>
        <row r="3595">
          <cell r="F3595">
            <v>314085</v>
          </cell>
          <cell r="G3595" t="str">
            <v>Cristian Ottoniel Lopez Alvarado</v>
          </cell>
        </row>
        <row r="3596">
          <cell r="F3596">
            <v>314364</v>
          </cell>
          <cell r="G3596" t="str">
            <v xml:space="preserve">Donel Omar Landaverry Solis </v>
          </cell>
        </row>
        <row r="3597">
          <cell r="F3597">
            <v>313373</v>
          </cell>
          <cell r="G3597" t="str">
            <v>Edgar Francisco Yanes Carrera</v>
          </cell>
        </row>
        <row r="3598">
          <cell r="F3598">
            <v>315056</v>
          </cell>
          <cell r="G3598" t="str">
            <v>Esvin David De Jesus Calanche</v>
          </cell>
        </row>
        <row r="3599">
          <cell r="F3599">
            <v>314118</v>
          </cell>
          <cell r="G3599" t="str">
            <v>Ginni Andrea Gramajo Lucas</v>
          </cell>
        </row>
        <row r="3600">
          <cell r="F3600">
            <v>313049</v>
          </cell>
          <cell r="G3600" t="str">
            <v>Herberth Ivan Garcia Davila</v>
          </cell>
        </row>
        <row r="3601">
          <cell r="F3601">
            <v>312162</v>
          </cell>
          <cell r="G3601" t="str">
            <v xml:space="preserve">Hernandez Andrea Yoselin Cristina </v>
          </cell>
        </row>
        <row r="3602">
          <cell r="F3602">
            <v>313692</v>
          </cell>
          <cell r="G3602" t="str">
            <v xml:space="preserve">Ingrid Leticia Paredes Pulido    </v>
          </cell>
        </row>
        <row r="3603">
          <cell r="F3603">
            <v>314500</v>
          </cell>
          <cell r="G3603" t="str">
            <v xml:space="preserve">Jairo Noel Linarez Gomez </v>
          </cell>
        </row>
        <row r="3604">
          <cell r="F3604">
            <v>312369</v>
          </cell>
          <cell r="G3604" t="str">
            <v>Jorge Luis Hernandez Juarez</v>
          </cell>
        </row>
        <row r="3605">
          <cell r="F3605">
            <v>314039</v>
          </cell>
          <cell r="G3605" t="str">
            <v>Juan Humberto Barrios Escobar</v>
          </cell>
        </row>
        <row r="3606">
          <cell r="F3606">
            <v>313540</v>
          </cell>
          <cell r="G3606" t="str">
            <v xml:space="preserve">Juan Manuel Macario Reyna </v>
          </cell>
        </row>
        <row r="3607">
          <cell r="F3607">
            <v>314355</v>
          </cell>
          <cell r="G3607" t="str">
            <v>Kevin Samuel Guamuch Guardado</v>
          </cell>
        </row>
        <row r="3608">
          <cell r="F3608">
            <v>314299</v>
          </cell>
          <cell r="G3608" t="str">
            <v>Lopez Morales, Andrea Lucia</v>
          </cell>
        </row>
        <row r="3609">
          <cell r="F3609">
            <v>314747</v>
          </cell>
          <cell r="G3609" t="str">
            <v>Mayra Azucena Perez Guzman</v>
          </cell>
        </row>
        <row r="3610">
          <cell r="F3610">
            <v>313572</v>
          </cell>
          <cell r="G3610" t="str">
            <v xml:space="preserve">Milton Hardany Dominguez Martinez </v>
          </cell>
        </row>
        <row r="3611">
          <cell r="F3611">
            <v>313541</v>
          </cell>
          <cell r="G3611" t="str">
            <v xml:space="preserve">Mirna Lorena Argueta Ayala </v>
          </cell>
        </row>
        <row r="3612">
          <cell r="F3612">
            <v>315319</v>
          </cell>
          <cell r="G3612" t="str">
            <v xml:space="preserve">Noe Rubell Garcia Cerna </v>
          </cell>
        </row>
        <row r="3613">
          <cell r="F3613">
            <v>314502</v>
          </cell>
          <cell r="G3613" t="str">
            <v>Reyna Elizabeth Panadero</v>
          </cell>
        </row>
        <row r="3614">
          <cell r="F3614">
            <v>313284</v>
          </cell>
          <cell r="G3614" t="str">
            <v>Sebastian Quino Morales</v>
          </cell>
        </row>
        <row r="3615">
          <cell r="F3615">
            <v>311460</v>
          </cell>
          <cell r="G3615" t="str">
            <v xml:space="preserve"> Ana Vilma Bamaca Cardona</v>
          </cell>
        </row>
        <row r="3616">
          <cell r="F3616">
            <v>306579</v>
          </cell>
          <cell r="G3616" t="str">
            <v xml:space="preserve"> Angel Emilio De Jesus Morales Ramirez</v>
          </cell>
        </row>
        <row r="3617">
          <cell r="F3617">
            <v>311234</v>
          </cell>
          <cell r="G3617" t="str">
            <v xml:space="preserve"> Astrid Marlene Diaz</v>
          </cell>
        </row>
        <row r="3618">
          <cell r="F3618">
            <v>308361</v>
          </cell>
          <cell r="G3618" t="str">
            <v xml:space="preserve"> Brenda Maribel Orozco Mendoza</v>
          </cell>
        </row>
        <row r="3619">
          <cell r="F3619">
            <v>311060</v>
          </cell>
          <cell r="G3619" t="str">
            <v xml:space="preserve"> Dora Lissette Higueros Trejo</v>
          </cell>
        </row>
        <row r="3620">
          <cell r="F3620">
            <v>305555</v>
          </cell>
          <cell r="G3620" t="str">
            <v xml:space="preserve"> Heber Antonio Olivares Alvarado</v>
          </cell>
        </row>
        <row r="3621">
          <cell r="F3621">
            <v>308210</v>
          </cell>
          <cell r="G3621" t="str">
            <v xml:space="preserve"> Isaias Ramirez Jimenez</v>
          </cell>
        </row>
        <row r="3622">
          <cell r="F3622">
            <v>310790</v>
          </cell>
          <cell r="G3622" t="str">
            <v xml:space="preserve"> Karina Del Rosario Castro Lopez De Guzman</v>
          </cell>
        </row>
        <row r="3623">
          <cell r="F3623">
            <v>309544</v>
          </cell>
          <cell r="G3623" t="str">
            <v xml:space="preserve"> Lorena Alexandra Lopez Yax</v>
          </cell>
        </row>
        <row r="3624">
          <cell r="F3624">
            <v>308493</v>
          </cell>
          <cell r="G3624" t="str">
            <v xml:space="preserve"> Sandra Beatriz Ardiano De Leon</v>
          </cell>
        </row>
        <row r="3625">
          <cell r="F3625">
            <v>312483</v>
          </cell>
          <cell r="G3625" t="str">
            <v>Berta Elizabeth Rodas Rosales</v>
          </cell>
        </row>
        <row r="3626">
          <cell r="F3626">
            <v>314431</v>
          </cell>
          <cell r="G3626" t="str">
            <v>Cristian Rene Contreras Sales</v>
          </cell>
        </row>
        <row r="3627">
          <cell r="F3627">
            <v>307394</v>
          </cell>
          <cell r="G3627" t="str">
            <v>Damaris Judith Rivas Benitez</v>
          </cell>
        </row>
        <row r="3628">
          <cell r="F3628">
            <v>311082</v>
          </cell>
          <cell r="G3628" t="str">
            <v>Janz Vincent Tunche</v>
          </cell>
        </row>
        <row r="3629">
          <cell r="F3629">
            <v>314301</v>
          </cell>
          <cell r="G3629" t="str">
            <v>Jose Carlos Puluc</v>
          </cell>
        </row>
        <row r="3630">
          <cell r="F3630">
            <v>308405</v>
          </cell>
          <cell r="G3630" t="str">
            <v>Juan Aquino Rac</v>
          </cell>
        </row>
        <row r="3631">
          <cell r="F3631">
            <v>312485</v>
          </cell>
          <cell r="G3631" t="str">
            <v>Juan Ramon Guerra Martinez</v>
          </cell>
        </row>
        <row r="3632">
          <cell r="F3632">
            <v>314527</v>
          </cell>
          <cell r="G3632" t="str">
            <v>Luis Fernando Rodas Pineda</v>
          </cell>
        </row>
        <row r="3633">
          <cell r="F3633">
            <v>312481</v>
          </cell>
          <cell r="G3633" t="str">
            <v>Magdalena Noemi Leonardo Ventura</v>
          </cell>
        </row>
        <row r="3634">
          <cell r="F3634">
            <v>312482</v>
          </cell>
          <cell r="G3634" t="str">
            <v>Mildred Elizabeth Rivera Tenas</v>
          </cell>
        </row>
        <row r="3635">
          <cell r="F3635">
            <v>307005</v>
          </cell>
          <cell r="G3635" t="str">
            <v>Miriam Leticia Romero Torres</v>
          </cell>
        </row>
        <row r="3636">
          <cell r="F3636">
            <v>314227</v>
          </cell>
          <cell r="G3636" t="str">
            <v xml:space="preserve">Mirna Janeth Ordoñez </v>
          </cell>
        </row>
        <row r="3637">
          <cell r="F3637">
            <v>308474</v>
          </cell>
          <cell r="G3637" t="str">
            <v>Victor Abraham Alvarado De La Cruz</v>
          </cell>
        </row>
        <row r="3638">
          <cell r="F3638">
            <v>312480</v>
          </cell>
          <cell r="G3638" t="str">
            <v>Wilson Moises Carias Santos</v>
          </cell>
        </row>
        <row r="3639">
          <cell r="F3639">
            <v>305051</v>
          </cell>
          <cell r="G3639" t="str">
            <v xml:space="preserve"> Amalia Cifuentes Gramajo</v>
          </cell>
        </row>
        <row r="3640">
          <cell r="F3640">
            <v>308201</v>
          </cell>
          <cell r="G3640" t="str">
            <v xml:space="preserve"> Amparo Janet Cardona Linares</v>
          </cell>
        </row>
        <row r="3641">
          <cell r="F3641">
            <v>311232</v>
          </cell>
          <cell r="G3641" t="str">
            <v xml:space="preserve"> Carlos Alberto Roque Galicia</v>
          </cell>
        </row>
        <row r="3642">
          <cell r="F3642">
            <v>310382</v>
          </cell>
          <cell r="G3642" t="str">
            <v xml:space="preserve"> David Gilberto Perez Mayorga</v>
          </cell>
        </row>
        <row r="3643">
          <cell r="F3643">
            <v>305796</v>
          </cell>
          <cell r="G3643" t="str">
            <v xml:space="preserve"> Elias Perez Sequen</v>
          </cell>
        </row>
        <row r="3644">
          <cell r="F3644">
            <v>310823</v>
          </cell>
          <cell r="G3644" t="str">
            <v xml:space="preserve"> Francisca Yesenia Aceytuno Quevedo</v>
          </cell>
        </row>
        <row r="3645">
          <cell r="F3645">
            <v>311152</v>
          </cell>
          <cell r="G3645" t="str">
            <v xml:space="preserve"> Heidi Natali Chacon De La Rosa De Diaz</v>
          </cell>
        </row>
        <row r="3646">
          <cell r="F3646">
            <v>309785</v>
          </cell>
          <cell r="G3646" t="str">
            <v xml:space="preserve"> Jose Esteban Diaz Montufar</v>
          </cell>
        </row>
        <row r="3647">
          <cell r="F3647">
            <v>310787</v>
          </cell>
          <cell r="G3647" t="str">
            <v xml:space="preserve"> Marilin Janeth Sanchez De Rodriguez</v>
          </cell>
        </row>
        <row r="3648">
          <cell r="F3648">
            <v>305520</v>
          </cell>
          <cell r="G3648" t="str">
            <v xml:space="preserve"> Milton Orlando Lopez</v>
          </cell>
        </row>
        <row r="3649">
          <cell r="F3649">
            <v>308978</v>
          </cell>
          <cell r="G3649" t="str">
            <v xml:space="preserve"> Oscar Amilcar Najera Segura</v>
          </cell>
        </row>
        <row r="3650">
          <cell r="F3650">
            <v>311776</v>
          </cell>
          <cell r="G3650" t="str">
            <v xml:space="preserve"> Susan Jackelinne Cristal Sanchez</v>
          </cell>
        </row>
        <row r="3651">
          <cell r="F3651">
            <v>309732</v>
          </cell>
          <cell r="G3651" t="str">
            <v xml:space="preserve"> Wilfredo Noe Tobar Valenzuela</v>
          </cell>
        </row>
        <row r="3652">
          <cell r="F3652">
            <v>314741</v>
          </cell>
          <cell r="G3652" t="str">
            <v>Angelica Lorena Garcia Gonzalez</v>
          </cell>
        </row>
        <row r="3653">
          <cell r="F3653">
            <v>314546</v>
          </cell>
          <cell r="G3653" t="str">
            <v xml:space="preserve">Cinthia Irene Paz Caal   </v>
          </cell>
        </row>
        <row r="3654">
          <cell r="F3654">
            <v>313746</v>
          </cell>
          <cell r="G3654" t="str">
            <v>Cristian Omar Cruz Mata</v>
          </cell>
        </row>
        <row r="3655">
          <cell r="F3655">
            <v>315327</v>
          </cell>
          <cell r="G3655" t="str">
            <v>Daninyer Alfonso Orellana Madrid</v>
          </cell>
        </row>
        <row r="3656">
          <cell r="F3656">
            <v>314084</v>
          </cell>
          <cell r="G3656" t="str">
            <v>Edgar Emilio Gomez Bobadilla</v>
          </cell>
        </row>
        <row r="3657">
          <cell r="F3657">
            <v>313195</v>
          </cell>
          <cell r="G3657" t="str">
            <v>Edna Helenin Benitez Guzman De Altan</v>
          </cell>
        </row>
        <row r="3658">
          <cell r="F3658">
            <v>313259</v>
          </cell>
          <cell r="G3658" t="str">
            <v>Edvin Orlando Tuis Guerra</v>
          </cell>
        </row>
        <row r="3659">
          <cell r="F3659">
            <v>314524</v>
          </cell>
          <cell r="G3659" t="str">
            <v>Francisco Antonio Davila Morales</v>
          </cell>
        </row>
        <row r="3660">
          <cell r="F3660">
            <v>314329</v>
          </cell>
          <cell r="G3660" t="str">
            <v>Fredy Joel Lopez Santiago</v>
          </cell>
        </row>
        <row r="3661">
          <cell r="F3661">
            <v>314305</v>
          </cell>
          <cell r="G3661" t="str">
            <v>Henry Gustavo Vasquez Robledo</v>
          </cell>
        </row>
        <row r="3662">
          <cell r="F3662">
            <v>311962</v>
          </cell>
          <cell r="G3662" t="str">
            <v>Hugo David Monroy Pichola</v>
          </cell>
        </row>
        <row r="3663">
          <cell r="F3663">
            <v>311075</v>
          </cell>
          <cell r="G3663" t="str">
            <v>Jorge Alberto Buch Patzan</v>
          </cell>
        </row>
        <row r="3664">
          <cell r="F3664">
            <v>311233</v>
          </cell>
          <cell r="G3664" t="str">
            <v>Maria Fernanda Del Rosario Orellana Lima De Orellana</v>
          </cell>
        </row>
        <row r="3665">
          <cell r="F3665">
            <v>314811</v>
          </cell>
          <cell r="G3665" t="str">
            <v>Marlon Estuardo Hernandez Moreira</v>
          </cell>
        </row>
        <row r="3666">
          <cell r="F3666">
            <v>313745</v>
          </cell>
          <cell r="G3666" t="str">
            <v>Milvia Alejandra Lopez Marroquin</v>
          </cell>
        </row>
        <row r="3667">
          <cell r="F3667">
            <v>312288</v>
          </cell>
          <cell r="G3667" t="str">
            <v>Miriam Marilisa Herrera Perez</v>
          </cell>
        </row>
        <row r="3668">
          <cell r="F3668">
            <v>312474</v>
          </cell>
          <cell r="G3668" t="str">
            <v>Nancy Paola Ramirez Garcia</v>
          </cell>
        </row>
        <row r="3669">
          <cell r="F3669">
            <v>313756</v>
          </cell>
          <cell r="G3669" t="str">
            <v>Walter Josue Corona Barrera</v>
          </cell>
        </row>
        <row r="3670">
          <cell r="F3670">
            <v>312284</v>
          </cell>
          <cell r="G3670" t="str">
            <v xml:space="preserve"> Arnoldo Coque Hernandez</v>
          </cell>
        </row>
        <row r="3671">
          <cell r="F3671">
            <v>312015</v>
          </cell>
          <cell r="G3671" t="str">
            <v xml:space="preserve"> Carlos Alfredo Cuc Cuxe</v>
          </cell>
        </row>
        <row r="3672">
          <cell r="F3672">
            <v>310710</v>
          </cell>
          <cell r="G3672" t="str">
            <v xml:space="preserve"> Edgar Enrique Garcia Cortave</v>
          </cell>
        </row>
        <row r="3673">
          <cell r="F3673">
            <v>311459</v>
          </cell>
          <cell r="G3673" t="str">
            <v xml:space="preserve"> Gandy Baygesus Sanchez Estrada</v>
          </cell>
        </row>
        <row r="3674">
          <cell r="F3674">
            <v>303585</v>
          </cell>
          <cell r="G3674" t="str">
            <v xml:space="preserve"> Gerber Estuardo Albizures Archila</v>
          </cell>
        </row>
        <row r="3675">
          <cell r="F3675">
            <v>310704</v>
          </cell>
          <cell r="G3675" t="str">
            <v xml:space="preserve"> Henry Samuel De Leon Menchu</v>
          </cell>
        </row>
        <row r="3676">
          <cell r="F3676">
            <v>311359</v>
          </cell>
          <cell r="G3676" t="str">
            <v xml:space="preserve"> Jania Nataly De Leon Ramirez De Suret</v>
          </cell>
        </row>
        <row r="3677">
          <cell r="F3677">
            <v>306643</v>
          </cell>
          <cell r="G3677" t="str">
            <v xml:space="preserve"> Marvin Saul Sical Ventura</v>
          </cell>
        </row>
        <row r="3678">
          <cell r="F3678">
            <v>307846</v>
          </cell>
          <cell r="G3678" t="str">
            <v xml:space="preserve"> Sandra Patricia Baran Avila</v>
          </cell>
        </row>
        <row r="3679">
          <cell r="F3679">
            <v>307962</v>
          </cell>
          <cell r="G3679" t="str">
            <v xml:space="preserve"> Selvyn David Payola Ayala</v>
          </cell>
        </row>
        <row r="3680">
          <cell r="F3680">
            <v>307891</v>
          </cell>
          <cell r="G3680" t="str">
            <v xml:space="preserve"> Susana Rodriguez Cordova</v>
          </cell>
        </row>
        <row r="3681">
          <cell r="F3681">
            <v>314936</v>
          </cell>
          <cell r="G3681" t="str">
            <v>Alex Fernando Garcia De Leon</v>
          </cell>
        </row>
        <row r="3682">
          <cell r="F3682">
            <v>313295</v>
          </cell>
          <cell r="G3682" t="str">
            <v>Amed Carlos Eduardo Matheu Cabrera</v>
          </cell>
        </row>
        <row r="3683">
          <cell r="F3683">
            <v>314413</v>
          </cell>
          <cell r="G3683" t="str">
            <v>Carmen Arely Perez Escobar</v>
          </cell>
        </row>
        <row r="3684">
          <cell r="F3684">
            <v>315237</v>
          </cell>
          <cell r="G3684" t="str">
            <v>Celia Mariela Castillo Beteta</v>
          </cell>
        </row>
        <row r="3685">
          <cell r="F3685">
            <v>311345</v>
          </cell>
          <cell r="G3685" t="str">
            <v>Darwin Ruben Martinez Ramirez</v>
          </cell>
        </row>
        <row r="3686">
          <cell r="F3686">
            <v>314250</v>
          </cell>
          <cell r="G3686" t="str">
            <v>Diego Armando Contreras Flores</v>
          </cell>
        </row>
        <row r="3687">
          <cell r="F3687">
            <v>314281</v>
          </cell>
          <cell r="G3687" t="str">
            <v>Edward Josue Cortez Belloso</v>
          </cell>
        </row>
        <row r="3688">
          <cell r="F3688">
            <v>313451</v>
          </cell>
          <cell r="G3688" t="str">
            <v>Erick Dionicio Alvarez Flores</v>
          </cell>
        </row>
        <row r="3689">
          <cell r="F3689">
            <v>313497</v>
          </cell>
          <cell r="G3689" t="str">
            <v>Francisco Roman Aceytuno Ramos</v>
          </cell>
        </row>
        <row r="3690">
          <cell r="F3690">
            <v>314013</v>
          </cell>
          <cell r="G3690" t="str">
            <v>Jose Orlando Lopez Matzar</v>
          </cell>
        </row>
        <row r="3691">
          <cell r="F3691">
            <v>313262</v>
          </cell>
          <cell r="G3691" t="str">
            <v>Juan Luis Soyos Tzoy</v>
          </cell>
        </row>
        <row r="3692">
          <cell r="F3692">
            <v>313583</v>
          </cell>
          <cell r="G3692" t="str">
            <v>Laiza Marleny Gomez Garcia De Gomez</v>
          </cell>
        </row>
        <row r="3693">
          <cell r="F3693">
            <v>314762</v>
          </cell>
          <cell r="G3693" t="str">
            <v>Mario Ernesto Alvarado Molina</v>
          </cell>
        </row>
        <row r="3694">
          <cell r="F3694">
            <v>311902</v>
          </cell>
          <cell r="G3694" t="str">
            <v>Mario Raul Monroy Monroy</v>
          </cell>
        </row>
        <row r="3695">
          <cell r="F3695">
            <v>313251</v>
          </cell>
          <cell r="G3695" t="str">
            <v>Mario Ricardo Gabriel Monterroso</v>
          </cell>
        </row>
        <row r="3696">
          <cell r="F3696">
            <v>312564</v>
          </cell>
          <cell r="G3696" t="str">
            <v xml:space="preserve">Marlyn Carolina Hernandez Escobar De Dubon </v>
          </cell>
        </row>
        <row r="3697">
          <cell r="F3697">
            <v>313011</v>
          </cell>
          <cell r="G3697" t="str">
            <v>Miguel David Boch Cifuentes</v>
          </cell>
        </row>
        <row r="3698">
          <cell r="F3698">
            <v>313750</v>
          </cell>
          <cell r="G3698" t="str">
            <v xml:space="preserve">Mildred Alejandra Sapon Ruano   </v>
          </cell>
        </row>
        <row r="3699">
          <cell r="F3699">
            <v>313212</v>
          </cell>
          <cell r="G3699" t="str">
            <v>Shirley Mariana Lopez Natarengo</v>
          </cell>
        </row>
        <row r="3700">
          <cell r="F3700">
            <v>313261</v>
          </cell>
          <cell r="G3700" t="str">
            <v>Viviana Maribel Ortiz Barrios</v>
          </cell>
        </row>
        <row r="3701">
          <cell r="F3701">
            <v>309678</v>
          </cell>
          <cell r="G3701" t="str">
            <v xml:space="preserve"> Carla Noemi Irias Alvarez</v>
          </cell>
        </row>
        <row r="3702">
          <cell r="F3702">
            <v>311704</v>
          </cell>
          <cell r="G3702" t="str">
            <v xml:space="preserve"> Celedonia Isabel Chan Batz De Iscaya</v>
          </cell>
        </row>
        <row r="3703">
          <cell r="F3703">
            <v>308464</v>
          </cell>
          <cell r="G3703" t="str">
            <v xml:space="preserve"> Enmanuel Antonio Ochoa Hernandez</v>
          </cell>
        </row>
        <row r="3704">
          <cell r="F3704">
            <v>311964</v>
          </cell>
          <cell r="G3704" t="str">
            <v xml:space="preserve"> Estephanie Michelle Mendez Cano De Rivera</v>
          </cell>
        </row>
        <row r="3705">
          <cell r="F3705">
            <v>311963</v>
          </cell>
          <cell r="G3705" t="str">
            <v xml:space="preserve"> Giovanni Noel Valdez Rodriguez</v>
          </cell>
        </row>
        <row r="3706">
          <cell r="F3706">
            <v>308771</v>
          </cell>
          <cell r="G3706" t="str">
            <v xml:space="preserve"> Gloria Estefanilla Espinoza Garcia</v>
          </cell>
        </row>
        <row r="3707">
          <cell r="F3707">
            <v>311530</v>
          </cell>
          <cell r="G3707" t="str">
            <v xml:space="preserve"> Laura Ninoshka Mogollon Galvez De Ortiz</v>
          </cell>
        </row>
        <row r="3708">
          <cell r="F3708">
            <v>309348</v>
          </cell>
          <cell r="G3708" t="str">
            <v xml:space="preserve"> Ludbind Alexander Noriega Chavez</v>
          </cell>
        </row>
        <row r="3709">
          <cell r="F3709">
            <v>303093</v>
          </cell>
          <cell r="G3709" t="str">
            <v xml:space="preserve"> Rony Armando Choche Perez</v>
          </cell>
        </row>
        <row r="3710">
          <cell r="F3710">
            <v>311838</v>
          </cell>
          <cell r="G3710" t="str">
            <v xml:space="preserve"> Sarah Noemy Sandoval Poggio</v>
          </cell>
        </row>
        <row r="3711">
          <cell r="F3711">
            <v>310071</v>
          </cell>
          <cell r="G3711" t="str">
            <v xml:space="preserve"> Victoria Aracely Gomez Ochoa</v>
          </cell>
        </row>
        <row r="3712">
          <cell r="F3712">
            <v>315129</v>
          </cell>
          <cell r="G3712" t="str">
            <v xml:space="preserve">Angel Israel Perez Perez </v>
          </cell>
        </row>
        <row r="3713">
          <cell r="F3713">
            <v>314522</v>
          </cell>
          <cell r="G3713" t="str">
            <v>Argentina Frisdy Juarez Lopez</v>
          </cell>
        </row>
        <row r="3714">
          <cell r="F3714">
            <v>311595</v>
          </cell>
          <cell r="G3714" t="str">
            <v>Billy Giovanny Avalos Castillo</v>
          </cell>
        </row>
        <row r="3715">
          <cell r="F3715">
            <v>312457</v>
          </cell>
          <cell r="G3715" t="str">
            <v>Edgar Estuardo Moran Lopez</v>
          </cell>
        </row>
        <row r="3716">
          <cell r="F3716">
            <v>313314</v>
          </cell>
          <cell r="G3716" t="str">
            <v>Elida Bertilia Donis Aguilar</v>
          </cell>
        </row>
        <row r="3717">
          <cell r="F3717">
            <v>313108</v>
          </cell>
          <cell r="G3717" t="str">
            <v>Evelyn Karina Lorenzana Gomez</v>
          </cell>
        </row>
        <row r="3718">
          <cell r="F3718">
            <v>313313</v>
          </cell>
          <cell r="G3718" t="str">
            <v>Francisco Roberto Contreras Bernardino</v>
          </cell>
        </row>
        <row r="3719">
          <cell r="F3719">
            <v>313757</v>
          </cell>
          <cell r="G3719" t="str">
            <v>Geydi Yanira Roque Esquivel</v>
          </cell>
        </row>
        <row r="3720">
          <cell r="F3720">
            <v>309122</v>
          </cell>
          <cell r="G3720" t="str">
            <v>Greyci Yulissa Aliñado Rodriguez</v>
          </cell>
        </row>
        <row r="3721">
          <cell r="F3721">
            <v>314362</v>
          </cell>
          <cell r="G3721" t="str">
            <v>Heber Adiel Dardon Batres</v>
          </cell>
        </row>
        <row r="3722">
          <cell r="F3722">
            <v>315073</v>
          </cell>
          <cell r="G3722" t="str">
            <v xml:space="preserve">Jose Manuel Molina Gaitan </v>
          </cell>
        </row>
        <row r="3723">
          <cell r="F3723">
            <v>314490</v>
          </cell>
          <cell r="G3723" t="str">
            <v xml:space="preserve">Josue Omar Rosas Vasquez </v>
          </cell>
        </row>
        <row r="3724">
          <cell r="F3724">
            <v>311662</v>
          </cell>
          <cell r="G3724" t="str">
            <v>Juan Antonio Juarez Recinos</v>
          </cell>
        </row>
        <row r="3725">
          <cell r="F3725">
            <v>312848</v>
          </cell>
          <cell r="G3725" t="str">
            <v>Juan Humberto Castillo Garcia</v>
          </cell>
        </row>
        <row r="3726">
          <cell r="F3726">
            <v>313196</v>
          </cell>
          <cell r="G3726" t="str">
            <v>Maria Fernanda Palencia Campo</v>
          </cell>
        </row>
        <row r="3727">
          <cell r="F3727">
            <v>315406</v>
          </cell>
          <cell r="G3727" t="str">
            <v>Maria Fernandez Perez Rangel</v>
          </cell>
        </row>
        <row r="3728">
          <cell r="F3728">
            <v>314302</v>
          </cell>
          <cell r="G3728" t="str">
            <v>Mario Rene Garcia Paredes</v>
          </cell>
        </row>
        <row r="3729">
          <cell r="F3729">
            <v>313758</v>
          </cell>
          <cell r="G3729" t="str">
            <v>Melani Andrea Salcedo Acevedo</v>
          </cell>
        </row>
        <row r="3730">
          <cell r="F3730">
            <v>314656</v>
          </cell>
          <cell r="G3730" t="str">
            <v>Nancy Johana Flores Barrera</v>
          </cell>
        </row>
        <row r="3731">
          <cell r="F3731">
            <v>313835</v>
          </cell>
          <cell r="G3731" t="str">
            <v>Rainer Daniel Melgar Chajon</v>
          </cell>
        </row>
        <row r="3732">
          <cell r="F3732">
            <v>312478</v>
          </cell>
          <cell r="G3732" t="str">
            <v>Walter Josue Ampudia Martinez</v>
          </cell>
        </row>
        <row r="3733">
          <cell r="F3733">
            <v>315200</v>
          </cell>
          <cell r="G3733" t="str">
            <v xml:space="preserve">Yeni Amarilis Ruano </v>
          </cell>
        </row>
        <row r="3734">
          <cell r="F3734">
            <v>315029</v>
          </cell>
          <cell r="G3734" t="str">
            <v>Camelia Bocel Tun</v>
          </cell>
        </row>
        <row r="3735">
          <cell r="F3735">
            <v>314847</v>
          </cell>
          <cell r="G3735" t="str">
            <v>Donald Jacshon Abac Velasquez</v>
          </cell>
        </row>
        <row r="3736">
          <cell r="F3736">
            <v>314911</v>
          </cell>
          <cell r="G3736" t="str">
            <v>Jose Armando Valdez Juarez</v>
          </cell>
        </row>
        <row r="3737">
          <cell r="F3737">
            <v>314907</v>
          </cell>
          <cell r="G3737" t="str">
            <v>Jose Gabriel Armas Sandoval</v>
          </cell>
        </row>
        <row r="3738">
          <cell r="F3738">
            <v>315190</v>
          </cell>
          <cell r="G3738" t="str">
            <v xml:space="preserve">Edy Alexander Gonzalez Ramos </v>
          </cell>
        </row>
        <row r="3739">
          <cell r="F3739">
            <v>315176</v>
          </cell>
          <cell r="G3739" t="str">
            <v xml:space="preserve">Etson Samuel Villatoro Saballos </v>
          </cell>
        </row>
        <row r="3740">
          <cell r="F3740">
            <v>315080</v>
          </cell>
          <cell r="G3740" t="str">
            <v>Horacio Rafael Molina Avila</v>
          </cell>
        </row>
        <row r="3741">
          <cell r="F3741">
            <v>315177</v>
          </cell>
          <cell r="G3741" t="str">
            <v xml:space="preserve">Keitlin Anahi Martinez Castillo </v>
          </cell>
        </row>
        <row r="3742">
          <cell r="F3742">
            <v>315189</v>
          </cell>
          <cell r="G3742" t="str">
            <v xml:space="preserve">Milthon Yobany Castillo Martinez </v>
          </cell>
        </row>
        <row r="3743">
          <cell r="F3743">
            <v>315469</v>
          </cell>
          <cell r="G3743" t="str">
            <v xml:space="preserve">Milvia Fabiola Velasquez </v>
          </cell>
        </row>
        <row r="3744">
          <cell r="F3744">
            <v>315360</v>
          </cell>
          <cell r="G3744" t="str">
            <v>Eneas Valdez Colop</v>
          </cell>
        </row>
        <row r="3745">
          <cell r="F3745">
            <v>315461</v>
          </cell>
          <cell r="G3745" t="str">
            <v>Teylor Cuyuch</v>
          </cell>
        </row>
        <row r="3746">
          <cell r="F3746">
            <v>315390</v>
          </cell>
          <cell r="G3746" t="str">
            <v>Jose Carlos Morales</v>
          </cell>
        </row>
        <row r="3747">
          <cell r="F3747">
            <v>315464</v>
          </cell>
          <cell r="G3747" t="str">
            <v>Maria Alejandra Mazariegos</v>
          </cell>
        </row>
        <row r="3748">
          <cell r="F3748">
            <v>315574</v>
          </cell>
          <cell r="G3748" t="str">
            <v>Maryury De Los Angeles Garcia Romero</v>
          </cell>
        </row>
        <row r="3749">
          <cell r="F3749">
            <v>315596</v>
          </cell>
          <cell r="G3749" t="str">
            <v>Etson Eduardo Hernandez Campos</v>
          </cell>
        </row>
        <row r="3750">
          <cell r="F3750">
            <v>315593</v>
          </cell>
          <cell r="G3750" t="str">
            <v>Flora Anabella Yaxcal Fernandez</v>
          </cell>
        </row>
        <row r="3751">
          <cell r="F3751">
            <v>315595</v>
          </cell>
          <cell r="G3751" t="str">
            <v xml:space="preserve">Jaqueline Paola Santizo Roman </v>
          </cell>
        </row>
        <row r="3752">
          <cell r="F3752">
            <v>315292</v>
          </cell>
          <cell r="G3752" t="str">
            <v>Mijail Erick Joaquin Morales Ortiz</v>
          </cell>
        </row>
        <row r="3753">
          <cell r="F3753">
            <v>860486</v>
          </cell>
          <cell r="G3753" t="str">
            <v>Brenda Lucrecia Velasquez Cifuentes</v>
          </cell>
        </row>
        <row r="3754">
          <cell r="F3754">
            <v>860236</v>
          </cell>
          <cell r="G3754" t="str">
            <v>Emmanuel Gonzalez</v>
          </cell>
        </row>
        <row r="3755">
          <cell r="F3755" t="str">
            <v>UN</v>
          </cell>
          <cell r="G3755" t="str">
            <v>UN</v>
          </cell>
        </row>
        <row r="3756">
          <cell r="F3756">
            <v>315625</v>
          </cell>
          <cell r="G3756" t="str">
            <v>CLAUDIA ELIZABETH CARRERA MARROQUIN</v>
          </cell>
        </row>
        <row r="3757">
          <cell r="F3757">
            <v>315666</v>
          </cell>
          <cell r="G3757" t="str">
            <v>SINDY AMARILIS SANCHEZ MONTERROSO</v>
          </cell>
        </row>
        <row r="3758">
          <cell r="F3758">
            <v>315691</v>
          </cell>
          <cell r="G3758" t="str">
            <v>JAIME RENE JUAREZ SANCHEZ</v>
          </cell>
        </row>
        <row r="3759">
          <cell r="F3759">
            <v>315750</v>
          </cell>
          <cell r="G3759" t="str">
            <v>KEILA PAOLA CALDERON LOPEZ</v>
          </cell>
        </row>
        <row r="3760">
          <cell r="F3760">
            <v>315721</v>
          </cell>
          <cell r="G3760" t="str">
            <v>HECTOR LEONEL MEJICANOS CRUZ</v>
          </cell>
        </row>
        <row r="3761">
          <cell r="F3761">
            <v>315847</v>
          </cell>
          <cell r="G3761" t="str">
            <v>YEFRI ESTUARDO LOPEZ VELASQUEZ</v>
          </cell>
        </row>
        <row r="3762">
          <cell r="F3762">
            <v>315833</v>
          </cell>
          <cell r="G3762" t="str">
            <v>MARIA DE LOS ANGELES MURALLES MURALLES</v>
          </cell>
        </row>
        <row r="3763">
          <cell r="F3763">
            <v>315621</v>
          </cell>
          <cell r="G3763" t="str">
            <v>SAYDA ROCIO JUAREZ SANJAY</v>
          </cell>
        </row>
        <row r="3764">
          <cell r="F3764">
            <v>315816</v>
          </cell>
          <cell r="G3764" t="str">
            <v>RANDALL  AREVALO RUIZ</v>
          </cell>
        </row>
        <row r="3765">
          <cell r="F3765">
            <v>315692</v>
          </cell>
          <cell r="G3765" t="str">
            <v>Jose David Jimenez Valle</v>
          </cell>
        </row>
        <row r="3766">
          <cell r="F3766">
            <v>315801</v>
          </cell>
          <cell r="G3766" t="str">
            <v>YENIFFER GUADALUPE CHIQUIN CARBONELL</v>
          </cell>
        </row>
        <row r="3767">
          <cell r="F3767">
            <v>315649</v>
          </cell>
          <cell r="G3767" t="str">
            <v>JOSE LEON CHOGUAJ TOJIN</v>
          </cell>
        </row>
        <row r="3768">
          <cell r="F3768">
            <v>315986</v>
          </cell>
          <cell r="G3768" t="str">
            <v>KELVYN AMERICO SOSA OCHOA</v>
          </cell>
        </row>
        <row r="3769">
          <cell r="F3769">
            <v>315693</v>
          </cell>
          <cell r="G3769" t="str">
            <v>barbara asibinac</v>
          </cell>
        </row>
        <row r="3770">
          <cell r="F3770">
            <v>315974</v>
          </cell>
          <cell r="G3770" t="str">
            <v>Ana Victoria Noj Galindo</v>
          </cell>
        </row>
        <row r="3771">
          <cell r="F3771">
            <v>316040</v>
          </cell>
          <cell r="G3771" t="str">
            <v>Douglas Armando Flores Mendoza</v>
          </cell>
        </row>
        <row r="3772">
          <cell r="F3772">
            <v>315825</v>
          </cell>
          <cell r="G3772" t="str">
            <v>Reina Elizabeth Chacon Vasquez</v>
          </cell>
        </row>
        <row r="3773">
          <cell r="F3773">
            <v>315597</v>
          </cell>
          <cell r="G3773" t="str">
            <v>Edgar Jhonatan Contreras Garcia</v>
          </cell>
        </row>
        <row r="3774">
          <cell r="F3774">
            <v>316083</v>
          </cell>
          <cell r="G3774" t="str">
            <v>Marlen Erendida Rivas Gonzalez</v>
          </cell>
        </row>
        <row r="3775">
          <cell r="F3775">
            <v>315665</v>
          </cell>
          <cell r="G3775" t="str">
            <v>jefferson jose antonio interano solis</v>
          </cell>
        </row>
        <row r="3776">
          <cell r="F3776">
            <v>315913</v>
          </cell>
          <cell r="G3776" t="str">
            <v>HERLY SARAI GONZALEZ VELASQUEZ</v>
          </cell>
        </row>
        <row r="3777">
          <cell r="F3777">
            <v>315765</v>
          </cell>
          <cell r="G3777" t="str">
            <v>JACQUELINE ESTER PATZAN TZUNUN</v>
          </cell>
        </row>
        <row r="3778">
          <cell r="F3778">
            <v>316051</v>
          </cell>
          <cell r="G3778" t="str">
            <v>CHRISTIN ANDREA CASTILLO CALDERON</v>
          </cell>
        </row>
        <row r="3779">
          <cell r="F3779">
            <v>315939</v>
          </cell>
          <cell r="G3779" t="str">
            <v>JOSE DAVID BAMACA</v>
          </cell>
        </row>
        <row r="3780">
          <cell r="F3780">
            <v>315744</v>
          </cell>
          <cell r="G3780" t="str">
            <v>JACKELINE SUSANA HERRARTE BOCHE</v>
          </cell>
        </row>
        <row r="3781">
          <cell r="F3781">
            <v>316187</v>
          </cell>
          <cell r="G3781" t="str">
            <v xml:space="preserve">ADY MICHELLE LOPEZ QUEL </v>
          </cell>
        </row>
        <row r="3782">
          <cell r="F3782">
            <v>315786</v>
          </cell>
          <cell r="G3782" t="str">
            <v>EDUARDO ISAIAS HERNANDEZ AMBROCIO</v>
          </cell>
        </row>
        <row r="3783">
          <cell r="F3783">
            <v>315803</v>
          </cell>
          <cell r="G3783" t="str">
            <v>DEYVID SAUL OSORIO COLIN</v>
          </cell>
        </row>
        <row r="3784">
          <cell r="F3784">
            <v>315893</v>
          </cell>
          <cell r="G3784" t="str">
            <v xml:space="preserve">BRYAN ALEXANDER LAINES MARROQUIN </v>
          </cell>
        </row>
        <row r="3785">
          <cell r="F3785">
            <v>315890</v>
          </cell>
          <cell r="G3785" t="str">
            <v>ERICK JOSUE PINEDA CACEROS</v>
          </cell>
        </row>
        <row r="3786">
          <cell r="F3786">
            <v>316190</v>
          </cell>
          <cell r="G3786" t="str">
            <v>JOSE MANUEL MELLADO ESQUIBEL</v>
          </cell>
        </row>
        <row r="3787">
          <cell r="F3787">
            <v>315843</v>
          </cell>
          <cell r="G3787" t="str">
            <v xml:space="preserve">JENNIFER YESSENIA PEREZ MORALES </v>
          </cell>
        </row>
        <row r="3788">
          <cell r="F3788">
            <v>315840</v>
          </cell>
          <cell r="G3788" t="str">
            <v>Cesar David Perez Garrido</v>
          </cell>
        </row>
        <row r="3789">
          <cell r="F3789">
            <v>315697</v>
          </cell>
          <cell r="G3789" t="str">
            <v xml:space="preserve">Karen Dayana Xiquin Sanchez </v>
          </cell>
        </row>
        <row r="3790">
          <cell r="F3790">
            <v>315946</v>
          </cell>
          <cell r="G3790" t="str">
            <v xml:space="preserve"> MANUEL ADAN SURUY JIMENEZ</v>
          </cell>
        </row>
        <row r="3791">
          <cell r="F3791">
            <v>315784</v>
          </cell>
          <cell r="G3791" t="str">
            <v xml:space="preserve">JORGE MARIO SIC </v>
          </cell>
        </row>
        <row r="3792">
          <cell r="F3792">
            <v>316001</v>
          </cell>
          <cell r="G3792" t="str">
            <v>WENDY DANIELA CAMEY MATEO</v>
          </cell>
        </row>
        <row r="3793">
          <cell r="F3793">
            <v>315777</v>
          </cell>
          <cell r="G3793" t="str">
            <v>Jonatan Mauricio Padilla Marroquin</v>
          </cell>
        </row>
        <row r="3794">
          <cell r="F3794">
            <v>315699</v>
          </cell>
          <cell r="G3794" t="str">
            <v>Gualfer Orlando Dieguez Ibanez</v>
          </cell>
        </row>
        <row r="3795">
          <cell r="F3795">
            <v>315994</v>
          </cell>
          <cell r="G3795" t="str">
            <v>Edwin Wilfredo Pineda Giron</v>
          </cell>
        </row>
        <row r="3796">
          <cell r="F3796">
            <v>315766</v>
          </cell>
          <cell r="G3796" t="str">
            <v>Edgar Omar de Jesus Andrade Monterroso</v>
          </cell>
        </row>
        <row r="3797">
          <cell r="F3797">
            <v>315987</v>
          </cell>
          <cell r="G3797" t="str">
            <v>FRANCISCO DANIEL ARGUETA RAMIREZ</v>
          </cell>
        </row>
        <row r="3798">
          <cell r="F3798">
            <v>316208</v>
          </cell>
          <cell r="G3798" t="str">
            <v>LEYCER ULICES CANA ANDRADE</v>
          </cell>
        </row>
        <row r="3799">
          <cell r="F3799">
            <v>316193</v>
          </cell>
          <cell r="G3799" t="str">
            <v>Maria de Lourdes Leb Nij</v>
          </cell>
        </row>
        <row r="3800">
          <cell r="F3800">
            <v>316176</v>
          </cell>
          <cell r="G3800" t="str">
            <v>ROSA ANGELICA ZURDO GONZALEZ</v>
          </cell>
        </row>
        <row r="3801">
          <cell r="F3801">
            <v>316293</v>
          </cell>
          <cell r="G3801" t="str">
            <v>LUCIO MOISES CHAVEZ CHAVEZ</v>
          </cell>
        </row>
        <row r="3802">
          <cell r="F3802">
            <v>316090</v>
          </cell>
          <cell r="G3802" t="str">
            <v>ASTRID SUCELY VELIZ CAAL</v>
          </cell>
        </row>
        <row r="3803">
          <cell r="F3803">
            <v>316057</v>
          </cell>
          <cell r="G3803" t="str">
            <v>ROGELIO ARMANDO ACEITUNO HERRERA</v>
          </cell>
        </row>
        <row r="3804">
          <cell r="F3804">
            <v>315962</v>
          </cell>
          <cell r="G3804" t="str">
            <v>Jennifer Celeste Delgado Garcia</v>
          </cell>
        </row>
        <row r="3805">
          <cell r="F3805">
            <v>316237</v>
          </cell>
          <cell r="G3805" t="str">
            <v>MARIA DEL ROSARIO ESPINOZA CRUZ</v>
          </cell>
        </row>
        <row r="3806">
          <cell r="F3806">
            <v>316054</v>
          </cell>
          <cell r="G3806" t="str">
            <v>Kevin Steve Barrera Galicia</v>
          </cell>
        </row>
        <row r="3807">
          <cell r="F3807">
            <v>315734</v>
          </cell>
          <cell r="G3807" t="str">
            <v>DULCE MARINA LOPEZ SOLIS</v>
          </cell>
        </row>
        <row r="3808">
          <cell r="F3808">
            <v>316098</v>
          </cell>
          <cell r="G3808" t="str">
            <v>KARLA ALEJANDRA CHAVEZ PEÑA</v>
          </cell>
        </row>
        <row r="3809">
          <cell r="F3809">
            <v>315679</v>
          </cell>
          <cell r="G3809" t="str">
            <v>ANGELA XIOMARA PONCIANO GONZALEZ</v>
          </cell>
        </row>
        <row r="3810">
          <cell r="F3810">
            <v>315769</v>
          </cell>
          <cell r="G3810" t="str">
            <v>URIAS VENANCIO LOPEZ COTON</v>
          </cell>
        </row>
        <row r="3811">
          <cell r="F3811">
            <v>316174</v>
          </cell>
          <cell r="G3811" t="str">
            <v>ENRIQUE ALFONSO LOPEZ RAMREZ</v>
          </cell>
        </row>
        <row r="3812">
          <cell r="F3812">
            <v>316152</v>
          </cell>
          <cell r="G3812" t="str">
            <v>Yenica Limni López Sebastian</v>
          </cell>
        </row>
        <row r="3813">
          <cell r="F3813">
            <v>315882</v>
          </cell>
          <cell r="G3813" t="str">
            <v>RUTH ANAI GOMEZ RAMIREZ</v>
          </cell>
        </row>
        <row r="3814">
          <cell r="F3814">
            <v>316241</v>
          </cell>
          <cell r="G3814" t="str">
            <v>ALLAN ESMAYLIN CABRERA PEREZ</v>
          </cell>
        </row>
        <row r="3815">
          <cell r="F3815">
            <v>315651</v>
          </cell>
          <cell r="G3815" t="str">
            <v>WALTER EDUARDO RODAS RIOS</v>
          </cell>
        </row>
        <row r="3816">
          <cell r="F3816">
            <v>316011</v>
          </cell>
          <cell r="G3816" t="str">
            <v>KEVIN MAUEL PEREZ OROZCO</v>
          </cell>
        </row>
        <row r="3817">
          <cell r="F3817">
            <v>316263</v>
          </cell>
          <cell r="G3817" t="str">
            <v>LUIS FERNANDO LOPEZ VASQUEZ</v>
          </cell>
        </row>
        <row r="3818">
          <cell r="F3818">
            <v>315661</v>
          </cell>
          <cell r="G3818" t="str">
            <v>MIGUEL ANGEL MENDEZ JUAREZ</v>
          </cell>
        </row>
        <row r="3819">
          <cell r="F3819">
            <v>316060</v>
          </cell>
          <cell r="G3819" t="str">
            <v>CARLOS ENRIQUE SOSA HERNANDEZ</v>
          </cell>
        </row>
        <row r="3820">
          <cell r="F3820">
            <v>315992</v>
          </cell>
          <cell r="G3820" t="str">
            <v>LISBETH VICTORIA GARCIA</v>
          </cell>
        </row>
        <row r="3821">
          <cell r="F3821">
            <v>316191</v>
          </cell>
          <cell r="G3821" t="str">
            <v>Katerin Mishel Acosta Lobos</v>
          </cell>
        </row>
        <row r="3822">
          <cell r="F3822">
            <v>316294</v>
          </cell>
          <cell r="G3822" t="str">
            <v>Carmen Fernanda Ramos Jimenez</v>
          </cell>
        </row>
        <row r="3823">
          <cell r="F3823">
            <v>90012428</v>
          </cell>
          <cell r="G3823" t="str">
            <v>Lesly Alejandra Urbina Chojolan</v>
          </cell>
        </row>
        <row r="3824">
          <cell r="F3824">
            <v>90013944</v>
          </cell>
          <cell r="G3824" t="str">
            <v>KARLA ROSARIO MARTINEZ SOTO</v>
          </cell>
        </row>
        <row r="3825">
          <cell r="F3825">
            <v>316240</v>
          </cell>
          <cell r="G3825" t="str">
            <v>WILMER GUILLERMO PEREZ CHAY</v>
          </cell>
        </row>
        <row r="3826">
          <cell r="F3826">
            <v>90014151</v>
          </cell>
          <cell r="G3826" t="str">
            <v>ANDERSON NOE MORALES MARROQUIN</v>
          </cell>
        </row>
        <row r="3827">
          <cell r="F3827">
            <v>90013720</v>
          </cell>
          <cell r="G3827" t="str">
            <v>OBED DANIEL RAMIREZ FUENTES</v>
          </cell>
        </row>
        <row r="3828">
          <cell r="F3828">
            <v>90012315</v>
          </cell>
          <cell r="G3828" t="str">
            <v>Lorenzo Antonio Herrera Tobar</v>
          </cell>
        </row>
        <row r="3829">
          <cell r="F3829">
            <v>90013833</v>
          </cell>
          <cell r="G3829" t="str">
            <v>Melane Alejandra Contreras Sicajan</v>
          </cell>
        </row>
        <row r="3830">
          <cell r="F3830">
            <v>90018997</v>
          </cell>
          <cell r="G3830" t="str">
            <v>Daniel Uvaldo Barreno Meneses</v>
          </cell>
        </row>
        <row r="3831">
          <cell r="F3831">
            <v>90014269</v>
          </cell>
          <cell r="G3831" t="str">
            <v>Lusvin Ariel Villacinda Flores</v>
          </cell>
        </row>
        <row r="3832">
          <cell r="F3832" t="str">
            <v>N/A</v>
          </cell>
          <cell r="G3832" t="str">
            <v>N/A</v>
          </cell>
        </row>
        <row r="3833">
          <cell r="F3833">
            <v>90014281</v>
          </cell>
          <cell r="G3833" t="str">
            <v>MARIO EMANUEL DE JESUS MENDOZA</v>
          </cell>
        </row>
        <row r="3834">
          <cell r="F3834">
            <v>316053</v>
          </cell>
          <cell r="G3834" t="str">
            <v>ANA LETICIA PAAU OXOM</v>
          </cell>
        </row>
        <row r="3835">
          <cell r="F3835">
            <v>315985</v>
          </cell>
          <cell r="G3835" t="str">
            <v>PEDRO ELIAS POP CAAL</v>
          </cell>
        </row>
        <row r="3836">
          <cell r="F3836">
            <v>90009270</v>
          </cell>
          <cell r="G3836" t="str">
            <v>Laura Yessenia Trabanino Interiano</v>
          </cell>
        </row>
        <row r="3837">
          <cell r="F3837">
            <v>315809</v>
          </cell>
          <cell r="G3837" t="str">
            <v>MARIA DOLORES VICTORIA TZOC BEB</v>
          </cell>
        </row>
        <row r="3838">
          <cell r="F3838">
            <v>90009269</v>
          </cell>
          <cell r="G3838" t="str">
            <v>WENDY MISHEL CONTRERAS MARTINEZ</v>
          </cell>
        </row>
        <row r="3839">
          <cell r="F3839">
            <v>90013521</v>
          </cell>
          <cell r="G3839" t="str">
            <v>CAREN ANTONIA SOTO JIMENEZ</v>
          </cell>
        </row>
        <row r="3840">
          <cell r="F3840">
            <v>316124</v>
          </cell>
          <cell r="G3840" t="str">
            <v>HENRY DAVID CORONADO GOMEZ</v>
          </cell>
        </row>
        <row r="3841">
          <cell r="F3841">
            <v>90009271</v>
          </cell>
          <cell r="G3841" t="str">
            <v>SENDER YANEZ</v>
          </cell>
        </row>
        <row r="3842">
          <cell r="F3842">
            <v>316000</v>
          </cell>
          <cell r="G3842" t="str">
            <v>MARLON SAUL CAAL GIRON</v>
          </cell>
        </row>
        <row r="3843">
          <cell r="F3843">
            <v>316423</v>
          </cell>
          <cell r="G3843" t="str">
            <v>JUAN CARLOS EMANUEL CRUZ CO</v>
          </cell>
        </row>
        <row r="3844">
          <cell r="F3844">
            <v>316273</v>
          </cell>
          <cell r="G3844" t="str">
            <v>FEDERICO ANTONIO COC CHOC</v>
          </cell>
        </row>
        <row r="3845">
          <cell r="F3845">
            <v>90014168</v>
          </cell>
          <cell r="G3845" t="str">
            <v>MIGUEL EUDILIO SABAN LOPEZ</v>
          </cell>
        </row>
        <row r="3846">
          <cell r="F3846">
            <v>316424</v>
          </cell>
          <cell r="G3846" t="str">
            <v>HENRY DAVID CORONADO GOMEZ</v>
          </cell>
        </row>
        <row r="3847">
          <cell r="F3847">
            <v>90013726</v>
          </cell>
          <cell r="G3847" t="str">
            <v>EUFEMIA MAZARIEGOS SANCHEZ</v>
          </cell>
        </row>
        <row r="3848">
          <cell r="F3848">
            <v>900015498</v>
          </cell>
          <cell r="G3848" t="str">
            <v>RODOLFO ANTONIO CHIQUIN REYES</v>
          </cell>
        </row>
        <row r="3849">
          <cell r="F3849">
            <v>90009264</v>
          </cell>
          <cell r="G3849" t="str">
            <v>RANDY ALEXIS TUT CUNIL</v>
          </cell>
        </row>
        <row r="3850">
          <cell r="F3850">
            <v>90014229</v>
          </cell>
          <cell r="G3850" t="str">
            <v>Candy Mayerli Salazar Rodriguez</v>
          </cell>
        </row>
        <row r="3851">
          <cell r="F3851">
            <v>90012459</v>
          </cell>
          <cell r="G3851" t="str">
            <v>Gewerson Josias Caal Coc</v>
          </cell>
        </row>
        <row r="3852">
          <cell r="F3852">
            <v>90010411</v>
          </cell>
          <cell r="G3852" t="str">
            <v>Claudia Liliana Munoz Jimenez</v>
          </cell>
        </row>
        <row r="3853">
          <cell r="F3853">
            <v>315812</v>
          </cell>
          <cell r="G3853" t="str">
            <v>JOSUE FELIPE LOPEZ TOJIN</v>
          </cell>
        </row>
        <row r="3854">
          <cell r="F3854">
            <v>316379</v>
          </cell>
          <cell r="G3854" t="str">
            <v>LOURDES MAYARI RAMIREZ RAMIREZ</v>
          </cell>
        </row>
        <row r="3855">
          <cell r="F3855">
            <v>315619</v>
          </cell>
          <cell r="G3855" t="str">
            <v>VIVIAN RODRIGUEZ</v>
          </cell>
        </row>
        <row r="3856">
          <cell r="F3856">
            <v>90009268</v>
          </cell>
          <cell r="G3856" t="str">
            <v>Yosselin Baleska Garcia Valdez</v>
          </cell>
        </row>
        <row r="3857">
          <cell r="F3857">
            <v>315862</v>
          </cell>
          <cell r="G3857" t="str">
            <v xml:space="preserve">KARLA LISBETT REYES PEREZ </v>
          </cell>
        </row>
        <row r="3858">
          <cell r="F3858">
            <v>316320</v>
          </cell>
          <cell r="G3858" t="str">
            <v>GONZALO PEREZ MIGUEL</v>
          </cell>
        </row>
        <row r="3859">
          <cell r="F3859">
            <v>316225</v>
          </cell>
          <cell r="G3859" t="str">
            <v xml:space="preserve">JACKELINE NAYELI MIGUEL DIAZ </v>
          </cell>
        </row>
        <row r="3860">
          <cell r="F3860">
            <v>316096</v>
          </cell>
          <cell r="G3860" t="str">
            <v>YENIFER DEL CARMEN PEREZ ALDANA</v>
          </cell>
        </row>
        <row r="3861">
          <cell r="F3861">
            <v>316218</v>
          </cell>
          <cell r="G3861" t="str">
            <v>HEILYN EUNICE RAMIREZ FLORIAN</v>
          </cell>
        </row>
        <row r="3862">
          <cell r="F3862">
            <v>316255</v>
          </cell>
          <cell r="G3862" t="str">
            <v>ANGELICA ISABELVELASQUEZ QUINTANILLA</v>
          </cell>
        </row>
        <row r="3863">
          <cell r="F3863">
            <v>315855</v>
          </cell>
          <cell r="G3863" t="str">
            <v>JASON RODOLFO JUAREZ BARRERA</v>
          </cell>
        </row>
        <row r="3864">
          <cell r="F3864">
            <v>315877</v>
          </cell>
          <cell r="G3864" t="str">
            <v>AURA CECILIA GREGORIO ASENCIO</v>
          </cell>
        </row>
        <row r="3865">
          <cell r="F3865">
            <v>90009267</v>
          </cell>
          <cell r="G3865" t="str">
            <v xml:space="preserve">DANIEL HUMBERTO MORALES CERVANTES </v>
          </cell>
        </row>
        <row r="3866">
          <cell r="F3866">
            <v>316304</v>
          </cell>
          <cell r="G3866" t="str">
            <v>VICTOR MANUEL DE LA CRUZ XITUMUL</v>
          </cell>
        </row>
        <row r="3867">
          <cell r="F3867">
            <v>90015498</v>
          </cell>
          <cell r="G3867" t="str">
            <v>RODOLFO ANTONIO CHIQUIN REYES</v>
          </cell>
        </row>
        <row r="3868">
          <cell r="F3868">
            <v>90018946</v>
          </cell>
          <cell r="G3868" t="str">
            <v xml:space="preserve">MARVELI BEBERLIN LOPEZ PEREZ </v>
          </cell>
        </row>
        <row r="3869">
          <cell r="F3869">
            <v>90015826</v>
          </cell>
          <cell r="G3869" t="str">
            <v>VIDALIA VANESSA MORALES PLEITEZ</v>
          </cell>
        </row>
        <row r="3870">
          <cell r="F3870">
            <v>315810</v>
          </cell>
          <cell r="G3870" t="str">
            <v>MAGDA MO</v>
          </cell>
        </row>
        <row r="3871">
          <cell r="F3871">
            <v>315799</v>
          </cell>
          <cell r="G3871" t="str">
            <v>YOSELIN PAOLA CASTILLO GUE</v>
          </cell>
        </row>
        <row r="3872">
          <cell r="F3872">
            <v>315975</v>
          </cell>
          <cell r="G3872" t="str">
            <v>ELIAS ISAAC GUEVARA HERNANDEZ</v>
          </cell>
        </row>
        <row r="3873">
          <cell r="F3873">
            <v>316151</v>
          </cell>
          <cell r="G3873" t="str">
            <v xml:space="preserve">KAROL MELINA MONTERROSO MARTIN </v>
          </cell>
        </row>
        <row r="3874">
          <cell r="F3874">
            <v>315617</v>
          </cell>
          <cell r="G3874" t="str">
            <v>LESTER MAURICIO PEREZ MARTINEZ</v>
          </cell>
        </row>
        <row r="3875">
          <cell r="F3875">
            <v>315859</v>
          </cell>
          <cell r="G3875" t="str">
            <v>CLAUDIA ROXANA BEB AC</v>
          </cell>
        </row>
        <row r="3876">
          <cell r="F3876">
            <v>316316</v>
          </cell>
          <cell r="G3876" t="str">
            <v>ALIDA ELIZABETH CAJ AMALEM</v>
          </cell>
        </row>
        <row r="3877">
          <cell r="F3877">
            <v>90009273</v>
          </cell>
          <cell r="G3877" t="str">
            <v>SILVIA ARACELY TZIU POP</v>
          </cell>
        </row>
        <row r="3878">
          <cell r="F3878">
            <v>316140</v>
          </cell>
          <cell r="G3878" t="str">
            <v>Daniel Alberto Alaya Guzman</v>
          </cell>
        </row>
        <row r="3879">
          <cell r="F3879">
            <v>90024066</v>
          </cell>
          <cell r="G3879" t="str">
            <v>Andrea Georgina Orellana Oliva</v>
          </cell>
        </row>
        <row r="3880">
          <cell r="F3880">
            <v>316360</v>
          </cell>
          <cell r="G3880" t="str">
            <v xml:space="preserve">IRMA MICHEL TOBAR NAJARRO </v>
          </cell>
        </row>
        <row r="3881">
          <cell r="F3881">
            <v>90024501</v>
          </cell>
          <cell r="G3881" t="str">
            <v xml:space="preserve">EDVIN ESTUARDO REVOLORIO MARROQUIN </v>
          </cell>
        </row>
        <row r="3882">
          <cell r="F3882">
            <v>90023865</v>
          </cell>
          <cell r="G3882" t="str">
            <v>BENITO ABAD JIMENEZ CARRILLO</v>
          </cell>
        </row>
        <row r="3883">
          <cell r="F3883">
            <v>90024074</v>
          </cell>
          <cell r="G3883" t="str">
            <v>KATHERINE MARIA JOSE ECHEVERRIA ERAZO</v>
          </cell>
        </row>
        <row r="3884">
          <cell r="F3884">
            <v>90023754</v>
          </cell>
          <cell r="G3884" t="str">
            <v>ABNER ELIAS PEC ICAL</v>
          </cell>
        </row>
        <row r="3885">
          <cell r="F3885">
            <v>90016326</v>
          </cell>
          <cell r="G3885" t="str">
            <v>BRENDA YESENIA MONROY AMADO</v>
          </cell>
        </row>
        <row r="3886">
          <cell r="F3886">
            <v>90024328</v>
          </cell>
          <cell r="G3886" t="str">
            <v>GABRIELA FERNANDA RUIZ CERVANTES</v>
          </cell>
        </row>
        <row r="3887">
          <cell r="F3887">
            <v>90024495</v>
          </cell>
          <cell r="G3887" t="str">
            <v>JAZMIN ESTEFANIE RIOS FLORES</v>
          </cell>
        </row>
        <row r="3888">
          <cell r="F3888">
            <v>90025188</v>
          </cell>
          <cell r="G3888" t="str">
            <v>SINDY GABRIELA RIVAS OCHOA</v>
          </cell>
        </row>
        <row r="3889">
          <cell r="F3889">
            <v>90023754</v>
          </cell>
          <cell r="G3889" t="str">
            <v>ABNER ELIAS PEC ICAL</v>
          </cell>
        </row>
        <row r="3890">
          <cell r="F3890">
            <v>90028655</v>
          </cell>
          <cell r="G3890" t="str">
            <v xml:space="preserve">INGRID JENIFER RECINOS RAMIREZ </v>
          </cell>
        </row>
        <row r="3891">
          <cell r="F3891">
            <v>90024122</v>
          </cell>
          <cell r="G3891" t="str">
            <v>ONEIDA MARISELA REYES CUC</v>
          </cell>
        </row>
        <row r="3892">
          <cell r="F3892">
            <v>315709</v>
          </cell>
          <cell r="G3892" t="str">
            <v>ROBIN DANIEL NIMACACHI TERET</v>
          </cell>
        </row>
        <row r="3893">
          <cell r="F3893">
            <v>90025190</v>
          </cell>
          <cell r="G3893" t="str">
            <v>JOSE LEONEL ABAC ORELLANA</v>
          </cell>
        </row>
        <row r="3894">
          <cell r="F3894">
            <v>90027833</v>
          </cell>
          <cell r="G3894" t="str">
            <v>Dulce Flor Jor Rax</v>
          </cell>
        </row>
        <row r="3895">
          <cell r="F3895">
            <v>90024412</v>
          </cell>
          <cell r="G3895" t="str">
            <v>ANGEL ALFONSO PEREZ VELASQUEZ</v>
          </cell>
        </row>
        <row r="3896">
          <cell r="F3896">
            <v>90028954</v>
          </cell>
          <cell r="G3896" t="str">
            <v xml:space="preserve">JONATAN MAREL GUERRA GUERRA </v>
          </cell>
        </row>
        <row r="3897">
          <cell r="F3897">
            <v>90025533</v>
          </cell>
          <cell r="G3897" t="str">
            <v xml:space="preserve">DENIS RAFAEL TUT CUCUL </v>
          </cell>
        </row>
        <row r="3898">
          <cell r="F3898">
            <v>90027823</v>
          </cell>
          <cell r="G3898" t="str">
            <v xml:space="preserve">FRANCISCO MIGUEL JORDAN LOPEZ </v>
          </cell>
        </row>
        <row r="3899">
          <cell r="F3899">
            <v>90027821</v>
          </cell>
          <cell r="G3899" t="str">
            <v>Merlin Areli Gomez Sagastume</v>
          </cell>
        </row>
        <row r="3900">
          <cell r="F3900">
            <v>90033087</v>
          </cell>
          <cell r="G3900" t="str">
            <v xml:space="preserve">LEIDY NATALIA HERNANDEZ LOPEZ </v>
          </cell>
        </row>
        <row r="3901">
          <cell r="F3901">
            <v>90034086</v>
          </cell>
          <cell r="G3901" t="str">
            <v>MIGDAEL JOSUE LOPEZ PINTO</v>
          </cell>
        </row>
        <row r="3902">
          <cell r="F3902">
            <v>90033088</v>
          </cell>
          <cell r="G3902" t="str">
            <v>Cinthia Andreina Valenzuela Lima</v>
          </cell>
        </row>
        <row r="3903">
          <cell r="F3903">
            <v>90033665</v>
          </cell>
          <cell r="G3903" t="str">
            <v>MAYLIN GUERRA</v>
          </cell>
        </row>
        <row r="3904">
          <cell r="F3904">
            <v>90034445</v>
          </cell>
          <cell r="G3904" t="str">
            <v>LESTER ALAIN ALVARADO MORALES</v>
          </cell>
        </row>
        <row r="3905">
          <cell r="F3905">
            <v>90033335</v>
          </cell>
          <cell r="G3905" t="str">
            <v>MARLENE RUBY SIERRA GONZALEZ</v>
          </cell>
        </row>
        <row r="3906">
          <cell r="F3906">
            <v>90033500</v>
          </cell>
          <cell r="G3906" t="str">
            <v>Vivian Vanessa Sintuj Giron</v>
          </cell>
        </row>
        <row r="3907">
          <cell r="F3907">
            <v>90034868</v>
          </cell>
          <cell r="G3907" t="str">
            <v>Marilyn Anayanci Gonzalez James</v>
          </cell>
        </row>
        <row r="3908">
          <cell r="F3908">
            <v>90033763</v>
          </cell>
          <cell r="G3908" t="str">
            <v>Estefany Melissa Gutierrez Franco</v>
          </cell>
        </row>
        <row r="3909">
          <cell r="F3909">
            <v>90028724</v>
          </cell>
          <cell r="G3909" t="str">
            <v>MARILYN AMELY CU QUIB</v>
          </cell>
        </row>
        <row r="3910">
          <cell r="F3910">
            <v>90038417</v>
          </cell>
          <cell r="G3910" t="str">
            <v>VANESSA MARIA LILI MIGUEL INTERIANO</v>
          </cell>
        </row>
        <row r="3911">
          <cell r="F3911">
            <v>90028367</v>
          </cell>
          <cell r="G3911" t="str">
            <v>MARIA DEL CARMEN ICAL PUTUL</v>
          </cell>
        </row>
        <row r="3912">
          <cell r="F3912">
            <v>90034140</v>
          </cell>
          <cell r="G3912" t="str">
            <v>OSVIN ARIEL RAMRIREZ COY</v>
          </cell>
        </row>
        <row r="3913">
          <cell r="F3913">
            <v>90038604</v>
          </cell>
          <cell r="G3913" t="str">
            <v>DAILY TATIANA GODOY AGUILAR</v>
          </cell>
        </row>
        <row r="3914">
          <cell r="F3914">
            <v>90033871</v>
          </cell>
          <cell r="G3914" t="str">
            <v>MORELIA ESPERANZA PAAU MELENDEZ</v>
          </cell>
        </row>
        <row r="3915">
          <cell r="F3915">
            <v>90034941</v>
          </cell>
          <cell r="G3915" t="str">
            <v>SANDRA MARISOL CASTRO ORTIZ</v>
          </cell>
        </row>
        <row r="3916">
          <cell r="F3916">
            <v>90034374</v>
          </cell>
          <cell r="G3916" t="str">
            <v>ZONIA ESPERANZA CHOC REYES</v>
          </cell>
        </row>
        <row r="3917">
          <cell r="F3917">
            <v>90033870</v>
          </cell>
          <cell r="G3917" t="str">
            <v>JOSELYN FABIOLA LUCERO VANEGAS</v>
          </cell>
        </row>
        <row r="3918">
          <cell r="F3918">
            <v>90033656</v>
          </cell>
          <cell r="G3918" t="str">
            <v xml:space="preserve">JORGE DANIEL NERIO REYES </v>
          </cell>
        </row>
        <row r="3919">
          <cell r="F3919">
            <v>90034026</v>
          </cell>
          <cell r="G3919" t="str">
            <v>ANDREA CAMILA MAYORGA MARTINEZ</v>
          </cell>
        </row>
        <row r="3920">
          <cell r="F3920">
            <v>90034447</v>
          </cell>
          <cell r="G3920" t="str">
            <v>PAOLA NOELI AX CU</v>
          </cell>
        </row>
        <row r="3921">
          <cell r="F3921">
            <v>90038946</v>
          </cell>
          <cell r="G3921" t="str">
            <v>ROSA EMILSI TEO SALAZAR</v>
          </cell>
        </row>
        <row r="3922">
          <cell r="F3922">
            <v>90040467</v>
          </cell>
          <cell r="G3922" t="str">
            <v xml:space="preserve">MONICA LAJ DE LA CRUZ </v>
          </cell>
        </row>
        <row r="3923">
          <cell r="F3923">
            <v>90039328</v>
          </cell>
          <cell r="G3923" t="str">
            <v>LIBNI MADAI LOPEZ GOMEZ</v>
          </cell>
        </row>
        <row r="3924">
          <cell r="F3924">
            <v>90034565</v>
          </cell>
          <cell r="G3924" t="str">
            <v>Emely Raquel Reyes Bremer</v>
          </cell>
        </row>
        <row r="3925">
          <cell r="F3925">
            <v>90040440</v>
          </cell>
          <cell r="G3925" t="str">
            <v>ERICKA CAROLINA DIAZ HERNANDEZ</v>
          </cell>
        </row>
        <row r="3926">
          <cell r="F3926">
            <v>90040435</v>
          </cell>
          <cell r="G3926" t="str">
            <v xml:space="preserve">DEILY NOELI RAMIREZ VILLELA </v>
          </cell>
        </row>
        <row r="3927">
          <cell r="F3927">
            <v>90038373</v>
          </cell>
          <cell r="G3927" t="str">
            <v>BRYAN SLEYTER COY TERCERO</v>
          </cell>
        </row>
        <row r="3928">
          <cell r="F3928">
            <v>316486</v>
          </cell>
          <cell r="G3928" t="str">
            <v>MIGUEL RODRIGO GONZALEZ RAMIREZ</v>
          </cell>
        </row>
        <row r="3929">
          <cell r="F3929">
            <v>90028608</v>
          </cell>
          <cell r="G3929" t="str">
            <v>Erlin Roberto Xec Angulo</v>
          </cell>
        </row>
        <row r="3930">
          <cell r="F3930">
            <v>90035174</v>
          </cell>
          <cell r="G3930" t="str">
            <v>VALERIA LUCIA ESCOBAR MAZARIEGOS</v>
          </cell>
        </row>
        <row r="3931">
          <cell r="F3931">
            <v>90028187</v>
          </cell>
          <cell r="G3931" t="str">
            <v>MIRELLI RAMIREZ</v>
          </cell>
        </row>
        <row r="3932">
          <cell r="F3932">
            <v>90028638</v>
          </cell>
          <cell r="G3932" t="str">
            <v>LUIS CARLOS ROBERTO MORALES LOPEZ</v>
          </cell>
        </row>
        <row r="3933">
          <cell r="F3933">
            <v>90013782</v>
          </cell>
          <cell r="G3933" t="str">
            <v>WILLIAMS JOSE GALVEZ JORDAN</v>
          </cell>
        </row>
        <row r="3934">
          <cell r="F3934">
            <v>90024235</v>
          </cell>
          <cell r="G3934" t="str">
            <v>JASON ALBERTO BOLAÑOS GUTIERREZ</v>
          </cell>
        </row>
        <row r="3935">
          <cell r="F3935">
            <v>315925</v>
          </cell>
          <cell r="G3935" t="str">
            <v>JOSTHYN RAUL PARDO OBREGON</v>
          </cell>
        </row>
        <row r="3936">
          <cell r="F3936">
            <v>90028638</v>
          </cell>
          <cell r="G3936" t="str">
            <v>LUIS CARLOS ROBERTO MORALES LOPEZ</v>
          </cell>
        </row>
        <row r="3937">
          <cell r="F3937">
            <v>90039021</v>
          </cell>
          <cell r="G3937" t="str">
            <v>NICOLAS CHUC GARCIA</v>
          </cell>
        </row>
        <row r="3938">
          <cell r="F3938">
            <v>90034859</v>
          </cell>
          <cell r="G3938" t="str">
            <v xml:space="preserve">LESLY JULISA CORDON MUJO </v>
          </cell>
        </row>
        <row r="3939">
          <cell r="F3939">
            <v>90025666</v>
          </cell>
          <cell r="G3939" t="str">
            <v>PAULY MARTINA TOJ</v>
          </cell>
        </row>
        <row r="3940">
          <cell r="F3940">
            <v>90019011</v>
          </cell>
          <cell r="G3940" t="str">
            <v xml:space="preserve">ANGEL JOEL CASTRO COSAJAY </v>
          </cell>
        </row>
        <row r="3941">
          <cell r="F3941">
            <v>90038408</v>
          </cell>
          <cell r="G3941" t="str">
            <v>RUBEN ESTUARDO DONIS CHACON</v>
          </cell>
        </row>
        <row r="3942">
          <cell r="F3942">
            <v>90018838</v>
          </cell>
          <cell r="G3942" t="str">
            <v>PERLA ESPERANZA ORDOÑEZ ZULETA</v>
          </cell>
        </row>
        <row r="3943">
          <cell r="F3943">
            <v>90040904</v>
          </cell>
          <cell r="G3943" t="str">
            <v>Stacy Guadalupe Ramirez Mendoza</v>
          </cell>
        </row>
        <row r="3944">
          <cell r="F3944">
            <v>90040813</v>
          </cell>
          <cell r="G3944" t="str">
            <v>MIRZA KARINA PALMA MARROQUIN</v>
          </cell>
        </row>
        <row r="3945">
          <cell r="F3945">
            <v>90009250</v>
          </cell>
          <cell r="G3945" t="str">
            <v>YOSELIN YESENIA PEREZ JIMENEZ</v>
          </cell>
        </row>
        <row r="3946">
          <cell r="F3946">
            <v>90024632</v>
          </cell>
          <cell r="G3946" t="str">
            <v xml:space="preserve">ERICKA ESPERANZA SANDOVAL HERNANDEZ </v>
          </cell>
        </row>
        <row r="3947">
          <cell r="F3947">
            <v>90028491</v>
          </cell>
          <cell r="G3947" t="str">
            <v>ADOLFO RAFAEL SEGOVIA QUEZADA</v>
          </cell>
        </row>
        <row r="3948">
          <cell r="F3948">
            <v>90013719</v>
          </cell>
          <cell r="G3948" t="str">
            <v xml:space="preserve">MÓNICA CAROLINA LIMA CIFUENTES </v>
          </cell>
        </row>
        <row r="3949">
          <cell r="F3949">
            <v>90039301</v>
          </cell>
          <cell r="G3949" t="str">
            <v>GABBY MARIETT PAMELA BAUTISTA BAUTISTA</v>
          </cell>
        </row>
        <row r="3950">
          <cell r="F3950">
            <v>90046255</v>
          </cell>
          <cell r="G3950" t="str">
            <v xml:space="preserve">VICTOR HUGO FUENTES ORTIZ </v>
          </cell>
        </row>
        <row r="3951">
          <cell r="F3951">
            <v>90024719</v>
          </cell>
          <cell r="G3951" t="str">
            <v>CRISTOPHER JOSUE CHANQUI FLORES</v>
          </cell>
        </row>
        <row r="3952">
          <cell r="F3952">
            <v>315841</v>
          </cell>
          <cell r="G3952" t="str">
            <v>LESBIA ROXANA ROJAS CASTRO</v>
          </cell>
        </row>
        <row r="3953">
          <cell r="F3953">
            <v>90039124</v>
          </cell>
          <cell r="G3953" t="str">
            <v>PABLO JAVIER REINOSA FUENTES</v>
          </cell>
        </row>
        <row r="3954">
          <cell r="F3954">
            <v>90039330</v>
          </cell>
          <cell r="G3954" t="str">
            <v>Diana Ivon Aguilar Gonzalez</v>
          </cell>
        </row>
        <row r="3955">
          <cell r="F3955">
            <v>315555</v>
          </cell>
          <cell r="G3955" t="str">
            <v>ELISEO CARRILLO MACARIO</v>
          </cell>
        </row>
        <row r="3956">
          <cell r="F3956">
            <v>90039321</v>
          </cell>
          <cell r="G3956" t="str">
            <v>ASHLEY MELISSA MEDINA RODRIGUEZ</v>
          </cell>
        </row>
        <row r="3957">
          <cell r="F3957">
            <v>90023868</v>
          </cell>
          <cell r="G3957" t="str">
            <v>FERNANDO RENE GIL DE LEON</v>
          </cell>
        </row>
        <row r="3958">
          <cell r="F3958">
            <v>315657</v>
          </cell>
          <cell r="G3958" t="str">
            <v>HUGO EZEQUIEL GUEVARA GÓMEZ</v>
          </cell>
        </row>
        <row r="3959">
          <cell r="F3959">
            <v>90012180</v>
          </cell>
          <cell r="G3959" t="str">
            <v xml:space="preserve">CINDY MAYROBY OSCAL QUIÑONEZ </v>
          </cell>
        </row>
        <row r="3960">
          <cell r="F3960">
            <v>90015631</v>
          </cell>
          <cell r="G3960" t="str">
            <v>JEISSY DARIELA CASTELLANOS HERNANDEZ</v>
          </cell>
        </row>
        <row r="3961">
          <cell r="F3961">
            <v>90040461</v>
          </cell>
          <cell r="G3961" t="str">
            <v>JONATHAN FERNANDO GOMEZ VILLATORO</v>
          </cell>
        </row>
        <row r="3962">
          <cell r="F3962">
            <v>90028732</v>
          </cell>
          <cell r="G3962" t="str">
            <v>XAVIER ALEJANDRO RAMIREZ DIAZ</v>
          </cell>
        </row>
        <row r="3963">
          <cell r="F3963">
            <v>90040627</v>
          </cell>
          <cell r="G3963" t="str">
            <v>JOSE LEON CHOGUAJ TOJIN</v>
          </cell>
        </row>
        <row r="3964">
          <cell r="F3964">
            <v>90034563</v>
          </cell>
          <cell r="G3964" t="str">
            <v>MARIA VICTORIA MONTENEGRO SARPEC</v>
          </cell>
        </row>
        <row r="3965">
          <cell r="F3965">
            <v>90015630</v>
          </cell>
          <cell r="G3965" t="str">
            <v>MAURICIO LEON RUANO</v>
          </cell>
        </row>
        <row r="3966">
          <cell r="F3966">
            <v>90035252</v>
          </cell>
          <cell r="G3966" t="str">
            <v>Antony Steven Cabrera Muñoz</v>
          </cell>
        </row>
        <row r="3967">
          <cell r="F3967">
            <v>90045911</v>
          </cell>
          <cell r="G3967" t="str">
            <v>Josue Antonio Avila Cuxe</v>
          </cell>
        </row>
        <row r="3968">
          <cell r="F3968">
            <v>90039162</v>
          </cell>
          <cell r="G3968" t="str">
            <v xml:space="preserve">ALICIA MICHELLE ESTRADA REVOLORIO </v>
          </cell>
        </row>
        <row r="3969">
          <cell r="F3969">
            <v>90046332</v>
          </cell>
          <cell r="G3969" t="str">
            <v>DULCE MISHELL ALVARADO TOVAR</v>
          </cell>
        </row>
        <row r="3970">
          <cell r="F3970">
            <v>90048446</v>
          </cell>
          <cell r="G3970" t="str">
            <v>JENNIE JULIECITA GONZALEZ SANCHEZ</v>
          </cell>
        </row>
        <row r="3971">
          <cell r="F3971">
            <v>90040567</v>
          </cell>
          <cell r="G3971" t="str">
            <v>Walter Alberto Gomez Ojot</v>
          </cell>
        </row>
        <row r="3972">
          <cell r="F3972">
            <v>90040767</v>
          </cell>
          <cell r="G3972" t="str">
            <v xml:space="preserve">JOSELIN GABRIELA VASQUEZ VIVAS </v>
          </cell>
        </row>
        <row r="3973">
          <cell r="F3973">
            <v>90049488</v>
          </cell>
          <cell r="G3973" t="str">
            <v>JOSE FERNANDO HERNANDEZ ELIAS</v>
          </cell>
        </row>
        <row r="3974">
          <cell r="F3974">
            <v>90046884</v>
          </cell>
          <cell r="G3974" t="str">
            <v>NORMAN ALEXANDER CHINCHILLA OLMEDO</v>
          </cell>
        </row>
        <row r="3975">
          <cell r="F3975">
            <v>90048444</v>
          </cell>
          <cell r="G3975" t="str">
            <v>KATHERYN ELIZABETH BLANCO ECHEVERRIA</v>
          </cell>
        </row>
        <row r="3976">
          <cell r="F3976">
            <v>90021357</v>
          </cell>
          <cell r="G3976" t="str">
            <v>SANDRA MARICELA HERNANDEZ AVAL</v>
          </cell>
        </row>
        <row r="3977">
          <cell r="F3977">
            <v>307506</v>
          </cell>
          <cell r="G3977" t="str">
            <v>AXEL JONATHAN CASH MENDEZ</v>
          </cell>
        </row>
        <row r="3978">
          <cell r="F3978">
            <v>90049421</v>
          </cell>
          <cell r="G3978" t="str">
            <v>MARVIN ROLANDO FUENTES AGUILAR</v>
          </cell>
        </row>
        <row r="3979">
          <cell r="F3979">
            <v>90051364</v>
          </cell>
          <cell r="G3979" t="str">
            <v>Doris Yanali Cancinos Mejia</v>
          </cell>
        </row>
        <row r="3980">
          <cell r="F3980">
            <v>90050054</v>
          </cell>
          <cell r="G3980" t="str">
            <v>ALEXIS FRANCISCO MARTINEZ QUEME</v>
          </cell>
        </row>
        <row r="3981">
          <cell r="F3981">
            <v>90049072</v>
          </cell>
          <cell r="G3981" t="str">
            <v>DAILY YAMILETH DEL CID VASQUEZ</v>
          </cell>
        </row>
        <row r="3982">
          <cell r="F3982">
            <v>90050146</v>
          </cell>
          <cell r="G3982" t="str">
            <v>WENDY ARACELY MARROQUIN ARIAS</v>
          </cell>
        </row>
        <row r="3983">
          <cell r="F3983">
            <v>90050413</v>
          </cell>
          <cell r="G3983" t="str">
            <v>KAREN JAZMIN RUBIO GALVEZ</v>
          </cell>
        </row>
        <row r="3984">
          <cell r="F3984">
            <v>90033288</v>
          </cell>
          <cell r="G3984" t="str">
            <v>SINTHIA SARAI ACEITUNO GUERRERO</v>
          </cell>
        </row>
        <row r="3985">
          <cell r="F3985">
            <v>90048461</v>
          </cell>
          <cell r="G3985" t="str">
            <v>EVELYN PAOLA ESTEBAN BENITO</v>
          </cell>
        </row>
        <row r="3986">
          <cell r="F3986">
            <v>90046994</v>
          </cell>
          <cell r="G3986" t="str">
            <v>AMANDA MAGALY MORALES PEREZ</v>
          </cell>
        </row>
        <row r="3987">
          <cell r="F3987">
            <v>90033492</v>
          </cell>
          <cell r="G3987" t="str">
            <v>YURI ELIZABETH GONON PRETZANZIN</v>
          </cell>
        </row>
        <row r="3988">
          <cell r="F3988">
            <v>90059958</v>
          </cell>
          <cell r="G3988" t="str">
            <v xml:space="preserve">DALIA RACHEL FIGUEROA ELIAS </v>
          </cell>
        </row>
        <row r="3989">
          <cell r="F3989">
            <v>90049807</v>
          </cell>
          <cell r="G3989" t="str">
            <v>KAREN CELESTE SILVA SALOMON</v>
          </cell>
        </row>
        <row r="3990">
          <cell r="F3990">
            <v>90049905</v>
          </cell>
          <cell r="G3990" t="str">
            <v>Rivaldo Tucubal Benites</v>
          </cell>
        </row>
        <row r="3991">
          <cell r="F3991">
            <v>315870</v>
          </cell>
          <cell r="G3991" t="str">
            <v>ADOLFO RONALDO ALFARO RIVERA</v>
          </cell>
        </row>
        <row r="3992">
          <cell r="F3992">
            <v>90060252</v>
          </cell>
          <cell r="G3992" t="str">
            <v>ANALLELY ALEXANDRA CAMPOS HERNANDEZ</v>
          </cell>
        </row>
        <row r="3993">
          <cell r="F3993">
            <v>90051367</v>
          </cell>
          <cell r="G3993" t="str">
            <v>JOSEFA PACAY RAMIREZ</v>
          </cell>
        </row>
        <row r="3994">
          <cell r="F3994">
            <v>90048797</v>
          </cell>
          <cell r="G3994" t="str">
            <v>Edson Fernando Segura Chocop</v>
          </cell>
        </row>
        <row r="3995">
          <cell r="F3995">
            <v>90049903</v>
          </cell>
          <cell r="G3995" t="str">
            <v>JOSE RAFAEL GARCIA RAMIREZ</v>
          </cell>
        </row>
        <row r="3996">
          <cell r="F3996">
            <v>90048711</v>
          </cell>
          <cell r="G3996" t="str">
            <v>MIRZA ROCIO GALICIA CASIMIRO</v>
          </cell>
        </row>
        <row r="3997">
          <cell r="F3997">
            <v>309415</v>
          </cell>
          <cell r="G3997" t="str">
            <v>ANGEL JOSE FIGUEROA GARCIA</v>
          </cell>
        </row>
        <row r="3998">
          <cell r="F3998">
            <v>90035128</v>
          </cell>
          <cell r="G3998" t="str">
            <v>PAOLA ALEJANDRA MONZON PANIAGUA</v>
          </cell>
        </row>
        <row r="3999">
          <cell r="F3999">
            <v>90019997</v>
          </cell>
          <cell r="G3999" t="str">
            <v>CRISTIAN ALESSANDRO AVALOS MARTINEZ</v>
          </cell>
        </row>
        <row r="4000">
          <cell r="F4000">
            <v>90048562</v>
          </cell>
          <cell r="G4000" t="str">
            <v>Dany Jose Maxia Sotz</v>
          </cell>
        </row>
        <row r="4001">
          <cell r="F4001">
            <v>90048562</v>
          </cell>
          <cell r="G4001" t="str">
            <v>Dany Jose Maxia Sotz</v>
          </cell>
        </row>
        <row r="4002">
          <cell r="F4002">
            <v>316334</v>
          </cell>
          <cell r="G4002" t="str">
            <v>JACKELINE FERNANDA PEREZ JUAREZ</v>
          </cell>
        </row>
        <row r="4003">
          <cell r="F4003">
            <v>102070</v>
          </cell>
          <cell r="G4003" t="str">
            <v>Lester Giovanni Barrios Gonzalez</v>
          </cell>
        </row>
        <row r="4004">
          <cell r="F4004">
            <v>316025</v>
          </cell>
          <cell r="G4004" t="str">
            <v>GERVER DANILO RIVAS HERNANDEZ</v>
          </cell>
        </row>
        <row r="4005">
          <cell r="F4005">
            <v>316077</v>
          </cell>
          <cell r="G4005" t="str">
            <v xml:space="preserve">ANTOGNY GUADALUPE DE PAZ GOMEZ </v>
          </cell>
        </row>
        <row r="4006">
          <cell r="F4006">
            <v>90039432</v>
          </cell>
          <cell r="G4006" t="str">
            <v>SERGIO WALDEMAR PANA CHUB</v>
          </cell>
        </row>
        <row r="4007">
          <cell r="F4007">
            <v>90040608</v>
          </cell>
          <cell r="G4007" t="str">
            <v>STEFANY PAOLA SOLIS RUANO</v>
          </cell>
        </row>
        <row r="4008">
          <cell r="F4008">
            <v>102070</v>
          </cell>
          <cell r="G4008" t="str">
            <v>Lester Giovanni Barrios Gonzalez</v>
          </cell>
        </row>
        <row r="4009">
          <cell r="F4009">
            <v>316139</v>
          </cell>
          <cell r="G4009" t="str">
            <v>BRENDA YANETH GONZALEZ MEJIA</v>
          </cell>
        </row>
        <row r="4010">
          <cell r="F4010">
            <v>315966</v>
          </cell>
          <cell r="G4010" t="str">
            <v xml:space="preserve">KAREN GUADALUPE VALLE PAREDES </v>
          </cell>
        </row>
        <row r="4011">
          <cell r="F4011">
            <v>90040424</v>
          </cell>
          <cell r="G4011" t="str">
            <v>MARICRUZ ABIGAIL SOCOP MELGAR</v>
          </cell>
        </row>
        <row r="4012">
          <cell r="F4012">
            <v>90062502</v>
          </cell>
          <cell r="G4012" t="str">
            <v>ILSY PAULINA CALDERON MAZARIEGOS</v>
          </cell>
        </row>
        <row r="4013">
          <cell r="F4013">
            <v>90033666</v>
          </cell>
          <cell r="G4013" t="str">
            <v>EVELYN SARAI MARTINEZ JERONIMO</v>
          </cell>
        </row>
        <row r="4014">
          <cell r="F4014">
            <v>90049056</v>
          </cell>
          <cell r="G4014" t="str">
            <v>MARIA LOURDES GALINDO FLORES</v>
          </cell>
        </row>
        <row r="4015">
          <cell r="F4015">
            <v>316157</v>
          </cell>
          <cell r="G4015" t="str">
            <v>KEVIN DANILO MERIDA ACAJABON</v>
          </cell>
        </row>
        <row r="4016">
          <cell r="F4016">
            <v>315599</v>
          </cell>
          <cell r="G4016" t="str">
            <v>Lester Daniel Gil Mayen</v>
          </cell>
        </row>
        <row r="4017">
          <cell r="F4017">
            <v>307352</v>
          </cell>
          <cell r="G4017" t="str">
            <v>LESLY ANALI MONTERROSO RAMIREZ</v>
          </cell>
        </row>
        <row r="4018">
          <cell r="F4018">
            <v>90020203</v>
          </cell>
          <cell r="G4018" t="str">
            <v>ABNER RIGOBERTO CAB CABNAL</v>
          </cell>
        </row>
        <row r="4019">
          <cell r="F4019">
            <v>101866</v>
          </cell>
          <cell r="G4019" t="str">
            <v>Mirna Violeta Carrillo Gonzalez</v>
          </cell>
        </row>
        <row r="4020">
          <cell r="F4020">
            <v>305995</v>
          </cell>
          <cell r="G4020" t="str">
            <v>JORGE ALFREDO GUTIERREZ</v>
          </cell>
        </row>
        <row r="4021">
          <cell r="F4021">
            <v>90012077</v>
          </cell>
          <cell r="G4021" t="str">
            <v>MARIA JOSE BARRIOS RAZULEU</v>
          </cell>
        </row>
        <row r="4022">
          <cell r="F4022">
            <v>90048458</v>
          </cell>
          <cell r="G4022" t="str">
            <v>MIRIAM ROSMERY GUERRA VALLE</v>
          </cell>
        </row>
        <row r="4023">
          <cell r="F4023">
            <v>90049073</v>
          </cell>
          <cell r="G4023" t="str">
            <v>GABRIELA ELIZABETH YOC YOC</v>
          </cell>
        </row>
        <row r="4024">
          <cell r="F4024">
            <v>316261</v>
          </cell>
          <cell r="G4024" t="str">
            <v>YEYMI CAROLINA CUX TOCAY</v>
          </cell>
        </row>
        <row r="4025">
          <cell r="F4025">
            <v>90014276</v>
          </cell>
          <cell r="G4025" t="str">
            <v>SILVIA LORENA GARCIA BAUTISTA</v>
          </cell>
        </row>
        <row r="4026">
          <cell r="F4026">
            <v>90039023</v>
          </cell>
          <cell r="G4026" t="str">
            <v>ABNER GABRIEL JIMENEZ SAY</v>
          </cell>
        </row>
        <row r="4027">
          <cell r="F4027">
            <v>90035281</v>
          </cell>
          <cell r="G4027" t="str">
            <v>LILIANA MARIA NAVAS GONZALEZ</v>
          </cell>
        </row>
        <row r="4028">
          <cell r="F4028">
            <v>90035163</v>
          </cell>
          <cell r="G4028" t="str">
            <v>JULIO CESAR PEREZ PEREZ</v>
          </cell>
        </row>
        <row r="4029">
          <cell r="F4029">
            <v>90012196</v>
          </cell>
          <cell r="G4029" t="str">
            <v>KAROL STEPHANY LOPEZ TISTA</v>
          </cell>
        </row>
        <row r="4030">
          <cell r="F4030">
            <v>307352</v>
          </cell>
          <cell r="G4030" t="str">
            <v>LESLY ANALI MONTERROSO RAMIREZ</v>
          </cell>
        </row>
        <row r="4031">
          <cell r="F4031">
            <v>90040131</v>
          </cell>
          <cell r="G4031" t="str">
            <v xml:space="preserve">BRADLEY WALDEMAR MARTINEZ SALVADOR </v>
          </cell>
        </row>
        <row r="4032">
          <cell r="F4032">
            <v>90049043</v>
          </cell>
          <cell r="G4032" t="str">
            <v>PRISCILA ARELI GRANADOS LOPEZ</v>
          </cell>
        </row>
        <row r="4033">
          <cell r="F4033">
            <v>90048506</v>
          </cell>
          <cell r="G4033" t="str">
            <v>KARLA GABRIEL BRENES GUDIEL</v>
          </cell>
        </row>
        <row r="4034">
          <cell r="F4034">
            <v>90061553</v>
          </cell>
          <cell r="G4034" t="str">
            <v>MARIA EUGENIA GOMEZ MAYEN</v>
          </cell>
        </row>
        <row r="4035">
          <cell r="F4035">
            <v>90062607</v>
          </cell>
          <cell r="G4035" t="str">
            <v>JUAN ELIZABETH PU TZAY</v>
          </cell>
        </row>
        <row r="4036">
          <cell r="F4036">
            <v>90062743</v>
          </cell>
          <cell r="G4036" t="str">
            <v>GILARLY IRLANDA GALINDO GARCIA</v>
          </cell>
        </row>
        <row r="4037">
          <cell r="F4037">
            <v>90039498</v>
          </cell>
          <cell r="G4037" t="str">
            <v>JESUS ALBERTO LIMA DIAZ</v>
          </cell>
        </row>
        <row r="4038">
          <cell r="F4038">
            <v>90040281</v>
          </cell>
          <cell r="G4038" t="str">
            <v xml:space="preserve">CARLOS ANTONIO JUL COC </v>
          </cell>
        </row>
        <row r="4039">
          <cell r="F4039">
            <v>90039185</v>
          </cell>
          <cell r="G4039" t="str">
            <v>DANIEL ALEXANDER MOLINA</v>
          </cell>
        </row>
        <row r="4040">
          <cell r="F4040">
            <v>90038829</v>
          </cell>
          <cell r="G4040" t="str">
            <v>LESLY ALEJANDRA ZETO PEREZ</v>
          </cell>
        </row>
        <row r="4041">
          <cell r="F4041">
            <v>90019594</v>
          </cell>
          <cell r="G4041" t="str">
            <v>ANGEL LEONEL MAYORGA MARTINEZ</v>
          </cell>
        </row>
        <row r="4042">
          <cell r="F4042">
            <v>90039690</v>
          </cell>
          <cell r="G4042" t="str">
            <v>SUSANA MARILETH JUAREZ GALO</v>
          </cell>
        </row>
        <row r="4043">
          <cell r="F4043">
            <v>90061530</v>
          </cell>
          <cell r="G4043" t="str">
            <v>KEVIN DEL CID</v>
          </cell>
        </row>
        <row r="4044">
          <cell r="F4044">
            <v>90063342</v>
          </cell>
          <cell r="G4044" t="str">
            <v>VIVIAN MARICRUZ SUBUYUJ CAN</v>
          </cell>
        </row>
        <row r="4045">
          <cell r="F4045">
            <v>90049224</v>
          </cell>
          <cell r="G4045" t="str">
            <v>VIVI LOURDES LOPEZ ZULETA</v>
          </cell>
        </row>
        <row r="4046">
          <cell r="F4046">
            <v>90048959</v>
          </cell>
          <cell r="G4046" t="str">
            <v>MARCO TULIO DIAZ GUTIERREZ</v>
          </cell>
        </row>
        <row r="4047">
          <cell r="F4047">
            <v>90061640</v>
          </cell>
          <cell r="G4047" t="str">
            <v>AMALIA YOHANA AGUILON DE LEON</v>
          </cell>
        </row>
        <row r="4048">
          <cell r="F4048">
            <v>316002</v>
          </cell>
          <cell r="G4048" t="str">
            <v>DANIELA QUINTEROS</v>
          </cell>
        </row>
        <row r="4049">
          <cell r="F4049">
            <v>90049983</v>
          </cell>
          <cell r="G4049" t="str">
            <v xml:space="preserve">WIDMAN EFRAIN MEJIA MENDEZ  </v>
          </cell>
        </row>
        <row r="4050">
          <cell r="F4050">
            <v>90063487</v>
          </cell>
          <cell r="G4050" t="str">
            <v>RAUL ALBERTO SINAY CUBUL</v>
          </cell>
        </row>
        <row r="4051">
          <cell r="F4051">
            <v>316018</v>
          </cell>
          <cell r="G4051" t="str">
            <v>ERICKA ROSALINDA IRENE DE LEON</v>
          </cell>
        </row>
        <row r="4052">
          <cell r="F4052">
            <v>90063478</v>
          </cell>
          <cell r="G4052" t="str">
            <v>MARVIN FERNANDO RIVERA JIMENEZ</v>
          </cell>
        </row>
        <row r="4053">
          <cell r="F4053">
            <v>90064155</v>
          </cell>
          <cell r="G4053" t="str">
            <v>NATALHY VALENTINA BLANCO PEREZ</v>
          </cell>
        </row>
        <row r="4054">
          <cell r="F4054">
            <v>316125</v>
          </cell>
          <cell r="G4054" t="str">
            <v>MALCKY JASMIN HERRERA HERNANDEZ</v>
          </cell>
          <cell r="H4054">
            <v>1001</v>
          </cell>
        </row>
        <row r="4055">
          <cell r="F4055">
            <v>90049762</v>
          </cell>
          <cell r="G4055" t="str">
            <v>DARWIN JAVIER SIAN RODRIGUEZ</v>
          </cell>
          <cell r="H4055">
            <v>1001</v>
          </cell>
        </row>
        <row r="4056">
          <cell r="F4056">
            <v>315916</v>
          </cell>
          <cell r="G4056" t="str">
            <v>MARIA ALEJANDRA GARCIA LARA</v>
          </cell>
          <cell r="H4056">
            <v>1001</v>
          </cell>
        </row>
        <row r="4057">
          <cell r="F4057">
            <v>90041399</v>
          </cell>
          <cell r="G4057" t="str">
            <v>EDGAR ALEXANDER TOC DEL AGUILA</v>
          </cell>
          <cell r="H4057">
            <v>1001</v>
          </cell>
        </row>
        <row r="4058">
          <cell r="F4058">
            <v>90050627</v>
          </cell>
          <cell r="G4058" t="str">
            <v>MARIA DEL CARMEN ARIAS PEREZ</v>
          </cell>
          <cell r="H4058">
            <v>1001</v>
          </cell>
        </row>
        <row r="4059">
          <cell r="F4059">
            <v>90063380</v>
          </cell>
          <cell r="G4059" t="str">
            <v>TELMA ISELA SANCE PEREZ</v>
          </cell>
          <cell r="H4059">
            <v>1001</v>
          </cell>
        </row>
        <row r="4060">
          <cell r="F4060">
            <v>90050524</v>
          </cell>
          <cell r="G4060" t="str">
            <v>CRISTIAN RODRIGO CHILEL SAMAYOA</v>
          </cell>
          <cell r="H4060">
            <v>1001</v>
          </cell>
        </row>
        <row r="4061">
          <cell r="F4061">
            <v>90063663</v>
          </cell>
          <cell r="G4061" t="str">
            <v>LESLIE MARYSOL BARAHONA ALVAREZ</v>
          </cell>
          <cell r="H4061">
            <v>1002</v>
          </cell>
        </row>
        <row r="4062">
          <cell r="F4062">
            <v>309795</v>
          </cell>
          <cell r="G4062" t="str">
            <v>EVELIN JOHANA PEREZ FAJARDO</v>
          </cell>
          <cell r="H4062">
            <v>1002</v>
          </cell>
        </row>
        <row r="4063">
          <cell r="F4063">
            <v>90039908</v>
          </cell>
          <cell r="G4063" t="str">
            <v>MAYRA ALEJANDRA CARRETO BONILLA</v>
          </cell>
          <cell r="H4063">
            <v>1002</v>
          </cell>
        </row>
        <row r="4064">
          <cell r="F4064">
            <v>90039317</v>
          </cell>
          <cell r="G4064" t="str">
            <v>JOSUE MIGUEL PEREZ DONIS</v>
          </cell>
          <cell r="H4064">
            <v>1002</v>
          </cell>
        </row>
        <row r="4065">
          <cell r="F4065">
            <v>315421</v>
          </cell>
          <cell r="G4065" t="str">
            <v>GLADIS MORALES CUTZAL</v>
          </cell>
          <cell r="H4065">
            <v>1002</v>
          </cell>
        </row>
        <row r="4066">
          <cell r="F4066">
            <v>316385</v>
          </cell>
          <cell r="G4066" t="str">
            <v>LINDA ARACELY GARCIA BETETA</v>
          </cell>
          <cell r="H4066">
            <v>1002</v>
          </cell>
        </row>
        <row r="4067">
          <cell r="F4067">
            <v>90039514</v>
          </cell>
          <cell r="G4067" t="str">
            <v>MADELIN IBETT CHACON YAT</v>
          </cell>
          <cell r="H4067">
            <v>1002</v>
          </cell>
        </row>
        <row r="4068">
          <cell r="F4068">
            <v>314299</v>
          </cell>
          <cell r="G4068" t="str">
            <v>ANDREA LUCIA LOPEZ MORALES</v>
          </cell>
          <cell r="H4068">
            <v>1002</v>
          </cell>
        </row>
        <row r="4069">
          <cell r="F4069">
            <v>313108</v>
          </cell>
          <cell r="G4069" t="str">
            <v>EVELYN KARINA LORENZANA GOMEZ</v>
          </cell>
          <cell r="H4069">
            <v>1002</v>
          </cell>
        </row>
        <row r="4070">
          <cell r="F4070">
            <v>90061626</v>
          </cell>
          <cell r="G4070" t="str">
            <v>ANTONY EDIZAR ARRIOLA</v>
          </cell>
          <cell r="H4070">
            <v>1003</v>
          </cell>
        </row>
        <row r="4071">
          <cell r="F4071">
            <v>90040153</v>
          </cell>
          <cell r="G4071" t="str">
            <v>FRANKLIN ALEXANDER GOMEZ URIZAR</v>
          </cell>
          <cell r="H4071">
            <v>1003</v>
          </cell>
        </row>
        <row r="4072">
          <cell r="F4072">
            <v>316023</v>
          </cell>
          <cell r="G4072" t="str">
            <v>MARIA ANGELICA TRUJILLO CORONADO ANDRADE</v>
          </cell>
          <cell r="H4072">
            <v>1003</v>
          </cell>
        </row>
        <row r="4073">
          <cell r="F4073">
            <v>313758</v>
          </cell>
          <cell r="G4073" t="str">
            <v>MELANI ANDREA SALCEDO ACEVEDO</v>
          </cell>
          <cell r="H4073">
            <v>1003</v>
          </cell>
        </row>
        <row r="4074">
          <cell r="F4074">
            <v>90038303</v>
          </cell>
          <cell r="G4074" t="str">
            <v>VICTOR MANUEL PEREZ SALAZAR</v>
          </cell>
          <cell r="H4074">
            <v>1003</v>
          </cell>
        </row>
        <row r="4075">
          <cell r="F4075">
            <v>90041342</v>
          </cell>
          <cell r="G4075" t="str">
            <v>LESTER AARON LOPEZ ORANTES</v>
          </cell>
          <cell r="H4075">
            <v>1003</v>
          </cell>
        </row>
        <row r="4076">
          <cell r="F4076">
            <v>90063675</v>
          </cell>
          <cell r="G4076" t="str">
            <v>OSCAR SALOMÓN GUZMÁN MARTÍNEZ</v>
          </cell>
          <cell r="H4076">
            <v>1003</v>
          </cell>
        </row>
        <row r="4077">
          <cell r="F4077">
            <v>313840</v>
          </cell>
          <cell r="G4077" t="str">
            <v>CLAUDIA MARIA OROZCO GARCIA</v>
          </cell>
          <cell r="H4077">
            <v>1003</v>
          </cell>
        </row>
        <row r="4078">
          <cell r="F4078">
            <v>90048486</v>
          </cell>
          <cell r="G4078" t="str">
            <v>RONALD ANDRES SIRIN SIC</v>
          </cell>
          <cell r="H4078">
            <v>1003</v>
          </cell>
        </row>
        <row r="4079">
          <cell r="F4079">
            <v>90040156</v>
          </cell>
          <cell r="G4079" t="str">
            <v>EVA ISABEL LOPEZ GUTIERREZ</v>
          </cell>
          <cell r="H4079">
            <v>1003</v>
          </cell>
        </row>
        <row r="4080">
          <cell r="F4080">
            <v>90061627</v>
          </cell>
          <cell r="G4080" t="str">
            <v>BROSLY ALESANDRA MORATAYA SANTOS</v>
          </cell>
          <cell r="H4080">
            <v>1003</v>
          </cell>
        </row>
        <row r="4081">
          <cell r="F4081">
            <v>90039872</v>
          </cell>
          <cell r="G4081" t="str">
            <v>GLENDA DE JESUS MEJIA RAMIREZ</v>
          </cell>
          <cell r="H4081">
            <v>1003</v>
          </cell>
        </row>
        <row r="4082">
          <cell r="F4082">
            <v>315419</v>
          </cell>
          <cell r="G4082" t="str">
            <v>RUBELDI AJANIEL ROBLERO GONZALES</v>
          </cell>
          <cell r="H4082">
            <v>1003</v>
          </cell>
        </row>
        <row r="4083">
          <cell r="F4083">
            <v>90039521</v>
          </cell>
          <cell r="G4083" t="str">
            <v>VILMA LUCRECIA VANEGAS MORALES</v>
          </cell>
          <cell r="H4083">
            <v>1004</v>
          </cell>
        </row>
        <row r="4084">
          <cell r="F4084">
            <v>315129</v>
          </cell>
          <cell r="G4084" t="str">
            <v>ANGEL ISRAEL PEREZ PEREZ</v>
          </cell>
          <cell r="H4084">
            <v>1004</v>
          </cell>
        </row>
        <row r="4085">
          <cell r="F4085">
            <v>90039668</v>
          </cell>
          <cell r="G4085" t="str">
            <v>DEISY LIZET PEREZ OLIVA</v>
          </cell>
          <cell r="H4085">
            <v>1004</v>
          </cell>
        </row>
        <row r="4086">
          <cell r="F4086">
            <v>308771</v>
          </cell>
          <cell r="G4086" t="str">
            <v>GLORIA ESTEFANILLA ESPINOZA GARCIA</v>
          </cell>
          <cell r="H4086">
            <v>1004</v>
          </cell>
        </row>
        <row r="4087">
          <cell r="F4087">
            <v>314304</v>
          </cell>
          <cell r="G4087" t="str">
            <v>BRENDA YANETH PEREZ LUCAS</v>
          </cell>
          <cell r="H4087">
            <v>1004</v>
          </cell>
        </row>
        <row r="4088">
          <cell r="F4088">
            <v>310823</v>
          </cell>
          <cell r="G4088" t="str">
            <v>FRANCISCA YESENIA ACEYTUNO QUEVEDO</v>
          </cell>
          <cell r="H4088">
            <v>1004</v>
          </cell>
        </row>
        <row r="4089">
          <cell r="F4089">
            <v>90063794</v>
          </cell>
          <cell r="G4089" t="str">
            <v xml:space="preserve">DIEGO RENATO VASQUEZ ELIAS </v>
          </cell>
          <cell r="H4089">
            <v>1004</v>
          </cell>
        </row>
        <row r="4090">
          <cell r="F4090">
            <v>312588</v>
          </cell>
          <cell r="G4090" t="str">
            <v>HECTOR MANUEL POJOY BERDUO</v>
          </cell>
          <cell r="H4090">
            <v>1004</v>
          </cell>
        </row>
        <row r="4091">
          <cell r="F4091">
            <v>313539</v>
          </cell>
          <cell r="G4091" t="str">
            <v>JOAQUIN ALONSO MURILLO PEREZ</v>
          </cell>
          <cell r="H4091">
            <v>1004</v>
          </cell>
        </row>
        <row r="4092">
          <cell r="F4092">
            <v>314436</v>
          </cell>
          <cell r="G4092" t="str">
            <v>JORGE FRANCISCO SABAN LOPEZ</v>
          </cell>
          <cell r="H4092">
            <v>1004</v>
          </cell>
        </row>
        <row r="4093">
          <cell r="F4093">
            <v>311776</v>
          </cell>
          <cell r="G4093" t="str">
            <v>SUSAN JACKELINNE CRISTAL SANCHEZ</v>
          </cell>
          <cell r="H4093">
            <v>1004</v>
          </cell>
        </row>
        <row r="4094">
          <cell r="F4094">
            <v>90039498</v>
          </cell>
          <cell r="G4094" t="str">
            <v>JESUS ALBERTO LIMA DIAZ</v>
          </cell>
          <cell r="H4094">
            <v>1005</v>
          </cell>
        </row>
        <row r="4095">
          <cell r="F4095">
            <v>90038829</v>
          </cell>
          <cell r="G4095" t="str">
            <v>LESLY ALEJANDRA ZETO PEREZ</v>
          </cell>
          <cell r="H4095">
            <v>1005</v>
          </cell>
        </row>
        <row r="4096">
          <cell r="F4096">
            <v>90040281</v>
          </cell>
          <cell r="G4096" t="str">
            <v>CARLOS ANTONIO JUL COC</v>
          </cell>
          <cell r="H4096">
            <v>1005</v>
          </cell>
        </row>
        <row r="4097">
          <cell r="F4097">
            <v>90039821</v>
          </cell>
          <cell r="G4097" t="str">
            <v>BRANDON ALEXIS ALVARADO MORALES</v>
          </cell>
          <cell r="H4097">
            <v>1005</v>
          </cell>
        </row>
        <row r="4098">
          <cell r="F4098">
            <v>312053</v>
          </cell>
          <cell r="G4098" t="str">
            <v>ERICK ESTUARDO GONZALEZ CULAJAY</v>
          </cell>
          <cell r="H4098">
            <v>1005</v>
          </cell>
        </row>
        <row r="4099">
          <cell r="F4099">
            <v>90063619</v>
          </cell>
          <cell r="G4099" t="str">
            <v>DANIEL ALFREDO PAZ CORDOVA</v>
          </cell>
          <cell r="H4099">
            <v>1005</v>
          </cell>
        </row>
        <row r="4100">
          <cell r="F4100">
            <v>90039690</v>
          </cell>
          <cell r="G4100" t="str">
            <v>SUSANA MARILETH JUAREZ GALO</v>
          </cell>
          <cell r="H4100">
            <v>1005</v>
          </cell>
        </row>
        <row r="4101">
          <cell r="F4101">
            <v>314741</v>
          </cell>
          <cell r="G4101" t="str">
            <v>ANGELICA LORENA GARCIA GONZALEZ</v>
          </cell>
          <cell r="H4101">
            <v>1005</v>
          </cell>
        </row>
        <row r="4102">
          <cell r="F4102">
            <v>90025289</v>
          </cell>
          <cell r="G4102" t="str">
            <v>DIEGO ALEJANDRO DONIS JUAREZ</v>
          </cell>
          <cell r="H4102">
            <v>1004</v>
          </cell>
        </row>
        <row r="4103">
          <cell r="F4103">
            <v>90046425</v>
          </cell>
          <cell r="G4103" t="str">
            <v>SANDY ELIZABETH PEREZ PEREZ</v>
          </cell>
        </row>
        <row r="4104">
          <cell r="F4104">
            <v>316268</v>
          </cell>
          <cell r="G4104" t="str">
            <v>SANTOS JOEL PEREZ OXLAJ</v>
          </cell>
        </row>
        <row r="4105">
          <cell r="F4105">
            <v>90065490</v>
          </cell>
          <cell r="G4105" t="str">
            <v>Melanie Alessandra Niz Hernandez</v>
          </cell>
        </row>
        <row r="4106">
          <cell r="F4106">
            <v>90065941</v>
          </cell>
          <cell r="G4106" t="str">
            <v>ALEJANDRA MARIA JIMENA LARA SOSA</v>
          </cell>
        </row>
        <row r="4107">
          <cell r="F4107">
            <v>90050775</v>
          </cell>
          <cell r="G4107" t="str">
            <v>TANYA DARDON</v>
          </cell>
        </row>
        <row r="4108">
          <cell r="F4108">
            <v>90066615</v>
          </cell>
          <cell r="G4108" t="str">
            <v>MARIA JOSE ZUÑIGA RONQUILLO</v>
          </cell>
        </row>
        <row r="4109">
          <cell r="F4109">
            <v>316002</v>
          </cell>
          <cell r="G4109" t="str">
            <v>DANIELA QUINTEROS</v>
          </cell>
        </row>
        <row r="4110">
          <cell r="F4110">
            <v>90066427</v>
          </cell>
          <cell r="G4110" t="str">
            <v>ABIGAIL ALEJANDRA GONZALEZ GARCIA</v>
          </cell>
        </row>
        <row r="4111">
          <cell r="F4111">
            <v>90067297</v>
          </cell>
          <cell r="G4111" t="str">
            <v>MYNOR JOSUE MARROQUIN VEGA</v>
          </cell>
        </row>
        <row r="4112">
          <cell r="F4112">
            <v>90047829</v>
          </cell>
          <cell r="G4112" t="str">
            <v>JUSTIN OLIVA RIVAS</v>
          </cell>
        </row>
        <row r="4114">
          <cell r="F4114">
            <v>315771</v>
          </cell>
          <cell r="G4114" t="str">
            <v>LUIS EDUARDO CARRANZA GUZMAN</v>
          </cell>
        </row>
        <row r="4115">
          <cell r="F4115">
            <v>90080260</v>
          </cell>
          <cell r="G4115" t="str">
            <v>Katerine Jasmin Coc Gómez</v>
          </cell>
        </row>
        <row r="4116">
          <cell r="F4116">
            <v>90067290</v>
          </cell>
          <cell r="G4116" t="str">
            <v>FREDY RICARDIÑHO CAMEY SUNUN</v>
          </cell>
        </row>
        <row r="4117">
          <cell r="F4117">
            <v>90061141</v>
          </cell>
          <cell r="G4117" t="str">
            <v>Edison Alexis Manuel Fuentes Alonzo</v>
          </cell>
        </row>
        <row r="4118">
          <cell r="F4118">
            <v>302484</v>
          </cell>
          <cell r="G4118" t="str">
            <v>Luis Armando Ramirez De Leon</v>
          </cell>
        </row>
        <row r="4119">
          <cell r="F4119">
            <v>90080900</v>
          </cell>
          <cell r="G4119" t="str">
            <v>CRISTIAN EMANUEL REYES GONZALEZ</v>
          </cell>
        </row>
        <row r="4120">
          <cell r="F4120">
            <v>212995</v>
          </cell>
          <cell r="G4120" t="str">
            <v>Cristian Esleiter Zuleta Batres</v>
          </cell>
        </row>
        <row r="4121">
          <cell r="F4121">
            <v>90080265</v>
          </cell>
          <cell r="G4121" t="str">
            <v>JESICA VELASQUEZ</v>
          </cell>
        </row>
        <row r="4122">
          <cell r="F4122">
            <v>90080614</v>
          </cell>
          <cell r="G4122" t="str">
            <v>IRVIN ARIEL RODRIGUEZ CHIQUITO</v>
          </cell>
        </row>
        <row r="4123">
          <cell r="F4123">
            <v>315687</v>
          </cell>
          <cell r="G4123" t="str">
            <v>JACQUELINE MICHELLE LOPEZ BARRERA</v>
          </cell>
        </row>
        <row r="4124">
          <cell r="F4124">
            <v>300923</v>
          </cell>
          <cell r="G4124" t="str">
            <v>LESTER ALEXANDER RODRIGUEZ</v>
          </cell>
        </row>
        <row r="4125">
          <cell r="F4125">
            <v>90040333</v>
          </cell>
          <cell r="G4125" t="str">
            <v>JOSELIN CAROLINA MATZIR PEREZ</v>
          </cell>
        </row>
        <row r="4126">
          <cell r="F4126">
            <v>90082663</v>
          </cell>
          <cell r="G4126" t="str">
            <v>JAQUELYN DIONICIO CHILE</v>
          </cell>
        </row>
        <row r="4127">
          <cell r="F4127">
            <v>90082795</v>
          </cell>
          <cell r="G4127" t="str">
            <v>EVELIN RUBI TOBAR DEL CID</v>
          </cell>
        </row>
        <row r="4128">
          <cell r="F4128">
            <v>319503</v>
          </cell>
          <cell r="G4128" t="str">
            <v xml:space="preserve">MILDRED YABETH FIGUEROA GARCIA </v>
          </cell>
        </row>
        <row r="4129">
          <cell r="F4129">
            <v>90082960</v>
          </cell>
          <cell r="G4129" t="str">
            <v>RAUL ALBERTO SINAY CUBUL</v>
          </cell>
        </row>
        <row r="4130">
          <cell r="F4130">
            <v>90084038</v>
          </cell>
          <cell r="G4130" t="str">
            <v>LILIAN NOHEMI GONZALEZ GALICIA</v>
          </cell>
        </row>
        <row r="4131">
          <cell r="F4131">
            <v>90082653</v>
          </cell>
          <cell r="G4131" t="str">
            <v>JAQUELYN YESENIA DIONICIO CHILE</v>
          </cell>
        </row>
        <row r="4132">
          <cell r="F4132">
            <v>90083711</v>
          </cell>
          <cell r="G4132" t="str">
            <v>Nery Carlos Magdiel Ortega Del Aguila</v>
          </cell>
        </row>
        <row r="4133">
          <cell r="F4133">
            <v>90084235</v>
          </cell>
          <cell r="G4133" t="str">
            <v>Mybeline Rosemary Alvarez Ventura</v>
          </cell>
        </row>
        <row r="4134">
          <cell r="F4134">
            <v>90083324</v>
          </cell>
          <cell r="G4134" t="str">
            <v>KIMBERLY MICHELLE CASTRO ALVAREZ</v>
          </cell>
        </row>
        <row r="4135">
          <cell r="F4135">
            <v>90083194</v>
          </cell>
          <cell r="G4135" t="str">
            <v>JULIO DANIEL MELARA</v>
          </cell>
        </row>
        <row r="4136">
          <cell r="F4136">
            <v>90084295</v>
          </cell>
          <cell r="G4136" t="str">
            <v>DORISMAR ALEXANDRA AJIATAZ SOLORZANO</v>
          </cell>
        </row>
        <row r="4137">
          <cell r="F4137">
            <v>90086286</v>
          </cell>
          <cell r="G4137" t="str">
            <v>SERGIO ALEXANDER SIRIN CUA</v>
          </cell>
        </row>
        <row r="4138">
          <cell r="F4138">
            <v>90086879</v>
          </cell>
          <cell r="G4138" t="str">
            <v>GLENDY YOMARA CAN</v>
          </cell>
        </row>
        <row r="4139">
          <cell r="F4139">
            <v>90086663</v>
          </cell>
          <cell r="G4139" t="str">
            <v>EVELYN FABIOLA CAJ</v>
          </cell>
        </row>
        <row r="4140">
          <cell r="F4140">
            <v>90086217</v>
          </cell>
          <cell r="G4140" t="str">
            <v xml:space="preserve">CESAR EDUARDO CUELLAR CHAVARRIA </v>
          </cell>
        </row>
        <row r="4141">
          <cell r="F4141">
            <v>90086730</v>
          </cell>
          <cell r="G4141" t="str">
            <v>JUAN RAUL FUENTES MONTIEL</v>
          </cell>
        </row>
        <row r="4142">
          <cell r="F4142">
            <v>90084300</v>
          </cell>
          <cell r="G4142" t="str">
            <v>ALISON ESTHEFANI FUENTES MAYEN</v>
          </cell>
        </row>
        <row r="4143">
          <cell r="F4143">
            <v>90086931</v>
          </cell>
          <cell r="G4143" t="str">
            <v>ANGELA CALAN</v>
          </cell>
        </row>
        <row r="4144">
          <cell r="F4144">
            <v>90086289</v>
          </cell>
          <cell r="G4144" t="str">
            <v>MIGUEL ANGEL NARCISO CHUTA JUAREZ</v>
          </cell>
        </row>
        <row r="4145">
          <cell r="F4145">
            <v>90086478</v>
          </cell>
          <cell r="G4145" t="str">
            <v>LISBETH MELISA GARCIA JUAREZ</v>
          </cell>
        </row>
        <row r="4146">
          <cell r="F4146">
            <v>90087143</v>
          </cell>
          <cell r="G4146" t="str">
            <v>William Estiben Castro Coc</v>
          </cell>
        </row>
        <row r="4147">
          <cell r="F4147">
            <v>90087641</v>
          </cell>
          <cell r="G4147" t="str">
            <v>JUAN DAVID CASTELLANOS AJCU</v>
          </cell>
        </row>
        <row r="4148">
          <cell r="F4148">
            <v>90087636</v>
          </cell>
          <cell r="G4148" t="str">
            <v>Neydelin Shaydi Poz Lopez</v>
          </cell>
        </row>
        <row r="4149">
          <cell r="F4149">
            <v>90086259</v>
          </cell>
          <cell r="G4149" t="str">
            <v>ANDREA PAOLA HERNANDEZ LORENZO</v>
          </cell>
        </row>
        <row r="4150">
          <cell r="F4150">
            <v>90087169</v>
          </cell>
          <cell r="G4150" t="str">
            <v>MARIA CRISTINA CURRUCHICH VELASCO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 t="str">
            <v>Codigo</v>
          </cell>
        </row>
        <row r="2">
          <cell r="A2">
            <v>316125</v>
          </cell>
        </row>
        <row r="3">
          <cell r="A3">
            <v>90049762</v>
          </cell>
        </row>
        <row r="4">
          <cell r="A4">
            <v>315916</v>
          </cell>
        </row>
        <row r="5">
          <cell r="A5">
            <v>90041399</v>
          </cell>
        </row>
        <row r="6">
          <cell r="A6">
            <v>90050627</v>
          </cell>
        </row>
        <row r="7">
          <cell r="A7">
            <v>90063380</v>
          </cell>
        </row>
        <row r="8">
          <cell r="A8">
            <v>90050524</v>
          </cell>
        </row>
        <row r="9">
          <cell r="A9">
            <v>90063663</v>
          </cell>
        </row>
        <row r="10">
          <cell r="A10">
            <v>309795</v>
          </cell>
        </row>
        <row r="11">
          <cell r="A11">
            <v>90039908</v>
          </cell>
        </row>
        <row r="12">
          <cell r="A12">
            <v>90039317</v>
          </cell>
        </row>
        <row r="13">
          <cell r="A13">
            <v>315421</v>
          </cell>
        </row>
        <row r="14">
          <cell r="A14">
            <v>316385</v>
          </cell>
        </row>
        <row r="15">
          <cell r="A15">
            <v>90039514</v>
          </cell>
        </row>
        <row r="16">
          <cell r="A16">
            <v>314299</v>
          </cell>
        </row>
        <row r="17">
          <cell r="A17">
            <v>313108</v>
          </cell>
        </row>
        <row r="18">
          <cell r="A18">
            <v>90061626</v>
          </cell>
        </row>
        <row r="19">
          <cell r="A19">
            <v>90040153</v>
          </cell>
        </row>
        <row r="20">
          <cell r="A20">
            <v>316023</v>
          </cell>
        </row>
        <row r="21">
          <cell r="A21">
            <v>313758</v>
          </cell>
        </row>
        <row r="22">
          <cell r="A22">
            <v>90038303</v>
          </cell>
        </row>
        <row r="23">
          <cell r="A23">
            <v>90041342</v>
          </cell>
        </row>
        <row r="24">
          <cell r="A24">
            <v>90063675</v>
          </cell>
        </row>
        <row r="25">
          <cell r="A25">
            <v>313840</v>
          </cell>
        </row>
        <row r="26">
          <cell r="A26">
            <v>90048486</v>
          </cell>
        </row>
        <row r="27">
          <cell r="A27">
            <v>90040156</v>
          </cell>
        </row>
        <row r="28">
          <cell r="A28">
            <v>90061627</v>
          </cell>
        </row>
        <row r="29">
          <cell r="A29">
            <v>90039872</v>
          </cell>
        </row>
        <row r="30">
          <cell r="A30">
            <v>315419</v>
          </cell>
        </row>
        <row r="31">
          <cell r="A31">
            <v>90039521</v>
          </cell>
        </row>
        <row r="32">
          <cell r="A32">
            <v>315129</v>
          </cell>
        </row>
        <row r="33">
          <cell r="A33">
            <v>90039668</v>
          </cell>
        </row>
        <row r="34">
          <cell r="A34">
            <v>308771</v>
          </cell>
        </row>
        <row r="35">
          <cell r="A35">
            <v>314304</v>
          </cell>
        </row>
        <row r="36">
          <cell r="A36">
            <v>310823</v>
          </cell>
        </row>
        <row r="37">
          <cell r="A37">
            <v>90063794</v>
          </cell>
        </row>
        <row r="38">
          <cell r="A38">
            <v>312588</v>
          </cell>
        </row>
        <row r="39">
          <cell r="A39">
            <v>313539</v>
          </cell>
        </row>
        <row r="40">
          <cell r="A40">
            <v>314436</v>
          </cell>
        </row>
        <row r="41">
          <cell r="A41">
            <v>311776</v>
          </cell>
        </row>
        <row r="42">
          <cell r="A42">
            <v>90039498</v>
          </cell>
        </row>
        <row r="43">
          <cell r="A43">
            <v>90038829</v>
          </cell>
        </row>
        <row r="44">
          <cell r="A44">
            <v>90040281</v>
          </cell>
        </row>
        <row r="45">
          <cell r="A45">
            <v>90039821</v>
          </cell>
        </row>
        <row r="46">
          <cell r="A46">
            <v>312053</v>
          </cell>
        </row>
        <row r="47">
          <cell r="A47">
            <v>90063619</v>
          </cell>
        </row>
        <row r="48">
          <cell r="A48">
            <v>90039690</v>
          </cell>
        </row>
        <row r="49">
          <cell r="A49">
            <v>314741</v>
          </cell>
        </row>
        <row r="50">
          <cell r="A50">
            <v>90025289</v>
          </cell>
        </row>
      </sheetData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 2022"/>
      <sheetName val="Equipos Unidad de Negocios"/>
      <sheetName val="INDIVIDUAL UN"/>
    </sheetNames>
    <sheetDataSet>
      <sheetData sheetId="0" refreshError="1"/>
      <sheetData sheetId="1" refreshError="1"/>
      <sheetData sheetId="2" refreshError="1">
        <row r="6">
          <cell r="C6">
            <v>312053</v>
          </cell>
          <cell r="D6" t="str">
            <v xml:space="preserve"> ERICK ESTUARDO GONZALEZ CULAJAY</v>
          </cell>
          <cell r="E6">
            <v>93</v>
          </cell>
          <cell r="F6" t="str">
            <v>AGUILAS</v>
          </cell>
        </row>
        <row r="7">
          <cell r="C7">
            <v>309795</v>
          </cell>
          <cell r="D7" t="str">
            <v xml:space="preserve"> EVELIN JOHANA PEREZ FAJARDO DE ESTAYUL</v>
          </cell>
          <cell r="E7">
            <v>93</v>
          </cell>
          <cell r="F7" t="str">
            <v>AGUILAS</v>
          </cell>
        </row>
        <row r="8">
          <cell r="C8">
            <v>311195</v>
          </cell>
          <cell r="D8" t="str">
            <v xml:space="preserve"> JULIA MARIELA LOURDETTE GONZALEZ ROSALES</v>
          </cell>
          <cell r="E8">
            <v>93</v>
          </cell>
          <cell r="F8" t="str">
            <v>AGUILAS</v>
          </cell>
        </row>
        <row r="9">
          <cell r="C9">
            <v>311236</v>
          </cell>
          <cell r="D9" t="str">
            <v xml:space="preserve"> MARLON AROLDO DE LEON JUAREZ</v>
          </cell>
          <cell r="E9">
            <v>93</v>
          </cell>
          <cell r="F9" t="str">
            <v>AGUILAS</v>
          </cell>
        </row>
        <row r="10">
          <cell r="C10">
            <v>304620</v>
          </cell>
          <cell r="D10" t="str">
            <v xml:space="preserve"> MAYRA JUDITH MARROQUIN GUEVARA DE MELENDEZ</v>
          </cell>
          <cell r="E10">
            <v>93</v>
          </cell>
          <cell r="F10" t="str">
            <v>AGUILAS</v>
          </cell>
        </row>
        <row r="11">
          <cell r="C11">
            <v>311196</v>
          </cell>
          <cell r="D11" t="str">
            <v xml:space="preserve"> NANCY MARIELA ESTRADA CALEL DE SAMAYOA</v>
          </cell>
          <cell r="E11">
            <v>93</v>
          </cell>
          <cell r="F11" t="str">
            <v>AGUILAS</v>
          </cell>
        </row>
        <row r="12">
          <cell r="C12">
            <v>313885</v>
          </cell>
          <cell r="D12" t="str">
            <v>ADRIAN EMANUEL TURCIOS AZURDIA</v>
          </cell>
          <cell r="E12">
            <v>93</v>
          </cell>
          <cell r="F12" t="str">
            <v>AGUILAS</v>
          </cell>
        </row>
        <row r="13">
          <cell r="C13">
            <v>314304</v>
          </cell>
          <cell r="D13" t="str">
            <v>BRENDA YANETH PEREZ LUCAS</v>
          </cell>
          <cell r="E13">
            <v>93</v>
          </cell>
          <cell r="F13" t="str">
            <v>AGUILAS</v>
          </cell>
        </row>
        <row r="14">
          <cell r="C14">
            <v>311901</v>
          </cell>
          <cell r="D14" t="str">
            <v>EDITH VERANICE PALACIOS</v>
          </cell>
          <cell r="E14">
            <v>93</v>
          </cell>
          <cell r="F14" t="str">
            <v>AGUILAS</v>
          </cell>
        </row>
        <row r="15">
          <cell r="C15">
            <v>314436</v>
          </cell>
          <cell r="D15" t="str">
            <v xml:space="preserve">JORGE FRANCISCO SABAN LOPEZ </v>
          </cell>
          <cell r="E15">
            <v>93</v>
          </cell>
          <cell r="F15" t="str">
            <v>AGUILAS</v>
          </cell>
        </row>
        <row r="16">
          <cell r="C16">
            <v>313114</v>
          </cell>
          <cell r="D16" t="str">
            <v xml:space="preserve">JOSE ALBINO ALBEÑO GALICIA </v>
          </cell>
          <cell r="E16">
            <v>93</v>
          </cell>
          <cell r="F16" t="str">
            <v>AGUILAS</v>
          </cell>
        </row>
        <row r="17">
          <cell r="C17">
            <v>308558</v>
          </cell>
          <cell r="D17" t="str">
            <v>JOSE EMILIO YUMAN ROCHE</v>
          </cell>
          <cell r="E17">
            <v>93</v>
          </cell>
          <cell r="F17" t="str">
            <v>AGUILAS</v>
          </cell>
        </row>
        <row r="18">
          <cell r="C18">
            <v>315361</v>
          </cell>
          <cell r="D18" t="str">
            <v>Luis Fernando Roche Valenzuela</v>
          </cell>
          <cell r="E18">
            <v>93</v>
          </cell>
          <cell r="F18" t="str">
            <v>AGUILAS</v>
          </cell>
        </row>
        <row r="19">
          <cell r="C19">
            <v>314103</v>
          </cell>
          <cell r="D19" t="str">
            <v>LUISA FERNANDA MARROQUIN TIGUILA</v>
          </cell>
          <cell r="E19">
            <v>93</v>
          </cell>
          <cell r="F19" t="str">
            <v>AGUILAS</v>
          </cell>
        </row>
        <row r="20">
          <cell r="C20">
            <v>313680</v>
          </cell>
          <cell r="D20" t="str">
            <v>MARCO ANTONIO SALAZAR ALINZO</v>
          </cell>
          <cell r="E20">
            <v>93</v>
          </cell>
          <cell r="F20" t="str">
            <v>AGUILAS</v>
          </cell>
        </row>
        <row r="21">
          <cell r="C21">
            <v>314359</v>
          </cell>
          <cell r="D21" t="str">
            <v>MAYNOR ALEXANDER PEREZ SURQUE</v>
          </cell>
          <cell r="E21">
            <v>93</v>
          </cell>
          <cell r="F21" t="str">
            <v>AGUILAS</v>
          </cell>
        </row>
        <row r="22">
          <cell r="C22">
            <v>314370</v>
          </cell>
          <cell r="D22" t="str">
            <v>OLGA ROXANA GOMEZ</v>
          </cell>
          <cell r="E22">
            <v>93</v>
          </cell>
          <cell r="F22" t="str">
            <v>AGUILAS</v>
          </cell>
        </row>
        <row r="23">
          <cell r="C23">
            <v>315419</v>
          </cell>
          <cell r="D23" t="str">
            <v>Rubeldi Ajaniel Roblero Gonzales</v>
          </cell>
          <cell r="E23">
            <v>93</v>
          </cell>
          <cell r="F23" t="str">
            <v>AGUILAS</v>
          </cell>
        </row>
        <row r="24">
          <cell r="C24">
            <v>314769</v>
          </cell>
          <cell r="D24" t="str">
            <v>ABEL EDUARDO LOPEZ LOPEZ</v>
          </cell>
          <cell r="E24">
            <v>93</v>
          </cell>
          <cell r="F24" t="str">
            <v>Alfa</v>
          </cell>
        </row>
        <row r="25">
          <cell r="C25">
            <v>314839</v>
          </cell>
          <cell r="D25" t="str">
            <v>ANA GABRIELA SAMAYOA LOPEZ</v>
          </cell>
          <cell r="E25">
            <v>93</v>
          </cell>
          <cell r="F25" t="str">
            <v>Alfa</v>
          </cell>
        </row>
        <row r="26">
          <cell r="C26">
            <v>315422</v>
          </cell>
          <cell r="D26" t="str">
            <v xml:space="preserve">Carlos Alberto Roque </v>
          </cell>
          <cell r="E26">
            <v>93</v>
          </cell>
          <cell r="F26" t="str">
            <v>Alfa</v>
          </cell>
        </row>
        <row r="27">
          <cell r="C27">
            <v>314836</v>
          </cell>
          <cell r="D27" t="str">
            <v xml:space="preserve">CARLOS DAVID AJMAC </v>
          </cell>
          <cell r="E27">
            <v>93</v>
          </cell>
          <cell r="F27" t="str">
            <v>Alfa</v>
          </cell>
        </row>
        <row r="28">
          <cell r="C28">
            <v>314759</v>
          </cell>
          <cell r="D28" t="str">
            <v>CARLOS ROBERTO HERNANDEZ GONZALEZ</v>
          </cell>
          <cell r="E28">
            <v>93</v>
          </cell>
          <cell r="F28" t="str">
            <v>Alfa</v>
          </cell>
        </row>
        <row r="29">
          <cell r="C29">
            <v>314817</v>
          </cell>
          <cell r="D29" t="str">
            <v>CRISTIAN ORLANDO MONZON DE LEON</v>
          </cell>
          <cell r="E29">
            <v>93</v>
          </cell>
          <cell r="F29" t="str">
            <v>Alfa</v>
          </cell>
        </row>
        <row r="30">
          <cell r="C30">
            <v>314815</v>
          </cell>
          <cell r="D30" t="str">
            <v>GABRIELA ELIZABETH ALVAREZ MIX</v>
          </cell>
          <cell r="E30">
            <v>93</v>
          </cell>
          <cell r="F30" t="str">
            <v>optimos</v>
          </cell>
        </row>
        <row r="31">
          <cell r="C31">
            <v>315421</v>
          </cell>
          <cell r="D31" t="str">
            <v xml:space="preserve">Gladis Morales Cutzal </v>
          </cell>
          <cell r="E31">
            <v>93</v>
          </cell>
          <cell r="F31" t="str">
            <v>Phoenix</v>
          </cell>
        </row>
        <row r="32">
          <cell r="C32">
            <v>314794</v>
          </cell>
          <cell r="D32" t="str">
            <v>HERBERT WELLINGTON RODRIGUEZ RAMIREZ</v>
          </cell>
          <cell r="E32">
            <v>93</v>
          </cell>
          <cell r="F32" t="str">
            <v>Espartanos</v>
          </cell>
        </row>
        <row r="33">
          <cell r="C33">
            <v>314838</v>
          </cell>
          <cell r="D33" t="str">
            <v>JENIFER LUCERITO SIQUE MAYORGA</v>
          </cell>
          <cell r="E33">
            <v>93</v>
          </cell>
          <cell r="F33" t="str">
            <v>Alfa</v>
          </cell>
        </row>
        <row r="34">
          <cell r="C34">
            <v>314790</v>
          </cell>
          <cell r="D34" t="str">
            <v>JOHANA VIDALIA CHACH IXCOY</v>
          </cell>
          <cell r="E34">
            <v>93</v>
          </cell>
          <cell r="F34" t="str">
            <v>Alfa</v>
          </cell>
        </row>
        <row r="35">
          <cell r="C35">
            <v>314761</v>
          </cell>
          <cell r="D35" t="str">
            <v>JORGE EDUARDO FONSECA PALACIOS</v>
          </cell>
          <cell r="E35">
            <v>93</v>
          </cell>
          <cell r="F35" t="str">
            <v>Alfa</v>
          </cell>
        </row>
        <row r="36">
          <cell r="C36">
            <v>314756</v>
          </cell>
          <cell r="D36" t="str">
            <v>JUAN MANUEL GOMEZ SAMPUEL</v>
          </cell>
          <cell r="E36">
            <v>93</v>
          </cell>
          <cell r="F36" t="str">
            <v>Alfa</v>
          </cell>
        </row>
        <row r="37">
          <cell r="C37">
            <v>315366</v>
          </cell>
          <cell r="D37" t="str">
            <v xml:space="preserve">Mario Enrique Morales Escobar </v>
          </cell>
          <cell r="E37">
            <v>93</v>
          </cell>
          <cell r="F37" t="str">
            <v>Alfa</v>
          </cell>
        </row>
        <row r="38">
          <cell r="C38">
            <v>315392</v>
          </cell>
          <cell r="D38" t="str">
            <v xml:space="preserve">Mijail Erick Joaquín Morales Ortiz </v>
          </cell>
          <cell r="E38">
            <v>93</v>
          </cell>
          <cell r="F38" t="str">
            <v>Alfa</v>
          </cell>
        </row>
        <row r="39">
          <cell r="C39">
            <v>314751</v>
          </cell>
          <cell r="D39" t="str">
            <v>ANA LUCIA VELIZ SOLARES</v>
          </cell>
          <cell r="E39">
            <v>93</v>
          </cell>
          <cell r="F39" t="str">
            <v>Champions</v>
          </cell>
        </row>
        <row r="40">
          <cell r="C40">
            <v>314903</v>
          </cell>
          <cell r="D40" t="str">
            <v>CINDY JULISSA HERRERA</v>
          </cell>
          <cell r="E40">
            <v>93</v>
          </cell>
          <cell r="F40" t="str">
            <v>Champions</v>
          </cell>
        </row>
        <row r="41">
          <cell r="C41">
            <v>314800</v>
          </cell>
          <cell r="D41" t="str">
            <v>ELMER EDUARDO CASTILLO</v>
          </cell>
          <cell r="E41">
            <v>93</v>
          </cell>
          <cell r="F41" t="str">
            <v>Champions</v>
          </cell>
        </row>
        <row r="42">
          <cell r="C42">
            <v>314748</v>
          </cell>
          <cell r="D42" t="str">
            <v>FREDDY REYNALDO VELARDE VALENZUELA</v>
          </cell>
          <cell r="E42">
            <v>93</v>
          </cell>
          <cell r="F42" t="str">
            <v>Champions</v>
          </cell>
        </row>
        <row r="43">
          <cell r="C43">
            <v>315148</v>
          </cell>
          <cell r="D43" t="str">
            <v>Irene Beatriz Pena Orellana</v>
          </cell>
          <cell r="E43">
            <v>93</v>
          </cell>
          <cell r="F43" t="str">
            <v>Champions</v>
          </cell>
        </row>
        <row r="44">
          <cell r="C44">
            <v>314906</v>
          </cell>
          <cell r="D44" t="str">
            <v>JUAN PEDRO TINEY CAX</v>
          </cell>
          <cell r="E44">
            <v>93</v>
          </cell>
          <cell r="F44" t="str">
            <v>Champions</v>
          </cell>
        </row>
        <row r="45">
          <cell r="C45">
            <v>315322</v>
          </cell>
          <cell r="D45" t="str">
            <v>Lester Juan Jose Arevalo Reynoso</v>
          </cell>
          <cell r="E45">
            <v>93</v>
          </cell>
          <cell r="F45" t="str">
            <v>Champions</v>
          </cell>
        </row>
        <row r="46">
          <cell r="C46">
            <v>315093</v>
          </cell>
          <cell r="D46" t="str">
            <v>Miriam Eugenia Santizo Montenegro</v>
          </cell>
          <cell r="E46">
            <v>93</v>
          </cell>
          <cell r="F46" t="str">
            <v>Champions</v>
          </cell>
        </row>
        <row r="47">
          <cell r="C47">
            <v>314755</v>
          </cell>
          <cell r="D47" t="str">
            <v>SERGIO DAVID GONZALEZ PEREZ</v>
          </cell>
          <cell r="E47">
            <v>93</v>
          </cell>
          <cell r="F47" t="str">
            <v>Champions</v>
          </cell>
        </row>
        <row r="48">
          <cell r="C48">
            <v>314968</v>
          </cell>
          <cell r="D48" t="str">
            <v>Sharon Dayana Ninoshka López Márquez</v>
          </cell>
          <cell r="E48">
            <v>93</v>
          </cell>
          <cell r="F48" t="str">
            <v>Champions</v>
          </cell>
        </row>
        <row r="49">
          <cell r="C49">
            <v>311188</v>
          </cell>
          <cell r="D49" t="str">
            <v xml:space="preserve"> ANA ESTER CUYAN AGUILAR DE DOMINGUEZ</v>
          </cell>
          <cell r="E49">
            <v>93</v>
          </cell>
          <cell r="F49" t="str">
            <v>Elements</v>
          </cell>
        </row>
        <row r="50">
          <cell r="C50">
            <v>311894</v>
          </cell>
          <cell r="D50" t="str">
            <v xml:space="preserve"> CHRISTYAN STUARDO RONQUILLO SARAVIA</v>
          </cell>
          <cell r="E50">
            <v>93</v>
          </cell>
          <cell r="F50" t="str">
            <v>Elements</v>
          </cell>
        </row>
        <row r="51">
          <cell r="C51">
            <v>310331</v>
          </cell>
          <cell r="D51" t="str">
            <v xml:space="preserve"> ELDA LUZBINA VALDEZ GUERRA DE FUENTES</v>
          </cell>
          <cell r="E51">
            <v>93</v>
          </cell>
          <cell r="F51" t="str">
            <v>Elements</v>
          </cell>
        </row>
        <row r="52">
          <cell r="C52">
            <v>310822</v>
          </cell>
          <cell r="D52" t="str">
            <v xml:space="preserve"> JENNIFER LETICIA GONZALEZ PINEDA</v>
          </cell>
          <cell r="E52">
            <v>93</v>
          </cell>
          <cell r="F52" t="str">
            <v>Elements</v>
          </cell>
        </row>
        <row r="53">
          <cell r="C53">
            <v>312160</v>
          </cell>
          <cell r="D53" t="str">
            <v xml:space="preserve"> JOSE RIGOBERTO OSORIO ABARCA</v>
          </cell>
          <cell r="E53">
            <v>93</v>
          </cell>
          <cell r="F53" t="str">
            <v>Elements</v>
          </cell>
        </row>
        <row r="54">
          <cell r="C54">
            <v>310214</v>
          </cell>
          <cell r="D54" t="str">
            <v xml:space="preserve"> VIVIAN PAMELA RODAS LOPEZ</v>
          </cell>
          <cell r="E54">
            <v>93</v>
          </cell>
          <cell r="F54" t="str">
            <v>Elements</v>
          </cell>
        </row>
        <row r="55">
          <cell r="C55">
            <v>314928</v>
          </cell>
          <cell r="D55" t="str">
            <v>BRANDON STEVE JUAREZ ARRAZOLA</v>
          </cell>
          <cell r="E55">
            <v>93</v>
          </cell>
          <cell r="F55" t="str">
            <v>Elements</v>
          </cell>
        </row>
        <row r="56">
          <cell r="C56">
            <v>314323</v>
          </cell>
          <cell r="D56" t="str">
            <v>ANGEL ARTURO MAURICIO AYAPAN</v>
          </cell>
          <cell r="E56">
            <v>93</v>
          </cell>
          <cell r="F56" t="str">
            <v>Elements</v>
          </cell>
        </row>
        <row r="57">
          <cell r="C57">
            <v>313840</v>
          </cell>
          <cell r="D57" t="str">
            <v>CLAUDIA MARIA OROZCO GARCIA</v>
          </cell>
          <cell r="E57">
            <v>93</v>
          </cell>
          <cell r="F57" t="str">
            <v>Elements</v>
          </cell>
        </row>
        <row r="58">
          <cell r="C58">
            <v>313539</v>
          </cell>
          <cell r="D58" t="str">
            <v>JOAQUIN ALONSO MURILLO PEREZ</v>
          </cell>
          <cell r="E58">
            <v>93</v>
          </cell>
          <cell r="F58" t="str">
            <v>Elements</v>
          </cell>
        </row>
        <row r="59">
          <cell r="C59">
            <v>312489</v>
          </cell>
          <cell r="D59" t="str">
            <v>MARLIZ IRENE BONIFAZ LOPEZ</v>
          </cell>
          <cell r="E59">
            <v>93</v>
          </cell>
          <cell r="F59" t="str">
            <v>Elements</v>
          </cell>
        </row>
        <row r="60">
          <cell r="C60">
            <v>312476</v>
          </cell>
          <cell r="D60" t="str">
            <v>OSCAR OSWALDO RAMIREZ TAHUITE</v>
          </cell>
          <cell r="E60">
            <v>93</v>
          </cell>
          <cell r="F60" t="str">
            <v>Elements</v>
          </cell>
        </row>
        <row r="61">
          <cell r="C61">
            <v>315101</v>
          </cell>
          <cell r="D61" t="str">
            <v>ALVARO OSWALDO DE LA ROSA HERNANDEZ</v>
          </cell>
          <cell r="E61">
            <v>93</v>
          </cell>
          <cell r="F61" t="str">
            <v>ELITE</v>
          </cell>
        </row>
        <row r="62">
          <cell r="C62">
            <v>314905</v>
          </cell>
          <cell r="D62" t="str">
            <v>ANTONIO CARLOS ALVARENGA DIAZ</v>
          </cell>
          <cell r="E62">
            <v>93</v>
          </cell>
          <cell r="F62" t="str">
            <v>ELITE</v>
          </cell>
        </row>
        <row r="63">
          <cell r="C63">
            <v>314885</v>
          </cell>
          <cell r="D63" t="str">
            <v>EDI IBANDER OSOY LOPEZ</v>
          </cell>
          <cell r="E63">
            <v>93</v>
          </cell>
          <cell r="F63" t="str">
            <v>ELITE</v>
          </cell>
        </row>
        <row r="64">
          <cell r="C64">
            <v>315318</v>
          </cell>
          <cell r="D64" t="str">
            <v>GABRIELA MELISSA ARIAS OVANDO</v>
          </cell>
          <cell r="E64">
            <v>93</v>
          </cell>
          <cell r="F64" t="str">
            <v>ELITE</v>
          </cell>
        </row>
        <row r="65">
          <cell r="C65">
            <v>315164</v>
          </cell>
          <cell r="D65" t="str">
            <v>HERNAN ANTONIO CASTRO GUZMAN</v>
          </cell>
          <cell r="E65">
            <v>93</v>
          </cell>
          <cell r="F65" t="str">
            <v>ELITE</v>
          </cell>
        </row>
        <row r="66">
          <cell r="C66">
            <v>315149</v>
          </cell>
          <cell r="D66" t="str">
            <v>JENNIFER KARLA MARIA DE LEON YOC</v>
          </cell>
          <cell r="E66">
            <v>93</v>
          </cell>
          <cell r="F66" t="str">
            <v>ELITE</v>
          </cell>
        </row>
        <row r="67">
          <cell r="C67">
            <v>315065</v>
          </cell>
          <cell r="D67" t="str">
            <v>JENNIFER VERONICA FLORES PINEDA</v>
          </cell>
          <cell r="E67">
            <v>93</v>
          </cell>
          <cell r="F67" t="str">
            <v>ELITE</v>
          </cell>
        </row>
        <row r="68">
          <cell r="C68">
            <v>314797</v>
          </cell>
          <cell r="D68" t="str">
            <v>JIMMY ALFREDO CORONADO CABRERA</v>
          </cell>
          <cell r="E68">
            <v>93</v>
          </cell>
          <cell r="F68" t="str">
            <v>ELITE</v>
          </cell>
        </row>
        <row r="69">
          <cell r="C69">
            <v>314990</v>
          </cell>
          <cell r="D69" t="str">
            <v>MARIA FERNANDA AMBROCIO REYES</v>
          </cell>
          <cell r="E69">
            <v>93</v>
          </cell>
          <cell r="F69" t="str">
            <v>ELITE</v>
          </cell>
        </row>
        <row r="70">
          <cell r="C70">
            <v>314796</v>
          </cell>
          <cell r="D70" t="str">
            <v>RICARDO ANTONIO RUIZ OROZCO</v>
          </cell>
          <cell r="E70">
            <v>93</v>
          </cell>
          <cell r="F70" t="str">
            <v>ELITE</v>
          </cell>
        </row>
        <row r="71">
          <cell r="C71">
            <v>312283</v>
          </cell>
          <cell r="D71" t="str">
            <v xml:space="preserve"> OSCAR JAVIER GALVEZ</v>
          </cell>
          <cell r="E71">
            <v>93</v>
          </cell>
          <cell r="F71" t="str">
            <v>Espartanos</v>
          </cell>
        </row>
        <row r="72">
          <cell r="C72">
            <v>311190</v>
          </cell>
          <cell r="D72" t="str">
            <v xml:space="preserve"> PEDRO CHAS MORALES</v>
          </cell>
          <cell r="E72">
            <v>93</v>
          </cell>
          <cell r="F72" t="str">
            <v>Espartanos</v>
          </cell>
        </row>
        <row r="73">
          <cell r="C73">
            <v>311632</v>
          </cell>
          <cell r="D73" t="str">
            <v xml:space="preserve"> VIRGINIA DEL ROSARIO MATILDE GARCIA ICO</v>
          </cell>
          <cell r="E73">
            <v>93</v>
          </cell>
          <cell r="F73" t="str">
            <v>Espartanos</v>
          </cell>
        </row>
        <row r="74">
          <cell r="C74">
            <v>311906</v>
          </cell>
          <cell r="D74" t="str">
            <v xml:space="preserve"> YENIFER ALEJANDRA ORDOÑEZ</v>
          </cell>
          <cell r="E74">
            <v>93</v>
          </cell>
          <cell r="F74" t="str">
            <v>Espartanos</v>
          </cell>
        </row>
        <row r="75">
          <cell r="C75">
            <v>314704</v>
          </cell>
          <cell r="D75" t="str">
            <v xml:space="preserve">Cindy Damaris Villagran Castellano </v>
          </cell>
          <cell r="E75">
            <v>93</v>
          </cell>
          <cell r="F75" t="str">
            <v>Espartanos</v>
          </cell>
        </row>
        <row r="76">
          <cell r="C76">
            <v>314085</v>
          </cell>
          <cell r="D76" t="str">
            <v>Cristian Ottoniel Lopez Alvarado</v>
          </cell>
          <cell r="E76">
            <v>93</v>
          </cell>
          <cell r="F76" t="str">
            <v>Espartanos</v>
          </cell>
        </row>
        <row r="77">
          <cell r="C77">
            <v>315056</v>
          </cell>
          <cell r="D77" t="str">
            <v>Esvin David de Jesus Calanche</v>
          </cell>
          <cell r="E77">
            <v>93</v>
          </cell>
          <cell r="F77" t="str">
            <v>Espartanos</v>
          </cell>
        </row>
        <row r="78">
          <cell r="C78">
            <v>314118</v>
          </cell>
          <cell r="D78" t="str">
            <v>Ginni Andrea Gramajo Lucas</v>
          </cell>
          <cell r="E78">
            <v>93</v>
          </cell>
          <cell r="F78" t="str">
            <v>Espartanos</v>
          </cell>
        </row>
        <row r="79">
          <cell r="C79">
            <v>314299</v>
          </cell>
          <cell r="D79" t="str">
            <v>LOPEZ MORALES, ANDREA LUCIA</v>
          </cell>
          <cell r="E79">
            <v>93</v>
          </cell>
          <cell r="F79" t="str">
            <v>Espartanos</v>
          </cell>
        </row>
        <row r="80">
          <cell r="C80">
            <v>314747</v>
          </cell>
          <cell r="D80" t="str">
            <v>MAYRA AZUCENA PEREZ GUZMAN</v>
          </cell>
          <cell r="E80">
            <v>93</v>
          </cell>
          <cell r="F80" t="str">
            <v>Espartanos</v>
          </cell>
        </row>
        <row r="81">
          <cell r="C81">
            <v>313284</v>
          </cell>
          <cell r="D81" t="str">
            <v>SEBASTIAN QUINO MORALES</v>
          </cell>
          <cell r="E81">
            <v>93</v>
          </cell>
          <cell r="F81" t="str">
            <v>Espartanos</v>
          </cell>
        </row>
        <row r="82">
          <cell r="C82">
            <v>311460</v>
          </cell>
          <cell r="D82" t="str">
            <v xml:space="preserve"> ANA VILMA BAMACA CARDONA</v>
          </cell>
          <cell r="E82">
            <v>93</v>
          </cell>
          <cell r="F82" t="str">
            <v>Alfa</v>
          </cell>
        </row>
        <row r="83">
          <cell r="C83">
            <v>311234</v>
          </cell>
          <cell r="D83" t="str">
            <v xml:space="preserve"> ASTRID MARLENE DIAZ</v>
          </cell>
          <cell r="E83">
            <v>93</v>
          </cell>
          <cell r="F83" t="str">
            <v>optimos</v>
          </cell>
        </row>
        <row r="84">
          <cell r="C84">
            <v>308361</v>
          </cell>
          <cell r="D84" t="str">
            <v xml:space="preserve"> BRENDA MARIBEL OROZCO MENDOZA</v>
          </cell>
          <cell r="E84">
            <v>93</v>
          </cell>
          <cell r="F84" t="str">
            <v>optimos</v>
          </cell>
        </row>
        <row r="85">
          <cell r="C85">
            <v>305555</v>
          </cell>
          <cell r="D85" t="str">
            <v xml:space="preserve"> HEBER ANTONIO OLIVARES ALVARADO</v>
          </cell>
          <cell r="E85">
            <v>93</v>
          </cell>
          <cell r="F85" t="str">
            <v>Jireh</v>
          </cell>
        </row>
        <row r="86">
          <cell r="C86">
            <v>310790</v>
          </cell>
          <cell r="D86" t="str">
            <v xml:space="preserve"> KARINA DEL ROSARIO CASTRO LOPEZ DE GUZMAN</v>
          </cell>
          <cell r="E86">
            <v>93</v>
          </cell>
          <cell r="F86" t="str">
            <v>Alfa</v>
          </cell>
        </row>
        <row r="87">
          <cell r="C87">
            <v>309544</v>
          </cell>
          <cell r="D87" t="str">
            <v xml:space="preserve"> LORENA ALEXANDRA LOPEZ YAX</v>
          </cell>
          <cell r="E87">
            <v>93</v>
          </cell>
          <cell r="F87" t="str">
            <v>optimos</v>
          </cell>
        </row>
        <row r="88">
          <cell r="C88">
            <v>312483</v>
          </cell>
          <cell r="D88" t="str">
            <v>BERTA ELIZABETH RODAS ROSALES</v>
          </cell>
          <cell r="E88">
            <v>93</v>
          </cell>
          <cell r="F88" t="str">
            <v>optimos</v>
          </cell>
        </row>
        <row r="89">
          <cell r="C89">
            <v>307394</v>
          </cell>
          <cell r="D89" t="str">
            <v>DAMARIS JUDITH RIVAS BENITEZ</v>
          </cell>
          <cell r="E89">
            <v>93</v>
          </cell>
          <cell r="F89" t="str">
            <v>optimos</v>
          </cell>
        </row>
        <row r="90">
          <cell r="C90">
            <v>311082</v>
          </cell>
          <cell r="D90" t="str">
            <v>JANZ VINCENT TUNCHE</v>
          </cell>
          <cell r="E90">
            <v>93</v>
          </cell>
          <cell r="F90" t="str">
            <v>Jireh</v>
          </cell>
        </row>
        <row r="91">
          <cell r="C91">
            <v>308405</v>
          </cell>
          <cell r="D91" t="str">
            <v>JUAN AQUINO RAC</v>
          </cell>
          <cell r="E91">
            <v>93</v>
          </cell>
          <cell r="F91" t="str">
            <v>optimos</v>
          </cell>
        </row>
        <row r="92">
          <cell r="C92">
            <v>312481</v>
          </cell>
          <cell r="D92" t="str">
            <v>MAGDALENA NOEMI LEONARDO VENTURA</v>
          </cell>
          <cell r="E92">
            <v>93</v>
          </cell>
          <cell r="F92" t="str">
            <v>Jireh</v>
          </cell>
        </row>
        <row r="93">
          <cell r="C93">
            <v>312482</v>
          </cell>
          <cell r="D93" t="str">
            <v>MILDRED ELIZABETH RIVERA TENAS</v>
          </cell>
          <cell r="E93">
            <v>93</v>
          </cell>
          <cell r="F93" t="str">
            <v>Jireh</v>
          </cell>
        </row>
        <row r="94">
          <cell r="C94">
            <v>307005</v>
          </cell>
          <cell r="D94" t="str">
            <v>MIRIAM LETICIA ROMERO TORRES</v>
          </cell>
          <cell r="E94">
            <v>93</v>
          </cell>
          <cell r="F94" t="str">
            <v>Phoenix</v>
          </cell>
        </row>
        <row r="95">
          <cell r="C95">
            <v>314227</v>
          </cell>
          <cell r="D95" t="str">
            <v xml:space="preserve">MIRNA JANETH ORDOÑEZ </v>
          </cell>
          <cell r="E95">
            <v>93</v>
          </cell>
          <cell r="F95" t="str">
            <v>optimos</v>
          </cell>
        </row>
        <row r="96">
          <cell r="C96">
            <v>308201</v>
          </cell>
          <cell r="D96" t="str">
            <v xml:space="preserve"> AMPARO JANET CARDONA LINARES</v>
          </cell>
          <cell r="E96">
            <v>93</v>
          </cell>
          <cell r="F96" t="str">
            <v>Guerreros</v>
          </cell>
        </row>
        <row r="97">
          <cell r="C97">
            <v>305796</v>
          </cell>
          <cell r="D97" t="str">
            <v xml:space="preserve"> ELIAS PEREZ SEQUEN</v>
          </cell>
          <cell r="E97">
            <v>93</v>
          </cell>
          <cell r="F97" t="str">
            <v>Guerreros</v>
          </cell>
        </row>
        <row r="98">
          <cell r="C98">
            <v>310823</v>
          </cell>
          <cell r="D98" t="str">
            <v xml:space="preserve"> FRANCISCA YESENIA ACEYTUNO QUEVEDO</v>
          </cell>
          <cell r="E98">
            <v>93</v>
          </cell>
          <cell r="F98" t="str">
            <v>Guerreros</v>
          </cell>
        </row>
        <row r="99">
          <cell r="C99">
            <v>311152</v>
          </cell>
          <cell r="D99" t="str">
            <v xml:space="preserve"> HEIDI NATALI CHACON DE LA ROSA DE DIAZ</v>
          </cell>
          <cell r="E99">
            <v>93</v>
          </cell>
          <cell r="F99" t="str">
            <v>Guerreros</v>
          </cell>
        </row>
        <row r="100">
          <cell r="C100">
            <v>309785</v>
          </cell>
          <cell r="D100" t="str">
            <v xml:space="preserve"> JOSE ESTEBAN DIAZ MONTUFAR</v>
          </cell>
          <cell r="E100">
            <v>93</v>
          </cell>
          <cell r="F100" t="str">
            <v>Guerreros</v>
          </cell>
        </row>
        <row r="101">
          <cell r="C101">
            <v>310787</v>
          </cell>
          <cell r="D101" t="str">
            <v xml:space="preserve"> MARILIN JANETH SANCHEZ DE RODRIGUEZ</v>
          </cell>
          <cell r="E101">
            <v>93</v>
          </cell>
          <cell r="F101" t="str">
            <v>Guerreros</v>
          </cell>
        </row>
        <row r="102">
          <cell r="C102">
            <v>305520</v>
          </cell>
          <cell r="D102" t="str">
            <v xml:space="preserve"> MILTON ORLANDO LOPEZ</v>
          </cell>
          <cell r="E102">
            <v>93</v>
          </cell>
          <cell r="F102" t="str">
            <v>Guerreros</v>
          </cell>
        </row>
        <row r="103">
          <cell r="C103">
            <v>311776</v>
          </cell>
          <cell r="D103" t="str">
            <v xml:space="preserve"> SUSAN JACKELINNE CRISTAL SANCHEZ</v>
          </cell>
          <cell r="E103">
            <v>93</v>
          </cell>
          <cell r="F103" t="str">
            <v>Guerreros</v>
          </cell>
        </row>
        <row r="104">
          <cell r="C104">
            <v>315589</v>
          </cell>
          <cell r="D104" t="str">
            <v xml:space="preserve"> WILFREDO NOE TOBAR VALENZUELA</v>
          </cell>
          <cell r="E104">
            <v>93</v>
          </cell>
          <cell r="F104" t="str">
            <v>ALFA</v>
          </cell>
        </row>
        <row r="105">
          <cell r="C105">
            <v>314741</v>
          </cell>
          <cell r="D105" t="str">
            <v>ANGELICA LORENA GARCIA GONZALEZ</v>
          </cell>
          <cell r="E105">
            <v>93</v>
          </cell>
          <cell r="F105" t="str">
            <v>Guerreros</v>
          </cell>
        </row>
        <row r="106">
          <cell r="C106">
            <v>314546</v>
          </cell>
          <cell r="D106" t="str">
            <v xml:space="preserve">CINTHIA IRENE PAZ CAAL   </v>
          </cell>
          <cell r="E106">
            <v>93</v>
          </cell>
          <cell r="F106" t="str">
            <v>Guerreros</v>
          </cell>
        </row>
        <row r="107">
          <cell r="C107">
            <v>313746</v>
          </cell>
          <cell r="D107" t="str">
            <v>CRISTIAN OMAR CRUZ MATA</v>
          </cell>
          <cell r="E107">
            <v>93</v>
          </cell>
          <cell r="F107" t="str">
            <v>Guerreros</v>
          </cell>
        </row>
        <row r="108">
          <cell r="C108">
            <v>315327</v>
          </cell>
          <cell r="D108" t="str">
            <v>DANINYER ALFONSO ORELLANA MADRID</v>
          </cell>
          <cell r="E108">
            <v>93</v>
          </cell>
          <cell r="F108" t="str">
            <v>Guerreros</v>
          </cell>
        </row>
        <row r="109">
          <cell r="C109">
            <v>313195</v>
          </cell>
          <cell r="D109" t="str">
            <v>EDNA HELENIN BENITEZ GUZMAN DE ALTAN</v>
          </cell>
          <cell r="E109">
            <v>93</v>
          </cell>
          <cell r="F109" t="str">
            <v>Guerreros</v>
          </cell>
        </row>
        <row r="110">
          <cell r="C110">
            <v>314524</v>
          </cell>
          <cell r="D110" t="str">
            <v>FRANCISCO ANTONIO DAVILA MORALES</v>
          </cell>
          <cell r="E110">
            <v>93</v>
          </cell>
          <cell r="F110" t="str">
            <v>Guerreros</v>
          </cell>
        </row>
        <row r="111">
          <cell r="C111">
            <v>314329</v>
          </cell>
          <cell r="D111" t="str">
            <v>FREDY JOEL LOPEZ SANTIAGO</v>
          </cell>
          <cell r="E111">
            <v>93</v>
          </cell>
          <cell r="F111" t="str">
            <v>Guerreros</v>
          </cell>
        </row>
        <row r="112">
          <cell r="C112">
            <v>313745</v>
          </cell>
          <cell r="D112" t="str">
            <v>MILVIA ALEJANDRA LOPEZ MARROQUIN</v>
          </cell>
          <cell r="E112">
            <v>93</v>
          </cell>
          <cell r="F112" t="str">
            <v>Guerreros</v>
          </cell>
        </row>
        <row r="113">
          <cell r="C113">
            <v>312288</v>
          </cell>
          <cell r="D113" t="str">
            <v>MIRIAM MARILISA HERRERA PEREZ</v>
          </cell>
          <cell r="E113">
            <v>93</v>
          </cell>
          <cell r="F113" t="str">
            <v>Guerreros</v>
          </cell>
        </row>
        <row r="114">
          <cell r="C114">
            <v>313756</v>
          </cell>
          <cell r="D114" t="str">
            <v>WALTER JOSUE CORONA BARRERA</v>
          </cell>
          <cell r="E114">
            <v>93</v>
          </cell>
          <cell r="F114" t="str">
            <v>Guerreros</v>
          </cell>
        </row>
        <row r="115">
          <cell r="C115">
            <v>312284</v>
          </cell>
          <cell r="D115" t="str">
            <v xml:space="preserve"> ARNOLDO COQUE HERNANDEZ</v>
          </cell>
          <cell r="E115">
            <v>93</v>
          </cell>
          <cell r="F115" t="str">
            <v>optimos</v>
          </cell>
        </row>
        <row r="116">
          <cell r="C116">
            <v>303585</v>
          </cell>
          <cell r="D116" t="str">
            <v xml:space="preserve"> GERBER ESTUARDO ALBIZURES ARCHILA</v>
          </cell>
          <cell r="E116">
            <v>93</v>
          </cell>
          <cell r="F116" t="str">
            <v>optimos</v>
          </cell>
        </row>
        <row r="117">
          <cell r="C117">
            <v>307846</v>
          </cell>
          <cell r="D117" t="str">
            <v xml:space="preserve"> SANDRA PATRICIA BARAN AVILA</v>
          </cell>
          <cell r="E117">
            <v>93</v>
          </cell>
          <cell r="F117" t="str">
            <v>optimos</v>
          </cell>
        </row>
        <row r="118">
          <cell r="C118">
            <v>307962</v>
          </cell>
          <cell r="D118" t="str">
            <v xml:space="preserve"> SELVYN DAVID PAYOLA AYALA</v>
          </cell>
          <cell r="E118">
            <v>93</v>
          </cell>
          <cell r="F118" t="str">
            <v>Alfa</v>
          </cell>
        </row>
        <row r="119">
          <cell r="C119">
            <v>307891</v>
          </cell>
          <cell r="D119" t="str">
            <v xml:space="preserve"> SUSANA RODRIGUEZ CORDOVA</v>
          </cell>
          <cell r="E119">
            <v>93</v>
          </cell>
          <cell r="F119" t="str">
            <v>Alfa</v>
          </cell>
        </row>
        <row r="120">
          <cell r="C120">
            <v>314413</v>
          </cell>
          <cell r="D120" t="str">
            <v>CARMEN ARELY PEREZ ESCOBAR</v>
          </cell>
          <cell r="E120">
            <v>93</v>
          </cell>
          <cell r="F120" t="str">
            <v>optimos</v>
          </cell>
        </row>
        <row r="121">
          <cell r="C121">
            <v>315237</v>
          </cell>
          <cell r="D121" t="str">
            <v>CELIA MARIELA CASTILLO BETETA</v>
          </cell>
          <cell r="E121">
            <v>93</v>
          </cell>
          <cell r="F121" t="str">
            <v>optimos</v>
          </cell>
        </row>
        <row r="122">
          <cell r="C122">
            <v>313451</v>
          </cell>
          <cell r="D122" t="str">
            <v>ERICK DIONICIO ALVAREZ FLORES</v>
          </cell>
          <cell r="E122">
            <v>93</v>
          </cell>
          <cell r="F122" t="str">
            <v>Alfa</v>
          </cell>
        </row>
        <row r="123">
          <cell r="C123">
            <v>313583</v>
          </cell>
          <cell r="D123" t="str">
            <v>LAIZA MARLENY GOMEZ GARCIA DE GOMEZ</v>
          </cell>
          <cell r="E123">
            <v>93</v>
          </cell>
          <cell r="F123" t="str">
            <v>optimos</v>
          </cell>
        </row>
        <row r="124">
          <cell r="C124">
            <v>311902</v>
          </cell>
          <cell r="D124" t="str">
            <v>MARIO RAUL MONROY MONROY</v>
          </cell>
          <cell r="E124">
            <v>93</v>
          </cell>
          <cell r="F124" t="str">
            <v>optimos</v>
          </cell>
        </row>
        <row r="125">
          <cell r="C125">
            <v>313261</v>
          </cell>
          <cell r="D125" t="str">
            <v>VIVIANA MARIBEL ORTIZ BARRIOS</v>
          </cell>
          <cell r="E125">
            <v>93</v>
          </cell>
          <cell r="F125" t="str">
            <v>optimos</v>
          </cell>
        </row>
        <row r="126">
          <cell r="C126">
            <v>309678</v>
          </cell>
          <cell r="D126" t="str">
            <v xml:space="preserve"> CARLA NOEMI IRIAS ALVAREZ</v>
          </cell>
          <cell r="E126">
            <v>93</v>
          </cell>
          <cell r="F126" t="str">
            <v>Phoenix</v>
          </cell>
        </row>
        <row r="127">
          <cell r="C127">
            <v>311704</v>
          </cell>
          <cell r="D127" t="str">
            <v xml:space="preserve"> CELEDONIA ISABEL CHAN BATZ DE ISCAYA</v>
          </cell>
          <cell r="E127">
            <v>93</v>
          </cell>
          <cell r="F127" t="str">
            <v>Phoenix</v>
          </cell>
        </row>
        <row r="128">
          <cell r="C128">
            <v>311963</v>
          </cell>
          <cell r="D128" t="str">
            <v xml:space="preserve"> GIOVANNI NOEL VALDEZ RODRIGUEZ</v>
          </cell>
          <cell r="E128">
            <v>93</v>
          </cell>
          <cell r="F128" t="str">
            <v>Phoenix</v>
          </cell>
        </row>
        <row r="129">
          <cell r="C129">
            <v>308771</v>
          </cell>
          <cell r="D129" t="str">
            <v xml:space="preserve"> GLORIA ESTEFANILLA ESPINOZA GARCIA</v>
          </cell>
          <cell r="E129">
            <v>93</v>
          </cell>
          <cell r="F129" t="str">
            <v>Phoenix</v>
          </cell>
        </row>
        <row r="130">
          <cell r="C130">
            <v>311838</v>
          </cell>
          <cell r="D130" t="str">
            <v xml:space="preserve"> SARAH NOEMY SANDOVAL POGGIO</v>
          </cell>
          <cell r="E130">
            <v>93</v>
          </cell>
          <cell r="F130" t="str">
            <v>Phoenix</v>
          </cell>
        </row>
        <row r="131">
          <cell r="C131">
            <v>315129</v>
          </cell>
          <cell r="D131" t="str">
            <v xml:space="preserve">Angel Israel Perez Perez </v>
          </cell>
          <cell r="E131">
            <v>93</v>
          </cell>
          <cell r="F131" t="str">
            <v>Phoenix</v>
          </cell>
        </row>
        <row r="132">
          <cell r="C132">
            <v>311595</v>
          </cell>
          <cell r="D132" t="str">
            <v>BILLY GIOVANNY AVALOS CASTILLO</v>
          </cell>
          <cell r="E132">
            <v>93</v>
          </cell>
          <cell r="F132" t="str">
            <v>Phoenix</v>
          </cell>
        </row>
        <row r="133">
          <cell r="C133">
            <v>313108</v>
          </cell>
          <cell r="D133" t="str">
            <v>EVELYN KARINA LORENZANA GOMEZ</v>
          </cell>
          <cell r="E133">
            <v>93</v>
          </cell>
          <cell r="F133" t="str">
            <v>Phoenix</v>
          </cell>
        </row>
        <row r="134">
          <cell r="C134">
            <v>309122</v>
          </cell>
          <cell r="D134" t="str">
            <v>GREYCI YULISSA ALIÑADO RODRIGUEZ</v>
          </cell>
          <cell r="E134">
            <v>93</v>
          </cell>
          <cell r="F134" t="str">
            <v>Phoenix</v>
          </cell>
        </row>
        <row r="135">
          <cell r="C135">
            <v>312848</v>
          </cell>
          <cell r="D135" t="str">
            <v>JUAN HUMBERTO CASTILLO GARCIA</v>
          </cell>
          <cell r="E135">
            <v>93</v>
          </cell>
          <cell r="F135" t="str">
            <v>Phoenix</v>
          </cell>
        </row>
        <row r="136">
          <cell r="C136">
            <v>315406</v>
          </cell>
          <cell r="D136" t="str">
            <v>Maria Fernandez Perez Rangel</v>
          </cell>
          <cell r="E136">
            <v>93</v>
          </cell>
          <cell r="F136" t="str">
            <v>Phoenix</v>
          </cell>
        </row>
        <row r="137">
          <cell r="C137">
            <v>314302</v>
          </cell>
          <cell r="D137" t="str">
            <v>MARIO RENE GARCIA PAREDES</v>
          </cell>
          <cell r="E137">
            <v>93</v>
          </cell>
          <cell r="F137" t="str">
            <v>Phoenix</v>
          </cell>
        </row>
        <row r="138">
          <cell r="C138">
            <v>313758</v>
          </cell>
          <cell r="D138" t="str">
            <v>MELANI ANDREA SALCEDO ACEVEDO</v>
          </cell>
          <cell r="E138">
            <v>93</v>
          </cell>
          <cell r="F138" t="str">
            <v>Phoenix</v>
          </cell>
        </row>
        <row r="139">
          <cell r="C139">
            <v>315200</v>
          </cell>
          <cell r="D139" t="str">
            <v xml:space="preserve">Yeni Amarilis Ruano </v>
          </cell>
          <cell r="E139">
            <v>93</v>
          </cell>
          <cell r="F139" t="str">
            <v>Phoenix</v>
          </cell>
        </row>
        <row r="140">
          <cell r="C140">
            <v>315593</v>
          </cell>
          <cell r="D140" t="str">
            <v>FLORA ANABELLA YAXCAL FERNANDEZ</v>
          </cell>
          <cell r="E140">
            <v>93</v>
          </cell>
          <cell r="F140" t="str">
            <v>AGUILAS</v>
          </cell>
        </row>
        <row r="141">
          <cell r="C141">
            <v>315595</v>
          </cell>
          <cell r="D141" t="str">
            <v xml:space="preserve">JAQUELINE PAOLA SANTIZO ROMAN </v>
          </cell>
          <cell r="E141">
            <v>93</v>
          </cell>
          <cell r="F141" t="str">
            <v>Alfa</v>
          </cell>
        </row>
        <row r="142">
          <cell r="C142">
            <v>315292</v>
          </cell>
          <cell r="D142" t="str">
            <v>MIJAIL ERICK JOAQUIN MORALES ORTIZ</v>
          </cell>
          <cell r="E142">
            <v>93</v>
          </cell>
          <cell r="F142" t="str">
            <v>ALFA</v>
          </cell>
        </row>
        <row r="143">
          <cell r="C143">
            <v>315657</v>
          </cell>
          <cell r="D143" t="str">
            <v>HUGO EZEQUIEL GUEVARA GOMEZ</v>
          </cell>
          <cell r="E143">
            <v>93</v>
          </cell>
          <cell r="F143" t="str">
            <v>ALFA</v>
          </cell>
        </row>
        <row r="144">
          <cell r="C144">
            <v>315555</v>
          </cell>
          <cell r="D144" t="str">
            <v>ELISEO MACARIO CARRILLO</v>
          </cell>
          <cell r="E144">
            <v>93</v>
          </cell>
          <cell r="F144" t="str">
            <v>ALFA</v>
          </cell>
        </row>
        <row r="145">
          <cell r="C145">
            <v>315575</v>
          </cell>
          <cell r="D145" t="str">
            <v>Judith Sarai Medrano Orellana</v>
          </cell>
          <cell r="E145">
            <v>93</v>
          </cell>
          <cell r="F145" t="str">
            <v>Champions</v>
          </cell>
        </row>
        <row r="146">
          <cell r="C146">
            <v>315653</v>
          </cell>
          <cell r="D146" t="str">
            <v>Edgar Danilo Monterroso Mendez</v>
          </cell>
          <cell r="E146">
            <v>93</v>
          </cell>
          <cell r="F146" t="str">
            <v>Champions</v>
          </cell>
        </row>
        <row r="147">
          <cell r="C147">
            <v>315666</v>
          </cell>
          <cell r="D147" t="str">
            <v>sindy sanchez</v>
          </cell>
          <cell r="E147">
            <v>93</v>
          </cell>
          <cell r="F147" t="str">
            <v>Elements</v>
          </cell>
        </row>
        <row r="148">
          <cell r="C148">
            <v>315847</v>
          </cell>
          <cell r="D148" t="str">
            <v>YEFRI ESTUARDO LOPEZ VELASQUEZ</v>
          </cell>
          <cell r="E148">
            <v>93</v>
          </cell>
          <cell r="F148" t="str">
            <v>Espartanos</v>
          </cell>
        </row>
        <row r="149">
          <cell r="C149">
            <v>315814</v>
          </cell>
          <cell r="D149" t="str">
            <v xml:space="preserve">Jorge Alejandro Paz </v>
          </cell>
          <cell r="E149">
            <v>93</v>
          </cell>
          <cell r="F149" t="str">
            <v>ALFA</v>
          </cell>
        </row>
        <row r="150">
          <cell r="C150">
            <v>315986</v>
          </cell>
          <cell r="D150" t="str">
            <v>KELVIN AMERICO SOSA OCHOA</v>
          </cell>
          <cell r="E150">
            <v>93</v>
          </cell>
          <cell r="F150" t="str">
            <v>Espartanos</v>
          </cell>
        </row>
        <row r="151">
          <cell r="C151">
            <v>315916</v>
          </cell>
          <cell r="D151" t="str">
            <v xml:space="preserve">Maria Alejandra Garcia Lara </v>
          </cell>
          <cell r="E151">
            <v>93</v>
          </cell>
          <cell r="F151" t="str">
            <v>AGUILAS</v>
          </cell>
        </row>
        <row r="152">
          <cell r="C152">
            <v>315841</v>
          </cell>
          <cell r="D152" t="str">
            <v>Lesbia Roxana Rojas Castro</v>
          </cell>
          <cell r="E152">
            <v>93</v>
          </cell>
          <cell r="F152" t="str">
            <v>optimos</v>
          </cell>
        </row>
        <row r="153">
          <cell r="C153">
            <v>315925</v>
          </cell>
          <cell r="D153" t="str">
            <v>JOSTHYN RAUL PARDO OBREGON</v>
          </cell>
          <cell r="E153">
            <v>93</v>
          </cell>
          <cell r="F153" t="str">
            <v>optimos</v>
          </cell>
        </row>
        <row r="154">
          <cell r="C154">
            <v>315998</v>
          </cell>
          <cell r="D154" t="str">
            <v>JAIRO OMAR FLORES CHITAY</v>
          </cell>
          <cell r="E154">
            <v>93</v>
          </cell>
          <cell r="F154" t="str">
            <v>ELITE</v>
          </cell>
        </row>
        <row r="155">
          <cell r="C155">
            <v>316035</v>
          </cell>
          <cell r="D155" t="str">
            <v xml:space="preserve">Abner Antonio Dávila de Paz                    </v>
          </cell>
          <cell r="E155">
            <v>93</v>
          </cell>
          <cell r="F155" t="str">
            <v>optimos</v>
          </cell>
        </row>
        <row r="156">
          <cell r="C156">
            <v>316021</v>
          </cell>
          <cell r="D156" t="str">
            <v xml:space="preserve">Dulce Maricela Torres Castillo                 </v>
          </cell>
          <cell r="E156">
            <v>93</v>
          </cell>
          <cell r="F156" t="str">
            <v>optimos</v>
          </cell>
        </row>
        <row r="157">
          <cell r="C157">
            <v>316023</v>
          </cell>
          <cell r="D157" t="str">
            <v xml:space="preserve">María Angelica Trujillo Coronado            </v>
          </cell>
          <cell r="E157">
            <v>93</v>
          </cell>
          <cell r="F157" t="str">
            <v>Elements</v>
          </cell>
        </row>
        <row r="158">
          <cell r="C158">
            <v>315997</v>
          </cell>
          <cell r="D158" t="str">
            <v>Sindy Melissa Duarte Colindres</v>
          </cell>
          <cell r="E158">
            <v>93</v>
          </cell>
          <cell r="F158" t="str">
            <v>Champions</v>
          </cell>
        </row>
        <row r="159">
          <cell r="C159">
            <v>314921</v>
          </cell>
          <cell r="D159" t="str">
            <v>JOSSELINE AMARILIZ MARROQUIN MERIDA</v>
          </cell>
          <cell r="E159">
            <v>93</v>
          </cell>
          <cell r="F159" t="str">
            <v>alfa</v>
          </cell>
        </row>
        <row r="160">
          <cell r="C160">
            <v>316125</v>
          </cell>
          <cell r="D160" t="str">
            <v>MALCKY JASMIN HERRERA HERNANDEZ</v>
          </cell>
          <cell r="E160">
            <v>93</v>
          </cell>
          <cell r="F160" t="str">
            <v>Guerreros</v>
          </cell>
        </row>
        <row r="161">
          <cell r="C161">
            <v>316293</v>
          </cell>
          <cell r="D161" t="str">
            <v>LUCIO OMAR CHAVEZ CHAVEZ</v>
          </cell>
          <cell r="E161">
            <v>93</v>
          </cell>
          <cell r="F161" t="str">
            <v>Espartanos</v>
          </cell>
        </row>
        <row r="162">
          <cell r="C162">
            <v>316263</v>
          </cell>
          <cell r="D162" t="str">
            <v xml:space="preserve">Luis Fernando Lopez Vasquez </v>
          </cell>
          <cell r="E162">
            <v>93</v>
          </cell>
          <cell r="F162" t="str">
            <v>Elements</v>
          </cell>
        </row>
        <row r="163">
          <cell r="C163">
            <v>316378</v>
          </cell>
          <cell r="D163" t="str">
            <v>Elisa Bravo</v>
          </cell>
          <cell r="E163">
            <v>93</v>
          </cell>
          <cell r="F163" t="str">
            <v>Champions</v>
          </cell>
        </row>
        <row r="164">
          <cell r="C164">
            <v>316385</v>
          </cell>
          <cell r="D164" t="str">
            <v>LINDA ARACELY GARCIA BETETA</v>
          </cell>
          <cell r="E164">
            <v>93</v>
          </cell>
          <cell r="F164" t="str">
            <v>Guerreros</v>
          </cell>
        </row>
        <row r="165">
          <cell r="C165">
            <v>312588</v>
          </cell>
          <cell r="D165" t="str">
            <v>HECTOR MANUEL POJOY BERDUO</v>
          </cell>
          <cell r="E165">
            <v>93</v>
          </cell>
          <cell r="F165" t="str">
            <v>Phoenix</v>
          </cell>
        </row>
        <row r="166">
          <cell r="C166">
            <v>315983</v>
          </cell>
          <cell r="D166" t="str">
            <v>JUAN CARLOS ALVAREZ CHINCHILLA</v>
          </cell>
          <cell r="E166">
            <v>93</v>
          </cell>
          <cell r="F166" t="str">
            <v>ELITE</v>
          </cell>
        </row>
        <row r="167">
          <cell r="C167">
            <v>316486</v>
          </cell>
          <cell r="D167" t="str">
            <v>MIGUEL RODRIGO GONZALEZ RAMIREZ</v>
          </cell>
          <cell r="E167">
            <v>93</v>
          </cell>
          <cell r="F167" t="str">
            <v>optimos</v>
          </cell>
        </row>
        <row r="168">
          <cell r="C168">
            <v>316488</v>
          </cell>
          <cell r="D168" t="str">
            <v>LUIS ANGEL PEÑALONZO MUÑOS</v>
          </cell>
          <cell r="E168">
            <v>93</v>
          </cell>
          <cell r="F168" t="str">
            <v>ELITE</v>
          </cell>
        </row>
        <row r="169">
          <cell r="C169">
            <v>90009437</v>
          </cell>
          <cell r="D169" t="str">
            <v>LESTER MANFREDO GONZALEZ DE PAZ</v>
          </cell>
          <cell r="E169">
            <v>93</v>
          </cell>
          <cell r="F169" t="str">
            <v>ELITE</v>
          </cell>
        </row>
        <row r="170">
          <cell r="C170">
            <v>90009397</v>
          </cell>
          <cell r="D170" t="str">
            <v>Luis Rodolfo Carranza</v>
          </cell>
          <cell r="E170">
            <v>93</v>
          </cell>
          <cell r="F170" t="str">
            <v>Champions</v>
          </cell>
        </row>
        <row r="171">
          <cell r="C171">
            <v>316489</v>
          </cell>
          <cell r="D171" t="str">
            <v>YUSLENI DORALI ANZUETO VASQUEZ</v>
          </cell>
          <cell r="E171">
            <v>93</v>
          </cell>
          <cell r="F171" t="str">
            <v>ELITE</v>
          </cell>
        </row>
        <row r="172">
          <cell r="C172">
            <v>90012228</v>
          </cell>
          <cell r="D172" t="str">
            <v xml:space="preserve">Sandra Elizabeth Citalan Hernandez </v>
          </cell>
          <cell r="E172">
            <v>93</v>
          </cell>
          <cell r="F172" t="str">
            <v>ELITE</v>
          </cell>
        </row>
        <row r="173">
          <cell r="C173">
            <v>90015631</v>
          </cell>
          <cell r="D173" t="str">
            <v xml:space="preserve">Jeissy Dariela Castellanos Hernandez     </v>
          </cell>
          <cell r="E173">
            <v>93</v>
          </cell>
          <cell r="F173" t="str">
            <v>optimos</v>
          </cell>
        </row>
        <row r="174">
          <cell r="C174">
            <v>90015630</v>
          </cell>
          <cell r="D174" t="str">
            <v xml:space="preserve">Mauricio León Ruano                                </v>
          </cell>
          <cell r="E174">
            <v>93</v>
          </cell>
          <cell r="F174" t="str">
            <v>optimos</v>
          </cell>
        </row>
        <row r="175">
          <cell r="C175">
            <v>90009250</v>
          </cell>
          <cell r="D175" t="str">
            <v>YOSELIN YESENIA PEREZ JIMENEZ</v>
          </cell>
          <cell r="E175">
            <v>93</v>
          </cell>
          <cell r="F175" t="str">
            <v>Alfa</v>
          </cell>
        </row>
        <row r="176">
          <cell r="C176">
            <v>90012180</v>
          </cell>
          <cell r="D176" t="str">
            <v>CINDY MAYROBY OSCAL QUIÑONEZ</v>
          </cell>
          <cell r="E176">
            <v>93</v>
          </cell>
          <cell r="F176" t="str">
            <v>optimos</v>
          </cell>
        </row>
        <row r="177">
          <cell r="C177">
            <v>90016106</v>
          </cell>
          <cell r="D177" t="str">
            <v>HUBER RANDOLFO ALAY Y ALAY</v>
          </cell>
          <cell r="E177">
            <v>93</v>
          </cell>
          <cell r="F177" t="str">
            <v>Jireh</v>
          </cell>
        </row>
        <row r="178">
          <cell r="C178">
            <v>90018997</v>
          </cell>
          <cell r="D178" t="str">
            <v>Daniel Uvaldo Barreno Meneses</v>
          </cell>
          <cell r="E178">
            <v>93</v>
          </cell>
          <cell r="F178" t="str">
            <v>Elements</v>
          </cell>
        </row>
        <row r="179">
          <cell r="C179">
            <v>90019689</v>
          </cell>
          <cell r="D179" t="str">
            <v xml:space="preserve">HELEN YADIRA DE LEON QUIÑONEZ </v>
          </cell>
          <cell r="E179">
            <v>93</v>
          </cell>
          <cell r="F179" t="str">
            <v>Phoenix</v>
          </cell>
        </row>
        <row r="180">
          <cell r="C180">
            <v>90024021</v>
          </cell>
          <cell r="D180" t="str">
            <v xml:space="preserve">Manuel Estuardo Mejia Ayerdi </v>
          </cell>
          <cell r="E180">
            <v>93</v>
          </cell>
          <cell r="F180" t="str">
            <v>Espartanos</v>
          </cell>
        </row>
        <row r="181">
          <cell r="C181">
            <v>90023811</v>
          </cell>
          <cell r="D181" t="str">
            <v xml:space="preserve">Odeira Odet Juarez Morales                    </v>
          </cell>
          <cell r="E181">
            <v>93</v>
          </cell>
          <cell r="F181" t="str">
            <v>Phoenix</v>
          </cell>
        </row>
        <row r="182">
          <cell r="C182">
            <v>90023868</v>
          </cell>
          <cell r="D182" t="str">
            <v xml:space="preserve">Fernando René Gil de León                      </v>
          </cell>
          <cell r="E182">
            <v>93</v>
          </cell>
          <cell r="F182" t="str">
            <v>optimos</v>
          </cell>
        </row>
        <row r="183">
          <cell r="C183">
            <v>90024683</v>
          </cell>
          <cell r="D183" t="str">
            <v>JOSIAS MISAEL LOPEZ LEMUS</v>
          </cell>
          <cell r="E183">
            <v>93</v>
          </cell>
          <cell r="F183" t="str">
            <v>Champions</v>
          </cell>
        </row>
        <row r="184">
          <cell r="C184">
            <v>313694</v>
          </cell>
          <cell r="D184" t="str">
            <v>ALEX HUMBERTO MONTEZUMA</v>
          </cell>
          <cell r="E184">
            <v>93</v>
          </cell>
          <cell r="F184" t="str">
            <v>optimos</v>
          </cell>
        </row>
        <row r="185">
          <cell r="C185">
            <v>90024719</v>
          </cell>
          <cell r="D185" t="str">
            <v>Cristopher Josue Chanquin Flores</v>
          </cell>
          <cell r="E185">
            <v>93</v>
          </cell>
          <cell r="F185" t="str">
            <v>Alfa</v>
          </cell>
        </row>
        <row r="186">
          <cell r="C186">
            <v>90025289</v>
          </cell>
          <cell r="D186" t="str">
            <v>DIEGO ALEJANDRO DONIS JUAREZ</v>
          </cell>
          <cell r="E186">
            <v>93</v>
          </cell>
          <cell r="F186" t="str">
            <v>Elements</v>
          </cell>
        </row>
        <row r="187">
          <cell r="C187">
            <v>90034878</v>
          </cell>
          <cell r="D187" t="str">
            <v xml:space="preserve">Wilmer Alexander Hernandez Santos </v>
          </cell>
          <cell r="E187">
            <v>93</v>
          </cell>
          <cell r="F187" t="str">
            <v>Elite</v>
          </cell>
        </row>
        <row r="188">
          <cell r="C188">
            <v>90034705</v>
          </cell>
          <cell r="D188" t="str">
            <v xml:space="preserve">Alexander Josue Hurtado Palencia </v>
          </cell>
          <cell r="E188">
            <v>93</v>
          </cell>
          <cell r="F188" t="str">
            <v>Champions</v>
          </cell>
        </row>
        <row r="189">
          <cell r="C189">
            <v>90034745</v>
          </cell>
          <cell r="D189" t="str">
            <v>Marco Tulio Godoy Garcia</v>
          </cell>
          <cell r="E189">
            <v>93</v>
          </cell>
          <cell r="F189" t="str">
            <v>Champions</v>
          </cell>
        </row>
        <row r="190">
          <cell r="C190">
            <v>90034730</v>
          </cell>
          <cell r="D190" t="str">
            <v>Jose Angel Choguix Peren</v>
          </cell>
          <cell r="E190">
            <v>93</v>
          </cell>
          <cell r="F190" t="str">
            <v>Champions</v>
          </cell>
        </row>
        <row r="191">
          <cell r="C191">
            <v>90038303</v>
          </cell>
          <cell r="D191" t="str">
            <v xml:space="preserve">Victor Manuel Perez Salazar </v>
          </cell>
          <cell r="E191">
            <v>93</v>
          </cell>
          <cell r="F191" t="str">
            <v>Phoenix</v>
          </cell>
        </row>
        <row r="192">
          <cell r="C192">
            <v>90039301</v>
          </cell>
          <cell r="D192" t="str">
            <v xml:space="preserve">GABBY MARIETT BAUTISTA BAUTISTA           </v>
          </cell>
          <cell r="E192">
            <v>93</v>
          </cell>
          <cell r="F192" t="str">
            <v>optimos</v>
          </cell>
        </row>
        <row r="193">
          <cell r="C193">
            <v>90038829</v>
          </cell>
          <cell r="D193" t="str">
            <v>LESLY ALEJANDRA ZETO PEREZ</v>
          </cell>
          <cell r="E193">
            <v>93</v>
          </cell>
          <cell r="F193" t="str">
            <v>Phoenix</v>
          </cell>
        </row>
        <row r="194">
          <cell r="C194">
            <v>90039124</v>
          </cell>
          <cell r="D194" t="str">
            <v>PABLO JAVIER REINOSA FUENTES</v>
          </cell>
          <cell r="E194">
            <v>93</v>
          </cell>
          <cell r="F194" t="str">
            <v>ALFA</v>
          </cell>
        </row>
        <row r="195">
          <cell r="C195">
            <v>90039302</v>
          </cell>
          <cell r="D195" t="str">
            <v>DENNIS ALEXANDER ESQUIVEL GALEANO</v>
          </cell>
          <cell r="E195">
            <v>93</v>
          </cell>
          <cell r="F195" t="str">
            <v>Champions</v>
          </cell>
        </row>
        <row r="196">
          <cell r="C196">
            <v>90040434</v>
          </cell>
          <cell r="D196" t="str">
            <v xml:space="preserve">Elvis Armando Perez Urizar </v>
          </cell>
          <cell r="E196">
            <v>93</v>
          </cell>
          <cell r="F196" t="str">
            <v>Champions</v>
          </cell>
        </row>
        <row r="197">
          <cell r="C197">
            <v>90039317</v>
          </cell>
          <cell r="D197" t="str">
            <v>JOSUE MIGUEL PEREZ DONIS</v>
          </cell>
          <cell r="E197">
            <v>93</v>
          </cell>
          <cell r="F197" t="str">
            <v>ELEMENTS</v>
          </cell>
        </row>
        <row r="198">
          <cell r="C198">
            <v>90039521</v>
          </cell>
          <cell r="D198" t="str">
            <v>VILA LUCRECIA VANEGAS MORALES</v>
          </cell>
          <cell r="E198">
            <v>93</v>
          </cell>
          <cell r="F198" t="str">
            <v>ELEMENTS</v>
          </cell>
        </row>
        <row r="199">
          <cell r="C199">
            <v>90039498</v>
          </cell>
          <cell r="D199" t="str">
            <v>JESUS ALBERTO LIMA DIAZ</v>
          </cell>
          <cell r="E199">
            <v>93</v>
          </cell>
          <cell r="F199" t="str">
            <v>ESPARTANOS</v>
          </cell>
        </row>
        <row r="200">
          <cell r="C200">
            <v>90039514</v>
          </cell>
          <cell r="D200" t="str">
            <v>MADELIN IBETT CHACON YAT</v>
          </cell>
          <cell r="E200">
            <v>93</v>
          </cell>
          <cell r="F200" t="str">
            <v>ESPARTANOS</v>
          </cell>
        </row>
        <row r="201">
          <cell r="C201">
            <v>90039668</v>
          </cell>
          <cell r="D201" t="str">
            <v>DEISY LIZET PEREZ OLIVA</v>
          </cell>
          <cell r="E201">
            <v>93</v>
          </cell>
          <cell r="F201" t="str">
            <v>ESPARTANOS</v>
          </cell>
        </row>
        <row r="202">
          <cell r="C202">
            <v>90039690</v>
          </cell>
          <cell r="D202" t="str">
            <v>SUSANA MARILETH JUAREZ GALO</v>
          </cell>
          <cell r="E202">
            <v>93</v>
          </cell>
          <cell r="F202" t="str">
            <v>ESPARTANOS</v>
          </cell>
        </row>
        <row r="203">
          <cell r="C203">
            <v>90039821</v>
          </cell>
          <cell r="D203" t="str">
            <v>BRANDON ALEXIS ALVARADO MORALES</v>
          </cell>
          <cell r="E203">
            <v>93</v>
          </cell>
          <cell r="F203" t="str">
            <v>ESPARTANOS</v>
          </cell>
        </row>
        <row r="204">
          <cell r="C204">
            <v>90039908</v>
          </cell>
          <cell r="D204" t="str">
            <v>MAYRA ALEJANDRA CARRETO BONILLA</v>
          </cell>
          <cell r="E204">
            <v>93</v>
          </cell>
          <cell r="F204" t="str">
            <v>ESPARTANOS</v>
          </cell>
        </row>
        <row r="205">
          <cell r="C205">
            <v>90039956</v>
          </cell>
          <cell r="D205" t="str">
            <v>JAQUELINE ADRIANA DIAZ MONTERROSO</v>
          </cell>
          <cell r="E205">
            <v>93</v>
          </cell>
          <cell r="F205" t="str">
            <v>ESPARTANOS</v>
          </cell>
        </row>
        <row r="206">
          <cell r="C206">
            <v>90039750</v>
          </cell>
          <cell r="D206" t="str">
            <v>ERIK BAUDILIO BETETA</v>
          </cell>
          <cell r="E206">
            <v>93</v>
          </cell>
          <cell r="F206" t="str">
            <v>ESPARTANOS</v>
          </cell>
        </row>
        <row r="207">
          <cell r="C207">
            <v>90039872</v>
          </cell>
          <cell r="D207" t="str">
            <v>GLENDA DE JESUS MEJIA RAMIREZ</v>
          </cell>
          <cell r="E207">
            <v>93</v>
          </cell>
          <cell r="F207" t="str">
            <v>ESPARTANOS</v>
          </cell>
        </row>
        <row r="208">
          <cell r="C208">
            <v>90040156</v>
          </cell>
          <cell r="D208" t="str">
            <v>EVA ISABEL LOPEZ GUTIERREZ</v>
          </cell>
          <cell r="E208">
            <v>93</v>
          </cell>
          <cell r="F208" t="str">
            <v>ESPARTANOS</v>
          </cell>
        </row>
        <row r="209">
          <cell r="C209">
            <v>90039873</v>
          </cell>
          <cell r="D209" t="str">
            <v>CARLOS FERNANDO OCHOA CONTRERAS</v>
          </cell>
          <cell r="E209">
            <v>93</v>
          </cell>
          <cell r="F209" t="str">
            <v>ESPARTANOS</v>
          </cell>
        </row>
        <row r="210">
          <cell r="C210">
            <v>90040461</v>
          </cell>
          <cell r="D210" t="str">
            <v xml:space="preserve">JONATHAN FERNANDO GOMEZ VILLATORO          </v>
          </cell>
          <cell r="E210">
            <v>93</v>
          </cell>
          <cell r="F210" t="str">
            <v>ALFA</v>
          </cell>
        </row>
        <row r="211">
          <cell r="C211">
            <v>90034639</v>
          </cell>
          <cell r="D211" t="str">
            <v>JONATHAN JOSE CAJINA MONTERROSO</v>
          </cell>
          <cell r="E211">
            <v>93</v>
          </cell>
          <cell r="F211" t="str">
            <v>PHOENIX</v>
          </cell>
        </row>
        <row r="212">
          <cell r="C212">
            <v>90040153</v>
          </cell>
          <cell r="D212" t="str">
            <v>FRANKLIN ALEXANDER GOMEZ URIZAR</v>
          </cell>
          <cell r="E212">
            <v>93</v>
          </cell>
          <cell r="F212" t="str">
            <v>ESPARTANOS</v>
          </cell>
        </row>
        <row r="213">
          <cell r="C213">
            <v>90039988</v>
          </cell>
          <cell r="D213" t="str">
            <v>STEFANIE ROCIO NAJERA MARQUEZ</v>
          </cell>
          <cell r="E213">
            <v>93</v>
          </cell>
          <cell r="F213" t="str">
            <v>ESPARTANOS</v>
          </cell>
        </row>
        <row r="214">
          <cell r="C214">
            <v>90040350</v>
          </cell>
          <cell r="D214" t="str">
            <v>HEIDY MARIA PAMELA BARRIENTOS MELGAR</v>
          </cell>
          <cell r="E214">
            <v>93</v>
          </cell>
          <cell r="F214" t="str">
            <v>ESPARTANOS</v>
          </cell>
        </row>
        <row r="215">
          <cell r="C215">
            <v>90040281</v>
          </cell>
          <cell r="D215" t="str">
            <v>CARLOS ANTONIO JUL COC</v>
          </cell>
          <cell r="E215">
            <v>93</v>
          </cell>
          <cell r="F215" t="str">
            <v>ESPARTANOS</v>
          </cell>
        </row>
        <row r="216">
          <cell r="C216">
            <v>90040530</v>
          </cell>
          <cell r="D216" t="str">
            <v>CARLOS EDUARDO HERNANDEZ GARCIA</v>
          </cell>
          <cell r="E216">
            <v>93</v>
          </cell>
          <cell r="F216" t="str">
            <v>ESPARTANOS</v>
          </cell>
        </row>
        <row r="217">
          <cell r="C217">
            <v>90040631</v>
          </cell>
          <cell r="D217" t="str">
            <v>CINDY PAOLA AGUILAR JOLON</v>
          </cell>
          <cell r="E217">
            <v>93</v>
          </cell>
          <cell r="F217" t="str">
            <v>ESPARTANOS</v>
          </cell>
        </row>
        <row r="218">
          <cell r="C218">
            <v>316227</v>
          </cell>
          <cell r="D218" t="str">
            <v>ALLISON MIRELLA SALGUERO LOPEZ</v>
          </cell>
          <cell r="E218">
            <v>93</v>
          </cell>
          <cell r="F218" t="str">
            <v>Champions</v>
          </cell>
        </row>
        <row r="219">
          <cell r="C219">
            <v>90046255</v>
          </cell>
          <cell r="D219" t="str">
            <v>VICTOR HUGO FUENTES ORTIZ</v>
          </cell>
          <cell r="E219">
            <v>93</v>
          </cell>
          <cell r="F219" t="str">
            <v>OPTIMOS</v>
          </cell>
        </row>
        <row r="220">
          <cell r="C220">
            <v>90041342</v>
          </cell>
          <cell r="D220" t="str">
            <v>LESTER AARON LOPEZ ORANTES</v>
          </cell>
          <cell r="E220">
            <v>93</v>
          </cell>
          <cell r="F220" t="str">
            <v>PHOENIX</v>
          </cell>
        </row>
        <row r="221">
          <cell r="C221">
            <v>90041399</v>
          </cell>
          <cell r="D221" t="str">
            <v>EDGAR ALEXANDER TOC DEL AGUILA</v>
          </cell>
          <cell r="E221">
            <v>93</v>
          </cell>
          <cell r="F221" t="str">
            <v>ESPARTANOS</v>
          </cell>
        </row>
        <row r="222">
          <cell r="C222">
            <v>90047663</v>
          </cell>
          <cell r="D222" t="str">
            <v>SENDER MARGARITO RIVERA HERNANDEZ</v>
          </cell>
          <cell r="E222">
            <v>93</v>
          </cell>
          <cell r="F222" t="str">
            <v>ELITE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 2022"/>
      <sheetName val="Equipos Unidad de Negocios"/>
      <sheetName val="INDIVIDUAL UN"/>
    </sheetNames>
    <sheetDataSet>
      <sheetData sheetId="0" refreshError="1"/>
      <sheetData sheetId="1" refreshError="1"/>
      <sheetData sheetId="2" refreshError="1">
        <row r="6">
          <cell r="C6">
            <v>312053</v>
          </cell>
          <cell r="D6" t="str">
            <v xml:space="preserve"> ERICK ESTUARDO GONZALEZ CULAJAY</v>
          </cell>
          <cell r="E6">
            <v>93</v>
          </cell>
          <cell r="F6" t="str">
            <v>AGUILAS</v>
          </cell>
        </row>
        <row r="7">
          <cell r="C7">
            <v>309795</v>
          </cell>
          <cell r="D7" t="str">
            <v xml:space="preserve"> EVELIN JOHANA PEREZ FAJARDO DE ESTAYUL</v>
          </cell>
          <cell r="E7">
            <v>93</v>
          </cell>
          <cell r="F7" t="str">
            <v>AGUILAS</v>
          </cell>
        </row>
        <row r="8">
          <cell r="C8">
            <v>311195</v>
          </cell>
          <cell r="D8" t="str">
            <v xml:space="preserve"> JULIA MARIELA LOURDETTE GONZALEZ ROSALES</v>
          </cell>
          <cell r="E8">
            <v>93</v>
          </cell>
          <cell r="F8" t="str">
            <v>AGUILAS</v>
          </cell>
        </row>
        <row r="9">
          <cell r="C9">
            <v>311236</v>
          </cell>
          <cell r="D9" t="str">
            <v xml:space="preserve"> MARLON AROLDO DE LEON JUAREZ</v>
          </cell>
          <cell r="E9">
            <v>93</v>
          </cell>
          <cell r="F9" t="str">
            <v>AGUILAS</v>
          </cell>
        </row>
        <row r="10">
          <cell r="C10">
            <v>304620</v>
          </cell>
          <cell r="D10" t="str">
            <v xml:space="preserve"> MAYRA JUDITH MARROQUIN GUEVARA DE MELENDEZ</v>
          </cell>
          <cell r="E10">
            <v>93</v>
          </cell>
          <cell r="F10" t="str">
            <v>AGUILAS</v>
          </cell>
        </row>
        <row r="11">
          <cell r="C11">
            <v>311196</v>
          </cell>
          <cell r="D11" t="str">
            <v xml:space="preserve"> NANCY MARIELA ESTRADA CALEL DE SAMAYOA</v>
          </cell>
          <cell r="E11">
            <v>93</v>
          </cell>
          <cell r="F11" t="str">
            <v>AGUILAS</v>
          </cell>
        </row>
        <row r="12">
          <cell r="C12">
            <v>313885</v>
          </cell>
          <cell r="D12" t="str">
            <v>ADRIAN EMANUEL TURCIOS AZURDIA</v>
          </cell>
          <cell r="E12">
            <v>93</v>
          </cell>
          <cell r="F12" t="str">
            <v>AGUILAS</v>
          </cell>
        </row>
        <row r="13">
          <cell r="C13">
            <v>314304</v>
          </cell>
          <cell r="D13" t="str">
            <v>BRENDA YANETH PEREZ LUCAS</v>
          </cell>
          <cell r="E13">
            <v>93</v>
          </cell>
          <cell r="F13" t="str">
            <v>AGUILAS</v>
          </cell>
        </row>
        <row r="14">
          <cell r="C14">
            <v>311901</v>
          </cell>
          <cell r="D14" t="str">
            <v>EDITH VERANICE PALACIOS</v>
          </cell>
          <cell r="E14">
            <v>93</v>
          </cell>
          <cell r="F14" t="str">
            <v>AGUILAS</v>
          </cell>
        </row>
        <row r="15">
          <cell r="C15">
            <v>314436</v>
          </cell>
          <cell r="D15" t="str">
            <v xml:space="preserve">JORGE FRANCISCO SABAN LOPEZ </v>
          </cell>
          <cell r="E15">
            <v>93</v>
          </cell>
          <cell r="F15" t="str">
            <v>AGUILAS</v>
          </cell>
        </row>
        <row r="16">
          <cell r="C16">
            <v>313114</v>
          </cell>
          <cell r="D16" t="str">
            <v xml:space="preserve">JOSE ALBINO ALBEÑO GALICIA </v>
          </cell>
          <cell r="E16">
            <v>93</v>
          </cell>
          <cell r="F16" t="str">
            <v>AGUILAS</v>
          </cell>
        </row>
        <row r="17">
          <cell r="C17">
            <v>308558</v>
          </cell>
          <cell r="D17" t="str">
            <v>JOSE EMILIO YUMAN ROCHE</v>
          </cell>
          <cell r="E17">
            <v>93</v>
          </cell>
          <cell r="F17" t="str">
            <v>AGUILAS</v>
          </cell>
        </row>
        <row r="18">
          <cell r="C18">
            <v>315361</v>
          </cell>
          <cell r="D18" t="str">
            <v>Luis Fernando Roche Valenzuela</v>
          </cell>
          <cell r="E18">
            <v>93</v>
          </cell>
          <cell r="F18" t="str">
            <v>AGUILAS</v>
          </cell>
        </row>
        <row r="19">
          <cell r="C19">
            <v>314103</v>
          </cell>
          <cell r="D19" t="str">
            <v>LUISA FERNANDA MARROQUIN TIGUILA</v>
          </cell>
          <cell r="E19">
            <v>93</v>
          </cell>
          <cell r="F19" t="str">
            <v>AGUILAS</v>
          </cell>
        </row>
        <row r="20">
          <cell r="C20">
            <v>313680</v>
          </cell>
          <cell r="D20" t="str">
            <v>MARCO ANTONIO SALAZAR ALINZO</v>
          </cell>
          <cell r="E20">
            <v>93</v>
          </cell>
          <cell r="F20" t="str">
            <v>AGUILAS</v>
          </cell>
        </row>
        <row r="21">
          <cell r="C21">
            <v>314359</v>
          </cell>
          <cell r="D21" t="str">
            <v>MAYNOR ALEXANDER PEREZ SURQUE</v>
          </cell>
          <cell r="E21">
            <v>93</v>
          </cell>
          <cell r="F21" t="str">
            <v>AGUILAS</v>
          </cell>
        </row>
        <row r="22">
          <cell r="C22">
            <v>314370</v>
          </cell>
          <cell r="D22" t="str">
            <v>OLGA ROXANA GOMEZ</v>
          </cell>
          <cell r="E22">
            <v>93</v>
          </cell>
          <cell r="F22" t="str">
            <v>AGUILAS</v>
          </cell>
        </row>
        <row r="23">
          <cell r="C23">
            <v>315419</v>
          </cell>
          <cell r="D23" t="str">
            <v>Rubeldi Ajaniel Roblero Gonzales</v>
          </cell>
          <cell r="E23">
            <v>93</v>
          </cell>
          <cell r="F23" t="str">
            <v>AGUILAS</v>
          </cell>
        </row>
        <row r="24">
          <cell r="C24">
            <v>314769</v>
          </cell>
          <cell r="D24" t="str">
            <v>ABEL EDUARDO LOPEZ LOPEZ</v>
          </cell>
          <cell r="E24">
            <v>93</v>
          </cell>
          <cell r="F24" t="str">
            <v>Alfa</v>
          </cell>
        </row>
        <row r="25">
          <cell r="C25">
            <v>314839</v>
          </cell>
          <cell r="D25" t="str">
            <v>ANA GABRIELA SAMAYOA LOPEZ</v>
          </cell>
          <cell r="E25">
            <v>93</v>
          </cell>
          <cell r="F25" t="str">
            <v>Alfa</v>
          </cell>
        </row>
        <row r="26">
          <cell r="C26">
            <v>315422</v>
          </cell>
          <cell r="D26" t="str">
            <v xml:space="preserve">Carlos Alberto Roque </v>
          </cell>
          <cell r="E26">
            <v>93</v>
          </cell>
          <cell r="F26" t="str">
            <v>Alfa</v>
          </cell>
        </row>
        <row r="27">
          <cell r="C27">
            <v>314836</v>
          </cell>
          <cell r="D27" t="str">
            <v xml:space="preserve">CARLOS DAVID AJMAC </v>
          </cell>
          <cell r="E27">
            <v>93</v>
          </cell>
          <cell r="F27" t="str">
            <v>Alfa</v>
          </cell>
        </row>
        <row r="28">
          <cell r="C28">
            <v>314759</v>
          </cell>
          <cell r="D28" t="str">
            <v>CARLOS ROBERTO HERNANDEZ GONZALEZ</v>
          </cell>
          <cell r="E28">
            <v>93</v>
          </cell>
          <cell r="F28" t="str">
            <v>Alfa</v>
          </cell>
        </row>
        <row r="29">
          <cell r="C29">
            <v>314817</v>
          </cell>
          <cell r="D29" t="str">
            <v>CRISTIAN ORLANDO MONZON DE LEON</v>
          </cell>
          <cell r="E29">
            <v>93</v>
          </cell>
          <cell r="F29" t="str">
            <v>Alfa</v>
          </cell>
        </row>
        <row r="30">
          <cell r="C30">
            <v>314815</v>
          </cell>
          <cell r="D30" t="str">
            <v>GABRIELA ELIZABETH ALVAREZ MIX</v>
          </cell>
          <cell r="E30">
            <v>93</v>
          </cell>
          <cell r="F30" t="str">
            <v>optimos</v>
          </cell>
        </row>
        <row r="31">
          <cell r="C31">
            <v>315421</v>
          </cell>
          <cell r="D31" t="str">
            <v xml:space="preserve">Gladis Morales Cutzal </v>
          </cell>
          <cell r="E31">
            <v>93</v>
          </cell>
          <cell r="F31" t="str">
            <v>Phoenix</v>
          </cell>
        </row>
        <row r="32">
          <cell r="C32">
            <v>314794</v>
          </cell>
          <cell r="D32" t="str">
            <v>HERBERT WELLINGTON RODRIGUEZ RAMIREZ</v>
          </cell>
          <cell r="E32">
            <v>93</v>
          </cell>
          <cell r="F32" t="str">
            <v>Espartanos</v>
          </cell>
        </row>
        <row r="33">
          <cell r="C33">
            <v>314838</v>
          </cell>
          <cell r="D33" t="str">
            <v>JENIFER LUCERITO SIQUE MAYORGA</v>
          </cell>
          <cell r="E33">
            <v>93</v>
          </cell>
          <cell r="F33" t="str">
            <v>Alfa</v>
          </cell>
        </row>
        <row r="34">
          <cell r="C34">
            <v>314790</v>
          </cell>
          <cell r="D34" t="str">
            <v>JOHANA VIDALIA CHACH IXCOY</v>
          </cell>
          <cell r="E34">
            <v>93</v>
          </cell>
          <cell r="F34" t="str">
            <v>Alfa</v>
          </cell>
        </row>
        <row r="35">
          <cell r="C35">
            <v>314761</v>
          </cell>
          <cell r="D35" t="str">
            <v>JORGE EDUARDO FONSECA PALACIOS</v>
          </cell>
          <cell r="E35">
            <v>93</v>
          </cell>
          <cell r="F35" t="str">
            <v>Alfa</v>
          </cell>
        </row>
        <row r="36">
          <cell r="C36">
            <v>314756</v>
          </cell>
          <cell r="D36" t="str">
            <v>JUAN MANUEL GOMEZ SAMPUEL</v>
          </cell>
          <cell r="E36">
            <v>93</v>
          </cell>
          <cell r="F36" t="str">
            <v>Alfa</v>
          </cell>
        </row>
        <row r="37">
          <cell r="C37">
            <v>315366</v>
          </cell>
          <cell r="D37" t="str">
            <v xml:space="preserve">Mario Enrique Morales Escobar </v>
          </cell>
          <cell r="E37">
            <v>93</v>
          </cell>
          <cell r="F37" t="str">
            <v>Alfa</v>
          </cell>
        </row>
        <row r="38">
          <cell r="C38">
            <v>315392</v>
          </cell>
          <cell r="D38" t="str">
            <v xml:space="preserve">Mijail Erick Joaquín Morales Ortiz </v>
          </cell>
          <cell r="E38">
            <v>93</v>
          </cell>
          <cell r="F38" t="str">
            <v>Alfa</v>
          </cell>
        </row>
        <row r="39">
          <cell r="C39">
            <v>314751</v>
          </cell>
          <cell r="D39" t="str">
            <v>ANA LUCIA VELIZ SOLARES</v>
          </cell>
          <cell r="E39">
            <v>93</v>
          </cell>
          <cell r="F39" t="str">
            <v>Champions</v>
          </cell>
        </row>
        <row r="40">
          <cell r="C40">
            <v>314903</v>
          </cell>
          <cell r="D40" t="str">
            <v>CINDY JULISSA HERRERA</v>
          </cell>
          <cell r="E40">
            <v>93</v>
          </cell>
          <cell r="F40" t="str">
            <v>Champions</v>
          </cell>
        </row>
        <row r="41">
          <cell r="C41">
            <v>314800</v>
          </cell>
          <cell r="D41" t="str">
            <v>ELMER EDUARDO CASTILLO</v>
          </cell>
          <cell r="E41">
            <v>93</v>
          </cell>
          <cell r="F41" t="str">
            <v>Champions</v>
          </cell>
        </row>
        <row r="42">
          <cell r="C42">
            <v>314748</v>
          </cell>
          <cell r="D42" t="str">
            <v>FREDDY REYNALDO VELARDE VALENZUELA</v>
          </cell>
          <cell r="E42">
            <v>93</v>
          </cell>
          <cell r="F42" t="str">
            <v>Champions</v>
          </cell>
        </row>
        <row r="43">
          <cell r="C43">
            <v>315148</v>
          </cell>
          <cell r="D43" t="str">
            <v>Irene Beatriz Pena Orellana</v>
          </cell>
          <cell r="E43">
            <v>93</v>
          </cell>
          <cell r="F43" t="str">
            <v>Champions</v>
          </cell>
        </row>
        <row r="44">
          <cell r="C44">
            <v>314906</v>
          </cell>
          <cell r="D44" t="str">
            <v>JUAN PEDRO TINEY CAX</v>
          </cell>
          <cell r="E44">
            <v>93</v>
          </cell>
          <cell r="F44" t="str">
            <v>Champions</v>
          </cell>
        </row>
        <row r="45">
          <cell r="C45">
            <v>315322</v>
          </cell>
          <cell r="D45" t="str">
            <v>Lester Juan Jose Arevalo Reynoso</v>
          </cell>
          <cell r="E45">
            <v>93</v>
          </cell>
          <cell r="F45" t="str">
            <v>Champions</v>
          </cell>
        </row>
        <row r="46">
          <cell r="C46">
            <v>315093</v>
          </cell>
          <cell r="D46" t="str">
            <v>Miriam Eugenia Santizo Montenegro</v>
          </cell>
          <cell r="E46">
            <v>93</v>
          </cell>
          <cell r="F46" t="str">
            <v>Champions</v>
          </cell>
        </row>
        <row r="47">
          <cell r="C47">
            <v>314755</v>
          </cell>
          <cell r="D47" t="str">
            <v>SERGIO DAVID GONZALEZ PEREZ</v>
          </cell>
          <cell r="E47">
            <v>93</v>
          </cell>
          <cell r="F47" t="str">
            <v>Champions</v>
          </cell>
        </row>
        <row r="48">
          <cell r="C48">
            <v>314968</v>
          </cell>
          <cell r="D48" t="str">
            <v>Sharon Dayana Ninoshka López Márquez</v>
          </cell>
          <cell r="E48">
            <v>93</v>
          </cell>
          <cell r="F48" t="str">
            <v>Champions</v>
          </cell>
        </row>
        <row r="49">
          <cell r="C49">
            <v>311188</v>
          </cell>
          <cell r="D49" t="str">
            <v xml:space="preserve"> ANA ESTER CUYAN AGUILAR DE DOMINGUEZ</v>
          </cell>
          <cell r="E49">
            <v>93</v>
          </cell>
          <cell r="F49" t="str">
            <v>Elements</v>
          </cell>
        </row>
        <row r="50">
          <cell r="C50">
            <v>311894</v>
          </cell>
          <cell r="D50" t="str">
            <v xml:space="preserve"> CHRISTYAN STUARDO RONQUILLO SARAVIA</v>
          </cell>
          <cell r="E50">
            <v>93</v>
          </cell>
          <cell r="F50" t="str">
            <v>Elements</v>
          </cell>
        </row>
        <row r="51">
          <cell r="C51">
            <v>310331</v>
          </cell>
          <cell r="D51" t="str">
            <v xml:space="preserve"> ELDA LUZBINA VALDEZ GUERRA DE FUENTES</v>
          </cell>
          <cell r="E51">
            <v>93</v>
          </cell>
          <cell r="F51" t="str">
            <v>Elements</v>
          </cell>
        </row>
        <row r="52">
          <cell r="C52">
            <v>310822</v>
          </cell>
          <cell r="D52" t="str">
            <v xml:space="preserve"> JENNIFER LETICIA GONZALEZ PINEDA</v>
          </cell>
          <cell r="E52">
            <v>93</v>
          </cell>
          <cell r="F52" t="str">
            <v>Elements</v>
          </cell>
        </row>
        <row r="53">
          <cell r="C53">
            <v>312160</v>
          </cell>
          <cell r="D53" t="str">
            <v xml:space="preserve"> JOSE RIGOBERTO OSORIO ABARCA</v>
          </cell>
          <cell r="E53">
            <v>93</v>
          </cell>
          <cell r="F53" t="str">
            <v>Elements</v>
          </cell>
        </row>
        <row r="54">
          <cell r="C54">
            <v>310214</v>
          </cell>
          <cell r="D54" t="str">
            <v xml:space="preserve"> VIVIAN PAMELA RODAS LOPEZ</v>
          </cell>
          <cell r="E54">
            <v>93</v>
          </cell>
          <cell r="F54" t="str">
            <v>Elements</v>
          </cell>
        </row>
        <row r="55">
          <cell r="C55">
            <v>314928</v>
          </cell>
          <cell r="D55" t="str">
            <v>BRANDON STEVE JUAREZ ARRAZOLA</v>
          </cell>
          <cell r="E55">
            <v>93</v>
          </cell>
          <cell r="F55" t="str">
            <v>Elements</v>
          </cell>
        </row>
        <row r="56">
          <cell r="C56">
            <v>314323</v>
          </cell>
          <cell r="D56" t="str">
            <v>ANGEL ARTURO MAURICIO AYAPAN</v>
          </cell>
          <cell r="E56">
            <v>93</v>
          </cell>
          <cell r="F56" t="str">
            <v>Elements</v>
          </cell>
        </row>
        <row r="57">
          <cell r="C57">
            <v>313840</v>
          </cell>
          <cell r="D57" t="str">
            <v>CLAUDIA MARIA OROZCO GARCIA</v>
          </cell>
          <cell r="E57">
            <v>93</v>
          </cell>
          <cell r="F57" t="str">
            <v>Elements</v>
          </cell>
        </row>
        <row r="58">
          <cell r="C58">
            <v>313539</v>
          </cell>
          <cell r="D58" t="str">
            <v>JOAQUIN ALONSO MURILLO PEREZ</v>
          </cell>
          <cell r="E58">
            <v>93</v>
          </cell>
          <cell r="F58" t="str">
            <v>Elements</v>
          </cell>
        </row>
        <row r="59">
          <cell r="C59">
            <v>312489</v>
          </cell>
          <cell r="D59" t="str">
            <v>MARLIZ IRENE BONIFAZ LOPEZ</v>
          </cell>
          <cell r="E59">
            <v>93</v>
          </cell>
          <cell r="F59" t="str">
            <v>Elements</v>
          </cell>
        </row>
        <row r="60">
          <cell r="C60">
            <v>312476</v>
          </cell>
          <cell r="D60" t="str">
            <v>OSCAR OSWALDO RAMIREZ TAHUITE</v>
          </cell>
          <cell r="E60">
            <v>93</v>
          </cell>
          <cell r="F60" t="str">
            <v>Elements</v>
          </cell>
        </row>
        <row r="61">
          <cell r="C61">
            <v>315101</v>
          </cell>
          <cell r="D61" t="str">
            <v>ALVARO OSWALDO DE LA ROSA HERNANDEZ</v>
          </cell>
          <cell r="E61">
            <v>93</v>
          </cell>
          <cell r="F61" t="str">
            <v>ELITE</v>
          </cell>
        </row>
        <row r="62">
          <cell r="C62">
            <v>314905</v>
          </cell>
          <cell r="D62" t="str">
            <v>ANTONIO CARLOS ALVARENGA DIAZ</v>
          </cell>
          <cell r="E62">
            <v>93</v>
          </cell>
          <cell r="F62" t="str">
            <v>ELITE</v>
          </cell>
        </row>
        <row r="63">
          <cell r="C63">
            <v>314885</v>
          </cell>
          <cell r="D63" t="str">
            <v>EDI IBANDER OSOY LOPEZ</v>
          </cell>
          <cell r="E63">
            <v>93</v>
          </cell>
          <cell r="F63" t="str">
            <v>ELITE</v>
          </cell>
        </row>
        <row r="64">
          <cell r="C64">
            <v>315318</v>
          </cell>
          <cell r="D64" t="str">
            <v>GABRIELA MELISSA ARIAS OVANDO</v>
          </cell>
          <cell r="E64">
            <v>93</v>
          </cell>
          <cell r="F64" t="str">
            <v>ELITE</v>
          </cell>
        </row>
        <row r="65">
          <cell r="C65">
            <v>315164</v>
          </cell>
          <cell r="D65" t="str">
            <v>HERNAN ANTONIO CASTRO GUZMAN</v>
          </cell>
          <cell r="E65">
            <v>93</v>
          </cell>
          <cell r="F65" t="str">
            <v>ELITE</v>
          </cell>
        </row>
        <row r="66">
          <cell r="C66">
            <v>315149</v>
          </cell>
          <cell r="D66" t="str">
            <v>JENNIFER KARLA MARIA DE LEON YOC</v>
          </cell>
          <cell r="E66">
            <v>93</v>
          </cell>
          <cell r="F66" t="str">
            <v>ELITE</v>
          </cell>
        </row>
        <row r="67">
          <cell r="C67">
            <v>315065</v>
          </cell>
          <cell r="D67" t="str">
            <v>JENNIFER VERONICA FLORES PINEDA</v>
          </cell>
          <cell r="E67">
            <v>93</v>
          </cell>
          <cell r="F67" t="str">
            <v>ELITE</v>
          </cell>
        </row>
        <row r="68">
          <cell r="C68">
            <v>314797</v>
          </cell>
          <cell r="D68" t="str">
            <v>JIMMY ALFREDO CORONADO CABRERA</v>
          </cell>
          <cell r="E68">
            <v>93</v>
          </cell>
          <cell r="F68" t="str">
            <v>ELITE</v>
          </cell>
        </row>
        <row r="69">
          <cell r="C69">
            <v>314990</v>
          </cell>
          <cell r="D69" t="str">
            <v>MARIA FERNANDA AMBROCIO REYES</v>
          </cell>
          <cell r="E69">
            <v>93</v>
          </cell>
          <cell r="F69" t="str">
            <v>ELITE</v>
          </cell>
        </row>
        <row r="70">
          <cell r="C70">
            <v>314796</v>
          </cell>
          <cell r="D70" t="str">
            <v>RICARDO ANTONIO RUIZ OROZCO</v>
          </cell>
          <cell r="E70">
            <v>93</v>
          </cell>
          <cell r="F70" t="str">
            <v>ELITE</v>
          </cell>
        </row>
        <row r="71">
          <cell r="C71">
            <v>312283</v>
          </cell>
          <cell r="D71" t="str">
            <v xml:space="preserve"> OSCAR JAVIER GALVEZ</v>
          </cell>
          <cell r="E71">
            <v>93</v>
          </cell>
          <cell r="F71" t="str">
            <v>Espartanos</v>
          </cell>
        </row>
        <row r="72">
          <cell r="C72">
            <v>311190</v>
          </cell>
          <cell r="D72" t="str">
            <v xml:space="preserve"> PEDRO CHAS MORALES</v>
          </cell>
          <cell r="E72">
            <v>93</v>
          </cell>
          <cell r="F72" t="str">
            <v>Espartanos</v>
          </cell>
        </row>
        <row r="73">
          <cell r="C73">
            <v>311632</v>
          </cell>
          <cell r="D73" t="str">
            <v xml:space="preserve"> VIRGINIA DEL ROSARIO MATILDE GARCIA ICO</v>
          </cell>
          <cell r="E73">
            <v>93</v>
          </cell>
          <cell r="F73" t="str">
            <v>Espartanos</v>
          </cell>
        </row>
        <row r="74">
          <cell r="C74">
            <v>311906</v>
          </cell>
          <cell r="D74" t="str">
            <v xml:space="preserve"> YENIFER ALEJANDRA ORDOÑEZ</v>
          </cell>
          <cell r="E74">
            <v>93</v>
          </cell>
          <cell r="F74" t="str">
            <v>Espartanos</v>
          </cell>
        </row>
        <row r="75">
          <cell r="C75">
            <v>314704</v>
          </cell>
          <cell r="D75" t="str">
            <v xml:space="preserve">Cindy Damaris Villagran Castellano </v>
          </cell>
          <cell r="E75">
            <v>93</v>
          </cell>
          <cell r="F75" t="str">
            <v>Espartanos</v>
          </cell>
        </row>
        <row r="76">
          <cell r="C76">
            <v>314085</v>
          </cell>
          <cell r="D76" t="str">
            <v>Cristian Ottoniel Lopez Alvarado</v>
          </cell>
          <cell r="E76">
            <v>93</v>
          </cell>
          <cell r="F76" t="str">
            <v>Espartanos</v>
          </cell>
        </row>
        <row r="77">
          <cell r="C77">
            <v>315056</v>
          </cell>
          <cell r="D77" t="str">
            <v>Esvin David de Jesus Calanche</v>
          </cell>
          <cell r="E77">
            <v>93</v>
          </cell>
          <cell r="F77" t="str">
            <v>Espartanos</v>
          </cell>
        </row>
        <row r="78">
          <cell r="C78">
            <v>314118</v>
          </cell>
          <cell r="D78" t="str">
            <v>Ginni Andrea Gramajo Lucas</v>
          </cell>
          <cell r="E78">
            <v>93</v>
          </cell>
          <cell r="F78" t="str">
            <v>Espartanos</v>
          </cell>
        </row>
        <row r="79">
          <cell r="C79">
            <v>314299</v>
          </cell>
          <cell r="D79" t="str">
            <v>LOPEZ MORALES, ANDREA LUCIA</v>
          </cell>
          <cell r="E79">
            <v>93</v>
          </cell>
          <cell r="F79" t="str">
            <v>Espartanos</v>
          </cell>
        </row>
        <row r="80">
          <cell r="C80">
            <v>314747</v>
          </cell>
          <cell r="D80" t="str">
            <v>MAYRA AZUCENA PEREZ GUZMAN</v>
          </cell>
          <cell r="E80">
            <v>93</v>
          </cell>
          <cell r="F80" t="str">
            <v>Espartanos</v>
          </cell>
        </row>
        <row r="81">
          <cell r="C81">
            <v>313284</v>
          </cell>
          <cell r="D81" t="str">
            <v>SEBASTIAN QUINO MORALES</v>
          </cell>
          <cell r="E81">
            <v>93</v>
          </cell>
          <cell r="F81" t="str">
            <v>Espartanos</v>
          </cell>
        </row>
        <row r="82">
          <cell r="C82">
            <v>311460</v>
          </cell>
          <cell r="D82" t="str">
            <v xml:space="preserve"> ANA VILMA BAMACA CARDONA</v>
          </cell>
          <cell r="E82">
            <v>93</v>
          </cell>
          <cell r="F82" t="str">
            <v>Alfa</v>
          </cell>
        </row>
        <row r="83">
          <cell r="C83">
            <v>311234</v>
          </cell>
          <cell r="D83" t="str">
            <v xml:space="preserve"> ASTRID MARLENE DIAZ</v>
          </cell>
          <cell r="E83">
            <v>93</v>
          </cell>
          <cell r="F83" t="str">
            <v>optimos</v>
          </cell>
        </row>
        <row r="84">
          <cell r="C84">
            <v>308361</v>
          </cell>
          <cell r="D84" t="str">
            <v xml:space="preserve"> BRENDA MARIBEL OROZCO MENDOZA</v>
          </cell>
          <cell r="E84">
            <v>93</v>
          </cell>
          <cell r="F84" t="str">
            <v>optimos</v>
          </cell>
        </row>
        <row r="85">
          <cell r="C85">
            <v>305555</v>
          </cell>
          <cell r="D85" t="str">
            <v xml:space="preserve"> HEBER ANTONIO OLIVARES ALVARADO</v>
          </cell>
          <cell r="E85">
            <v>93</v>
          </cell>
          <cell r="F85" t="str">
            <v>Jireh</v>
          </cell>
        </row>
        <row r="86">
          <cell r="C86">
            <v>310790</v>
          </cell>
          <cell r="D86" t="str">
            <v xml:space="preserve"> KARINA DEL ROSARIO CASTRO LOPEZ DE GUZMAN</v>
          </cell>
          <cell r="E86">
            <v>93</v>
          </cell>
          <cell r="F86" t="str">
            <v>Alfa</v>
          </cell>
        </row>
        <row r="87">
          <cell r="C87">
            <v>309544</v>
          </cell>
          <cell r="D87" t="str">
            <v xml:space="preserve"> LORENA ALEXANDRA LOPEZ YAX</v>
          </cell>
          <cell r="E87">
            <v>93</v>
          </cell>
          <cell r="F87" t="str">
            <v>optimos</v>
          </cell>
        </row>
        <row r="88">
          <cell r="C88">
            <v>312483</v>
          </cell>
          <cell r="D88" t="str">
            <v>BERTA ELIZABETH RODAS ROSALES</v>
          </cell>
          <cell r="E88">
            <v>93</v>
          </cell>
          <cell r="F88" t="str">
            <v>optimos</v>
          </cell>
        </row>
        <row r="89">
          <cell r="C89">
            <v>307394</v>
          </cell>
          <cell r="D89" t="str">
            <v>DAMARIS JUDITH RIVAS BENITEZ</v>
          </cell>
          <cell r="E89">
            <v>93</v>
          </cell>
          <cell r="F89" t="str">
            <v>optimos</v>
          </cell>
        </row>
        <row r="90">
          <cell r="C90">
            <v>311082</v>
          </cell>
          <cell r="D90" t="str">
            <v>JANZ VINCENT TUNCHE</v>
          </cell>
          <cell r="E90">
            <v>93</v>
          </cell>
          <cell r="F90" t="str">
            <v>Jireh</v>
          </cell>
        </row>
        <row r="91">
          <cell r="C91">
            <v>308405</v>
          </cell>
          <cell r="D91" t="str">
            <v>JUAN AQUINO RAC</v>
          </cell>
          <cell r="E91">
            <v>93</v>
          </cell>
          <cell r="F91" t="str">
            <v>optimos</v>
          </cell>
        </row>
        <row r="92">
          <cell r="C92">
            <v>312481</v>
          </cell>
          <cell r="D92" t="str">
            <v>MAGDALENA NOEMI LEONARDO VENTURA</v>
          </cell>
          <cell r="E92">
            <v>93</v>
          </cell>
          <cell r="F92" t="str">
            <v>Jireh</v>
          </cell>
        </row>
        <row r="93">
          <cell r="C93">
            <v>312482</v>
          </cell>
          <cell r="D93" t="str">
            <v>MILDRED ELIZABETH RIVERA TENAS</v>
          </cell>
          <cell r="E93">
            <v>93</v>
          </cell>
          <cell r="F93" t="str">
            <v>Jireh</v>
          </cell>
        </row>
        <row r="94">
          <cell r="C94">
            <v>307005</v>
          </cell>
          <cell r="D94" t="str">
            <v>MIRIAM LETICIA ROMERO TORRES</v>
          </cell>
          <cell r="E94">
            <v>93</v>
          </cell>
          <cell r="F94" t="str">
            <v>Phoenix</v>
          </cell>
        </row>
        <row r="95">
          <cell r="C95">
            <v>314227</v>
          </cell>
          <cell r="D95" t="str">
            <v xml:space="preserve">MIRNA JANETH ORDOÑEZ </v>
          </cell>
          <cell r="E95">
            <v>93</v>
          </cell>
          <cell r="F95" t="str">
            <v>optimos</v>
          </cell>
        </row>
        <row r="96">
          <cell r="C96">
            <v>308201</v>
          </cell>
          <cell r="D96" t="str">
            <v xml:space="preserve"> AMPARO JANET CARDONA LINARES</v>
          </cell>
          <cell r="E96">
            <v>93</v>
          </cell>
          <cell r="F96" t="str">
            <v>Guerreros</v>
          </cell>
        </row>
        <row r="97">
          <cell r="C97">
            <v>305796</v>
          </cell>
          <cell r="D97" t="str">
            <v xml:space="preserve"> ELIAS PEREZ SEQUEN</v>
          </cell>
          <cell r="E97">
            <v>93</v>
          </cell>
          <cell r="F97" t="str">
            <v>Guerreros</v>
          </cell>
        </row>
        <row r="98">
          <cell r="C98">
            <v>310823</v>
          </cell>
          <cell r="D98" t="str">
            <v xml:space="preserve"> FRANCISCA YESENIA ACEYTUNO QUEVEDO</v>
          </cell>
          <cell r="E98">
            <v>93</v>
          </cell>
          <cell r="F98" t="str">
            <v>Guerreros</v>
          </cell>
        </row>
        <row r="99">
          <cell r="C99">
            <v>311152</v>
          </cell>
          <cell r="D99" t="str">
            <v xml:space="preserve"> HEIDI NATALI CHACON DE LA ROSA DE DIAZ</v>
          </cell>
          <cell r="E99">
            <v>93</v>
          </cell>
          <cell r="F99" t="str">
            <v>Guerreros</v>
          </cell>
        </row>
        <row r="100">
          <cell r="C100">
            <v>309785</v>
          </cell>
          <cell r="D100" t="str">
            <v xml:space="preserve"> JOSE ESTEBAN DIAZ MONTUFAR</v>
          </cell>
          <cell r="E100">
            <v>93</v>
          </cell>
          <cell r="F100" t="str">
            <v>Guerreros</v>
          </cell>
        </row>
        <row r="101">
          <cell r="C101">
            <v>310787</v>
          </cell>
          <cell r="D101" t="str">
            <v xml:space="preserve"> MARILIN JANETH SANCHEZ DE RODRIGUEZ</v>
          </cell>
          <cell r="E101">
            <v>93</v>
          </cell>
          <cell r="F101" t="str">
            <v>Guerreros</v>
          </cell>
        </row>
        <row r="102">
          <cell r="C102">
            <v>305520</v>
          </cell>
          <cell r="D102" t="str">
            <v xml:space="preserve"> MILTON ORLANDO LOPEZ</v>
          </cell>
          <cell r="E102">
            <v>93</v>
          </cell>
          <cell r="F102" t="str">
            <v>Guerreros</v>
          </cell>
        </row>
        <row r="103">
          <cell r="C103">
            <v>311776</v>
          </cell>
          <cell r="D103" t="str">
            <v xml:space="preserve"> SUSAN JACKELINNE CRISTAL SANCHEZ</v>
          </cell>
          <cell r="E103">
            <v>93</v>
          </cell>
          <cell r="F103" t="str">
            <v>Guerreros</v>
          </cell>
        </row>
        <row r="104">
          <cell r="C104">
            <v>315589</v>
          </cell>
          <cell r="D104" t="str">
            <v xml:space="preserve"> WILFREDO NOE TOBAR VALENZUELA</v>
          </cell>
          <cell r="E104">
            <v>93</v>
          </cell>
          <cell r="F104" t="str">
            <v>ALFA</v>
          </cell>
        </row>
        <row r="105">
          <cell r="C105">
            <v>314741</v>
          </cell>
          <cell r="D105" t="str">
            <v>ANGELICA LORENA GARCIA GONZALEZ</v>
          </cell>
          <cell r="E105">
            <v>93</v>
          </cell>
          <cell r="F105" t="str">
            <v>Guerreros</v>
          </cell>
        </row>
        <row r="106">
          <cell r="C106">
            <v>314546</v>
          </cell>
          <cell r="D106" t="str">
            <v xml:space="preserve">CINTHIA IRENE PAZ CAAL   </v>
          </cell>
          <cell r="E106">
            <v>93</v>
          </cell>
          <cell r="F106" t="str">
            <v>Guerreros</v>
          </cell>
        </row>
        <row r="107">
          <cell r="C107">
            <v>313746</v>
          </cell>
          <cell r="D107" t="str">
            <v>CRISTIAN OMAR CRUZ MATA</v>
          </cell>
          <cell r="E107">
            <v>93</v>
          </cell>
          <cell r="F107" t="str">
            <v>Guerreros</v>
          </cell>
        </row>
        <row r="108">
          <cell r="C108">
            <v>315327</v>
          </cell>
          <cell r="D108" t="str">
            <v>DANINYER ALFONSO ORELLANA MADRID</v>
          </cell>
          <cell r="E108">
            <v>93</v>
          </cell>
          <cell r="F108" t="str">
            <v>Guerreros</v>
          </cell>
        </row>
        <row r="109">
          <cell r="C109">
            <v>313195</v>
          </cell>
          <cell r="D109" t="str">
            <v>EDNA HELENIN BENITEZ GUZMAN DE ALTAN</v>
          </cell>
          <cell r="E109">
            <v>93</v>
          </cell>
          <cell r="F109" t="str">
            <v>Guerreros</v>
          </cell>
        </row>
        <row r="110">
          <cell r="C110">
            <v>314524</v>
          </cell>
          <cell r="D110" t="str">
            <v>FRANCISCO ANTONIO DAVILA MORALES</v>
          </cell>
          <cell r="E110">
            <v>93</v>
          </cell>
          <cell r="F110" t="str">
            <v>Guerreros</v>
          </cell>
        </row>
        <row r="111">
          <cell r="C111">
            <v>314329</v>
          </cell>
          <cell r="D111" t="str">
            <v>FREDY JOEL LOPEZ SANTIAGO</v>
          </cell>
          <cell r="E111">
            <v>93</v>
          </cell>
          <cell r="F111" t="str">
            <v>Guerreros</v>
          </cell>
        </row>
        <row r="112">
          <cell r="C112">
            <v>313745</v>
          </cell>
          <cell r="D112" t="str">
            <v>MILVIA ALEJANDRA LOPEZ MARROQUIN</v>
          </cell>
          <cell r="E112">
            <v>93</v>
          </cell>
          <cell r="F112" t="str">
            <v>Guerreros</v>
          </cell>
        </row>
        <row r="113">
          <cell r="C113">
            <v>312288</v>
          </cell>
          <cell r="D113" t="str">
            <v>MIRIAM MARILISA HERRERA PEREZ</v>
          </cell>
          <cell r="E113">
            <v>93</v>
          </cell>
          <cell r="F113" t="str">
            <v>Guerreros</v>
          </cell>
        </row>
        <row r="114">
          <cell r="C114">
            <v>313756</v>
          </cell>
          <cell r="D114" t="str">
            <v>WALTER JOSUE CORONA BARRERA</v>
          </cell>
          <cell r="E114">
            <v>93</v>
          </cell>
          <cell r="F114" t="str">
            <v>Guerreros</v>
          </cell>
        </row>
        <row r="115">
          <cell r="C115">
            <v>312284</v>
          </cell>
          <cell r="D115" t="str">
            <v xml:space="preserve"> ARNOLDO COQUE HERNANDEZ</v>
          </cell>
          <cell r="E115">
            <v>93</v>
          </cell>
          <cell r="F115" t="str">
            <v>optimos</v>
          </cell>
        </row>
        <row r="116">
          <cell r="C116">
            <v>303585</v>
          </cell>
          <cell r="D116" t="str">
            <v xml:space="preserve"> GERBER ESTUARDO ALBIZURES ARCHILA</v>
          </cell>
          <cell r="E116">
            <v>93</v>
          </cell>
          <cell r="F116" t="str">
            <v>optimos</v>
          </cell>
        </row>
        <row r="117">
          <cell r="C117">
            <v>307846</v>
          </cell>
          <cell r="D117" t="str">
            <v xml:space="preserve"> SANDRA PATRICIA BARAN AVILA</v>
          </cell>
          <cell r="E117">
            <v>93</v>
          </cell>
          <cell r="F117" t="str">
            <v>optimos</v>
          </cell>
        </row>
        <row r="118">
          <cell r="C118">
            <v>307962</v>
          </cell>
          <cell r="D118" t="str">
            <v xml:space="preserve"> SELVYN DAVID PAYOLA AYALA</v>
          </cell>
          <cell r="E118">
            <v>93</v>
          </cell>
          <cell r="F118" t="str">
            <v>Alfa</v>
          </cell>
        </row>
        <row r="119">
          <cell r="C119">
            <v>307891</v>
          </cell>
          <cell r="D119" t="str">
            <v xml:space="preserve"> SUSANA RODRIGUEZ CORDOVA</v>
          </cell>
          <cell r="E119">
            <v>93</v>
          </cell>
          <cell r="F119" t="str">
            <v>Alfa</v>
          </cell>
        </row>
        <row r="120">
          <cell r="C120">
            <v>314413</v>
          </cell>
          <cell r="D120" t="str">
            <v>CARMEN ARELY PEREZ ESCOBAR</v>
          </cell>
          <cell r="E120">
            <v>93</v>
          </cell>
          <cell r="F120" t="str">
            <v>optimos</v>
          </cell>
        </row>
        <row r="121">
          <cell r="C121">
            <v>315237</v>
          </cell>
          <cell r="D121" t="str">
            <v>CELIA MARIELA CASTILLO BETETA</v>
          </cell>
          <cell r="E121">
            <v>93</v>
          </cell>
          <cell r="F121" t="str">
            <v>optimos</v>
          </cell>
        </row>
        <row r="122">
          <cell r="C122">
            <v>313451</v>
          </cell>
          <cell r="D122" t="str">
            <v>ERICK DIONICIO ALVAREZ FLORES</v>
          </cell>
          <cell r="E122">
            <v>93</v>
          </cell>
          <cell r="F122" t="str">
            <v>Alfa</v>
          </cell>
        </row>
        <row r="123">
          <cell r="C123">
            <v>313583</v>
          </cell>
          <cell r="D123" t="str">
            <v>LAIZA MARLENY GOMEZ GARCIA DE GOMEZ</v>
          </cell>
          <cell r="E123">
            <v>93</v>
          </cell>
          <cell r="F123" t="str">
            <v>optimos</v>
          </cell>
        </row>
        <row r="124">
          <cell r="C124">
            <v>311902</v>
          </cell>
          <cell r="D124" t="str">
            <v>MARIO RAUL MONROY MONROY</v>
          </cell>
          <cell r="E124">
            <v>93</v>
          </cell>
          <cell r="F124" t="str">
            <v>optimos</v>
          </cell>
        </row>
        <row r="125">
          <cell r="C125">
            <v>313261</v>
          </cell>
          <cell r="D125" t="str">
            <v>VIVIANA MARIBEL ORTIZ BARRIOS</v>
          </cell>
          <cell r="E125">
            <v>93</v>
          </cell>
          <cell r="F125" t="str">
            <v>optimos</v>
          </cell>
        </row>
        <row r="126">
          <cell r="C126">
            <v>309678</v>
          </cell>
          <cell r="D126" t="str">
            <v xml:space="preserve"> CARLA NOEMI IRIAS ALVAREZ</v>
          </cell>
          <cell r="E126">
            <v>93</v>
          </cell>
          <cell r="F126" t="str">
            <v>Phoenix</v>
          </cell>
        </row>
        <row r="127">
          <cell r="C127">
            <v>311704</v>
          </cell>
          <cell r="D127" t="str">
            <v xml:space="preserve"> CELEDONIA ISABEL CHAN BATZ DE ISCAYA</v>
          </cell>
          <cell r="E127">
            <v>93</v>
          </cell>
          <cell r="F127" t="str">
            <v>Phoenix</v>
          </cell>
        </row>
        <row r="128">
          <cell r="C128">
            <v>311963</v>
          </cell>
          <cell r="D128" t="str">
            <v xml:space="preserve"> GIOVANNI NOEL VALDEZ RODRIGUEZ</v>
          </cell>
          <cell r="E128">
            <v>93</v>
          </cell>
          <cell r="F128" t="str">
            <v>Phoenix</v>
          </cell>
        </row>
        <row r="129">
          <cell r="C129">
            <v>308771</v>
          </cell>
          <cell r="D129" t="str">
            <v xml:space="preserve"> GLORIA ESTEFANILLA ESPINOZA GARCIA</v>
          </cell>
          <cell r="E129">
            <v>93</v>
          </cell>
          <cell r="F129" t="str">
            <v>Phoenix</v>
          </cell>
        </row>
        <row r="130">
          <cell r="C130">
            <v>311838</v>
          </cell>
          <cell r="D130" t="str">
            <v xml:space="preserve"> SARAH NOEMY SANDOVAL POGGIO</v>
          </cell>
          <cell r="E130">
            <v>93</v>
          </cell>
          <cell r="F130" t="str">
            <v>Phoenix</v>
          </cell>
        </row>
        <row r="131">
          <cell r="C131">
            <v>315129</v>
          </cell>
          <cell r="D131" t="str">
            <v xml:space="preserve">Angel Israel Perez Perez </v>
          </cell>
          <cell r="E131">
            <v>93</v>
          </cell>
          <cell r="F131" t="str">
            <v>Phoenix</v>
          </cell>
        </row>
        <row r="132">
          <cell r="C132">
            <v>311595</v>
          </cell>
          <cell r="D132" t="str">
            <v>BILLY GIOVANNY AVALOS CASTILLO</v>
          </cell>
          <cell r="E132">
            <v>93</v>
          </cell>
          <cell r="F132" t="str">
            <v>Phoenix</v>
          </cell>
        </row>
        <row r="133">
          <cell r="C133">
            <v>313108</v>
          </cell>
          <cell r="D133" t="str">
            <v>EVELYN KARINA LORENZANA GOMEZ</v>
          </cell>
          <cell r="E133">
            <v>93</v>
          </cell>
          <cell r="F133" t="str">
            <v>Phoenix</v>
          </cell>
        </row>
        <row r="134">
          <cell r="C134">
            <v>309122</v>
          </cell>
          <cell r="D134" t="str">
            <v>GREYCI YULISSA ALIÑADO RODRIGUEZ</v>
          </cell>
          <cell r="E134">
            <v>93</v>
          </cell>
          <cell r="F134" t="str">
            <v>Phoenix</v>
          </cell>
        </row>
        <row r="135">
          <cell r="C135">
            <v>312848</v>
          </cell>
          <cell r="D135" t="str">
            <v>JUAN HUMBERTO CASTILLO GARCIA</v>
          </cell>
          <cell r="E135">
            <v>93</v>
          </cell>
          <cell r="F135" t="str">
            <v>Phoenix</v>
          </cell>
        </row>
        <row r="136">
          <cell r="C136">
            <v>315406</v>
          </cell>
          <cell r="D136" t="str">
            <v>Maria Fernandez Perez Rangel</v>
          </cell>
          <cell r="E136">
            <v>93</v>
          </cell>
          <cell r="F136" t="str">
            <v>Phoenix</v>
          </cell>
        </row>
        <row r="137">
          <cell r="C137">
            <v>314302</v>
          </cell>
          <cell r="D137" t="str">
            <v>MARIO RENE GARCIA PAREDES</v>
          </cell>
          <cell r="E137">
            <v>93</v>
          </cell>
          <cell r="F137" t="str">
            <v>Phoenix</v>
          </cell>
        </row>
        <row r="138">
          <cell r="C138">
            <v>313758</v>
          </cell>
          <cell r="D138" t="str">
            <v>MELANI ANDREA SALCEDO ACEVEDO</v>
          </cell>
          <cell r="E138">
            <v>93</v>
          </cell>
          <cell r="F138" t="str">
            <v>Phoenix</v>
          </cell>
        </row>
        <row r="139">
          <cell r="C139">
            <v>315200</v>
          </cell>
          <cell r="D139" t="str">
            <v xml:space="preserve">Yeni Amarilis Ruano </v>
          </cell>
          <cell r="E139">
            <v>93</v>
          </cell>
          <cell r="F139" t="str">
            <v>Phoenix</v>
          </cell>
        </row>
        <row r="140">
          <cell r="C140">
            <v>315593</v>
          </cell>
          <cell r="D140" t="str">
            <v>FLORA ANABELLA YAXCAL FERNANDEZ</v>
          </cell>
          <cell r="E140">
            <v>93</v>
          </cell>
          <cell r="F140" t="str">
            <v>AGUILAS</v>
          </cell>
        </row>
        <row r="141">
          <cell r="C141">
            <v>315595</v>
          </cell>
          <cell r="D141" t="str">
            <v xml:space="preserve">JAQUELINE PAOLA SANTIZO ROMAN </v>
          </cell>
          <cell r="E141">
            <v>93</v>
          </cell>
          <cell r="F141" t="str">
            <v>Alfa</v>
          </cell>
        </row>
        <row r="142">
          <cell r="C142">
            <v>315292</v>
          </cell>
          <cell r="D142" t="str">
            <v>MIJAIL ERICK JOAQUIN MORALES ORTIZ</v>
          </cell>
          <cell r="E142">
            <v>93</v>
          </cell>
          <cell r="F142" t="str">
            <v>ALFA</v>
          </cell>
        </row>
        <row r="143">
          <cell r="C143">
            <v>315657</v>
          </cell>
          <cell r="D143" t="str">
            <v>HUGO EZEQUIEL GUEVARA GOMEZ</v>
          </cell>
          <cell r="E143">
            <v>93</v>
          </cell>
          <cell r="F143" t="str">
            <v>ALFA</v>
          </cell>
        </row>
        <row r="144">
          <cell r="C144">
            <v>315555</v>
          </cell>
          <cell r="D144" t="str">
            <v>ELISEO MACARIO CARRILLO</v>
          </cell>
          <cell r="E144">
            <v>93</v>
          </cell>
          <cell r="F144" t="str">
            <v>ALFA</v>
          </cell>
        </row>
        <row r="145">
          <cell r="C145">
            <v>315575</v>
          </cell>
          <cell r="D145" t="str">
            <v>Judith Sarai Medrano Orellana</v>
          </cell>
          <cell r="E145">
            <v>93</v>
          </cell>
          <cell r="F145" t="str">
            <v>Champions</v>
          </cell>
        </row>
        <row r="146">
          <cell r="C146">
            <v>315653</v>
          </cell>
          <cell r="D146" t="str">
            <v>Edgar Danilo Monterroso Mendez</v>
          </cell>
          <cell r="E146">
            <v>93</v>
          </cell>
          <cell r="F146" t="str">
            <v>Champions</v>
          </cell>
        </row>
        <row r="147">
          <cell r="C147">
            <v>315666</v>
          </cell>
          <cell r="D147" t="str">
            <v>sindy sanchez</v>
          </cell>
          <cell r="E147">
            <v>93</v>
          </cell>
          <cell r="F147" t="str">
            <v>Elements</v>
          </cell>
        </row>
        <row r="148">
          <cell r="C148">
            <v>315847</v>
          </cell>
          <cell r="D148" t="str">
            <v>YEFRI ESTUARDO LOPEZ VELASQUEZ</v>
          </cell>
          <cell r="E148">
            <v>93</v>
          </cell>
          <cell r="F148" t="str">
            <v>Espartanos</v>
          </cell>
        </row>
        <row r="149">
          <cell r="C149">
            <v>315814</v>
          </cell>
          <cell r="D149" t="str">
            <v xml:space="preserve">Jorge Alejandro Paz </v>
          </cell>
          <cell r="E149">
            <v>93</v>
          </cell>
          <cell r="F149" t="str">
            <v>ALFA</v>
          </cell>
        </row>
        <row r="150">
          <cell r="C150">
            <v>315986</v>
          </cell>
          <cell r="D150" t="str">
            <v>KELVIN AMERICO SOSA OCHOA</v>
          </cell>
          <cell r="E150">
            <v>93</v>
          </cell>
          <cell r="F150" t="str">
            <v>Espartanos</v>
          </cell>
        </row>
        <row r="151">
          <cell r="C151">
            <v>315916</v>
          </cell>
          <cell r="D151" t="str">
            <v xml:space="preserve">Maria Alejandra Garcia Lara </v>
          </cell>
          <cell r="E151">
            <v>93</v>
          </cell>
          <cell r="F151" t="str">
            <v>AGUILAS</v>
          </cell>
        </row>
        <row r="152">
          <cell r="C152">
            <v>315841</v>
          </cell>
          <cell r="D152" t="str">
            <v>Lesbia Roxana Rojas Castro</v>
          </cell>
          <cell r="E152">
            <v>93</v>
          </cell>
          <cell r="F152" t="str">
            <v>optimos</v>
          </cell>
        </row>
        <row r="153">
          <cell r="C153">
            <v>315925</v>
          </cell>
          <cell r="D153" t="str">
            <v>JOSTHYN RAUL PARDO OBREGON</v>
          </cell>
          <cell r="E153">
            <v>93</v>
          </cell>
          <cell r="F153" t="str">
            <v>optimos</v>
          </cell>
        </row>
        <row r="154">
          <cell r="C154">
            <v>315998</v>
          </cell>
          <cell r="D154" t="str">
            <v>JAIRO OMAR FLORES CHITAY</v>
          </cell>
          <cell r="E154">
            <v>93</v>
          </cell>
          <cell r="F154" t="str">
            <v>ELITE</v>
          </cell>
        </row>
        <row r="155">
          <cell r="C155">
            <v>316035</v>
          </cell>
          <cell r="D155" t="str">
            <v xml:space="preserve">Abner Antonio Dávila de Paz                    </v>
          </cell>
          <cell r="E155">
            <v>93</v>
          </cell>
          <cell r="F155" t="str">
            <v>optimos</v>
          </cell>
        </row>
        <row r="156">
          <cell r="C156">
            <v>316021</v>
          </cell>
          <cell r="D156" t="str">
            <v xml:space="preserve">Dulce Maricela Torres Castillo                 </v>
          </cell>
          <cell r="E156">
            <v>93</v>
          </cell>
          <cell r="F156" t="str">
            <v>optimos</v>
          </cell>
        </row>
        <row r="157">
          <cell r="C157">
            <v>316023</v>
          </cell>
          <cell r="D157" t="str">
            <v xml:space="preserve">María Angelica Trujillo Coronado            </v>
          </cell>
          <cell r="E157">
            <v>93</v>
          </cell>
          <cell r="F157" t="str">
            <v>Elements</v>
          </cell>
        </row>
        <row r="158">
          <cell r="C158">
            <v>315997</v>
          </cell>
          <cell r="D158" t="str">
            <v>Sindy Melissa Duarte Colindres</v>
          </cell>
          <cell r="E158">
            <v>93</v>
          </cell>
          <cell r="F158" t="str">
            <v>Champions</v>
          </cell>
        </row>
        <row r="159">
          <cell r="C159">
            <v>314921</v>
          </cell>
          <cell r="D159" t="str">
            <v>JOSSELINE AMARILIZ MARROQUIN MERIDA</v>
          </cell>
          <cell r="E159">
            <v>93</v>
          </cell>
          <cell r="F159" t="str">
            <v>alfa</v>
          </cell>
        </row>
        <row r="160">
          <cell r="C160">
            <v>316125</v>
          </cell>
          <cell r="D160" t="str">
            <v>MALCKY JASMIN HERRERA HERNANDEZ</v>
          </cell>
          <cell r="E160">
            <v>93</v>
          </cell>
          <cell r="F160" t="str">
            <v>Guerreros</v>
          </cell>
        </row>
        <row r="161">
          <cell r="C161">
            <v>316293</v>
          </cell>
          <cell r="D161" t="str">
            <v>LUCIO OMAR CHAVEZ CHAVEZ</v>
          </cell>
          <cell r="E161">
            <v>93</v>
          </cell>
          <cell r="F161" t="str">
            <v>Espartanos</v>
          </cell>
        </row>
        <row r="162">
          <cell r="C162">
            <v>316263</v>
          </cell>
          <cell r="D162" t="str">
            <v xml:space="preserve">Luis Fernando Lopez Vasquez </v>
          </cell>
          <cell r="E162">
            <v>93</v>
          </cell>
          <cell r="F162" t="str">
            <v>Elements</v>
          </cell>
        </row>
        <row r="163">
          <cell r="C163">
            <v>316378</v>
          </cell>
          <cell r="D163" t="str">
            <v>Elisa Bravo</v>
          </cell>
          <cell r="E163">
            <v>93</v>
          </cell>
          <cell r="F163" t="str">
            <v>Champions</v>
          </cell>
        </row>
        <row r="164">
          <cell r="C164">
            <v>316385</v>
          </cell>
          <cell r="D164" t="str">
            <v>LINDA ARACELY GARCIA BETETA</v>
          </cell>
          <cell r="E164">
            <v>93</v>
          </cell>
          <cell r="F164" t="str">
            <v>Guerreros</v>
          </cell>
        </row>
        <row r="165">
          <cell r="C165">
            <v>312588</v>
          </cell>
          <cell r="D165" t="str">
            <v>HECTOR MANUEL POJOY BERDUO</v>
          </cell>
          <cell r="E165">
            <v>93</v>
          </cell>
          <cell r="F165" t="str">
            <v>Phoenix</v>
          </cell>
        </row>
        <row r="166">
          <cell r="C166">
            <v>315983</v>
          </cell>
          <cell r="D166" t="str">
            <v>JUAN CARLOS ALVAREZ CHINCHILLA</v>
          </cell>
          <cell r="E166">
            <v>93</v>
          </cell>
          <cell r="F166" t="str">
            <v>ELITE</v>
          </cell>
        </row>
        <row r="167">
          <cell r="C167">
            <v>316486</v>
          </cell>
          <cell r="D167" t="str">
            <v>MIGUEL RODRIGO GONZALEZ RAMIREZ</v>
          </cell>
          <cell r="E167">
            <v>93</v>
          </cell>
          <cell r="F167" t="str">
            <v>optimos</v>
          </cell>
        </row>
        <row r="168">
          <cell r="C168">
            <v>316488</v>
          </cell>
          <cell r="D168" t="str">
            <v>LUIS ANGEL PEÑALONZO MUÑOS</v>
          </cell>
          <cell r="E168">
            <v>93</v>
          </cell>
          <cell r="F168" t="str">
            <v>ELITE</v>
          </cell>
        </row>
        <row r="169">
          <cell r="C169">
            <v>90009437</v>
          </cell>
          <cell r="D169" t="str">
            <v>LESTER MANFREDO GONZALEZ DE PAZ</v>
          </cell>
          <cell r="E169">
            <v>93</v>
          </cell>
          <cell r="F169" t="str">
            <v>ELITE</v>
          </cell>
        </row>
        <row r="170">
          <cell r="C170">
            <v>90009397</v>
          </cell>
          <cell r="D170" t="str">
            <v>Luis Rodolfo Carranza</v>
          </cell>
          <cell r="E170">
            <v>93</v>
          </cell>
          <cell r="F170" t="str">
            <v>Champions</v>
          </cell>
        </row>
        <row r="171">
          <cell r="C171">
            <v>316489</v>
          </cell>
          <cell r="D171" t="str">
            <v>YUSLENI DORALI ANZUETO VASQUEZ</v>
          </cell>
          <cell r="E171">
            <v>93</v>
          </cell>
          <cell r="F171" t="str">
            <v>ELITE</v>
          </cell>
        </row>
        <row r="172">
          <cell r="C172">
            <v>90012228</v>
          </cell>
          <cell r="D172" t="str">
            <v xml:space="preserve">Sandra Elizabeth Citalan Hernandez </v>
          </cell>
          <cell r="E172">
            <v>93</v>
          </cell>
          <cell r="F172" t="str">
            <v>ELITE</v>
          </cell>
        </row>
        <row r="173">
          <cell r="C173">
            <v>90015631</v>
          </cell>
          <cell r="D173" t="str">
            <v xml:space="preserve">Jeissy Dariela Castellanos Hernandez     </v>
          </cell>
          <cell r="E173">
            <v>93</v>
          </cell>
          <cell r="F173" t="str">
            <v>optimos</v>
          </cell>
        </row>
        <row r="174">
          <cell r="C174">
            <v>90015630</v>
          </cell>
          <cell r="D174" t="str">
            <v xml:space="preserve">Mauricio León Ruano                                </v>
          </cell>
          <cell r="E174">
            <v>93</v>
          </cell>
          <cell r="F174" t="str">
            <v>optimos</v>
          </cell>
        </row>
        <row r="175">
          <cell r="C175">
            <v>90009250</v>
          </cell>
          <cell r="D175" t="str">
            <v>YOSELIN YESENIA PEREZ JIMENEZ</v>
          </cell>
          <cell r="E175">
            <v>93</v>
          </cell>
          <cell r="F175" t="str">
            <v>Alfa</v>
          </cell>
        </row>
        <row r="176">
          <cell r="C176">
            <v>90012180</v>
          </cell>
          <cell r="D176" t="str">
            <v>CINDY MAYROBY OSCAL QUIÑONEZ</v>
          </cell>
          <cell r="E176">
            <v>93</v>
          </cell>
          <cell r="F176" t="str">
            <v>optimos</v>
          </cell>
        </row>
        <row r="177">
          <cell r="C177">
            <v>90016106</v>
          </cell>
          <cell r="D177" t="str">
            <v>HUBER RANDOLFO ALAY Y ALAY</v>
          </cell>
          <cell r="E177">
            <v>93</v>
          </cell>
          <cell r="F177" t="str">
            <v>Jireh</v>
          </cell>
        </row>
        <row r="178">
          <cell r="C178">
            <v>90018997</v>
          </cell>
          <cell r="D178" t="str">
            <v>Daniel Uvaldo Barreno Meneses</v>
          </cell>
          <cell r="E178">
            <v>93</v>
          </cell>
          <cell r="F178" t="str">
            <v>Elements</v>
          </cell>
        </row>
        <row r="179">
          <cell r="C179">
            <v>90019689</v>
          </cell>
          <cell r="D179" t="str">
            <v xml:space="preserve">HELEN YADIRA DE LEON QUIÑONEZ </v>
          </cell>
          <cell r="E179">
            <v>93</v>
          </cell>
          <cell r="F179" t="str">
            <v>Phoenix</v>
          </cell>
        </row>
        <row r="180">
          <cell r="C180">
            <v>90024021</v>
          </cell>
          <cell r="D180" t="str">
            <v xml:space="preserve">Manuel Estuardo Mejia Ayerdi </v>
          </cell>
          <cell r="E180">
            <v>93</v>
          </cell>
          <cell r="F180" t="str">
            <v>Espartanos</v>
          </cell>
        </row>
        <row r="181">
          <cell r="C181">
            <v>90023811</v>
          </cell>
          <cell r="D181" t="str">
            <v xml:space="preserve">Odeira Odet Juarez Morales                    </v>
          </cell>
          <cell r="E181">
            <v>93</v>
          </cell>
          <cell r="F181" t="str">
            <v>Phoenix</v>
          </cell>
        </row>
        <row r="182">
          <cell r="C182">
            <v>90023868</v>
          </cell>
          <cell r="D182" t="str">
            <v xml:space="preserve">Fernando René Gil de León                      </v>
          </cell>
          <cell r="E182">
            <v>93</v>
          </cell>
          <cell r="F182" t="str">
            <v>optimos</v>
          </cell>
        </row>
        <row r="183">
          <cell r="C183">
            <v>90024683</v>
          </cell>
          <cell r="D183" t="str">
            <v>JOSIAS MISAEL LOPEZ LEMUS</v>
          </cell>
          <cell r="E183">
            <v>93</v>
          </cell>
          <cell r="F183" t="str">
            <v>Champions</v>
          </cell>
        </row>
        <row r="184">
          <cell r="C184">
            <v>313694</v>
          </cell>
          <cell r="D184" t="str">
            <v>ALEX HUMBERTO MONTEZUMA</v>
          </cell>
          <cell r="E184">
            <v>93</v>
          </cell>
          <cell r="F184" t="str">
            <v>optimos</v>
          </cell>
        </row>
        <row r="185">
          <cell r="C185">
            <v>90024719</v>
          </cell>
          <cell r="D185" t="str">
            <v>Cristopher Josue Chanquin Flores</v>
          </cell>
          <cell r="E185">
            <v>93</v>
          </cell>
          <cell r="F185" t="str">
            <v>Alfa</v>
          </cell>
        </row>
        <row r="186">
          <cell r="C186">
            <v>90025289</v>
          </cell>
          <cell r="D186" t="str">
            <v>DIEGO ALEJANDRO DONIS JUAREZ</v>
          </cell>
          <cell r="E186">
            <v>93</v>
          </cell>
          <cell r="F186" t="str">
            <v>Elements</v>
          </cell>
        </row>
        <row r="187">
          <cell r="C187">
            <v>90034878</v>
          </cell>
          <cell r="D187" t="str">
            <v xml:space="preserve">Wilmer Alexander Hernandez Santos </v>
          </cell>
          <cell r="E187">
            <v>93</v>
          </cell>
          <cell r="F187" t="str">
            <v>Elite</v>
          </cell>
        </row>
        <row r="188">
          <cell r="C188">
            <v>90034705</v>
          </cell>
          <cell r="D188" t="str">
            <v xml:space="preserve">Alexander Josue Hurtado Palencia </v>
          </cell>
          <cell r="E188">
            <v>93</v>
          </cell>
          <cell r="F188" t="str">
            <v>Champions</v>
          </cell>
        </row>
        <row r="189">
          <cell r="C189">
            <v>90034745</v>
          </cell>
          <cell r="D189" t="str">
            <v>Marco Tulio Godoy Garcia</v>
          </cell>
          <cell r="E189">
            <v>93</v>
          </cell>
          <cell r="F189" t="str">
            <v>Champions</v>
          </cell>
        </row>
        <row r="190">
          <cell r="C190">
            <v>90034730</v>
          </cell>
          <cell r="D190" t="str">
            <v>Jose Angel Choguix Peren</v>
          </cell>
          <cell r="E190">
            <v>93</v>
          </cell>
          <cell r="F190" t="str">
            <v>Champions</v>
          </cell>
        </row>
        <row r="191">
          <cell r="C191">
            <v>90038303</v>
          </cell>
          <cell r="D191" t="str">
            <v xml:space="preserve">Victor Manuel Perez Salazar </v>
          </cell>
          <cell r="E191">
            <v>93</v>
          </cell>
          <cell r="F191" t="str">
            <v>Phoenix</v>
          </cell>
        </row>
        <row r="192">
          <cell r="C192">
            <v>90039301</v>
          </cell>
          <cell r="D192" t="str">
            <v xml:space="preserve">GABBY MARIETT BAUTISTA BAUTISTA           </v>
          </cell>
          <cell r="E192">
            <v>93</v>
          </cell>
          <cell r="F192" t="str">
            <v>optimos</v>
          </cell>
        </row>
        <row r="193">
          <cell r="C193">
            <v>90038829</v>
          </cell>
          <cell r="D193" t="str">
            <v>LESLY ALEJANDRA ZETO PEREZ</v>
          </cell>
          <cell r="E193">
            <v>93</v>
          </cell>
          <cell r="F193" t="str">
            <v>Phoenix</v>
          </cell>
        </row>
        <row r="194">
          <cell r="C194">
            <v>90039124</v>
          </cell>
          <cell r="D194" t="str">
            <v>PABLO JAVIER REINOSA FUENTES</v>
          </cell>
          <cell r="E194">
            <v>93</v>
          </cell>
          <cell r="F194" t="str">
            <v>ALFA</v>
          </cell>
        </row>
        <row r="195">
          <cell r="C195">
            <v>90039302</v>
          </cell>
          <cell r="D195" t="str">
            <v>DENNIS ALEXANDER ESQUIVEL GALEANO</v>
          </cell>
          <cell r="E195">
            <v>93</v>
          </cell>
          <cell r="F195" t="str">
            <v>Champions</v>
          </cell>
        </row>
        <row r="196">
          <cell r="C196">
            <v>90040434</v>
          </cell>
          <cell r="D196" t="str">
            <v xml:space="preserve">Elvis Armando Perez Urizar </v>
          </cell>
          <cell r="E196">
            <v>93</v>
          </cell>
          <cell r="F196" t="str">
            <v>Champions</v>
          </cell>
        </row>
        <row r="197">
          <cell r="C197">
            <v>90039317</v>
          </cell>
          <cell r="D197" t="str">
            <v>JOSUE MIGUEL PEREZ DONIS</v>
          </cell>
          <cell r="E197">
            <v>93</v>
          </cell>
          <cell r="F197" t="str">
            <v>ELEMENTS</v>
          </cell>
        </row>
        <row r="198">
          <cell r="C198">
            <v>90039521</v>
          </cell>
          <cell r="D198" t="str">
            <v>VILA LUCRECIA VANEGAS MORALES</v>
          </cell>
          <cell r="E198">
            <v>93</v>
          </cell>
          <cell r="F198" t="str">
            <v>ELEMENTS</v>
          </cell>
        </row>
        <row r="199">
          <cell r="C199">
            <v>90039498</v>
          </cell>
          <cell r="D199" t="str">
            <v>JESUS ALBERTO LIMA DIAZ</v>
          </cell>
          <cell r="E199">
            <v>93</v>
          </cell>
          <cell r="F199" t="str">
            <v>ESPARTANOS</v>
          </cell>
        </row>
        <row r="200">
          <cell r="C200">
            <v>90039514</v>
          </cell>
          <cell r="D200" t="str">
            <v>MADELIN IBETT CHACON YAT</v>
          </cell>
          <cell r="E200">
            <v>93</v>
          </cell>
          <cell r="F200" t="str">
            <v>ESPARTANOS</v>
          </cell>
        </row>
        <row r="201">
          <cell r="C201">
            <v>90039668</v>
          </cell>
          <cell r="D201" t="str">
            <v>DEISY LIZET PEREZ OLIVA</v>
          </cell>
          <cell r="E201">
            <v>93</v>
          </cell>
          <cell r="F201" t="str">
            <v>ESPARTANOS</v>
          </cell>
        </row>
        <row r="202">
          <cell r="C202">
            <v>90039690</v>
          </cell>
          <cell r="D202" t="str">
            <v>SUSANA MARILETH JUAREZ GALO</v>
          </cell>
          <cell r="E202">
            <v>93</v>
          </cell>
          <cell r="F202" t="str">
            <v>ESPARTANOS</v>
          </cell>
        </row>
        <row r="203">
          <cell r="C203">
            <v>90039821</v>
          </cell>
          <cell r="D203" t="str">
            <v>BRANDON ALEXIS ALVARADO MORALES</v>
          </cell>
          <cell r="E203">
            <v>93</v>
          </cell>
          <cell r="F203" t="str">
            <v>ESPARTANOS</v>
          </cell>
        </row>
        <row r="204">
          <cell r="C204">
            <v>90039908</v>
          </cell>
          <cell r="D204" t="str">
            <v>MAYRA ALEJANDRA CARRETO BONILLA</v>
          </cell>
          <cell r="E204">
            <v>93</v>
          </cell>
          <cell r="F204" t="str">
            <v>ESPARTANOS</v>
          </cell>
        </row>
        <row r="205">
          <cell r="C205">
            <v>90039956</v>
          </cell>
          <cell r="D205" t="str">
            <v>JAQUELINE ADRIANA DIAZ MONTERROSO</v>
          </cell>
          <cell r="E205">
            <v>93</v>
          </cell>
          <cell r="F205" t="str">
            <v>ESPARTANOS</v>
          </cell>
        </row>
        <row r="206">
          <cell r="C206">
            <v>90039750</v>
          </cell>
          <cell r="D206" t="str">
            <v>ERIK BAUDILIO BETETA</v>
          </cell>
          <cell r="E206">
            <v>93</v>
          </cell>
          <cell r="F206" t="str">
            <v>ESPARTANOS</v>
          </cell>
        </row>
        <row r="207">
          <cell r="C207">
            <v>90039872</v>
          </cell>
          <cell r="D207" t="str">
            <v>GLENDA DE JESUS MEJIA RAMIREZ</v>
          </cell>
          <cell r="E207">
            <v>93</v>
          </cell>
          <cell r="F207" t="str">
            <v>ESPARTANOS</v>
          </cell>
        </row>
        <row r="208">
          <cell r="C208">
            <v>90040156</v>
          </cell>
          <cell r="D208" t="str">
            <v>EVA ISABEL LOPEZ GUTIERREZ</v>
          </cell>
          <cell r="E208">
            <v>93</v>
          </cell>
          <cell r="F208" t="str">
            <v>ESPARTANOS</v>
          </cell>
        </row>
        <row r="209">
          <cell r="C209">
            <v>90039873</v>
          </cell>
          <cell r="D209" t="str">
            <v>CARLOS FERNANDO OCHOA CONTRERAS</v>
          </cell>
          <cell r="E209">
            <v>93</v>
          </cell>
          <cell r="F209" t="str">
            <v>ESPARTANOS</v>
          </cell>
        </row>
        <row r="210">
          <cell r="C210">
            <v>90040461</v>
          </cell>
          <cell r="D210" t="str">
            <v xml:space="preserve">JONATHAN FERNANDO GOMEZ VILLATORO          </v>
          </cell>
          <cell r="E210">
            <v>93</v>
          </cell>
          <cell r="F210" t="str">
            <v>ALFA</v>
          </cell>
        </row>
        <row r="211">
          <cell r="C211">
            <v>90034639</v>
          </cell>
          <cell r="D211" t="str">
            <v>JONATHAN JOSE CAJINA MONTERROSO</v>
          </cell>
          <cell r="E211">
            <v>93</v>
          </cell>
          <cell r="F211" t="str">
            <v>PHOENIX</v>
          </cell>
        </row>
        <row r="212">
          <cell r="C212">
            <v>90040153</v>
          </cell>
          <cell r="D212" t="str">
            <v>FRANKLIN ALEXANDER GOMEZ URIZAR</v>
          </cell>
          <cell r="E212">
            <v>93</v>
          </cell>
          <cell r="F212" t="str">
            <v>ESPARTANOS</v>
          </cell>
        </row>
        <row r="213">
          <cell r="C213">
            <v>90039988</v>
          </cell>
          <cell r="D213" t="str">
            <v>STEFANIE ROCIO NAJERA MARQUEZ</v>
          </cell>
          <cell r="E213">
            <v>93</v>
          </cell>
          <cell r="F213" t="str">
            <v>ESPARTANOS</v>
          </cell>
        </row>
        <row r="214">
          <cell r="C214">
            <v>90040350</v>
          </cell>
          <cell r="D214" t="str">
            <v>HEIDY MARIA PAMELA BARRIENTOS MELGAR</v>
          </cell>
          <cell r="E214">
            <v>93</v>
          </cell>
          <cell r="F214" t="str">
            <v>ESPARTANOS</v>
          </cell>
        </row>
        <row r="215">
          <cell r="C215">
            <v>90040281</v>
          </cell>
          <cell r="D215" t="str">
            <v>CARLOS ANTONIO JUL COC</v>
          </cell>
          <cell r="E215">
            <v>93</v>
          </cell>
          <cell r="F215" t="str">
            <v>ESPARTANOS</v>
          </cell>
        </row>
        <row r="216">
          <cell r="C216">
            <v>90040530</v>
          </cell>
          <cell r="D216" t="str">
            <v>CARLOS EDUARDO HERNANDEZ GARCIA</v>
          </cell>
          <cell r="E216">
            <v>93</v>
          </cell>
          <cell r="F216" t="str">
            <v>ESPARTANOS</v>
          </cell>
        </row>
        <row r="217">
          <cell r="C217">
            <v>90040631</v>
          </cell>
          <cell r="D217" t="str">
            <v>CINDY PAOLA AGUILAR JOLON</v>
          </cell>
          <cell r="E217">
            <v>93</v>
          </cell>
          <cell r="F217" t="str">
            <v>ESPARTANOS</v>
          </cell>
        </row>
        <row r="218">
          <cell r="C218">
            <v>316227</v>
          </cell>
          <cell r="D218" t="str">
            <v>ALLISON MIRELLA SALGUERO LOPEZ</v>
          </cell>
          <cell r="E218">
            <v>93</v>
          </cell>
          <cell r="F218" t="str">
            <v>Champions</v>
          </cell>
        </row>
        <row r="219">
          <cell r="C219">
            <v>90046255</v>
          </cell>
          <cell r="D219" t="str">
            <v>VICTOR HUGO FUENTES ORTIZ</v>
          </cell>
          <cell r="E219">
            <v>93</v>
          </cell>
          <cell r="F219" t="str">
            <v>OPTIMOS</v>
          </cell>
        </row>
        <row r="220">
          <cell r="C220">
            <v>90041342</v>
          </cell>
          <cell r="D220" t="str">
            <v>LESTER AARON LOPEZ ORANTES</v>
          </cell>
          <cell r="E220">
            <v>93</v>
          </cell>
          <cell r="F220" t="str">
            <v>PHOENIX</v>
          </cell>
        </row>
        <row r="221">
          <cell r="C221">
            <v>90041399</v>
          </cell>
          <cell r="D221" t="str">
            <v>EDGAR ALEXANDER TOC DEL AGUILA</v>
          </cell>
          <cell r="E221">
            <v>93</v>
          </cell>
          <cell r="F221" t="str">
            <v>ESPARTANOS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CIEMBREE 2024"/>
      <sheetName val="Datos"/>
      <sheetName val="DEV"/>
    </sheetNames>
    <sheetDataSet>
      <sheetData sheetId="0" refreshError="1">
        <row r="51">
          <cell r="G51" t="str">
            <v>JOSE DE LA CRUZ BURGOS SUCHITE</v>
          </cell>
          <cell r="M51">
            <v>315570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B04C0-14EB-4753-8EB5-FA3C24448993}">
  <dimension ref="A1:AB121"/>
  <sheetViews>
    <sheetView tabSelected="1" workbookViewId="0">
      <selection activeCell="O1" sqref="O1"/>
    </sheetView>
  </sheetViews>
  <sheetFormatPr baseColWidth="10" defaultRowHeight="14.5" x14ac:dyDescent="0.35"/>
  <cols>
    <col min="1" max="1" width="6.54296875" customWidth="1"/>
    <col min="2" max="2" width="4.6328125" customWidth="1"/>
    <col min="3" max="3" width="7.26953125" customWidth="1"/>
    <col min="4" max="4" width="9" customWidth="1"/>
    <col min="5" max="5" width="15.81640625" customWidth="1"/>
    <col min="6" max="6" width="10.1796875" customWidth="1"/>
    <col min="7" max="7" width="39.6328125" customWidth="1"/>
    <col min="11" max="11" width="7.36328125" customWidth="1"/>
    <col min="12" max="12" width="23" customWidth="1"/>
    <col min="13" max="13" width="15.6328125" customWidth="1"/>
    <col min="14" max="14" width="33.26953125" customWidth="1"/>
    <col min="16" max="16" width="9.54296875" customWidth="1"/>
    <col min="17" max="17" width="33.26953125" customWidth="1"/>
    <col min="18" max="18" width="20.453125" customWidth="1"/>
  </cols>
  <sheetData>
    <row r="1" spans="1:28" s="8" customFormat="1" ht="44.5" customHeight="1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3" t="s">
        <v>10</v>
      </c>
      <c r="L1" s="6" t="s">
        <v>11</v>
      </c>
      <c r="M1" s="3" t="s">
        <v>12</v>
      </c>
      <c r="N1" s="3" t="s">
        <v>13</v>
      </c>
      <c r="O1" s="7" t="s">
        <v>14</v>
      </c>
      <c r="P1" s="3" t="s">
        <v>15</v>
      </c>
      <c r="Q1" s="3" t="s">
        <v>16</v>
      </c>
      <c r="R1" s="2" t="s">
        <v>17</v>
      </c>
      <c r="S1" s="2" t="s">
        <v>18</v>
      </c>
      <c r="T1" s="2"/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8" t="s">
        <v>24</v>
      </c>
    </row>
    <row r="2" spans="1:28" ht="19.5" hidden="1" customHeight="1" x14ac:dyDescent="0.35">
      <c r="A2" s="9" t="s">
        <v>25</v>
      </c>
      <c r="B2" s="9"/>
      <c r="C2" s="10">
        <v>1</v>
      </c>
      <c r="D2" s="11" t="s">
        <v>26</v>
      </c>
      <c r="E2" s="12" t="s">
        <v>27</v>
      </c>
      <c r="F2" s="11">
        <v>4162</v>
      </c>
      <c r="G2" s="13" t="s">
        <v>28</v>
      </c>
      <c r="H2" s="14">
        <v>46266</v>
      </c>
      <c r="I2" s="14">
        <v>46266</v>
      </c>
      <c r="J2" s="15" t="str">
        <f>+VLOOKUP(K2,[1]Datos!$A:$C,3,FALSE)</f>
        <v>ROOSEVELT</v>
      </c>
      <c r="K2" s="13">
        <v>260</v>
      </c>
      <c r="L2" s="15" t="str">
        <f>+VLOOKUP(K2,[1]Datos!$A:$C,2,FALSE)</f>
        <v>ANTIGUA LOS ENCINOS</v>
      </c>
      <c r="M2" s="16">
        <v>315275</v>
      </c>
      <c r="N2" s="15" t="str">
        <f>+VLOOKUP(M2,[1]Datos!$F:$G,2,FALSE)</f>
        <v>Juana Del Carmen Arias Lopez</v>
      </c>
      <c r="O2" s="17">
        <f>IFERROR(IF(A2="SI",VLOOKUP(R2,[1]Datos!$J$1:$K$50,2,FALSE)*C2,VLOOKUP(R2,[1]Datos!$P$1:$T$13,2,FALSE)*C2),0)</f>
        <v>816</v>
      </c>
      <c r="P2" s="18">
        <v>310923</v>
      </c>
      <c r="Q2" s="15" t="str">
        <f>+VLOOKUP(P2,[1]Datos!$F:$G,2,FALSE)</f>
        <v>Luis Fernando Lopez Lopez</v>
      </c>
      <c r="R2" s="9" t="s">
        <v>29</v>
      </c>
      <c r="S2" s="11"/>
      <c r="T2" s="11" t="e">
        <f>IF(VLOOKUP(M2,'[1]COLABORADORES UN'!$A:$A,1,FALSE),"Colaborador UN","NO")</f>
        <v>#N/A</v>
      </c>
      <c r="U2" s="11"/>
      <c r="V2" s="11">
        <f t="shared" ref="V2:V34" si="0">+COUNTIFS($G$2:$G$425,G2)</f>
        <v>1</v>
      </c>
      <c r="W2" s="11">
        <f>+VLOOKUP(M2,[1]Datos!$F:$H,3,FALSE)</f>
        <v>0</v>
      </c>
      <c r="X2">
        <v>0</v>
      </c>
      <c r="Y2" s="19"/>
      <c r="Z2" t="e">
        <f>VLOOKUP(M2,'[2]INDIVIDUAL UN'!$C$6:$F$222,4,FALSE)</f>
        <v>#N/A</v>
      </c>
      <c r="AA2" t="e">
        <f>VLOOKUP(M2,'[3]INDIVIDUAL UN'!$C$6:$F$221,4,FALSE)</f>
        <v>#N/A</v>
      </c>
    </row>
    <row r="3" spans="1:28" s="26" customFormat="1" ht="19.5" hidden="1" customHeight="1" x14ac:dyDescent="0.35">
      <c r="A3" s="9" t="s">
        <v>25</v>
      </c>
      <c r="B3" s="9"/>
      <c r="C3" s="20">
        <v>2</v>
      </c>
      <c r="D3" s="11" t="s">
        <v>26</v>
      </c>
      <c r="E3" s="13" t="s">
        <v>30</v>
      </c>
      <c r="F3" s="11">
        <v>1091</v>
      </c>
      <c r="G3" s="13" t="s">
        <v>31</v>
      </c>
      <c r="H3" s="14">
        <v>46266</v>
      </c>
      <c r="I3" s="14">
        <v>46266</v>
      </c>
      <c r="J3" s="21" t="str">
        <f>+VLOOKUP(K3,[1]Datos!$A:$C,3,FALSE)</f>
        <v>ROOSEVELT</v>
      </c>
      <c r="K3" s="13">
        <v>37</v>
      </c>
      <c r="L3" s="21" t="str">
        <f>+VLOOKUP(K3,[1]Datos!$A:$C,2,FALSE)</f>
        <v>SAN JUAN SACATEPEQUEZ</v>
      </c>
      <c r="M3" s="22">
        <v>90084038</v>
      </c>
      <c r="N3" s="21" t="str">
        <f>+VLOOKUP(M3,[1]Datos!$F:$G,2,FALSE)</f>
        <v>LILIAN NOHEMI GONZALEZ GALICIA</v>
      </c>
      <c r="O3" s="23">
        <f>IFERROR(IF(A3="SI",VLOOKUP(R3,[1]Datos!$J$1:$K$50,2,FALSE)*C3,VLOOKUP(R3,[1]Datos!$P$1:$T$13,2,FALSE)*C3),0)</f>
        <v>1632</v>
      </c>
      <c r="P3" s="24">
        <v>312835</v>
      </c>
      <c r="Q3" s="21" t="str">
        <f>+VLOOKUP(P3,[1]Datos!$F:$G,2,FALSE)</f>
        <v>Manuel Estuardo Arriaga Garcia</v>
      </c>
      <c r="R3" s="21" t="s">
        <v>29</v>
      </c>
      <c r="S3" s="25"/>
      <c r="T3" s="25" t="e">
        <f>IF(VLOOKUP(M3,'[1]COLABORADORES UN'!$A:$A,1,FALSE),"Colaborador UN","NO")</f>
        <v>#N/A</v>
      </c>
      <c r="U3" s="25"/>
      <c r="V3" s="25">
        <f t="shared" si="0"/>
        <v>1</v>
      </c>
      <c r="W3" s="25">
        <f>+VLOOKUP(M3,[1]Datos!$F:$H,3,FALSE)</f>
        <v>0</v>
      </c>
      <c r="X3" s="26">
        <v>0</v>
      </c>
      <c r="Y3" s="27"/>
      <c r="Z3" s="26" t="e">
        <f>VLOOKUP(M3,'[2]INDIVIDUAL UN'!$C$6:$F$222,4,FALSE)</f>
        <v>#N/A</v>
      </c>
    </row>
    <row r="4" spans="1:28" ht="13.5" hidden="1" customHeight="1" x14ac:dyDescent="0.35">
      <c r="A4" s="9" t="s">
        <v>25</v>
      </c>
      <c r="B4" s="9"/>
      <c r="C4" s="28">
        <v>1</v>
      </c>
      <c r="D4" s="11" t="s">
        <v>26</v>
      </c>
      <c r="E4" s="11" t="s">
        <v>27</v>
      </c>
      <c r="F4" s="11">
        <v>4177</v>
      </c>
      <c r="G4" s="11" t="s">
        <v>32</v>
      </c>
      <c r="H4" s="29">
        <v>46266</v>
      </c>
      <c r="I4" s="29">
        <v>46266</v>
      </c>
      <c r="J4" s="15" t="str">
        <f>+VLOOKUP(K4,[1]Datos!$A:$C,3,FALSE)</f>
        <v>ROOSEVELT</v>
      </c>
      <c r="K4" s="11">
        <v>127</v>
      </c>
      <c r="L4" s="15" t="str">
        <f>+VLOOKUP(K4,[1]Datos!$A:$C,2,FALSE)</f>
        <v>CHIMALTENANGO 2</v>
      </c>
      <c r="M4" s="11">
        <v>315304</v>
      </c>
      <c r="N4" s="15" t="str">
        <f>+VLOOKUP(M4,[1]Datos!$F:$G,2,FALSE)</f>
        <v>Henry Gabriel Morales Chinchilla</v>
      </c>
      <c r="O4" s="17">
        <f>IFERROR(IF(A4="SI",VLOOKUP(R4,[1]Datos!$J$1:$K$50,2,FALSE)*C4,VLOOKUP(R4,[1]Datos!$P$1:$T$13,2,FALSE)*C4),0)</f>
        <v>816</v>
      </c>
      <c r="P4" s="30">
        <v>315771</v>
      </c>
      <c r="Q4" s="15" t="str">
        <f>+VLOOKUP(P4,[1]Datos!$F:$G,2,FALSE)</f>
        <v>LUIS EDUARDO CARRANZA GUZMAN</v>
      </c>
      <c r="R4" s="9" t="s">
        <v>29</v>
      </c>
      <c r="S4" s="11"/>
      <c r="T4" s="11" t="e">
        <f>IF(VLOOKUP(M4,'[1]COLABORADORES UN'!$A:$A,1,FALSE),"Colaborador UN","NO")</f>
        <v>#N/A</v>
      </c>
      <c r="U4" s="11"/>
      <c r="V4" s="11">
        <f t="shared" si="0"/>
        <v>1</v>
      </c>
      <c r="W4" s="11">
        <f>+VLOOKUP(M4,[1]Datos!$F:$H,3,FALSE)</f>
        <v>0</v>
      </c>
      <c r="X4">
        <v>0</v>
      </c>
      <c r="Y4" s="19"/>
    </row>
    <row r="5" spans="1:28" ht="15" hidden="1" customHeight="1" x14ac:dyDescent="0.35">
      <c r="A5" s="9" t="s">
        <v>25</v>
      </c>
      <c r="B5" s="9"/>
      <c r="C5" s="28">
        <v>3</v>
      </c>
      <c r="D5" s="11" t="s">
        <v>26</v>
      </c>
      <c r="E5" s="11" t="s">
        <v>33</v>
      </c>
      <c r="F5" s="11">
        <v>790</v>
      </c>
      <c r="G5" s="11" t="s">
        <v>34</v>
      </c>
      <c r="H5" s="29">
        <v>46267</v>
      </c>
      <c r="I5" s="31">
        <v>46267</v>
      </c>
      <c r="J5" s="15" t="str">
        <f>+VLOOKUP(K5,[1]Datos!$A:$C,3,FALSE)</f>
        <v>ROOSEVELT</v>
      </c>
      <c r="K5" s="11">
        <v>200</v>
      </c>
      <c r="L5" s="15" t="str">
        <f>+VLOOKUP(K5,[1]Datos!$A:$C,2,FALSE)</f>
        <v>GALERIAS MIRAFLORES</v>
      </c>
      <c r="M5" s="32">
        <v>90086663</v>
      </c>
      <c r="N5" s="15" t="str">
        <f>+VLOOKUP(M5,[1]Datos!$F:$G,2,FALSE)</f>
        <v>EVELYN FABIOLA CAJ</v>
      </c>
      <c r="O5" s="17">
        <f>IFERROR(IF(A5="SI",VLOOKUP(R5,[1]Datos!$J$1:$K$50,2,FALSE)*C5,VLOOKUP(R5,[1]Datos!$P$1:$T$13,2,FALSE)*C5),0)</f>
        <v>2448</v>
      </c>
      <c r="P5" s="8">
        <v>312255</v>
      </c>
      <c r="Q5" s="15" t="str">
        <f>+VLOOKUP(P5,[1]Datos!$F:$G,2,FALSE)</f>
        <v>Jacqueline Mercedes Portuguez Simaj</v>
      </c>
      <c r="R5" s="9" t="s">
        <v>29</v>
      </c>
      <c r="S5" s="11"/>
      <c r="T5" s="11" t="e">
        <f>IF(VLOOKUP(M5,'[1]COLABORADORES UN'!$A:$A,1,FALSE),"Colaborador UN","NO")</f>
        <v>#N/A</v>
      </c>
      <c r="U5" s="11"/>
      <c r="V5" s="11">
        <f t="shared" si="0"/>
        <v>1</v>
      </c>
      <c r="W5" s="11">
        <f>+VLOOKUP(M5,[1]Datos!$F:$H,3,FALSE)</f>
        <v>0</v>
      </c>
      <c r="X5">
        <v>0</v>
      </c>
      <c r="Y5" s="33"/>
      <c r="Z5" t="e">
        <f>VLOOKUP(M5,'[2]INDIVIDUAL UN'!$C$6:$F$222,4,FALSE)</f>
        <v>#N/A</v>
      </c>
    </row>
    <row r="6" spans="1:28" s="37" customFormat="1" ht="17" hidden="1" customHeight="1" x14ac:dyDescent="0.35">
      <c r="A6" s="34" t="s">
        <v>25</v>
      </c>
      <c r="B6" s="35"/>
      <c r="C6" s="36">
        <v>1</v>
      </c>
      <c r="D6" s="37" t="s">
        <v>26</v>
      </c>
      <c r="E6" s="37" t="s">
        <v>27</v>
      </c>
      <c r="F6" s="37">
        <v>4304</v>
      </c>
      <c r="G6" s="37" t="s">
        <v>35</v>
      </c>
      <c r="H6" s="38">
        <v>46267</v>
      </c>
      <c r="I6" s="38">
        <v>46267</v>
      </c>
      <c r="J6" s="34" t="str">
        <f>+VLOOKUP(K6,[1]Datos!$A:$C,3,FALSE)</f>
        <v>ROOSEVELT</v>
      </c>
      <c r="K6" s="37">
        <v>280</v>
      </c>
      <c r="L6" s="34" t="str">
        <f>+VLOOKUP(K6,[1]Datos!$A:$C,2,FALSE)</f>
        <v>LAS PUERTAS SAN LUCAS</v>
      </c>
      <c r="M6" s="37">
        <v>312920</v>
      </c>
      <c r="N6" s="34" t="str">
        <f>+VLOOKUP(M6,[1]Datos!$F:$G,2,FALSE)</f>
        <v>Irma Leticia Raquec Yos</v>
      </c>
      <c r="O6" s="39">
        <f>IFERROR(IF(A6="SI",VLOOKUP(R6,[1]Datos!$J$1:$K$50,2,FALSE)*C6,VLOOKUP(R6,[1]Datos!$P$1:$T$13,2,FALSE)*C6),0)</f>
        <v>816</v>
      </c>
      <c r="P6" s="34"/>
      <c r="Q6" s="34" t="e">
        <f>+VLOOKUP(P6,[1]Datos!$F:$G,2,FALSE)</f>
        <v>#N/A</v>
      </c>
      <c r="R6" s="34" t="s">
        <v>29</v>
      </c>
      <c r="T6" s="37" t="e">
        <f>IF(VLOOKUP(M6,'[1]COLABORADORES UN'!$A:$A,1,FALSE),"Colaborador UN","NO")</f>
        <v>#N/A</v>
      </c>
      <c r="V6" s="37">
        <f t="shared" si="0"/>
        <v>1</v>
      </c>
      <c r="W6" s="37">
        <f>+VLOOKUP(M6,[1]Datos!$F:$H,3,FALSE)</f>
        <v>0</v>
      </c>
      <c r="X6" s="36">
        <v>0</v>
      </c>
      <c r="Y6" s="40"/>
      <c r="Z6" s="37" t="e">
        <f>VLOOKUP(M6,'[2]INDIVIDUAL UN'!$C$6:$F$222,4,FALSE)</f>
        <v>#N/A</v>
      </c>
      <c r="AB6" s="37" t="s">
        <v>36</v>
      </c>
    </row>
    <row r="7" spans="1:28" s="11" customFormat="1" ht="15" hidden="1" customHeight="1" x14ac:dyDescent="0.35">
      <c r="A7" s="9" t="s">
        <v>25</v>
      </c>
      <c r="B7" s="9"/>
      <c r="C7" s="10">
        <v>2</v>
      </c>
      <c r="D7" s="11" t="s">
        <v>26</v>
      </c>
      <c r="E7" s="11" t="s">
        <v>30</v>
      </c>
      <c r="F7" s="11">
        <v>1154</v>
      </c>
      <c r="G7" s="13" t="s">
        <v>37</v>
      </c>
      <c r="H7" s="14">
        <v>46267</v>
      </c>
      <c r="I7" s="14">
        <v>46267</v>
      </c>
      <c r="J7" s="15" t="str">
        <f>+VLOOKUP(K7,[1]Datos!$A:$C,3,FALSE)</f>
        <v>ROOSEVELT</v>
      </c>
      <c r="K7" s="13">
        <v>347</v>
      </c>
      <c r="L7" s="15" t="str">
        <f>+VLOOKUP(K7,[1]Datos!$A:$C,2,FALSE)</f>
        <v>ANTIGUA LOS TELARES</v>
      </c>
      <c r="M7" s="41">
        <v>90086289</v>
      </c>
      <c r="N7" s="15" t="str">
        <f>+VLOOKUP(M7,[1]Datos!$F:$G,2,FALSE)</f>
        <v>MIGUEL ANGEL NARCISO CHUTA JUAREZ</v>
      </c>
      <c r="O7" s="17">
        <v>1632</v>
      </c>
      <c r="P7">
        <v>307269</v>
      </c>
      <c r="Q7" s="15" t="str">
        <f>+VLOOKUP(P7,[1]Datos!$F:$G,2,FALSE)</f>
        <v>Lester Alexander Rodriguez Arevalo</v>
      </c>
      <c r="R7" s="9" t="s">
        <v>29</v>
      </c>
      <c r="T7" s="11" t="e">
        <f>IF(VLOOKUP(M7,'[1]COLABORADORES UN'!$A:$A,1,FALSE),"Colaborador UN","NO")</f>
        <v>#N/A</v>
      </c>
      <c r="V7" s="11">
        <f t="shared" si="0"/>
        <v>1</v>
      </c>
      <c r="W7" s="11">
        <f>+VLOOKUP(M7,[1]Datos!$F:$H,3,FALSE)</f>
        <v>0</v>
      </c>
      <c r="X7" s="11">
        <v>0</v>
      </c>
      <c r="Y7" s="42"/>
      <c r="Z7" s="11" t="e">
        <f>VLOOKUP(M7,'[2]INDIVIDUAL UN'!$C$6:$F$222,4,FALSE)</f>
        <v>#N/A</v>
      </c>
    </row>
    <row r="8" spans="1:28" s="26" customFormat="1" ht="17" hidden="1" customHeight="1" x14ac:dyDescent="0.35">
      <c r="A8" s="9" t="s">
        <v>25</v>
      </c>
      <c r="B8" s="9"/>
      <c r="C8" s="28">
        <v>1</v>
      </c>
      <c r="D8" s="11" t="s">
        <v>26</v>
      </c>
      <c r="E8" s="11" t="s">
        <v>27</v>
      </c>
      <c r="F8" s="11">
        <v>4206</v>
      </c>
      <c r="G8" s="11" t="s">
        <v>38</v>
      </c>
      <c r="H8" s="29">
        <v>46267</v>
      </c>
      <c r="I8" s="29">
        <v>46267</v>
      </c>
      <c r="J8" s="21" t="str">
        <f>+VLOOKUP(K8,[1]Datos!$A:$C,3,FALSE)</f>
        <v>ROOSEVELT</v>
      </c>
      <c r="K8" s="11">
        <v>127</v>
      </c>
      <c r="L8" s="21" t="str">
        <f>+VLOOKUP(K8,[1]Datos!$A:$C,2,FALSE)</f>
        <v>CHIMALTENANGO 2</v>
      </c>
      <c r="M8" s="11">
        <v>90040333</v>
      </c>
      <c r="N8" s="21" t="str">
        <f>+VLOOKUP(M8,[1]Datos!$F:$G,2,FALSE)</f>
        <v>JOSELIN CAROLINA MATZIR PEREZ</v>
      </c>
      <c r="O8" s="23">
        <f>IFERROR(IF(A8="SI",VLOOKUP(R8,[1]Datos!$J$1:$K$50,2,FALSE)*C8,VLOOKUP(R8,[1]Datos!$P$1:$T$13,2,FALSE)*C8),0)</f>
        <v>816</v>
      </c>
      <c r="P8" s="30">
        <v>315771</v>
      </c>
      <c r="Q8" s="21" t="str">
        <f>+VLOOKUP(P8,[1]Datos!$F:$G,2,FALSE)</f>
        <v>LUIS EDUARDO CARRANZA GUZMAN</v>
      </c>
      <c r="R8" s="21" t="s">
        <v>29</v>
      </c>
      <c r="S8" s="25"/>
      <c r="T8" s="25" t="e">
        <f>IF(VLOOKUP(M8,'[1]COLABORADORES UN'!$A:$A,1,FALSE),"Colaborador UN","NO")</f>
        <v>#N/A</v>
      </c>
      <c r="U8" s="25"/>
      <c r="V8" s="25">
        <f t="shared" si="0"/>
        <v>1</v>
      </c>
      <c r="W8" s="25">
        <f>+VLOOKUP(M8,[1]Datos!$F:$H,3,FALSE)</f>
        <v>0</v>
      </c>
      <c r="X8" s="26">
        <v>0</v>
      </c>
      <c r="Y8" s="27"/>
      <c r="Z8" s="26" t="e">
        <f>VLOOKUP(M8,'[2]INDIVIDUAL UN'!$C$6:$F$222,4,FALSE)</f>
        <v>#N/A</v>
      </c>
      <c r="AA8" s="43"/>
    </row>
    <row r="9" spans="1:28" ht="16.5" hidden="1" customHeight="1" x14ac:dyDescent="0.35">
      <c r="A9" s="9" t="s">
        <v>25</v>
      </c>
      <c r="B9" s="9"/>
      <c r="C9" s="10">
        <v>1</v>
      </c>
      <c r="D9" s="11" t="s">
        <v>26</v>
      </c>
      <c r="E9" s="13" t="s">
        <v>39</v>
      </c>
      <c r="F9" s="11">
        <v>2629</v>
      </c>
      <c r="G9" s="11" t="s">
        <v>40</v>
      </c>
      <c r="H9" s="29">
        <v>46267</v>
      </c>
      <c r="I9" s="31">
        <v>46267</v>
      </c>
      <c r="J9" s="15" t="str">
        <f>+VLOOKUP(K9,[1]Datos!$A:$C,3,FALSE)</f>
        <v>ROOSEVELT</v>
      </c>
      <c r="K9" s="13">
        <v>347</v>
      </c>
      <c r="L9" s="15" t="str">
        <f>+VLOOKUP(K9,[1]Datos!$A:$C,2,FALSE)</f>
        <v>ANTIGUA LOS TELARES</v>
      </c>
      <c r="M9" s="41">
        <v>313493</v>
      </c>
      <c r="N9" s="15" t="str">
        <f>+VLOOKUP(M9,[1]Datos!$F:$G,2,FALSE)</f>
        <v>Julio Rene Medina Mendez</v>
      </c>
      <c r="O9" s="17">
        <f>IFERROR(IF(A9="SI",VLOOKUP(R9,[1]Datos!$J$1:$K$50,2,FALSE)*C9,VLOOKUP(R9,[1]Datos!$P$1:$T$13,2,FALSE)*C9),0)</f>
        <v>1008</v>
      </c>
      <c r="P9" s="18">
        <v>90086478</v>
      </c>
      <c r="Q9" s="15" t="str">
        <f>+VLOOKUP(P9,[1]Datos!$F:$G,2,FALSE)</f>
        <v>LISBETH MELISA GARCIA JUAREZ</v>
      </c>
      <c r="R9" s="9" t="s">
        <v>41</v>
      </c>
      <c r="S9" s="11"/>
      <c r="T9" s="11" t="e">
        <f>IF(VLOOKUP(M9,'[1]COLABORADORES UN'!$A:$A,1,FALSE),"Colaborador UN","NO")</f>
        <v>#N/A</v>
      </c>
      <c r="U9" s="11"/>
      <c r="V9" s="11">
        <f t="shared" si="0"/>
        <v>3</v>
      </c>
      <c r="W9" s="11">
        <f>+VLOOKUP(M9,[1]Datos!$F:$H,3,FALSE)</f>
        <v>0</v>
      </c>
      <c r="X9">
        <v>0</v>
      </c>
      <c r="Y9" s="33"/>
      <c r="Z9" t="e">
        <f>VLOOKUP(M9,'[2]INDIVIDUAL UN'!$C$6:$F$222,4,FALSE)</f>
        <v>#N/A</v>
      </c>
    </row>
    <row r="10" spans="1:28" s="11" customFormat="1" ht="14.5" hidden="1" customHeight="1" x14ac:dyDescent="0.35">
      <c r="A10" s="9" t="s">
        <v>25</v>
      </c>
      <c r="B10" s="9"/>
      <c r="C10">
        <v>1</v>
      </c>
      <c r="D10" s="11" t="s">
        <v>26</v>
      </c>
      <c r="E10" s="11" t="s">
        <v>42</v>
      </c>
      <c r="F10" s="11">
        <v>403</v>
      </c>
      <c r="G10" s="11" t="s">
        <v>43</v>
      </c>
      <c r="H10" s="29">
        <v>46267</v>
      </c>
      <c r="I10" s="29">
        <v>46266</v>
      </c>
      <c r="J10" s="15" t="str">
        <f>+VLOOKUP(K10,[1]Datos!$A:$C,3,FALSE)</f>
        <v>ROOSEVELT</v>
      </c>
      <c r="K10" s="11">
        <v>252</v>
      </c>
      <c r="L10" s="15" t="str">
        <f>+VLOOKUP(K10,[1]Datos!$A:$C,2,FALSE)</f>
        <v>ESKALA ROOSEVELT</v>
      </c>
      <c r="M10" s="11">
        <v>90083711</v>
      </c>
      <c r="N10" s="15" t="str">
        <f>+VLOOKUP(M10,[1]Datos!$F:$G,2,FALSE)</f>
        <v>Nery Carlos Magdiel Ortega Del Aguila</v>
      </c>
      <c r="O10" s="17">
        <v>1092</v>
      </c>
      <c r="P10" s="8">
        <v>316268</v>
      </c>
      <c r="Q10" s="15" t="str">
        <f>+VLOOKUP(P10,[1]Datos!$F:$G,2,FALSE)</f>
        <v>SANTOS JOEL PEREZ OXLAJ</v>
      </c>
      <c r="R10" s="9" t="s">
        <v>44</v>
      </c>
      <c r="T10" s="11" t="e">
        <f>IF(VLOOKUP(M10,'[1]COLABORADORES UN'!$A:$A,1,FALSE),"Colaborador UN","NO")</f>
        <v>#N/A</v>
      </c>
      <c r="V10" s="11">
        <f t="shared" si="0"/>
        <v>1</v>
      </c>
      <c r="W10" s="11">
        <f>+VLOOKUP(M10,[1]Datos!$F:$H,3,FALSE)</f>
        <v>0</v>
      </c>
      <c r="X10" s="11">
        <v>0</v>
      </c>
      <c r="Y10" s="42"/>
      <c r="Z10" s="11" t="e">
        <f>VLOOKUP(M10,'[2]INDIVIDUAL UN'!$C$6:$F$222,4,FALSE)</f>
        <v>#N/A</v>
      </c>
      <c r="AA10" s="14"/>
    </row>
    <row r="11" spans="1:28" s="11" customFormat="1" ht="13.5" hidden="1" customHeight="1" x14ac:dyDescent="0.35">
      <c r="A11" s="9" t="s">
        <v>25</v>
      </c>
      <c r="B11" s="9"/>
      <c r="C11" s="10">
        <v>4</v>
      </c>
      <c r="D11" s="11" t="s">
        <v>26</v>
      </c>
      <c r="E11" s="13" t="s">
        <v>45</v>
      </c>
      <c r="F11" s="11">
        <v>634</v>
      </c>
      <c r="G11" s="13" t="s">
        <v>46</v>
      </c>
      <c r="H11" s="14">
        <v>46267</v>
      </c>
      <c r="I11" s="14">
        <v>46267</v>
      </c>
      <c r="J11" s="15" t="str">
        <f>+VLOOKUP(K11,[1]Datos!$A:$C,3,FALSE)</f>
        <v>ROOSEVELT</v>
      </c>
      <c r="K11" s="13">
        <v>280</v>
      </c>
      <c r="L11" s="15" t="str">
        <f>+VLOOKUP(K11,[1]Datos!$A:$C,2,FALSE)</f>
        <v>LAS PUERTAS SAN LUCAS</v>
      </c>
      <c r="M11" s="41">
        <v>309965</v>
      </c>
      <c r="N11" s="15" t="str">
        <f>+VLOOKUP(M11,[1]Datos!$F:$G,2,FALSE)</f>
        <v>Beberly Karina Ramirez Ismatul</v>
      </c>
      <c r="O11" s="17">
        <f>IFERROR(IF(A11="SI",VLOOKUP(R11,[1]Datos!$J$1:$K$50,2,FALSE)*C11,VLOOKUP(R11,[1]Datos!$P$1:$T$13,2,FALSE)*C11),0)</f>
        <v>3264</v>
      </c>
      <c r="P11" s="18">
        <v>302484</v>
      </c>
      <c r="Q11" s="15" t="str">
        <f>+VLOOKUP(P11,[1]Datos!$F:$G,2,FALSE)</f>
        <v>Luis Armando Ramirez De Leon</v>
      </c>
      <c r="R11" s="9" t="s">
        <v>29</v>
      </c>
      <c r="T11" s="11" t="e">
        <f>IF(VLOOKUP(M11,'[1]COLABORADORES UN'!$A:$A,1,FALSE),"Colaborador UN","NO")</f>
        <v>#N/A</v>
      </c>
      <c r="V11" s="11">
        <f t="shared" si="0"/>
        <v>1</v>
      </c>
      <c r="W11" s="11">
        <f>+VLOOKUP(M11,[1]Datos!$F:$H,3,FALSE)</f>
        <v>0</v>
      </c>
      <c r="X11" s="11">
        <v>0</v>
      </c>
      <c r="Y11" s="42"/>
      <c r="AA11" s="14"/>
    </row>
    <row r="12" spans="1:28" s="11" customFormat="1" ht="21" hidden="1" customHeight="1" x14ac:dyDescent="0.35">
      <c r="A12" s="9" t="s">
        <v>25</v>
      </c>
      <c r="B12" s="9"/>
      <c r="C12">
        <v>1</v>
      </c>
      <c r="D12" s="11" t="s">
        <v>26</v>
      </c>
      <c r="E12" s="11" t="s">
        <v>42</v>
      </c>
      <c r="F12" s="11">
        <v>404</v>
      </c>
      <c r="G12" s="11" t="s">
        <v>47</v>
      </c>
      <c r="H12" s="14">
        <v>46267</v>
      </c>
      <c r="I12" s="29">
        <v>46266</v>
      </c>
      <c r="J12" s="15" t="str">
        <f>+VLOOKUP(K12,[1]Datos!$A:$C,3,FALSE)</f>
        <v>ROOSEVELT</v>
      </c>
      <c r="K12" s="11">
        <v>252</v>
      </c>
      <c r="L12" s="15" t="str">
        <f>+VLOOKUP(K12,[1]Datos!$A:$C,2,FALSE)</f>
        <v>ESKALA ROOSEVELT</v>
      </c>
      <c r="M12" s="11">
        <v>90087143</v>
      </c>
      <c r="N12" s="15" t="str">
        <f>+VLOOKUP(M12,[1]Datos!$F:$G,2,FALSE)</f>
        <v>William Estiben Castro Coc</v>
      </c>
      <c r="O12" s="17">
        <v>1092</v>
      </c>
      <c r="P12" s="8">
        <v>316268</v>
      </c>
      <c r="Q12" s="15" t="str">
        <f>+VLOOKUP(P12,[1]Datos!$F:$G,2,FALSE)</f>
        <v>SANTOS JOEL PEREZ OXLAJ</v>
      </c>
      <c r="R12" s="9" t="s">
        <v>44</v>
      </c>
      <c r="T12" s="11" t="e">
        <f>IF(VLOOKUP(M12,'[1]COLABORADORES UN'!$A:$A,1,FALSE),"Colaborador UN","NO")</f>
        <v>#N/A</v>
      </c>
      <c r="V12" s="11">
        <f t="shared" si="0"/>
        <v>1</v>
      </c>
      <c r="W12" s="11">
        <f>+VLOOKUP(M12,[1]Datos!$F:$H,3,FALSE)</f>
        <v>0</v>
      </c>
      <c r="X12" s="11">
        <v>0</v>
      </c>
      <c r="Y12" s="42"/>
      <c r="Z12" s="11" t="e">
        <f>VLOOKUP(M12,'[2]INDIVIDUAL UN'!$C$6:$F$222,4,FALSE)</f>
        <v>#N/A</v>
      </c>
      <c r="AA12" s="13"/>
    </row>
    <row r="13" spans="1:28" s="11" customFormat="1" ht="20" hidden="1" customHeight="1" x14ac:dyDescent="0.35">
      <c r="A13" s="9" t="s">
        <v>25</v>
      </c>
      <c r="B13" s="9"/>
      <c r="C13">
        <v>1</v>
      </c>
      <c r="D13" s="11" t="s">
        <v>26</v>
      </c>
      <c r="E13" s="11" t="s">
        <v>27</v>
      </c>
      <c r="F13" s="11">
        <v>4227</v>
      </c>
      <c r="G13" s="11" t="s">
        <v>48</v>
      </c>
      <c r="H13" s="14">
        <v>46267</v>
      </c>
      <c r="I13" s="14">
        <v>46267</v>
      </c>
      <c r="J13" s="15" t="str">
        <f>+VLOOKUP(K13,[1]Datos!$A:$C,3,FALSE)</f>
        <v>ROOSEVELT</v>
      </c>
      <c r="K13" s="11">
        <v>252</v>
      </c>
      <c r="L13" s="15" t="str">
        <f>+VLOOKUP(K13,[1]Datos!$A:$C,2,FALSE)</f>
        <v>ESKALA ROOSEVELT</v>
      </c>
      <c r="M13" s="11">
        <v>315564</v>
      </c>
      <c r="N13" s="15" t="str">
        <f>+VLOOKUP(M13,[1]Datos!$F:$G,2,FALSE)</f>
        <v>Esvin Rolando Orozco Mulul</v>
      </c>
      <c r="O13" s="17">
        <f>IFERROR(IF(A13="SI",VLOOKUP(R13,[1]Datos!$J$1:$K$50,2,FALSE)*C13,VLOOKUP(R13,[1]Datos!$P$1:$T$13,2,FALSE)*C13),0)</f>
        <v>816</v>
      </c>
      <c r="P13" s="28">
        <v>300544</v>
      </c>
      <c r="Q13" s="15" t="str">
        <f>+VLOOKUP(P13,[1]Datos!$F:$G,2,FALSE)</f>
        <v>Abner Enmanuel Perez Rodriguez</v>
      </c>
      <c r="R13" s="9" t="s">
        <v>29</v>
      </c>
      <c r="T13" s="11" t="e">
        <f>IF(VLOOKUP(M13,'[1]COLABORADORES UN'!$A:$A,1,FALSE),"Colaborador UN","NO")</f>
        <v>#N/A</v>
      </c>
      <c r="V13" s="11">
        <f t="shared" si="0"/>
        <v>1</v>
      </c>
      <c r="W13" s="11">
        <f>+VLOOKUP(M13,[1]Datos!$F:$H,3,FALSE)</f>
        <v>0</v>
      </c>
      <c r="X13" s="11">
        <v>0</v>
      </c>
      <c r="Y13" s="42"/>
      <c r="Z13" s="11" t="e">
        <f>VLOOKUP(M13,'[2]INDIVIDUAL UN'!$C$6:$F$222,4,FALSE)</f>
        <v>#N/A</v>
      </c>
      <c r="AA13" s="13"/>
    </row>
    <row r="14" spans="1:28" ht="14.5" hidden="1" customHeight="1" x14ac:dyDescent="0.35">
      <c r="A14" s="9" t="s">
        <v>25</v>
      </c>
      <c r="B14" s="9"/>
      <c r="C14" s="8">
        <v>1</v>
      </c>
      <c r="D14" s="9" t="s">
        <v>26</v>
      </c>
      <c r="E14" s="11" t="s">
        <v>27</v>
      </c>
      <c r="F14" s="9">
        <v>4239</v>
      </c>
      <c r="G14" s="9" t="s">
        <v>49</v>
      </c>
      <c r="H14" s="44">
        <v>46268</v>
      </c>
      <c r="I14" s="44">
        <v>46268</v>
      </c>
      <c r="J14" s="15" t="str">
        <f>+VLOOKUP(K14,[1]Datos!$A:$C,3,FALSE)</f>
        <v>ROOSEVELT</v>
      </c>
      <c r="K14" s="9">
        <v>339</v>
      </c>
      <c r="L14" s="15" t="str">
        <f>+VLOOKUP(K14,[1]Datos!$A:$C,2,FALSE)</f>
        <v>ANDARIA</v>
      </c>
      <c r="M14" s="9">
        <v>309034</v>
      </c>
      <c r="N14" s="15" t="str">
        <f>+VLOOKUP(M14,[1]Datos!$F:$G,2,FALSE)</f>
        <v>Herbert Josue Mucia Garcia</v>
      </c>
      <c r="O14" s="17">
        <f>IFERROR(IF(A14="SI",VLOOKUP(R14,[1]Datos!$J$1:$K$50,2,FALSE)*C14,VLOOKUP(R14,[1]Datos!$P$1:$T$13,2,FALSE)*C14),0)</f>
        <v>816</v>
      </c>
      <c r="P14" s="30">
        <v>309503</v>
      </c>
      <c r="Q14" s="15" t="str">
        <f>+VLOOKUP(P14,[1]Datos!$F:$G,2,FALSE)</f>
        <v>Mildred Yaneth Figueroa Garcia</v>
      </c>
      <c r="R14" s="9" t="s">
        <v>29</v>
      </c>
      <c r="S14" s="11"/>
      <c r="T14" s="11" t="e">
        <f>IF(VLOOKUP(M14,'[1]COLABORADORES UN'!$A:$A,1,FALSE),"Colaborador UN","NO")</f>
        <v>#N/A</v>
      </c>
      <c r="U14" s="11"/>
      <c r="V14" s="11">
        <f t="shared" si="0"/>
        <v>1</v>
      </c>
      <c r="W14" s="11">
        <f>+VLOOKUP(M14,[1]Datos!$F:$H,3,FALSE)</f>
        <v>0</v>
      </c>
      <c r="X14">
        <v>0</v>
      </c>
      <c r="Y14" s="33"/>
      <c r="Z14" t="e">
        <f>VLOOKUP(M14,'[2]INDIVIDUAL UN'!$C$6:$F$222,4,FALSE)</f>
        <v>#N/A</v>
      </c>
      <c r="AA14" s="10"/>
    </row>
    <row r="15" spans="1:28" s="11" customFormat="1" ht="15" hidden="1" customHeight="1" x14ac:dyDescent="0.45">
      <c r="A15" s="9" t="s">
        <v>25</v>
      </c>
      <c r="B15" s="9"/>
      <c r="C15" s="10">
        <v>2</v>
      </c>
      <c r="D15" s="11" t="s">
        <v>26</v>
      </c>
      <c r="E15" s="13" t="s">
        <v>30</v>
      </c>
      <c r="F15" s="11">
        <v>1121</v>
      </c>
      <c r="G15" s="13" t="s">
        <v>50</v>
      </c>
      <c r="H15" s="14">
        <v>46268</v>
      </c>
      <c r="I15" s="14">
        <v>46268</v>
      </c>
      <c r="J15" s="15" t="str">
        <f>+VLOOKUP(K15,[1]Datos!$A:$C,3,FALSE)</f>
        <v>ROOSEVELT</v>
      </c>
      <c r="K15" s="13">
        <v>357</v>
      </c>
      <c r="L15" s="15" t="str">
        <f>+VLOOKUP(K15,[1]Datos!$A:$C,2,FALSE)</f>
        <v xml:space="preserve"> PASEO ANTIGUA</v>
      </c>
      <c r="M15" s="41">
        <v>90035128</v>
      </c>
      <c r="N15" s="15" t="str">
        <f>+VLOOKUP(M15,[1]Datos!$F:$G,2,FALSE)</f>
        <v>PAOLA ALEJANDRA MONZON PANIAGUA</v>
      </c>
      <c r="O15" s="17">
        <f>IFERROR(IF(A15="SI",VLOOKUP(R15,[1]Datos!$J$1:$K$50,2,FALSE)*C15,VLOOKUP(R15,[1]Datos!$P$1:$T$13,2,FALSE)*C15),0)</f>
        <v>1632</v>
      </c>
      <c r="P15" s="45">
        <v>309765</v>
      </c>
      <c r="Q15" s="15" t="str">
        <f>+VLOOKUP(P15,[1]Datos!$F:$G,2,FALSE)</f>
        <v>Jose Luis Velasquez Miche</v>
      </c>
      <c r="R15" s="9" t="s">
        <v>29</v>
      </c>
      <c r="T15" s="11" t="e">
        <f>IF(VLOOKUP(M15,'[1]COLABORADORES UN'!$A:$A,1,FALSE),"Colaborador UN","NO")</f>
        <v>#N/A</v>
      </c>
      <c r="V15" s="11">
        <f t="shared" si="0"/>
        <v>1</v>
      </c>
      <c r="W15" s="11">
        <f>+VLOOKUP(M15,[1]Datos!$F:$H,3,FALSE)</f>
        <v>0</v>
      </c>
      <c r="X15" s="11">
        <v>0</v>
      </c>
      <c r="Y15" s="42"/>
      <c r="Z15" s="11" t="e">
        <f>VLOOKUP(M15,'[2]INDIVIDUAL UN'!$C$6:$F$222,4,FALSE)</f>
        <v>#N/A</v>
      </c>
      <c r="AA15" s="14"/>
    </row>
    <row r="16" spans="1:28" ht="20" hidden="1" customHeight="1" x14ac:dyDescent="0.45">
      <c r="A16" s="9" t="s">
        <v>25</v>
      </c>
      <c r="B16" s="9"/>
      <c r="C16">
        <v>2</v>
      </c>
      <c r="D16" s="11" t="s">
        <v>26</v>
      </c>
      <c r="E16" s="11" t="s">
        <v>30</v>
      </c>
      <c r="F16" s="11">
        <v>1132</v>
      </c>
      <c r="G16" s="11" t="s">
        <v>51</v>
      </c>
      <c r="H16" s="29">
        <v>46269</v>
      </c>
      <c r="I16" s="29">
        <v>46269</v>
      </c>
      <c r="J16" s="15" t="str">
        <f>+VLOOKUP(K16,[1]Datos!$A:$C,3,FALSE)</f>
        <v>ROOSEVELT</v>
      </c>
      <c r="K16" s="11">
        <v>9</v>
      </c>
      <c r="L16" s="15" t="str">
        <f>+VLOOKUP(K16,[1]Datos!$A:$C,2,FALSE)</f>
        <v>ROOSEVELT</v>
      </c>
      <c r="M16" s="46">
        <v>90084295</v>
      </c>
      <c r="N16" s="15" t="str">
        <f>+VLOOKUP(M16,[1]Datos!$F:$G,2,FALSE)</f>
        <v>DORISMAR ALEXANDRA AJIATAZ SOLORZANO</v>
      </c>
      <c r="O16" s="17">
        <f>IFERROR(IF(A16="SI",VLOOKUP(R16,[1]Datos!$J$1:$K$50,2,FALSE)*C16,VLOOKUP(R16,[1]Datos!$P$1:$T$13,2,FALSE)*C16),0)</f>
        <v>1632</v>
      </c>
      <c r="P16" s="8">
        <v>300922</v>
      </c>
      <c r="Q16" s="15" t="str">
        <f>+VLOOKUP(P16,[1]Datos!$F:$G,2,FALSE)</f>
        <v>Luis Ernesto Medrano Chajon</v>
      </c>
      <c r="R16" s="9" t="s">
        <v>29</v>
      </c>
      <c r="S16" s="11"/>
      <c r="T16" s="11" t="e">
        <f>IF(VLOOKUP(M16,'[1]COLABORADORES UN'!$A:$A,1,FALSE),"Colaborador UN","NO")</f>
        <v>#N/A</v>
      </c>
      <c r="U16" s="11"/>
      <c r="V16" s="11">
        <f t="shared" si="0"/>
        <v>1</v>
      </c>
      <c r="W16" s="11">
        <f>+VLOOKUP(M16,[1]Datos!$F:$H,3,FALSE)</f>
        <v>0</v>
      </c>
      <c r="X16">
        <v>0</v>
      </c>
      <c r="Y16" s="33"/>
      <c r="Z16" t="e">
        <f>VLOOKUP(M16,'[2]INDIVIDUAL UN'!$C$6:$F$222,4,FALSE)</f>
        <v>#N/A</v>
      </c>
      <c r="AA16" s="10"/>
    </row>
    <row r="17" spans="1:27" ht="22.5" hidden="1" customHeight="1" x14ac:dyDescent="0.35">
      <c r="A17" s="9" t="s">
        <v>25</v>
      </c>
      <c r="B17" s="9"/>
      <c r="C17">
        <v>1</v>
      </c>
      <c r="D17" s="11" t="s">
        <v>26</v>
      </c>
      <c r="E17" s="11" t="s">
        <v>27</v>
      </c>
      <c r="F17" s="11">
        <v>4249</v>
      </c>
      <c r="G17" s="11" t="s">
        <v>52</v>
      </c>
      <c r="H17" s="29">
        <v>46269</v>
      </c>
      <c r="I17" s="29">
        <v>46269</v>
      </c>
      <c r="J17" s="15" t="str">
        <f>+VLOOKUP(K17,[1]Datos!$A:$C,3,FALSE)</f>
        <v>ROOSEVELT</v>
      </c>
      <c r="K17" s="11">
        <v>127</v>
      </c>
      <c r="L17" s="15" t="str">
        <f>+VLOOKUP(K17,[1]Datos!$A:$C,2,FALSE)</f>
        <v>CHIMALTENANGO 2</v>
      </c>
      <c r="M17" s="11">
        <v>311846</v>
      </c>
      <c r="N17" s="15" t="str">
        <f>+VLOOKUP(M17,[1]Datos!$F:$G,2,FALSE)</f>
        <v>Ricardo Antonio Vasquez Meza</v>
      </c>
      <c r="O17" s="17">
        <f>IFERROR(IF(A17="SI",VLOOKUP(R17,[1]Datos!$J$1:$K$50,2,FALSE)*C17,VLOOKUP(R17,[1]Datos!$P$1:$T$13,2,FALSE)*C17),0)</f>
        <v>816</v>
      </c>
      <c r="P17" s="8">
        <v>306655</v>
      </c>
      <c r="Q17" s="15" t="str">
        <f>+VLOOKUP(P17,[1]Datos!$F:$G,2,FALSE)</f>
        <v>Marvin Alexander Choguix Chex</v>
      </c>
      <c r="R17" s="9" t="s">
        <v>29</v>
      </c>
      <c r="S17" s="11"/>
      <c r="T17" s="11" t="e">
        <f>IF(VLOOKUP(M17,'[1]COLABORADORES UN'!$A:$A,1,FALSE),"Colaborador UN","NO")</f>
        <v>#N/A</v>
      </c>
      <c r="U17" s="11"/>
      <c r="V17" s="11">
        <f t="shared" si="0"/>
        <v>1</v>
      </c>
      <c r="W17" s="11">
        <f>+VLOOKUP(M17,[1]Datos!$F:$H,3,FALSE)</f>
        <v>0</v>
      </c>
      <c r="X17">
        <v>0</v>
      </c>
      <c r="Y17" s="33"/>
      <c r="Z17" t="e">
        <f>VLOOKUP(M17,'[2]INDIVIDUAL UN'!$C$6:$F$222,4,FALSE)</f>
        <v>#N/A</v>
      </c>
      <c r="AA17" s="10"/>
    </row>
    <row r="18" spans="1:27" s="11" customFormat="1" ht="18.5" hidden="1" customHeight="1" x14ac:dyDescent="0.35">
      <c r="A18" s="9" t="s">
        <v>25</v>
      </c>
      <c r="B18" s="9"/>
      <c r="C18" s="30">
        <v>4</v>
      </c>
      <c r="D18" s="9" t="s">
        <v>26</v>
      </c>
      <c r="E18" s="9" t="s">
        <v>45</v>
      </c>
      <c r="F18" s="9">
        <v>652</v>
      </c>
      <c r="G18" s="9" t="s">
        <v>53</v>
      </c>
      <c r="H18" s="44">
        <v>46269</v>
      </c>
      <c r="I18" s="44">
        <v>46269</v>
      </c>
      <c r="J18" s="15" t="str">
        <f>+VLOOKUP(K18,[1]Datos!$A:$C,3,FALSE)</f>
        <v>ROOSEVELT</v>
      </c>
      <c r="K18" s="9">
        <v>339</v>
      </c>
      <c r="L18" s="15" t="str">
        <f>+VLOOKUP(K18,[1]Datos!$A:$C,2,FALSE)</f>
        <v>ANDARIA</v>
      </c>
      <c r="M18" s="9">
        <v>307409</v>
      </c>
      <c r="N18" s="15" t="str">
        <f>+VLOOKUP(M18,[1]Datos!$F:$G,2,FALSE)</f>
        <v>Marvin Rodolfo Santizo Rosales</v>
      </c>
      <c r="O18" s="17">
        <f>IFERROR(IF(A18="SI",VLOOKUP(R18,[1]Datos!$J$1:$K$50,2,FALSE)*C18,VLOOKUP(R18,[1]Datos!$P$1:$T$13,2,FALSE)*C18),0)</f>
        <v>3264</v>
      </c>
      <c r="P18" s="30">
        <v>309503</v>
      </c>
      <c r="Q18" s="15" t="str">
        <f>+VLOOKUP(P18,[1]Datos!$F:$G,2,FALSE)</f>
        <v>Mildred Yaneth Figueroa Garcia</v>
      </c>
      <c r="R18" s="9" t="s">
        <v>29</v>
      </c>
      <c r="T18" s="11" t="e">
        <f>IF(VLOOKUP(M18,'[1]COLABORADORES UN'!$A:$A,1,FALSE),"Colaborador UN","NO")</f>
        <v>#N/A</v>
      </c>
      <c r="V18" s="11">
        <f t="shared" si="0"/>
        <v>1</v>
      </c>
      <c r="W18" s="11">
        <f>+VLOOKUP(M18,[1]Datos!$F:$H,3,FALSE)</f>
        <v>0</v>
      </c>
      <c r="X18" s="11">
        <v>0</v>
      </c>
      <c r="Y18" s="42"/>
      <c r="Z18" s="11" t="e">
        <f>VLOOKUP(M18,'[2]INDIVIDUAL UN'!$C$6:$F$222,4,FALSE)</f>
        <v>#N/A</v>
      </c>
      <c r="AA18" s="13"/>
    </row>
    <row r="19" spans="1:27" ht="18.5" hidden="1" customHeight="1" x14ac:dyDescent="0.35">
      <c r="A19" s="9" t="s">
        <v>25</v>
      </c>
      <c r="B19" s="9"/>
      <c r="C19" s="28">
        <v>1</v>
      </c>
      <c r="D19" s="11" t="s">
        <v>26</v>
      </c>
      <c r="E19" s="11" t="s">
        <v>27</v>
      </c>
      <c r="F19" s="11">
        <v>4273</v>
      </c>
      <c r="G19" s="11" t="s">
        <v>54</v>
      </c>
      <c r="H19" s="29">
        <v>46269</v>
      </c>
      <c r="I19" s="29">
        <v>46269</v>
      </c>
      <c r="J19" s="15" t="str">
        <f>+VLOOKUP(K19,[1]Datos!$A:$C,3,FALSE)</f>
        <v>ROOSEVELT</v>
      </c>
      <c r="K19" s="11">
        <v>127</v>
      </c>
      <c r="L19" s="15" t="str">
        <f>+VLOOKUP(K19,[1]Datos!$A:$C,2,FALSE)</f>
        <v>CHIMALTENANGO 2</v>
      </c>
      <c r="M19" s="11">
        <v>90040333</v>
      </c>
      <c r="N19" s="15" t="str">
        <f>+VLOOKUP(M19,[1]Datos!$F:$G,2,FALSE)</f>
        <v>JOSELIN CAROLINA MATZIR PEREZ</v>
      </c>
      <c r="O19" s="17">
        <f>IFERROR(IF(A19="SI",VLOOKUP(R19,[1]Datos!$J$1:$K$50,2,FALSE)*C19,VLOOKUP(R19,[1]Datos!$P$1:$T$13,2,FALSE)*C19),0)</f>
        <v>816</v>
      </c>
      <c r="P19" s="30">
        <v>315771</v>
      </c>
      <c r="Q19" s="15" t="str">
        <f>+VLOOKUP(P19,[1]Datos!$F:$G,2,FALSE)</f>
        <v>LUIS EDUARDO CARRANZA GUZMAN</v>
      </c>
      <c r="R19" s="9" t="s">
        <v>29</v>
      </c>
      <c r="S19" s="11"/>
      <c r="T19" s="11" t="e">
        <f>IF(VLOOKUP(M19,'[1]COLABORADORES UN'!$A:$A,1,FALSE),"Colaborador UN","NO")</f>
        <v>#N/A</v>
      </c>
      <c r="U19" s="11"/>
      <c r="V19" s="11">
        <f t="shared" si="0"/>
        <v>1</v>
      </c>
      <c r="W19" s="11">
        <f>+VLOOKUP(M19,[1]Datos!$F:$H,3,FALSE)</f>
        <v>0</v>
      </c>
      <c r="X19">
        <v>0</v>
      </c>
      <c r="Y19" s="33"/>
      <c r="Z19" t="e">
        <f>VLOOKUP(M19,'[2]INDIVIDUAL UN'!$C$6:$F$222,4,FALSE)</f>
        <v>#N/A</v>
      </c>
      <c r="AA19" s="10"/>
    </row>
    <row r="20" spans="1:27" s="11" customFormat="1" ht="16" hidden="1" customHeight="1" x14ac:dyDescent="0.35">
      <c r="A20" s="9" t="s">
        <v>25</v>
      </c>
      <c r="B20" s="9"/>
      <c r="C20" s="30">
        <v>2</v>
      </c>
      <c r="D20" s="9" t="s">
        <v>26</v>
      </c>
      <c r="E20" s="9" t="s">
        <v>55</v>
      </c>
      <c r="F20" s="9">
        <v>160</v>
      </c>
      <c r="G20" s="9" t="s">
        <v>56</v>
      </c>
      <c r="H20" s="44">
        <v>46269</v>
      </c>
      <c r="I20" s="44">
        <v>46269</v>
      </c>
      <c r="J20" s="15" t="str">
        <f>+VLOOKUP(K20,[1]Datos!$A:$C,3,FALSE)</f>
        <v>ROOSEVELT</v>
      </c>
      <c r="K20" s="9">
        <v>339</v>
      </c>
      <c r="L20" s="15" t="str">
        <f>+VLOOKUP(K20,[1]Datos!$A:$C,2,FALSE)</f>
        <v>ANDARIA</v>
      </c>
      <c r="M20" s="9">
        <v>312995</v>
      </c>
      <c r="N20" s="15" t="str">
        <f>+VLOOKUP(M20,[1]Datos!$F:$G,2,FALSE)</f>
        <v>Cristian Esleiter Zuleta Batres</v>
      </c>
      <c r="O20" s="17">
        <f>IFERROR(IF(A20="SI",VLOOKUP(R20,[1]Datos!$J$1:$K$50,2,FALSE)*C20,VLOOKUP(R20,[1]Datos!$P$1:$T$13,2,FALSE)*C20),0)</f>
        <v>2016</v>
      </c>
      <c r="P20" s="30">
        <v>308263</v>
      </c>
      <c r="Q20" s="15" t="str">
        <f>+VLOOKUP(P20,[1]Datos!$F:$G,2,FALSE)</f>
        <v>Oscar Eduardo Xoyon Gomez</v>
      </c>
      <c r="R20" s="9" t="s">
        <v>41</v>
      </c>
      <c r="T20" s="11" t="e">
        <f>IF(VLOOKUP(M20,'[1]COLABORADORES UN'!$A:$A,1,FALSE),"Colaborador UN","NO")</f>
        <v>#N/A</v>
      </c>
      <c r="V20" s="11">
        <f t="shared" si="0"/>
        <v>1</v>
      </c>
      <c r="W20" s="11">
        <f>+VLOOKUP(M20,[1]Datos!$F:$H,3,FALSE)</f>
        <v>0</v>
      </c>
      <c r="X20" s="11">
        <v>0</v>
      </c>
      <c r="Y20" s="42"/>
      <c r="Z20" s="11" t="e">
        <f>VLOOKUP(M20,'[2]INDIVIDUAL UN'!$C$6:$F$222,4,FALSE)</f>
        <v>#N/A</v>
      </c>
      <c r="AA20" s="13"/>
    </row>
    <row r="21" spans="1:27" ht="22" hidden="1" customHeight="1" x14ac:dyDescent="0.35">
      <c r="A21" s="9" t="s">
        <v>25</v>
      </c>
      <c r="B21" s="9"/>
      <c r="C21" s="10">
        <v>1</v>
      </c>
      <c r="D21" s="11" t="s">
        <v>26</v>
      </c>
      <c r="E21" s="13" t="s">
        <v>27</v>
      </c>
      <c r="F21" s="11">
        <v>4236</v>
      </c>
      <c r="G21" s="13" t="s">
        <v>57</v>
      </c>
      <c r="H21" s="44">
        <v>46269</v>
      </c>
      <c r="I21" s="14">
        <v>46268</v>
      </c>
      <c r="J21" s="15" t="str">
        <f>+VLOOKUP(K21,[1]Datos!$A:$C,3,FALSE)</f>
        <v>ROOSEVELT</v>
      </c>
      <c r="K21" s="13">
        <v>351</v>
      </c>
      <c r="L21" s="15" t="str">
        <f>+VLOOKUP(K21,[1]Datos!$A:$C,2,FALSE)</f>
        <v xml:space="preserve">EL PARADOR ANTIGUA </v>
      </c>
      <c r="M21" s="41">
        <v>90035281</v>
      </c>
      <c r="N21" s="15" t="str">
        <f>+VLOOKUP(M21,[1]Datos!$F:$G,2,FALSE)</f>
        <v>LILIANA MARIA NAVAS GONZALEZ</v>
      </c>
      <c r="O21" s="17">
        <f>IFERROR(IF(A21="SI",VLOOKUP(R21,[1]Datos!$J$1:$K$50,2,FALSE)*C21,VLOOKUP(R21,[1]Datos!$P$1:$T$13,2,FALSE)*C21),0)</f>
        <v>816</v>
      </c>
      <c r="P21" s="18">
        <v>309415</v>
      </c>
      <c r="Q21" s="15" t="str">
        <f>+VLOOKUP(P21,[1]Datos!$F:$G,2,FALSE)</f>
        <v>Angel Jose Figueroa Garcia</v>
      </c>
      <c r="R21" s="9" t="s">
        <v>29</v>
      </c>
      <c r="S21" s="11"/>
      <c r="T21" s="11" t="e">
        <f>IF(VLOOKUP(M21,'[1]COLABORADORES UN'!$A:$A,1,FALSE),"Colaborador UN","NO")</f>
        <v>#N/A</v>
      </c>
      <c r="U21" s="11"/>
      <c r="V21" s="11">
        <f t="shared" si="0"/>
        <v>1</v>
      </c>
      <c r="W21" s="11" t="e">
        <f>+VLOOKUP(#REF!,[1]Datos!$F:$H,3,FALSE)</f>
        <v>#REF!</v>
      </c>
      <c r="X21">
        <v>0</v>
      </c>
      <c r="Y21" s="33"/>
      <c r="Z21" t="e">
        <f>VLOOKUP(#REF!,'[2]INDIVIDUAL UN'!$C$6:$F$222,4,FALSE)</f>
        <v>#REF!</v>
      </c>
      <c r="AA21" s="10"/>
    </row>
    <row r="22" spans="1:27" ht="15" hidden="1" customHeight="1" x14ac:dyDescent="0.35">
      <c r="A22" s="9" t="s">
        <v>25</v>
      </c>
      <c r="B22" s="9"/>
      <c r="C22" s="10">
        <v>2</v>
      </c>
      <c r="D22" s="11" t="s">
        <v>26</v>
      </c>
      <c r="E22" s="12" t="s">
        <v>58</v>
      </c>
      <c r="F22" s="11">
        <v>1116</v>
      </c>
      <c r="G22" s="13" t="s">
        <v>59</v>
      </c>
      <c r="H22" s="14">
        <f ca="1">TODAY()</f>
        <v>46286</v>
      </c>
      <c r="I22" s="14">
        <v>46268</v>
      </c>
      <c r="J22" s="15" t="str">
        <f>+VLOOKUP(K22,[1]Datos!$A:$C,3,FALSE)</f>
        <v>ROOSEVELT</v>
      </c>
      <c r="K22" s="13">
        <v>260</v>
      </c>
      <c r="L22" s="15" t="str">
        <f>+VLOOKUP(K22,[1]Datos!$A:$C,2,FALSE)</f>
        <v>ANTIGUA LOS ENCINOS</v>
      </c>
      <c r="M22" s="16">
        <v>315275</v>
      </c>
      <c r="N22" s="15" t="str">
        <f>+VLOOKUP(M22,[1]Datos!$F:$G,2,FALSE)</f>
        <v>Juana Del Carmen Arias Lopez</v>
      </c>
      <c r="O22" s="17">
        <f>IFERROR(IF(A22="SI",VLOOKUP(R22,[1]Datos!$J$1:$K$50,2,FALSE)*C22,VLOOKUP(R22,[1]Datos!$P$1:$T$13,2,FALSE)*C22),0)</f>
        <v>1632</v>
      </c>
      <c r="P22" s="18">
        <v>310923</v>
      </c>
      <c r="Q22" s="15" t="str">
        <f>+VLOOKUP(P22,[1]Datos!$F:$G,2,FALSE)</f>
        <v>Luis Fernando Lopez Lopez</v>
      </c>
      <c r="R22" s="9" t="s">
        <v>29</v>
      </c>
      <c r="S22" s="11"/>
      <c r="T22" s="11" t="e">
        <f>IF(VLOOKUP(M22,'[1]COLABORADORES UN'!$A:$A,1,FALSE),"Colaborador UN","NO")</f>
        <v>#N/A</v>
      </c>
      <c r="U22" s="11"/>
      <c r="V22" s="11">
        <f t="shared" si="0"/>
        <v>1</v>
      </c>
      <c r="W22" s="11">
        <f>+VLOOKUP(M22,[1]Datos!$F:$H,3,FALSE)</f>
        <v>0</v>
      </c>
      <c r="X22">
        <v>0</v>
      </c>
      <c r="Y22" s="33"/>
      <c r="Z22" t="e">
        <f>VLOOKUP(M22,'[2]INDIVIDUAL UN'!$C$6:$F$222,4,FALSE)</f>
        <v>#N/A</v>
      </c>
      <c r="AA22" s="10"/>
    </row>
    <row r="23" spans="1:27" s="48" customFormat="1" ht="24.5" hidden="1" customHeight="1" x14ac:dyDescent="0.4">
      <c r="A23" s="9" t="s">
        <v>25</v>
      </c>
      <c r="B23" s="9"/>
      <c r="C23" s="10">
        <v>4</v>
      </c>
      <c r="D23" s="11" t="s">
        <v>26</v>
      </c>
      <c r="E23" s="12" t="s">
        <v>45</v>
      </c>
      <c r="F23" s="11">
        <v>639</v>
      </c>
      <c r="G23" s="13" t="s">
        <v>60</v>
      </c>
      <c r="H23" s="14">
        <f ca="1">TODAY()</f>
        <v>46286</v>
      </c>
      <c r="I23" s="14">
        <v>46268</v>
      </c>
      <c r="J23" s="15" t="str">
        <f>+VLOOKUP(K23,[1]Datos!$A:$C,3,FALSE)</f>
        <v>ROOSEVELT</v>
      </c>
      <c r="K23" s="13">
        <v>260</v>
      </c>
      <c r="L23" s="15" t="str">
        <f>+VLOOKUP(K23,[1]Datos!$A:$C,2,FALSE)</f>
        <v>ANTIGUA LOS ENCINOS</v>
      </c>
      <c r="M23" s="16">
        <v>316334</v>
      </c>
      <c r="N23" s="15" t="str">
        <f>+VLOOKUP(M23,[1]Datos!$F:$G,2,FALSE)</f>
        <v>JACKELINE FERNANDA PEREZ JUAREZ</v>
      </c>
      <c r="O23" s="17">
        <f>IFERROR(IF(A23="SI",VLOOKUP(R23,[1]Datos!$J$1:$K$50,2,FALSE)*C23,VLOOKUP(R23,[1]Datos!$P$1:$T$13,2,FALSE)*C23),0)</f>
        <v>3264</v>
      </c>
      <c r="P23" s="18">
        <v>310923</v>
      </c>
      <c r="Q23" s="15" t="str">
        <f>+VLOOKUP(P23,[1]Datos!$F:$G,2,FALSE)</f>
        <v>Luis Fernando Lopez Lopez</v>
      </c>
      <c r="R23" s="9" t="s">
        <v>29</v>
      </c>
      <c r="S23" s="11"/>
      <c r="T23" s="47" t="e">
        <f>IF(VLOOKUP(M23,'[1]COLABORADORES UN'!$A:$A,1,FALSE),"Colaborador UN","NO")</f>
        <v>#N/A</v>
      </c>
      <c r="U23" s="47"/>
      <c r="V23" s="47">
        <f t="shared" si="0"/>
        <v>1</v>
      </c>
      <c r="W23" s="47">
        <f>+VLOOKUP(M23,[1]Datos!$F:$H,3,FALSE)</f>
        <v>0</v>
      </c>
      <c r="X23" s="48">
        <v>0</v>
      </c>
      <c r="Y23" s="49"/>
      <c r="Z23" s="48" t="e">
        <f>VLOOKUP(M23,'[2]INDIVIDUAL UN'!$C$6:$F$222,4,FALSE)</f>
        <v>#N/A</v>
      </c>
      <c r="AA23" s="50"/>
    </row>
    <row r="24" spans="1:27" ht="14.5" hidden="1" customHeight="1" x14ac:dyDescent="0.45">
      <c r="A24" s="9" t="s">
        <v>25</v>
      </c>
      <c r="B24" s="9"/>
      <c r="C24" s="10">
        <v>1</v>
      </c>
      <c r="D24" s="11" t="s">
        <v>26</v>
      </c>
      <c r="E24" s="13" t="s">
        <v>27</v>
      </c>
      <c r="F24" s="11">
        <v>4256</v>
      </c>
      <c r="G24" s="13" t="s">
        <v>61</v>
      </c>
      <c r="H24" s="14">
        <f ca="1">TODAY()</f>
        <v>46286</v>
      </c>
      <c r="I24" s="14">
        <v>46269</v>
      </c>
      <c r="J24" s="15" t="str">
        <f>+VLOOKUP(K24,[1]Datos!$A:$C,3,FALSE)</f>
        <v>ROOSEVELT</v>
      </c>
      <c r="K24" s="13">
        <v>357</v>
      </c>
      <c r="L24" s="15" t="str">
        <f>+VLOOKUP(K24,[1]Datos!$A:$C,2,FALSE)</f>
        <v xml:space="preserve"> PASEO ANTIGUA</v>
      </c>
      <c r="M24" s="41">
        <v>101866</v>
      </c>
      <c r="N24" s="15" t="str">
        <f>+VLOOKUP(M24,[1]Datos!$F:$G,2,FALSE)</f>
        <v>Mirna Violeta Carrillo Gonzalez</v>
      </c>
      <c r="O24" s="17">
        <f>IFERROR(IF(A24="SI",VLOOKUP(R24,[1]Datos!$J$1:$K$50,2,FALSE)*C24,VLOOKUP(R24,[1]Datos!$P$1:$T$13,2,FALSE)*C24),0)</f>
        <v>816</v>
      </c>
      <c r="P24" s="45">
        <v>309765</v>
      </c>
      <c r="Q24" s="15" t="str">
        <f>+VLOOKUP(P24,[1]Datos!$F:$G,2,FALSE)</f>
        <v>Jose Luis Velasquez Miche</v>
      </c>
      <c r="R24" s="9" t="s">
        <v>29</v>
      </c>
      <c r="S24" s="11"/>
      <c r="T24" s="11" t="e">
        <f>IF(VLOOKUP(M24,'[1]COLABORADORES UN'!$A:$A,1,FALSE),"Colaborador UN","NO")</f>
        <v>#N/A</v>
      </c>
      <c r="U24" s="11"/>
      <c r="V24" s="11">
        <f t="shared" si="0"/>
        <v>1</v>
      </c>
      <c r="W24" s="11">
        <f>+VLOOKUP(M24,[1]Datos!$F:$H,3,FALSE)</f>
        <v>0</v>
      </c>
      <c r="X24">
        <v>0</v>
      </c>
      <c r="Y24" s="33"/>
      <c r="Z24" t="e">
        <f>VLOOKUP(M24,'[2]INDIVIDUAL UN'!$C$6:$F$222,4,FALSE)</f>
        <v>#N/A</v>
      </c>
      <c r="AA24" s="10"/>
    </row>
    <row r="25" spans="1:27" ht="12.5" hidden="1" customHeight="1" x14ac:dyDescent="0.35">
      <c r="A25" s="9" t="s">
        <v>25</v>
      </c>
      <c r="B25" s="9"/>
      <c r="C25">
        <v>3</v>
      </c>
      <c r="D25" s="11" t="s">
        <v>26</v>
      </c>
      <c r="E25" s="11" t="s">
        <v>62</v>
      </c>
      <c r="F25" s="11">
        <v>608</v>
      </c>
      <c r="G25" s="11" t="s">
        <v>63</v>
      </c>
      <c r="H25" s="29">
        <f ca="1">TODAY()</f>
        <v>46286</v>
      </c>
      <c r="I25" s="29">
        <v>46270</v>
      </c>
      <c r="J25" s="15" t="str">
        <f>+VLOOKUP(K25,[1]Datos!$A:$C,3,FALSE)</f>
        <v>ROOSEVELT</v>
      </c>
      <c r="K25" s="11">
        <v>69</v>
      </c>
      <c r="L25" s="15" t="str">
        <f>+VLOOKUP(K25,[1]Datos!$A:$C,2,FALSE)</f>
        <v>PERI-ROOSEVELT</v>
      </c>
      <c r="M25" s="11">
        <v>310599</v>
      </c>
      <c r="N25" s="15" t="str">
        <f>+VLOOKUP(M25,[1]Datos!$F:$G,2,FALSE)</f>
        <v>Sheila Nineth Mendez Lopez</v>
      </c>
      <c r="O25" s="17">
        <f>IFERROR(IF(A25="SI",VLOOKUP(R25,[1]Datos!$J$1:$K$50,2,FALSE)*C25,VLOOKUP(R25,[1]Datos!$P$1:$T$13,2,FALSE)*C25),0)</f>
        <v>2448</v>
      </c>
      <c r="P25" s="8">
        <v>301460</v>
      </c>
      <c r="Q25" s="15" t="str">
        <f>+VLOOKUP(P25,[1]Datos!$F:$G,2,FALSE)</f>
        <v>Sandra Judith Vasquez Fernandez</v>
      </c>
      <c r="R25" s="9" t="s">
        <v>29</v>
      </c>
      <c r="S25" s="11"/>
      <c r="T25" s="11" t="e">
        <f>IF(VLOOKUP(M25,'[1]COLABORADORES UN'!$A:$A,1,FALSE),"Colaborador UN","NO")</f>
        <v>#N/A</v>
      </c>
      <c r="U25" s="11"/>
      <c r="V25" s="11">
        <f t="shared" si="0"/>
        <v>1</v>
      </c>
      <c r="W25" s="11">
        <f>+VLOOKUP(M25,[1]Datos!$F:$H,3,FALSE)</f>
        <v>0</v>
      </c>
      <c r="X25">
        <v>0</v>
      </c>
      <c r="Y25" s="33"/>
      <c r="Z25" t="e">
        <f>VLOOKUP(M25,'[2]INDIVIDUAL UN'!$C$6:$F$222,4,FALSE)</f>
        <v>#N/A</v>
      </c>
      <c r="AA25" s="10"/>
    </row>
    <row r="26" spans="1:27" s="53" customFormat="1" ht="19.5" hidden="1" customHeight="1" x14ac:dyDescent="0.45">
      <c r="A26" s="9" t="s">
        <v>25</v>
      </c>
      <c r="B26" s="51"/>
      <c r="C26" s="28">
        <v>1</v>
      </c>
      <c r="D26" s="11" t="s">
        <v>26</v>
      </c>
      <c r="E26" s="11" t="s">
        <v>64</v>
      </c>
      <c r="F26" s="11">
        <v>2583</v>
      </c>
      <c r="G26" s="11" t="s">
        <v>65</v>
      </c>
      <c r="H26" s="29">
        <v>46271</v>
      </c>
      <c r="I26" s="29">
        <v>46271</v>
      </c>
      <c r="J26" s="52" t="str">
        <f>+VLOOKUP(K26,[1]Datos!$A:$C,3,FALSE)</f>
        <v>ROOSEVELT</v>
      </c>
      <c r="K26" s="11">
        <v>69</v>
      </c>
      <c r="L26" s="52" t="str">
        <f>+VLOOKUP(K26,[1]Datos!$A:$C,2,FALSE)</f>
        <v>PERI-ROOSEVELT</v>
      </c>
      <c r="M26" s="46">
        <v>90086931</v>
      </c>
      <c r="N26" s="52" t="str">
        <f>+VLOOKUP(M26,[1]Datos!$F:$G,2,FALSE)</f>
        <v>ANGELA CALAN</v>
      </c>
      <c r="O26" s="17">
        <f>IFERROR(IF(A26="SI",VLOOKUP(R26,[1]Datos!$J$1:$K$50,2,FALSE)*C26,VLOOKUP(R26,[1]Datos!$P$1:$T$13,2,FALSE)*C26),0)</f>
        <v>1008</v>
      </c>
      <c r="P26" s="8">
        <v>311419</v>
      </c>
      <c r="Q26" s="52" t="str">
        <f>+VLOOKUP(P26,[1]Datos!$F:$G,2,FALSE)</f>
        <v>Hallari Michel Orozco Chapen</v>
      </c>
      <c r="R26" s="51" t="s">
        <v>41</v>
      </c>
      <c r="S26" s="11"/>
      <c r="T26" s="11" t="e">
        <f>IF(VLOOKUP(M26,'[1]COLABORADORES UN'!$A:$A,1,FALSE),"Colaborador UN","NO")</f>
        <v>#N/A</v>
      </c>
      <c r="V26" s="11">
        <f t="shared" si="0"/>
        <v>1</v>
      </c>
      <c r="W26" s="53">
        <f>+VLOOKUP(M26,[1]Datos!$F:$H,3,FALSE)</f>
        <v>0</v>
      </c>
      <c r="X26" s="53">
        <v>0</v>
      </c>
      <c r="Y26" s="54"/>
      <c r="Z26" s="53" t="e">
        <f>VLOOKUP(M26,'[2]INDIVIDUAL UN'!$C$6:$F$222,4,FALSE)</f>
        <v>#N/A</v>
      </c>
      <c r="AA26" s="14"/>
    </row>
    <row r="27" spans="1:27" ht="14.5" hidden="1" customHeight="1" x14ac:dyDescent="0.45">
      <c r="A27" s="9" t="s">
        <v>25</v>
      </c>
      <c r="B27" s="9"/>
      <c r="C27" s="28">
        <v>2</v>
      </c>
      <c r="D27" s="11" t="s">
        <v>26</v>
      </c>
      <c r="E27" s="11" t="s">
        <v>30</v>
      </c>
      <c r="F27" s="11">
        <v>1157</v>
      </c>
      <c r="G27" s="29" t="s">
        <v>66</v>
      </c>
      <c r="H27" s="29">
        <v>46271</v>
      </c>
      <c r="I27" s="55">
        <v>46271</v>
      </c>
      <c r="J27" s="15" t="str">
        <f>+VLOOKUP(K27,[1]Datos!$A:$C,3,FALSE)</f>
        <v>ROOSEVELT</v>
      </c>
      <c r="K27" s="11">
        <v>69</v>
      </c>
      <c r="L27" s="15" t="str">
        <f>+VLOOKUP(K27,[1]Datos!$A:$C,2,FALSE)</f>
        <v>PERI-ROOSEVELT</v>
      </c>
      <c r="M27" s="46">
        <v>90086931</v>
      </c>
      <c r="N27" s="15" t="str">
        <f>+VLOOKUP(M27,[1]Datos!$F:$G,2,FALSE)</f>
        <v>ANGELA CALAN</v>
      </c>
      <c r="O27" s="17">
        <f>IFERROR(IF(A27="SI",VLOOKUP(R27,[1]Datos!$J$1:$K$50,2,FALSE)*C27,VLOOKUP(R27,[1]Datos!$P$1:$T$13,2,FALSE)*C27),0)</f>
        <v>1632</v>
      </c>
      <c r="P27" s="8">
        <v>311419</v>
      </c>
      <c r="Q27" s="15" t="str">
        <f>+VLOOKUP(P27,[1]Datos!$F:$G,2,FALSE)</f>
        <v>Hallari Michel Orozco Chapen</v>
      </c>
      <c r="R27" s="9" t="s">
        <v>29</v>
      </c>
      <c r="S27" s="11"/>
      <c r="T27" s="11" t="e">
        <f>IF(VLOOKUP(M27,'[1]COLABORADORES UN'!$A:$A,1,FALSE),"Colaborador UN","NO")</f>
        <v>#N/A</v>
      </c>
      <c r="U27" s="11"/>
      <c r="V27" s="11">
        <f t="shared" si="0"/>
        <v>1</v>
      </c>
      <c r="W27" s="11">
        <f>+VLOOKUP(M27,[1]Datos!$F:$H,3,FALSE)</f>
        <v>0</v>
      </c>
      <c r="X27">
        <v>0</v>
      </c>
      <c r="Y27" s="33"/>
      <c r="Z27" t="e">
        <f>VLOOKUP(M27,'[2]INDIVIDUAL UN'!$C$6:$F$222,4,FALSE)</f>
        <v>#N/A</v>
      </c>
      <c r="AA27" s="10"/>
    </row>
    <row r="28" spans="1:27" s="11" customFormat="1" ht="15" hidden="1" customHeight="1" x14ac:dyDescent="0.45">
      <c r="A28" s="9" t="s">
        <v>25</v>
      </c>
      <c r="B28" s="9"/>
      <c r="C28" s="28">
        <v>1</v>
      </c>
      <c r="D28" s="11" t="s">
        <v>26</v>
      </c>
      <c r="E28" s="11" t="s">
        <v>27</v>
      </c>
      <c r="F28" s="56">
        <v>4266</v>
      </c>
      <c r="G28" s="29" t="s">
        <v>67</v>
      </c>
      <c r="H28" s="29">
        <v>46271</v>
      </c>
      <c r="I28" s="57">
        <v>46269</v>
      </c>
      <c r="J28" s="15" t="str">
        <f>+VLOOKUP(K28,[1]Datos!$A:$C,3,FALSE)</f>
        <v>ROOSEVELT</v>
      </c>
      <c r="K28" s="11">
        <v>69</v>
      </c>
      <c r="L28" s="15" t="str">
        <f>+VLOOKUP(K28,[1]Datos!$A:$C,2,FALSE)</f>
        <v>PERI-ROOSEVELT</v>
      </c>
      <c r="M28" s="46">
        <v>90086931</v>
      </c>
      <c r="N28" s="15" t="str">
        <f>+VLOOKUP(M28,[1]Datos!$F:$G,2,FALSE)</f>
        <v>ANGELA CALAN</v>
      </c>
      <c r="O28" s="17">
        <f>IFERROR(IF(A28="SI",VLOOKUP(R28,[1]Datos!$J$1:$K$50,2,FALSE)*C28,VLOOKUP(R28,[1]Datos!$P$1:$T$13,2,FALSE)*C28),0)</f>
        <v>816</v>
      </c>
      <c r="P28" s="8">
        <v>311419</v>
      </c>
      <c r="Q28" s="15" t="str">
        <f>+VLOOKUP(P28,[1]Datos!$F:$G,2,FALSE)</f>
        <v>Hallari Michel Orozco Chapen</v>
      </c>
      <c r="R28" s="9" t="s">
        <v>29</v>
      </c>
      <c r="T28" s="11" t="e">
        <f>IF(VLOOKUP(M28,'[1]COLABORADORES UN'!$A:$A,1,FALSE),"Colaborador UN","NO")</f>
        <v>#N/A</v>
      </c>
      <c r="V28" s="11">
        <f t="shared" si="0"/>
        <v>1</v>
      </c>
      <c r="W28" s="11">
        <f>+VLOOKUP(M28,[1]Datos!$F:$H,3,FALSE)</f>
        <v>0</v>
      </c>
      <c r="X28" s="28">
        <v>0</v>
      </c>
      <c r="Y28" s="58"/>
      <c r="Z28" s="11" t="e">
        <f>VLOOKUP(M28,'[2]INDIVIDUAL UN'!$C$6:$F$222,4,FALSE)</f>
        <v>#N/A</v>
      </c>
      <c r="AA28" s="13"/>
    </row>
    <row r="29" spans="1:27" ht="17.5" hidden="1" customHeight="1" x14ac:dyDescent="0.35">
      <c r="A29" s="9" t="s">
        <v>25</v>
      </c>
      <c r="B29" s="9"/>
      <c r="C29" s="28">
        <v>1</v>
      </c>
      <c r="D29" s="11" t="s">
        <v>26</v>
      </c>
      <c r="E29" s="11" t="s">
        <v>27</v>
      </c>
      <c r="F29" s="11">
        <v>4313</v>
      </c>
      <c r="G29" s="11" t="s">
        <v>68</v>
      </c>
      <c r="H29" s="29">
        <v>46271</v>
      </c>
      <c r="I29" s="57">
        <v>46269</v>
      </c>
      <c r="J29" s="15" t="str">
        <f>+VLOOKUP(K29,[1]Datos!$A:$C,3,FALSE)</f>
        <v>ROOSEVELT</v>
      </c>
      <c r="K29" s="13">
        <v>37</v>
      </c>
      <c r="L29" s="15" t="str">
        <f>+VLOOKUP(K29,[1]Datos!$A:$C,2,FALSE)</f>
        <v>SAN JUAN SACATEPEQUEZ</v>
      </c>
      <c r="M29" s="11">
        <v>90084038</v>
      </c>
      <c r="N29" s="15" t="str">
        <f>+VLOOKUP(M29,[1]Datos!$F:$G,2,FALSE)</f>
        <v>LILIAN NOHEMI GONZALEZ GALICIA</v>
      </c>
      <c r="O29" s="17">
        <f>IFERROR(IF(A29="SI",VLOOKUP(R29,[1]Datos!$J$1:$K$50,2,FALSE)*C29,VLOOKUP(R29,[1]Datos!$P$1:$T$13,2,FALSE)*C29),0)</f>
        <v>1368</v>
      </c>
      <c r="P29" s="24">
        <v>312835</v>
      </c>
      <c r="Q29" s="15" t="str">
        <f>+VLOOKUP(P29,[1]Datos!$F:$G,2,FALSE)</f>
        <v>Manuel Estuardo Arriaga Garcia</v>
      </c>
      <c r="R29" s="9" t="s">
        <v>69</v>
      </c>
      <c r="S29" s="11"/>
      <c r="T29" s="11" t="e">
        <f>IF(VLOOKUP(M29,'[1]COLABORADORES UN'!$A:$A,1,FALSE),"Colaborador UN","NO")</f>
        <v>#N/A</v>
      </c>
      <c r="U29" s="11"/>
      <c r="V29" s="11">
        <f t="shared" si="0"/>
        <v>1</v>
      </c>
      <c r="W29" s="11">
        <f>+VLOOKUP(M29,[1]Datos!$F:$H,3,FALSE)</f>
        <v>0</v>
      </c>
      <c r="X29">
        <v>0</v>
      </c>
      <c r="Y29" s="33"/>
      <c r="Z29" t="e">
        <f>VLOOKUP(M29,'[2]INDIVIDUAL UN'!$C$6:$F$222,4,FALSE)</f>
        <v>#N/A</v>
      </c>
      <c r="AA29" s="10"/>
    </row>
    <row r="30" spans="1:27" s="11" customFormat="1" ht="16.5" hidden="1" x14ac:dyDescent="0.45">
      <c r="A30" s="9" t="s">
        <v>25</v>
      </c>
      <c r="B30" s="9"/>
      <c r="C30">
        <v>2</v>
      </c>
      <c r="D30" s="11" t="s">
        <v>26</v>
      </c>
      <c r="E30" s="11" t="s">
        <v>30</v>
      </c>
      <c r="F30" s="11">
        <v>1151</v>
      </c>
      <c r="G30" s="37" t="s">
        <v>70</v>
      </c>
      <c r="H30" s="29">
        <v>46272</v>
      </c>
      <c r="I30" s="29">
        <v>46270</v>
      </c>
      <c r="J30" s="11" t="s">
        <v>71</v>
      </c>
      <c r="K30" s="11">
        <v>252</v>
      </c>
      <c r="L30" s="15" t="str">
        <f>+VLOOKUP(K30,[1]Datos!$A:$C,2,FALSE)</f>
        <v>ESKALA ROOSEVELT</v>
      </c>
      <c r="M30" s="46">
        <v>315564</v>
      </c>
      <c r="N30" s="15" t="str">
        <f>+VLOOKUP(M30,[1]Datos!$F:$G,2,FALSE)</f>
        <v>Esvin Rolando Orozco Mulul</v>
      </c>
      <c r="O30" s="17">
        <f>IFERROR(IF(A30="SI",VLOOKUP(R30,[1]Datos!$J$1:$K$50,2,FALSE)*C30,VLOOKUP(R30,[1]Datos!$P$1:$T$13,2,FALSE)*C30),0)</f>
        <v>2736</v>
      </c>
      <c r="P30" s="8">
        <v>300544</v>
      </c>
      <c r="Q30" s="15" t="str">
        <f>+VLOOKUP(P30,[1]Datos!$F:$G,2,FALSE)</f>
        <v>Abner Enmanuel Perez Rodriguez</v>
      </c>
      <c r="R30" s="9" t="s">
        <v>69</v>
      </c>
      <c r="T30" s="11" t="e">
        <f>IF(VLOOKUP(M30,'[1]COLABORADORES UN'!$A:$A,1,FALSE),"Colaborador UN","NO")</f>
        <v>#N/A</v>
      </c>
      <c r="V30" s="11">
        <f t="shared" si="0"/>
        <v>1</v>
      </c>
      <c r="W30" s="11">
        <f>+VLOOKUP(M30,[1]Datos!$F:$H,3,FALSE)</f>
        <v>0</v>
      </c>
      <c r="X30" s="11">
        <v>0</v>
      </c>
      <c r="Y30" s="42"/>
      <c r="Z30" s="11" t="e">
        <f>VLOOKUP(M30,'[2]INDIVIDUAL UN'!$C$6:$F$222,4,FALSE)</f>
        <v>#N/A</v>
      </c>
      <c r="AA30" s="13"/>
    </row>
    <row r="31" spans="1:27" ht="17" hidden="1" customHeight="1" x14ac:dyDescent="0.35">
      <c r="A31" s="9" t="s">
        <v>25</v>
      </c>
      <c r="B31" s="9"/>
      <c r="C31">
        <v>2</v>
      </c>
      <c r="D31" s="11" t="s">
        <v>26</v>
      </c>
      <c r="E31" s="11" t="s">
        <v>72</v>
      </c>
      <c r="F31" s="11">
        <v>1</v>
      </c>
      <c r="G31" s="11" t="s">
        <v>73</v>
      </c>
      <c r="H31" s="29">
        <v>46272</v>
      </c>
      <c r="I31" s="29">
        <v>46268</v>
      </c>
      <c r="J31" s="15" t="str">
        <f>+VLOOKUP(K31,[1]Datos!$A:$C,3,FALSE)</f>
        <v>ROOSEVELT</v>
      </c>
      <c r="K31" s="11">
        <v>69</v>
      </c>
      <c r="L31" s="15" t="str">
        <f>+VLOOKUP(K31,[1]Datos!$A:$C,2,FALSE)</f>
        <v>PERI-ROOSEVELT</v>
      </c>
      <c r="M31" s="11">
        <v>90087641</v>
      </c>
      <c r="N31" s="15" t="str">
        <f>+VLOOKUP(M31,[1]Datos!$F:$G,2,FALSE)</f>
        <v>JUAN DAVID CASTELLANOS AJCU</v>
      </c>
      <c r="O31" s="17">
        <f>IFERROR(IF(A31="SI",VLOOKUP(R31,[1]Datos!$J$1:$K$50,2,FALSE)*C31,VLOOKUP(R31,[1]Datos!$P$1:$T$13,2,FALSE)*C31),0)</f>
        <v>4104</v>
      </c>
      <c r="P31" s="59">
        <v>301460</v>
      </c>
      <c r="Q31" s="15" t="str">
        <f>+VLOOKUP(P31,[1]Datos!$F:$G,2,FALSE)</f>
        <v>Sandra Judith Vasquez Fernandez</v>
      </c>
      <c r="R31" s="9" t="s">
        <v>74</v>
      </c>
      <c r="S31" s="11"/>
      <c r="T31" s="11" t="e">
        <f>IF(VLOOKUP(M31,'[1]COLABORADORES UN'!$A:$A,1,FALSE),"Colaborador UN","NO")</f>
        <v>#N/A</v>
      </c>
      <c r="U31" s="11"/>
      <c r="V31" s="11">
        <f t="shared" si="0"/>
        <v>1</v>
      </c>
      <c r="W31" s="11">
        <f>+VLOOKUP(M31,[1]Datos!$F:$H,3,FALSE)</f>
        <v>0</v>
      </c>
      <c r="X31">
        <v>0</v>
      </c>
      <c r="Y31" s="33"/>
      <c r="Z31" t="e">
        <f>VLOOKUP(M31,'[2]INDIVIDUAL UN'!$C$6:$F$222,4,FALSE)</f>
        <v>#N/A</v>
      </c>
      <c r="AA31" s="10"/>
    </row>
    <row r="32" spans="1:27" s="64" customFormat="1" ht="15.5" hidden="1" customHeight="1" x14ac:dyDescent="0.4">
      <c r="A32" s="9" t="s">
        <v>25</v>
      </c>
      <c r="B32" s="9"/>
      <c r="C32">
        <v>1</v>
      </c>
      <c r="D32" s="11" t="s">
        <v>26</v>
      </c>
      <c r="E32" s="60" t="s">
        <v>27</v>
      </c>
      <c r="F32" s="11">
        <v>4342</v>
      </c>
      <c r="G32" s="11" t="s">
        <v>75</v>
      </c>
      <c r="H32" s="29">
        <v>46272</v>
      </c>
      <c r="I32" s="29">
        <v>46269</v>
      </c>
      <c r="J32" s="61" t="str">
        <f>+VLOOKUP(K32,[1]Datos!$A:$C,3,FALSE)</f>
        <v>ROOSEVELT</v>
      </c>
      <c r="K32" s="13">
        <v>200</v>
      </c>
      <c r="L32" s="61" t="str">
        <f>+VLOOKUP(K32,[1]Datos!$A:$C,2,FALSE)</f>
        <v>GALERIAS MIRAFLORES</v>
      </c>
      <c r="M32" s="11">
        <v>90082795</v>
      </c>
      <c r="N32" s="61" t="str">
        <f>+VLOOKUP(M32,[1]Datos!$F:$G,2,FALSE)</f>
        <v>EVELIN RUBI TOBAR DEL CID</v>
      </c>
      <c r="O32" s="62">
        <f>IFERROR(IF(A32="SI",VLOOKUP(R32,[1]Datos!$J$1:$K$50,2,FALSE)*C32,VLOOKUP(R32,[1]Datos!$P$1:$T$13,2,FALSE)*C32),0)</f>
        <v>816</v>
      </c>
      <c r="P32" s="8">
        <v>315173</v>
      </c>
      <c r="Q32" s="61" t="str">
        <f>+VLOOKUP(P32,[1]Datos!$F:$G,2,FALSE)</f>
        <v>Jorge Luis Morales Lopez</v>
      </c>
      <c r="R32" s="61" t="s">
        <v>29</v>
      </c>
      <c r="S32" s="63"/>
      <c r="T32" s="63" t="e">
        <f>IF(VLOOKUP(M32,'[1]COLABORADORES UN'!$A:$A,1,FALSE),"Colaborador UN","NO")</f>
        <v>#N/A</v>
      </c>
      <c r="U32" s="63"/>
      <c r="V32" s="63">
        <f t="shared" si="0"/>
        <v>1</v>
      </c>
      <c r="W32" s="63">
        <f>+VLOOKUP(M32,[1]Datos!$F:$H,3,FALSE)</f>
        <v>0</v>
      </c>
      <c r="X32" s="64">
        <v>0</v>
      </c>
      <c r="Y32" s="65"/>
      <c r="Z32" s="64" t="e">
        <f>VLOOKUP(M32,'[2]INDIVIDUAL UN'!$C$6:$F$222,4,FALSE)</f>
        <v>#N/A</v>
      </c>
      <c r="AA32" s="10"/>
    </row>
    <row r="33" spans="1:27" s="11" customFormat="1" ht="19.5" hidden="1" customHeight="1" x14ac:dyDescent="0.35">
      <c r="A33" s="9" t="s">
        <v>25</v>
      </c>
      <c r="B33" s="9"/>
      <c r="C33" s="10">
        <v>4</v>
      </c>
      <c r="D33" s="11" t="s">
        <v>26</v>
      </c>
      <c r="E33" s="12" t="s">
        <v>45</v>
      </c>
      <c r="F33" s="11">
        <v>672</v>
      </c>
      <c r="G33" s="13" t="s">
        <v>76</v>
      </c>
      <c r="H33" s="14">
        <f ca="1">TODAY()</f>
        <v>46286</v>
      </c>
      <c r="I33" s="14">
        <v>46272</v>
      </c>
      <c r="J33" s="15" t="str">
        <f>+VLOOKUP(K33,[1]Datos!$A:$C,3,FALSE)</f>
        <v>ROOSEVELT</v>
      </c>
      <c r="K33" s="13">
        <v>260</v>
      </c>
      <c r="L33" s="15" t="str">
        <f>+VLOOKUP(K33,[1]Datos!$A:$C,2,FALSE)</f>
        <v>ANTIGUA LOS ENCINOS</v>
      </c>
      <c r="M33" s="16">
        <v>315275</v>
      </c>
      <c r="N33" s="15" t="str">
        <f>+VLOOKUP(M33,[1]Datos!$F:$G,2,FALSE)</f>
        <v>Juana Del Carmen Arias Lopez</v>
      </c>
      <c r="O33" s="17">
        <f>IFERROR(IF(A33="SI",VLOOKUP(R33,[1]Datos!$J$1:$K$50,2,FALSE)*C33,VLOOKUP(R33,[1]Datos!$P$1:$T$13,2,FALSE)*C33),0)</f>
        <v>10944</v>
      </c>
      <c r="P33" s="18">
        <v>310923</v>
      </c>
      <c r="Q33" s="15" t="str">
        <f>+VLOOKUP(P33,[1]Datos!$F:$G,2,FALSE)</f>
        <v>Luis Fernando Lopez Lopez</v>
      </c>
      <c r="R33" s="9" t="s">
        <v>77</v>
      </c>
      <c r="T33" s="11" t="e">
        <f>IF(VLOOKUP(M33,'[1]COLABORADORES UN'!$A:$A,1,FALSE),"Colaborador UN","NO")</f>
        <v>#N/A</v>
      </c>
      <c r="V33" s="11">
        <f t="shared" si="0"/>
        <v>1</v>
      </c>
      <c r="W33" s="11">
        <f>+VLOOKUP(M33,[1]Datos!$F:$H,3,FALSE)</f>
        <v>0</v>
      </c>
      <c r="X33" s="11">
        <v>0</v>
      </c>
      <c r="Y33" s="58"/>
      <c r="Z33" s="11" t="e">
        <f>VLOOKUP(M33,'[2]INDIVIDUAL UN'!$C$6:$F$222,4,FALSE)</f>
        <v>#N/A</v>
      </c>
      <c r="AA33" s="13"/>
    </row>
    <row r="34" spans="1:27" s="11" customFormat="1" ht="21.5" hidden="1" customHeight="1" x14ac:dyDescent="0.35">
      <c r="A34" s="9" t="s">
        <v>25</v>
      </c>
      <c r="B34" s="9"/>
      <c r="C34">
        <v>1</v>
      </c>
      <c r="D34" s="11" t="s">
        <v>26</v>
      </c>
      <c r="E34" s="11" t="s">
        <v>27</v>
      </c>
      <c r="F34" s="11">
        <v>4318</v>
      </c>
      <c r="G34" s="11" t="s">
        <v>78</v>
      </c>
      <c r="H34" s="29">
        <v>46272</v>
      </c>
      <c r="I34" s="29">
        <v>46272</v>
      </c>
      <c r="J34" s="15" t="str">
        <f>+VLOOKUP(K34,[1]Datos!$A:$C,3,FALSE)</f>
        <v>ROOSEVELT</v>
      </c>
      <c r="K34" s="11">
        <v>127</v>
      </c>
      <c r="L34" s="15" t="str">
        <f>+VLOOKUP(K34,[1]Datos!$A:$C,2,FALSE)</f>
        <v>CHIMALTENANGO 2</v>
      </c>
      <c r="M34" s="11">
        <v>311846</v>
      </c>
      <c r="N34" s="15" t="str">
        <f>+VLOOKUP(M34,[1]Datos!$F:$G,2,FALSE)</f>
        <v>Ricardo Antonio Vasquez Meza</v>
      </c>
      <c r="O34" s="17">
        <f>IFERROR(IF(A34="SI",VLOOKUP(R34,[1]Datos!$J$1:$K$50,2,FALSE)*C34,VLOOKUP(R34,[1]Datos!$P$1:$T$13,2,FALSE)*C34),0)</f>
        <v>816</v>
      </c>
      <c r="P34" s="8">
        <v>306655</v>
      </c>
      <c r="Q34" s="15" t="str">
        <f>+VLOOKUP(P34,[1]Datos!$F:$G,2,FALSE)</f>
        <v>Marvin Alexander Choguix Chex</v>
      </c>
      <c r="R34" s="9" t="s">
        <v>29</v>
      </c>
      <c r="T34" s="11" t="e">
        <f>IF(VLOOKUP(M34,'[1]COLABORADORES UN'!$A:$A,1,FALSE),"Colaborador UN","NO")</f>
        <v>#N/A</v>
      </c>
      <c r="V34" s="11">
        <f t="shared" si="0"/>
        <v>2</v>
      </c>
      <c r="W34" s="11">
        <f>+VLOOKUP(M34,[1]Datos!$F:$H,3,FALSE)</f>
        <v>0</v>
      </c>
      <c r="X34" s="28">
        <v>0</v>
      </c>
      <c r="Y34" s="58"/>
      <c r="Z34" s="11" t="e">
        <f>VLOOKUP(M34,'[2]INDIVIDUAL UN'!$C$6:$F$222,4,FALSE)</f>
        <v>#N/A</v>
      </c>
      <c r="AA34" s="13"/>
    </row>
    <row r="35" spans="1:27" ht="16.5" hidden="1" customHeight="1" x14ac:dyDescent="0.35">
      <c r="A35" s="9" t="s">
        <v>25</v>
      </c>
      <c r="B35" s="9"/>
      <c r="C35">
        <v>2</v>
      </c>
      <c r="D35" s="11" t="s">
        <v>26</v>
      </c>
      <c r="E35" s="11" t="s">
        <v>30</v>
      </c>
      <c r="F35" s="11">
        <v>1162</v>
      </c>
      <c r="G35" s="11" t="s">
        <v>78</v>
      </c>
      <c r="H35" s="29">
        <v>46272</v>
      </c>
      <c r="I35" s="29">
        <v>46272</v>
      </c>
      <c r="J35" s="15" t="str">
        <f>+VLOOKUP(K35,[1]Datos!$A:$C,3,FALSE)</f>
        <v>ROOSEVELT</v>
      </c>
      <c r="K35" s="11">
        <v>127</v>
      </c>
      <c r="L35" s="15" t="str">
        <f>+VLOOKUP(K35,[1]Datos!$A:$C,2,FALSE)</f>
        <v>CHIMALTENANGO 2</v>
      </c>
      <c r="M35" s="11">
        <v>311846</v>
      </c>
      <c r="N35" s="15" t="str">
        <f>+VLOOKUP(M35,[1]Datos!$F:$G,2,FALSE)</f>
        <v>Ricardo Antonio Vasquez Meza</v>
      </c>
      <c r="O35" s="17">
        <f>IFERROR(IF(A35="SI",VLOOKUP(R35,[1]Datos!$J$1:$K$50,2,FALSE)*C35,VLOOKUP(R35,[1]Datos!$P$1:$T$13,2,FALSE)*C35),0)</f>
        <v>1632</v>
      </c>
      <c r="P35" s="8">
        <v>306655</v>
      </c>
      <c r="Q35" s="15" t="str">
        <f>+VLOOKUP(P35,[1]Datos!$F:$G,2,FALSE)</f>
        <v>Marvin Alexander Choguix Chex</v>
      </c>
      <c r="R35" s="9" t="s">
        <v>29</v>
      </c>
      <c r="S35" s="11"/>
      <c r="T35" s="11" t="e">
        <f>IF(VLOOKUP(M35,'[1]COLABORADORES UN'!$A:$A,1,FALSE),"Colaborador UN","NO")</f>
        <v>#N/A</v>
      </c>
      <c r="U35" s="11"/>
      <c r="V35" s="11">
        <f>+COUNTIFS($G$2:$G$425,G36)</f>
        <v>1</v>
      </c>
      <c r="W35" s="11">
        <f>+VLOOKUP(M35,[1]Datos!$F:$H,3,FALSE)</f>
        <v>0</v>
      </c>
      <c r="X35">
        <v>0</v>
      </c>
      <c r="Y35" s="19"/>
      <c r="Z35" t="e">
        <f>VLOOKUP(M35,'[2]INDIVIDUAL UN'!$C$6:$F$222,4,FALSE)</f>
        <v>#N/A</v>
      </c>
    </row>
    <row r="36" spans="1:27" ht="21" hidden="1" customHeight="1" x14ac:dyDescent="0.35">
      <c r="A36" s="9" t="s">
        <v>25</v>
      </c>
      <c r="B36" s="9"/>
      <c r="C36" s="28">
        <v>1</v>
      </c>
      <c r="D36" s="11" t="s">
        <v>26</v>
      </c>
      <c r="E36" s="11" t="s">
        <v>27</v>
      </c>
      <c r="F36" s="11">
        <v>4301</v>
      </c>
      <c r="G36" s="11" t="s">
        <v>79</v>
      </c>
      <c r="H36" s="29">
        <v>46272</v>
      </c>
      <c r="I36" s="29">
        <v>46270</v>
      </c>
      <c r="J36" s="15" t="str">
        <f>+VLOOKUP(K36,[1]Datos!$A:$C,3,FALSE)</f>
        <v>ROOSEVELT</v>
      </c>
      <c r="K36" s="11">
        <v>200</v>
      </c>
      <c r="L36" s="15" t="str">
        <f>+VLOOKUP(K36,[1]Datos!$A:$C,2,FALSE)</f>
        <v>GALERIAS MIRAFLORES</v>
      </c>
      <c r="M36" s="32">
        <v>90086879</v>
      </c>
      <c r="N36" s="15" t="str">
        <f>+VLOOKUP(M36,[1]Datos!$F:$G,2,FALSE)</f>
        <v>GLENDY YOMARA CAN</v>
      </c>
      <c r="O36" s="17">
        <v>1368</v>
      </c>
      <c r="P36" s="8">
        <v>312255</v>
      </c>
      <c r="Q36" s="15" t="str">
        <f>+VLOOKUP(P36,[1]Datos!$F:$G,2,FALSE)</f>
        <v>Jacqueline Mercedes Portuguez Simaj</v>
      </c>
      <c r="R36" s="9" t="s">
        <v>69</v>
      </c>
      <c r="S36" s="11"/>
      <c r="T36" s="11" t="e">
        <f>IF(VLOOKUP(M36,'[1]COLABORADORES UN'!$A:$A,1,FALSE),"Colaborador UN","NO")</f>
        <v>#N/A</v>
      </c>
      <c r="U36" s="11"/>
      <c r="V36" s="11">
        <f>+COUNTIFS($G$2:$G$425,#REF!)</f>
        <v>0</v>
      </c>
      <c r="W36" s="11">
        <f>+VLOOKUP(M36,[1]Datos!$F:$H,3,FALSE)</f>
        <v>0</v>
      </c>
      <c r="X36">
        <v>0</v>
      </c>
      <c r="Y36" s="19"/>
      <c r="Z36" t="e">
        <f>VLOOKUP(M36,'[2]INDIVIDUAL UN'!$C$6:$F$222,4,FALSE)</f>
        <v>#N/A</v>
      </c>
    </row>
    <row r="37" spans="1:27" ht="22" hidden="1" customHeight="1" x14ac:dyDescent="0.35">
      <c r="A37" s="9" t="s">
        <v>25</v>
      </c>
      <c r="B37" s="9"/>
      <c r="C37" s="10">
        <v>1</v>
      </c>
      <c r="D37" s="11" t="s">
        <v>26</v>
      </c>
      <c r="E37" s="13" t="s">
        <v>80</v>
      </c>
      <c r="F37" s="11">
        <v>2939</v>
      </c>
      <c r="G37" s="11" t="s">
        <v>81</v>
      </c>
      <c r="H37" s="14">
        <v>46273</v>
      </c>
      <c r="I37" s="14">
        <v>46273</v>
      </c>
      <c r="J37" s="15" t="str">
        <f>+VLOOKUP(K37,[1]Datos!$A:$C,3,FALSE)</f>
        <v>ROOSEVELT</v>
      </c>
      <c r="K37" s="13">
        <v>357</v>
      </c>
      <c r="L37" s="15" t="str">
        <f>+VLOOKUP(K37,[1]Datos!$A:$C,2,FALSE)</f>
        <v xml:space="preserve"> PASEO ANTIGUA</v>
      </c>
      <c r="M37" s="41">
        <v>314089</v>
      </c>
      <c r="N37" s="15" t="str">
        <f>+VLOOKUP(M37,[1]Datos!$F:$G,2,FALSE)</f>
        <v>Marlin Yesenia Chacon Garcia</v>
      </c>
      <c r="O37" s="17">
        <f>IFERROR(IF(A37="SI",VLOOKUP(R37,[1]Datos!$J$1:$K$50,2,FALSE)*C37,VLOOKUP(R37,[1]Datos!$P$1:$T$13,2,FALSE)*C37),0)</f>
        <v>1428</v>
      </c>
      <c r="P37" s="66">
        <v>309765</v>
      </c>
      <c r="Q37" s="15" t="str">
        <f>+VLOOKUP(P37,[1]Datos!$F:$G,2,FALSE)</f>
        <v>Jose Luis Velasquez Miche</v>
      </c>
      <c r="R37" s="9" t="s">
        <v>82</v>
      </c>
      <c r="S37" s="11"/>
      <c r="T37" s="11" t="e">
        <f>IF(VLOOKUP(M37,'[1]COLABORADORES UN'!$A:$A,1,FALSE),"Colaborador UN","NO")</f>
        <v>#N/A</v>
      </c>
      <c r="U37" s="11"/>
      <c r="V37" s="11">
        <f t="shared" ref="V37:V94" si="1">+COUNTIFS($G$2:$G$425,G37)</f>
        <v>1</v>
      </c>
      <c r="W37" s="11">
        <f>+VLOOKUP(M37,[1]Datos!$F:$H,3,FALSE)</f>
        <v>0</v>
      </c>
      <c r="X37">
        <v>0</v>
      </c>
      <c r="Y37" s="19"/>
      <c r="Z37" t="e">
        <f>VLOOKUP(M37,'[2]INDIVIDUAL UN'!$C$6:$F$222,4,FALSE)</f>
        <v>#N/A</v>
      </c>
    </row>
    <row r="38" spans="1:27" ht="17" hidden="1" customHeight="1" x14ac:dyDescent="0.35">
      <c r="A38" s="9" t="s">
        <v>25</v>
      </c>
      <c r="B38" s="9"/>
      <c r="C38">
        <v>1</v>
      </c>
      <c r="D38" s="11" t="s">
        <v>26</v>
      </c>
      <c r="E38" s="11" t="s">
        <v>27</v>
      </c>
      <c r="F38" s="11">
        <v>4350</v>
      </c>
      <c r="G38" s="11" t="s">
        <v>83</v>
      </c>
      <c r="H38" s="29">
        <v>46273</v>
      </c>
      <c r="I38" s="29">
        <v>46273</v>
      </c>
      <c r="J38" s="15" t="str">
        <f>+VLOOKUP(K38,[1]Datos!$A:$C,3,FALSE)</f>
        <v>ROOSEVELT</v>
      </c>
      <c r="K38" s="11">
        <v>127</v>
      </c>
      <c r="L38" s="15" t="str">
        <f>+VLOOKUP(K38,[1]Datos!$A:$C,2,FALSE)</f>
        <v>CHIMALTENANGO 2</v>
      </c>
      <c r="M38" s="11">
        <v>311846</v>
      </c>
      <c r="N38" s="15" t="str">
        <f>+VLOOKUP(M38,[1]Datos!$F:$G,2,FALSE)</f>
        <v>Ricardo Antonio Vasquez Meza</v>
      </c>
      <c r="O38" s="17">
        <f>IFERROR(IF(A38="SI",VLOOKUP(R38,[1]Datos!$J$1:$K$50,2,FALSE)*C38,VLOOKUP(R38,[1]Datos!$P$1:$T$13,2,FALSE)*C38),0)</f>
        <v>816</v>
      </c>
      <c r="P38" s="8">
        <v>306655</v>
      </c>
      <c r="Q38" s="15" t="str">
        <f>+VLOOKUP(P38,[1]Datos!$F:$G,2,FALSE)</f>
        <v>Marvin Alexander Choguix Chex</v>
      </c>
      <c r="R38" s="9" t="s">
        <v>29</v>
      </c>
      <c r="S38" s="11"/>
      <c r="T38" s="11" t="e">
        <f>IF(VLOOKUP(M38,'[1]COLABORADORES UN'!$A:$A,1,FALSE),"Colaborador UN","NO")</f>
        <v>#N/A</v>
      </c>
      <c r="U38" s="11"/>
      <c r="V38" s="11">
        <f t="shared" si="1"/>
        <v>1</v>
      </c>
      <c r="W38" s="11">
        <f>+VLOOKUP(M38,[1]Datos!$F:$H,3,FALSE)</f>
        <v>0</v>
      </c>
      <c r="X38">
        <v>0</v>
      </c>
      <c r="Y38" s="33"/>
      <c r="Z38" t="e">
        <f>VLOOKUP(M38,'[2]INDIVIDUAL UN'!$C$6:$F$222,4,FALSE)</f>
        <v>#N/A</v>
      </c>
    </row>
    <row r="39" spans="1:27" s="11" customFormat="1" ht="14.5" hidden="1" customHeight="1" x14ac:dyDescent="0.35">
      <c r="A39" s="9" t="s">
        <v>25</v>
      </c>
      <c r="B39" s="9"/>
      <c r="C39" s="28">
        <v>4</v>
      </c>
      <c r="D39" s="11" t="s">
        <v>26</v>
      </c>
      <c r="E39" s="11" t="s">
        <v>45</v>
      </c>
      <c r="F39" s="11">
        <v>692</v>
      </c>
      <c r="G39" s="11" t="s">
        <v>84</v>
      </c>
      <c r="H39" s="29">
        <v>46273</v>
      </c>
      <c r="I39" s="29">
        <v>46273</v>
      </c>
      <c r="J39" s="15" t="str">
        <f>+VLOOKUP(K39,[1]Datos!$A:$C,3,FALSE)</f>
        <v>ROOSEVELT</v>
      </c>
      <c r="K39" s="13">
        <v>347</v>
      </c>
      <c r="L39" s="15" t="str">
        <f>+VLOOKUP(K39,[1]Datos!$A:$C,2,FALSE)</f>
        <v>ANTIGUA LOS TELARES</v>
      </c>
      <c r="M39" s="11">
        <v>306034</v>
      </c>
      <c r="N39" s="15" t="str">
        <f>+VLOOKUP(M39,[1]Datos!$F:$G,2,FALSE)</f>
        <v>Silvia Patricia Gonzalez Hernandez</v>
      </c>
      <c r="O39" s="17">
        <f>IFERROR(IF(A39="SI",VLOOKUP(R39,[1]Datos!$J$1:$K$50,2,FALSE)*C39,VLOOKUP(R39,[1]Datos!$P$1:$T$13,2,FALSE)*C39),0)</f>
        <v>3264</v>
      </c>
      <c r="P39" s="18">
        <v>90086478</v>
      </c>
      <c r="Q39" s="15" t="str">
        <f>+VLOOKUP(P39,[1]Datos!$F:$G,2,FALSE)</f>
        <v>LISBETH MELISA GARCIA JUAREZ</v>
      </c>
      <c r="R39" s="9" t="s">
        <v>29</v>
      </c>
      <c r="T39" s="11" t="e">
        <f>IF(VLOOKUP(M39,'[1]COLABORADORES UN'!$A:$A,1,FALSE),"Colaborador UN","NO")</f>
        <v>#N/A</v>
      </c>
      <c r="V39" s="11">
        <f t="shared" si="1"/>
        <v>1</v>
      </c>
      <c r="W39" s="11">
        <f>+VLOOKUP(M39,[1]Datos!$F:$H,3,FALSE)</f>
        <v>0</v>
      </c>
      <c r="X39" s="11">
        <v>0</v>
      </c>
      <c r="Y39" s="58"/>
      <c r="Z39" s="11" t="e">
        <f>VLOOKUP(M39,'[2]INDIVIDUAL UN'!$C$6:$F$222,4,FALSE)</f>
        <v>#N/A</v>
      </c>
    </row>
    <row r="40" spans="1:27" s="11" customFormat="1" ht="12.5" hidden="1" customHeight="1" x14ac:dyDescent="0.35">
      <c r="A40" s="9" t="s">
        <v>25</v>
      </c>
      <c r="B40" s="9"/>
      <c r="C40" s="20">
        <v>1</v>
      </c>
      <c r="D40" s="11" t="s">
        <v>26</v>
      </c>
      <c r="E40" s="13" t="s">
        <v>27</v>
      </c>
      <c r="F40" s="11">
        <v>4293</v>
      </c>
      <c r="G40" s="13" t="s">
        <v>85</v>
      </c>
      <c r="H40" s="14">
        <v>46273</v>
      </c>
      <c r="I40" s="14">
        <v>46270</v>
      </c>
      <c r="J40" s="15" t="str">
        <f>+VLOOKUP(K40,[1]Datos!$A:$C,3,FALSE)</f>
        <v>ROOSEVELT</v>
      </c>
      <c r="K40" s="13">
        <v>37</v>
      </c>
      <c r="L40" s="15" t="str">
        <f>+VLOOKUP(K40,[1]Datos!$A:$C,2,FALSE)</f>
        <v>SAN JUAN SACATEPEQUEZ</v>
      </c>
      <c r="M40" s="22">
        <v>90084038</v>
      </c>
      <c r="N40" s="15" t="str">
        <f>+VLOOKUP(M40,[1]Datos!$F:$G,2,FALSE)</f>
        <v>LILIAN NOHEMI GONZALEZ GALICIA</v>
      </c>
      <c r="O40" s="17">
        <f>IFERROR(IF(A40="SI",VLOOKUP(R40,[1]Datos!$J$1:$K$50,2,FALSE)*C40,VLOOKUP(R40,[1]Datos!$P$1:$T$13,2,FALSE)*C40),0)</f>
        <v>816</v>
      </c>
      <c r="P40" s="24">
        <v>312835</v>
      </c>
      <c r="Q40" s="15" t="str">
        <f>+VLOOKUP(P40,[1]Datos!$F:$G,2,FALSE)</f>
        <v>Manuel Estuardo Arriaga Garcia</v>
      </c>
      <c r="R40" s="9" t="s">
        <v>29</v>
      </c>
      <c r="T40" s="11" t="e">
        <f>IF(VLOOKUP(M40,'[1]COLABORADORES UN'!$A:$A,1,FALSE),"Colaborador UN","NO")</f>
        <v>#N/A</v>
      </c>
      <c r="V40" s="11">
        <f t="shared" si="1"/>
        <v>1</v>
      </c>
      <c r="W40" s="11">
        <f>+VLOOKUP(M40,[1]Datos!$F:$H,3,FALSE)</f>
        <v>0</v>
      </c>
      <c r="X40" s="11">
        <v>0</v>
      </c>
      <c r="Y40" s="42"/>
      <c r="Z40" s="11" t="e">
        <f>VLOOKUP(M40,'[2]INDIVIDUAL UN'!$C$6:$F$222,4,FALSE)</f>
        <v>#N/A</v>
      </c>
    </row>
    <row r="41" spans="1:27" ht="15.5" hidden="1" customHeight="1" x14ac:dyDescent="0.35">
      <c r="A41" s="9" t="s">
        <v>25</v>
      </c>
      <c r="B41" s="9"/>
      <c r="C41" s="28">
        <v>1</v>
      </c>
      <c r="D41" s="11" t="s">
        <v>26</v>
      </c>
      <c r="E41" s="11" t="s">
        <v>86</v>
      </c>
      <c r="F41" s="11">
        <v>4235</v>
      </c>
      <c r="G41" s="11" t="s">
        <v>87</v>
      </c>
      <c r="H41" s="14">
        <v>46273</v>
      </c>
      <c r="I41" s="31">
        <v>46273</v>
      </c>
      <c r="J41" s="15" t="str">
        <f>+VLOOKUP(K41,[1]Datos!$A:$C,3,FALSE)</f>
        <v>ROOSEVELT</v>
      </c>
      <c r="K41" s="11">
        <v>273</v>
      </c>
      <c r="L41" s="15" t="str">
        <f>+VLOOKUP(K41,[1]Datos!$A:$C,2,FALSE)</f>
        <v>CIUDAD VIEJA</v>
      </c>
      <c r="M41" s="11">
        <v>90064155</v>
      </c>
      <c r="N41" s="15" t="str">
        <f>+VLOOKUP(M41,[1]Datos!$F:$G,2,FALSE)</f>
        <v>NATALHY VALENTINA BLANCO PEREZ</v>
      </c>
      <c r="O41" s="17">
        <f>IFERROR(IF(A41="SI",VLOOKUP(R41,[1]Datos!$J$1:$K$50,2,FALSE)*C41,VLOOKUP(R41,[1]Datos!$P$1:$T$13,2,FALSE)*C41),0)</f>
        <v>816</v>
      </c>
      <c r="P41" s="30">
        <v>311176</v>
      </c>
      <c r="Q41" s="15" t="str">
        <f>+VLOOKUP(P41,[1]Datos!$F:$G,2,FALSE)</f>
        <v>Marvin Andolfo Garcia De Leon</v>
      </c>
      <c r="R41" s="9" t="s">
        <v>29</v>
      </c>
      <c r="S41" s="11"/>
      <c r="T41" s="11" t="e">
        <f>IF(VLOOKUP(M41,'[1]COLABORADORES UN'!$A:$A,1,FALSE),"Colaborador UN","NO")</f>
        <v>#N/A</v>
      </c>
      <c r="U41" s="11"/>
      <c r="V41" s="11">
        <f t="shared" si="1"/>
        <v>1</v>
      </c>
      <c r="W41" s="11">
        <f>+VLOOKUP(M41,[1]Datos!$F:$H,3,FALSE)</f>
        <v>0</v>
      </c>
      <c r="X41">
        <v>0</v>
      </c>
      <c r="Y41" s="19"/>
      <c r="Z41" t="e">
        <f>VLOOKUP(M41,'[2]INDIVIDUAL UN'!$C$6:$F$222,4,FALSE)</f>
        <v>#N/A</v>
      </c>
    </row>
    <row r="42" spans="1:27" ht="13" hidden="1" customHeight="1" x14ac:dyDescent="0.4">
      <c r="A42" s="9" t="s">
        <v>25</v>
      </c>
      <c r="B42" s="9"/>
      <c r="C42">
        <v>3</v>
      </c>
      <c r="D42" s="11" t="s">
        <v>26</v>
      </c>
      <c r="E42" s="60" t="s">
        <v>62</v>
      </c>
      <c r="F42" s="11">
        <v>620</v>
      </c>
      <c r="G42" s="11" t="s">
        <v>88</v>
      </c>
      <c r="H42" s="29">
        <v>46273</v>
      </c>
      <c r="I42" s="29">
        <v>46271</v>
      </c>
      <c r="J42" s="15" t="str">
        <f>+VLOOKUP(K42,[1]Datos!$A:$C,3,FALSE)</f>
        <v>ROOSEVELT</v>
      </c>
      <c r="K42" s="11">
        <v>200</v>
      </c>
      <c r="L42" s="15" t="str">
        <f>+VLOOKUP(K42,[1]Datos!$A:$C,2,FALSE)</f>
        <v>GALERIAS MIRAFLORES</v>
      </c>
      <c r="M42" s="11">
        <v>90086663</v>
      </c>
      <c r="N42" s="15" t="str">
        <f>+VLOOKUP(M42,[1]Datos!$F:$G,2,FALSE)</f>
        <v>EVELYN FABIOLA CAJ</v>
      </c>
      <c r="O42" s="17">
        <f>IFERROR(IF(A42="SI",VLOOKUP(R42,[1]Datos!$J$1:$K$50,2,FALSE)*C42,VLOOKUP(R42,[1]Datos!$P$1:$T$13,2,FALSE)*C42),0)</f>
        <v>2448</v>
      </c>
      <c r="P42" s="8">
        <v>315173</v>
      </c>
      <c r="Q42" s="15" t="str">
        <f>+VLOOKUP(P42,[1]Datos!$F:$G,2,FALSE)</f>
        <v>Jorge Luis Morales Lopez</v>
      </c>
      <c r="R42" s="9" t="s">
        <v>29</v>
      </c>
      <c r="S42" s="11"/>
      <c r="T42" s="11" t="e">
        <f>IF(VLOOKUP(M42,'[1]COLABORADORES UN'!$A:$A,1,FALSE),"Colaborador UN","NO")</f>
        <v>#N/A</v>
      </c>
      <c r="U42" s="11"/>
      <c r="V42" s="11">
        <f t="shared" si="1"/>
        <v>1</v>
      </c>
      <c r="W42" s="11">
        <f>+VLOOKUP(M42,[1]Datos!$F:$H,3,FALSE)</f>
        <v>0</v>
      </c>
      <c r="X42">
        <v>0</v>
      </c>
      <c r="Y42" s="19"/>
      <c r="Z42" t="e">
        <f>VLOOKUP(M42,'[2]INDIVIDUAL UN'!$C$6:$F$222,4,FALSE)</f>
        <v>#N/A</v>
      </c>
    </row>
    <row r="43" spans="1:27" s="69" customFormat="1" ht="12.5" hidden="1" customHeight="1" x14ac:dyDescent="0.35">
      <c r="A43" s="67" t="s">
        <v>25</v>
      </c>
      <c r="B43" s="67"/>
      <c r="C43" s="68">
        <v>3</v>
      </c>
      <c r="D43" s="69" t="s">
        <v>26</v>
      </c>
      <c r="E43" s="69" t="s">
        <v>62</v>
      </c>
      <c r="F43" s="69">
        <v>628</v>
      </c>
      <c r="G43" s="37" t="s">
        <v>89</v>
      </c>
      <c r="H43" s="70">
        <v>46275</v>
      </c>
      <c r="I43" s="70">
        <v>46266</v>
      </c>
      <c r="J43" s="67" t="str">
        <f>+VLOOKUP(K43,[1]Datos!$A:$C,3,FALSE)</f>
        <v>ROOSEVELT</v>
      </c>
      <c r="K43" s="69">
        <v>273</v>
      </c>
      <c r="L43" s="67" t="str">
        <f>+VLOOKUP(K43,[1]Datos!$A:$C,2,FALSE)</f>
        <v>CIUDAD VIEJA</v>
      </c>
      <c r="M43" s="71">
        <v>90086217</v>
      </c>
      <c r="N43" s="67" t="str">
        <f>+VLOOKUP(M43,[1]Datos!$F:$G,2,FALSE)</f>
        <v xml:space="preserve">CESAR EDUARDO CUELLAR CHAVARRIA </v>
      </c>
      <c r="O43" s="72">
        <f>IFERROR(IF(A43="SI",VLOOKUP(R43,[1]Datos!$J$1:$K$50,2,FALSE)*C43,VLOOKUP(R43,[1]Datos!$P$1:$T$13,2,FALSE)*C43),0)</f>
        <v>2448</v>
      </c>
      <c r="P43" s="73">
        <v>311176</v>
      </c>
      <c r="Q43" s="67" t="str">
        <f>+VLOOKUP(P43,[1]Datos!$F:$G,2,FALSE)</f>
        <v>Marvin Andolfo Garcia De Leon</v>
      </c>
      <c r="R43" s="67" t="s">
        <v>29</v>
      </c>
      <c r="T43" s="69" t="e">
        <f>IF(VLOOKUP(M43,'[1]COLABORADORES UN'!$A:$A,1,FALSE),"Colaborador UN","NO")</f>
        <v>#N/A</v>
      </c>
      <c r="V43" s="69">
        <f t="shared" si="1"/>
        <v>1</v>
      </c>
      <c r="W43" s="69">
        <f>+VLOOKUP(M43,[1]Datos!$F:$H,3,FALSE)</f>
        <v>0</v>
      </c>
      <c r="X43" s="69">
        <v>0</v>
      </c>
      <c r="Y43" s="74"/>
      <c r="Z43" s="69" t="e">
        <f>VLOOKUP(M43,'[2]INDIVIDUAL UN'!$C$6:$F$222,4,FALSE)</f>
        <v>#N/A</v>
      </c>
    </row>
    <row r="44" spans="1:27" s="68" customFormat="1" ht="14" hidden="1" customHeight="1" x14ac:dyDescent="0.45">
      <c r="A44" s="67" t="s">
        <v>25</v>
      </c>
      <c r="B44" s="67"/>
      <c r="C44" s="75">
        <v>3</v>
      </c>
      <c r="D44" s="69" t="s">
        <v>26</v>
      </c>
      <c r="E44" s="69" t="s">
        <v>62</v>
      </c>
      <c r="F44" s="69">
        <v>595</v>
      </c>
      <c r="G44" s="76" t="s">
        <v>90</v>
      </c>
      <c r="H44" s="70">
        <v>46275</v>
      </c>
      <c r="I44" s="70">
        <v>46266</v>
      </c>
      <c r="J44" s="67" t="str">
        <f>+VLOOKUP(K44,[1]Datos!$A:$C,3,FALSE)</f>
        <v>ROOSEVELT</v>
      </c>
      <c r="K44" s="69">
        <v>69</v>
      </c>
      <c r="L44" s="67" t="str">
        <f>+VLOOKUP(K44,[1]Datos!$A:$C,2,FALSE)</f>
        <v>PERI-ROOSEVELT</v>
      </c>
      <c r="M44" s="77">
        <v>315277</v>
      </c>
      <c r="N44" s="67" t="str">
        <f>+VLOOKUP(M44,[1]Datos!$F:$G,2,FALSE)</f>
        <v>Astrid Guadalupe Fernandez Perez</v>
      </c>
      <c r="O44" s="72">
        <f>IFERROR(IF(A44="SI",VLOOKUP(R44,[1]Datos!$J$1:$K$50,2,FALSE)*C44,VLOOKUP(R44,[1]Datos!$P$1:$T$13,2,FALSE)*C44),0)</f>
        <v>2448</v>
      </c>
      <c r="P44" s="73">
        <v>301460</v>
      </c>
      <c r="Q44" s="67" t="str">
        <f>+VLOOKUP(P44,[1]Datos!$F:$G,2,FALSE)</f>
        <v>Sandra Judith Vasquez Fernandez</v>
      </c>
      <c r="R44" s="67" t="s">
        <v>29</v>
      </c>
      <c r="S44" s="69"/>
      <c r="T44" s="69" t="e">
        <f>IF(VLOOKUP(M44,'[1]COLABORADORES UN'!$A:$A,1,FALSE),"Colaborador UN","NO")</f>
        <v>#N/A</v>
      </c>
      <c r="U44" s="69"/>
      <c r="V44" s="69">
        <f t="shared" si="1"/>
        <v>1</v>
      </c>
      <c r="W44" s="69">
        <f>+VLOOKUP(M44,[1]Datos!$F:$H,3,FALSE)</f>
        <v>0</v>
      </c>
      <c r="X44" s="68">
        <v>0</v>
      </c>
      <c r="Y44" s="78"/>
      <c r="Z44" s="68" t="e">
        <f>VLOOKUP(M44,'[2]INDIVIDUAL UN'!$C$6:$F$222,4,FALSE)</f>
        <v>#N/A</v>
      </c>
    </row>
    <row r="45" spans="1:27" s="68" customFormat="1" ht="17.5" hidden="1" customHeight="1" x14ac:dyDescent="0.45">
      <c r="A45" s="67" t="s">
        <v>25</v>
      </c>
      <c r="B45" s="67"/>
      <c r="C45" s="75">
        <v>4</v>
      </c>
      <c r="D45" s="69" t="s">
        <v>26</v>
      </c>
      <c r="E45" s="69" t="s">
        <v>45</v>
      </c>
      <c r="F45" s="69">
        <v>682</v>
      </c>
      <c r="G45" s="79" t="s">
        <v>91</v>
      </c>
      <c r="H45" s="70">
        <v>46275</v>
      </c>
      <c r="I45" s="70">
        <v>46272</v>
      </c>
      <c r="J45" s="67" t="str">
        <f>+VLOOKUP(K45,[1]Datos!$A:$C,3,FALSE)</f>
        <v>ROOSEVELT</v>
      </c>
      <c r="K45" s="69">
        <v>69</v>
      </c>
      <c r="L45" s="67" t="str">
        <f>+VLOOKUP(K45,[1]Datos!$A:$C,2,FALSE)</f>
        <v>PERI-ROOSEVELT</v>
      </c>
      <c r="M45" s="77">
        <v>315277</v>
      </c>
      <c r="N45" s="67" t="str">
        <f>+VLOOKUP(M45,[1]Datos!$F:$G,2,FALSE)</f>
        <v>Astrid Guadalupe Fernandez Perez</v>
      </c>
      <c r="O45" s="72">
        <f>IFERROR(IF(A45="SI",VLOOKUP(R45,[1]Datos!$J$1:$K$50,2,FALSE)*C45,VLOOKUP(R45,[1]Datos!$P$1:$T$13,2,FALSE)*C45),0)</f>
        <v>3264</v>
      </c>
      <c r="P45" s="73">
        <v>301460</v>
      </c>
      <c r="Q45" s="67" t="str">
        <f>+VLOOKUP(P45,[1]Datos!$F:$G,2,FALSE)</f>
        <v>Sandra Judith Vasquez Fernandez</v>
      </c>
      <c r="R45" s="67" t="s">
        <v>29</v>
      </c>
      <c r="S45" s="69"/>
      <c r="T45" s="69" t="e">
        <f>IF(VLOOKUP(M45,'[1]COLABORADORES UN'!$A:$A,1,FALSE),"Colaborador UN","NO")</f>
        <v>#N/A</v>
      </c>
      <c r="U45" s="69"/>
      <c r="V45" s="69">
        <f t="shared" si="1"/>
        <v>1</v>
      </c>
      <c r="W45" s="69">
        <f>+VLOOKUP(M45,[1]Datos!$F:$H,3,FALSE)</f>
        <v>0</v>
      </c>
      <c r="X45" s="68">
        <v>0</v>
      </c>
      <c r="Y45" s="78"/>
      <c r="Z45" s="68" t="e">
        <f>VLOOKUP(M45,'[2]INDIVIDUAL UN'!$C$6:$F$222,4,FALSE)</f>
        <v>#N/A</v>
      </c>
    </row>
    <row r="46" spans="1:27" s="68" customFormat="1" ht="12.5" hidden="1" customHeight="1" x14ac:dyDescent="0.45">
      <c r="A46" s="67" t="s">
        <v>25</v>
      </c>
      <c r="B46" s="67"/>
      <c r="C46" s="75">
        <v>2</v>
      </c>
      <c r="D46" s="69" t="s">
        <v>26</v>
      </c>
      <c r="E46" s="69" t="s">
        <v>30</v>
      </c>
      <c r="F46" s="69">
        <v>1203</v>
      </c>
      <c r="G46" s="79" t="s">
        <v>92</v>
      </c>
      <c r="H46" s="70">
        <v>46275</v>
      </c>
      <c r="I46" s="70">
        <v>46275</v>
      </c>
      <c r="J46" s="67" t="str">
        <f>+VLOOKUP(K46,[1]Datos!$A:$C,3,FALSE)</f>
        <v>ROOSEVELT</v>
      </c>
      <c r="K46" s="69">
        <v>69</v>
      </c>
      <c r="L46" s="67" t="str">
        <f>+VLOOKUP(K46,[1]Datos!$A:$C,2,FALSE)</f>
        <v>PERI-ROOSEVELT</v>
      </c>
      <c r="M46" s="77">
        <v>315277</v>
      </c>
      <c r="N46" s="67" t="str">
        <f>+VLOOKUP(M46,[1]Datos!$F:$G,2,FALSE)</f>
        <v>Astrid Guadalupe Fernandez Perez</v>
      </c>
      <c r="O46" s="72">
        <f>IFERROR(IF(A46="SI",VLOOKUP(R46,[1]Datos!$J$1:$K$50,2,FALSE)*C46,VLOOKUP(R46,[1]Datos!$P$1:$T$13,2,FALSE)*C46),0)</f>
        <v>1632</v>
      </c>
      <c r="P46" s="73">
        <v>301460</v>
      </c>
      <c r="Q46" s="67" t="str">
        <f>+VLOOKUP(P46,[1]Datos!$F:$G,2,FALSE)</f>
        <v>Sandra Judith Vasquez Fernandez</v>
      </c>
      <c r="R46" s="67" t="s">
        <v>29</v>
      </c>
      <c r="S46" s="69"/>
      <c r="T46" s="69" t="e">
        <f>IF(VLOOKUP(M46,'[1]COLABORADORES UN'!$A:$A,1,FALSE),"Colaborador UN","NO")</f>
        <v>#N/A</v>
      </c>
      <c r="U46" s="69"/>
      <c r="V46" s="69">
        <f t="shared" si="1"/>
        <v>1</v>
      </c>
      <c r="W46" s="69">
        <f>+VLOOKUP(M46,[1]Datos!$F:$H,3,FALSE)</f>
        <v>0</v>
      </c>
      <c r="X46" s="68">
        <v>0</v>
      </c>
      <c r="Y46" s="78"/>
      <c r="Z46" s="68" t="e">
        <f>VLOOKUP('[4]DICIEMBREE 2024'!M51,'[2]INDIVIDUAL UN'!$C$6:$F$222,4,FALSE)</f>
        <v>#N/A</v>
      </c>
    </row>
    <row r="47" spans="1:27" s="68" customFormat="1" ht="15" hidden="1" customHeight="1" x14ac:dyDescent="0.35">
      <c r="A47" s="67" t="s">
        <v>25</v>
      </c>
      <c r="B47" s="67"/>
      <c r="C47" s="68">
        <v>1</v>
      </c>
      <c r="D47" s="69" t="s">
        <v>26</v>
      </c>
      <c r="E47" s="69" t="s">
        <v>27</v>
      </c>
      <c r="F47" s="69">
        <v>4385</v>
      </c>
      <c r="G47" s="69" t="s">
        <v>93</v>
      </c>
      <c r="H47" s="70">
        <v>46275</v>
      </c>
      <c r="I47" s="70">
        <v>46274</v>
      </c>
      <c r="J47" s="67" t="str">
        <f>+VLOOKUP(K47,[1]Datos!$A:$C,3,FALSE)</f>
        <v>ROOSEVELT</v>
      </c>
      <c r="K47" s="69">
        <v>252</v>
      </c>
      <c r="L47" s="67" t="str">
        <f>+VLOOKUP(K47,[1]Datos!$A:$C,2,FALSE)</f>
        <v>ESKALA ROOSEVELT</v>
      </c>
      <c r="M47" s="69">
        <v>315564</v>
      </c>
      <c r="N47" s="67" t="str">
        <f>+VLOOKUP(M47,[1]Datos!$F:$G,2,FALSE)</f>
        <v>Esvin Rolando Orozco Mulul</v>
      </c>
      <c r="O47" s="72">
        <f>IFERROR(IF(A47="SI",VLOOKUP(R47,[1]Datos!$J$1:$K$50,2,FALSE)*C47,VLOOKUP(R47,[1]Datos!$P$1:$T$13,2,FALSE)*C47),0)</f>
        <v>816</v>
      </c>
      <c r="P47" s="75">
        <v>300544</v>
      </c>
      <c r="Q47" s="67" t="str">
        <f>+VLOOKUP(P47,[1]Datos!$F:$G,2,FALSE)</f>
        <v>Abner Enmanuel Perez Rodriguez</v>
      </c>
      <c r="R47" s="67" t="s">
        <v>29</v>
      </c>
      <c r="S47" s="69"/>
      <c r="T47" s="69" t="e">
        <f>IF(VLOOKUP(M47,'[1]COLABORADORES UN'!$A:$A,1,FALSE),"Colaborador UN","NO")</f>
        <v>#N/A</v>
      </c>
      <c r="U47" s="69"/>
      <c r="V47" s="69">
        <f t="shared" si="1"/>
        <v>1</v>
      </c>
      <c r="W47" s="69">
        <f>+VLOOKUP(M47,[1]Datos!$F:$H,3,FALSE)</f>
        <v>0</v>
      </c>
      <c r="X47" s="68">
        <v>0</v>
      </c>
      <c r="Y47" s="78"/>
      <c r="Z47" s="68" t="e">
        <f>VLOOKUP(M47,'[2]INDIVIDUAL UN'!$C$6:$F$222,4,FALSE)</f>
        <v>#N/A</v>
      </c>
    </row>
    <row r="48" spans="1:27" s="69" customFormat="1" ht="12.5" hidden="1" customHeight="1" x14ac:dyDescent="0.35">
      <c r="A48" s="67" t="s">
        <v>25</v>
      </c>
      <c r="B48" s="67"/>
      <c r="C48" s="68">
        <v>1</v>
      </c>
      <c r="D48" s="69" t="s">
        <v>26</v>
      </c>
      <c r="E48" s="69" t="s">
        <v>42</v>
      </c>
      <c r="F48" s="69">
        <v>420</v>
      </c>
      <c r="G48" s="69" t="s">
        <v>94</v>
      </c>
      <c r="H48" s="70">
        <v>46275</v>
      </c>
      <c r="I48" s="70">
        <v>46274</v>
      </c>
      <c r="J48" s="67" t="str">
        <f>+VLOOKUP(K48,[1]Datos!$A:$C,3,FALSE)</f>
        <v>ROOSEVELT</v>
      </c>
      <c r="K48" s="69">
        <v>220</v>
      </c>
      <c r="L48" s="67" t="str">
        <f>+VLOOKUP(K48,[1]Datos!$A:$C,2,FALSE)</f>
        <v>JOCOTENANGO</v>
      </c>
      <c r="M48" s="71">
        <v>312923</v>
      </c>
      <c r="N48" s="67" t="str">
        <f>+VLOOKUP(M48,[1]Datos!$F:$G,2,FALSE)</f>
        <v>Sandra Esmeralda Martinez Baeza</v>
      </c>
      <c r="O48" s="72">
        <f>IFERROR(IF(A48="SI",VLOOKUP(R48,[1]Datos!$J$1:$K$50,2,FALSE)*C48,VLOOKUP(R48,[1]Datos!$P$1:$T$13,2,FALSE)*C48),0)</f>
        <v>1092</v>
      </c>
      <c r="P48" s="73">
        <v>316077</v>
      </c>
      <c r="Q48" s="67" t="str">
        <f>+VLOOKUP(P48,[1]Datos!$F:$G,2,FALSE)</f>
        <v xml:space="preserve">ANTOGNY GUADALUPE DE PAZ GOMEZ </v>
      </c>
      <c r="R48" s="67" t="s">
        <v>44</v>
      </c>
      <c r="T48" s="69" t="e">
        <f>IF(VLOOKUP(M48,'[1]COLABORADORES UN'!$A:$A,1,FALSE),"Colaborador UN","NO")</f>
        <v>#N/A</v>
      </c>
      <c r="V48" s="69">
        <f t="shared" si="1"/>
        <v>1</v>
      </c>
      <c r="W48" s="69">
        <f>+VLOOKUP(M48,[1]Datos!$F:$H,3,FALSE)</f>
        <v>0</v>
      </c>
      <c r="X48" s="69">
        <v>0</v>
      </c>
      <c r="Y48" s="74"/>
      <c r="Z48" s="69" t="e">
        <f>VLOOKUP(M48,'[2]INDIVIDUAL UN'!$C$6:$F$222,4,FALSE)</f>
        <v>#N/A</v>
      </c>
    </row>
    <row r="49" spans="1:26" s="69" customFormat="1" ht="14.5" hidden="1" customHeight="1" x14ac:dyDescent="0.35">
      <c r="A49" s="67" t="s">
        <v>25</v>
      </c>
      <c r="B49" s="67"/>
      <c r="C49" s="73">
        <v>2</v>
      </c>
      <c r="D49" s="67" t="s">
        <v>26</v>
      </c>
      <c r="E49" s="69" t="s">
        <v>30</v>
      </c>
      <c r="F49" s="67">
        <v>1194</v>
      </c>
      <c r="G49" s="67" t="s">
        <v>95</v>
      </c>
      <c r="H49" s="80">
        <v>46275</v>
      </c>
      <c r="I49" s="80">
        <v>46275</v>
      </c>
      <c r="J49" s="67" t="str">
        <f>+VLOOKUP(K49,[1]Datos!$A:$C,3,FALSE)</f>
        <v>ROOSEVELT</v>
      </c>
      <c r="K49" s="67">
        <v>339</v>
      </c>
      <c r="L49" s="67" t="str">
        <f>+VLOOKUP(K49,[1]Datos!$A:$C,2,FALSE)</f>
        <v>ANDARIA</v>
      </c>
      <c r="M49" s="67">
        <v>309034</v>
      </c>
      <c r="N49" s="67" t="str">
        <f>+VLOOKUP(M49,[1]Datos!$F:$G,2,FALSE)</f>
        <v>Herbert Josue Mucia Garcia</v>
      </c>
      <c r="O49" s="72">
        <v>1632</v>
      </c>
      <c r="P49" s="73">
        <v>309503</v>
      </c>
      <c r="Q49" s="67" t="str">
        <f>+VLOOKUP(P49,[1]Datos!$F:$G,2,FALSE)</f>
        <v>Mildred Yaneth Figueroa Garcia</v>
      </c>
      <c r="R49" s="67" t="s">
        <v>29</v>
      </c>
      <c r="T49" s="69" t="e">
        <f>IF(VLOOKUP(M49,'[1]COLABORADORES UN'!$A:$A,1,FALSE),"Colaborador UN","NO")</f>
        <v>#N/A</v>
      </c>
      <c r="V49" s="69">
        <f t="shared" si="1"/>
        <v>1</v>
      </c>
      <c r="W49" s="69">
        <f>+VLOOKUP(M49,[1]Datos!$F:$H,3,FALSE)</f>
        <v>0</v>
      </c>
      <c r="X49" s="69">
        <v>0</v>
      </c>
      <c r="Y49" s="74"/>
      <c r="Z49" s="69" t="e">
        <f>VLOOKUP(M49,'[2]INDIVIDUAL UN'!$C$6:$F$222,4,FALSE)</f>
        <v>#N/A</v>
      </c>
    </row>
    <row r="50" spans="1:26" s="68" customFormat="1" ht="17.5" hidden="1" customHeight="1" x14ac:dyDescent="0.35">
      <c r="A50" s="67" t="s">
        <v>25</v>
      </c>
      <c r="B50" s="67"/>
      <c r="C50" s="68">
        <v>2</v>
      </c>
      <c r="D50" s="69" t="s">
        <v>26</v>
      </c>
      <c r="E50" s="69" t="s">
        <v>30</v>
      </c>
      <c r="F50" s="69">
        <v>1183</v>
      </c>
      <c r="G50" s="69" t="s">
        <v>96</v>
      </c>
      <c r="H50" s="70">
        <v>46275</v>
      </c>
      <c r="I50" s="70">
        <v>46274</v>
      </c>
      <c r="J50" s="67" t="str">
        <f>+VLOOKUP(K50,[1]Datos!$A:$C,3,FALSE)</f>
        <v>ROOSEVELT</v>
      </c>
      <c r="K50" s="69">
        <v>220</v>
      </c>
      <c r="L50" s="67" t="str">
        <f>+VLOOKUP(K50,[1]Datos!$A:$C,2,FALSE)</f>
        <v>JOCOTENANGO</v>
      </c>
      <c r="M50" s="71">
        <v>312923</v>
      </c>
      <c r="N50" s="67" t="str">
        <f>+VLOOKUP(M50,[1]Datos!$F:$G,2,FALSE)</f>
        <v>Sandra Esmeralda Martinez Baeza</v>
      </c>
      <c r="O50" s="72">
        <f>IFERROR(IF(A50="SI",VLOOKUP(R50,[1]Datos!$J$1:$K$50,2,FALSE)*C50,VLOOKUP(R50,[1]Datos!$P$1:$T$13,2,FALSE)*C50),0)</f>
        <v>1632</v>
      </c>
      <c r="P50" s="73">
        <v>316077</v>
      </c>
      <c r="Q50" s="67" t="str">
        <f>+VLOOKUP(P50,[1]Datos!$F:$G,2,FALSE)</f>
        <v xml:space="preserve">ANTOGNY GUADALUPE DE PAZ GOMEZ </v>
      </c>
      <c r="R50" s="67" t="s">
        <v>29</v>
      </c>
      <c r="S50" s="69"/>
      <c r="T50" s="69" t="e">
        <f>IF(VLOOKUP(M50,'[1]COLABORADORES UN'!$A:$A,1,FALSE),"Colaborador UN","NO")</f>
        <v>#N/A</v>
      </c>
      <c r="U50" s="69"/>
      <c r="V50" s="69">
        <f t="shared" si="1"/>
        <v>1</v>
      </c>
      <c r="W50" s="69">
        <f>+VLOOKUP(M50,[1]Datos!$F:$H,3,FALSE)</f>
        <v>0</v>
      </c>
      <c r="X50" s="68">
        <v>0</v>
      </c>
      <c r="Y50" s="78"/>
      <c r="Z50" s="68" t="e">
        <f>VLOOKUP(M50,'[2]INDIVIDUAL UN'!$C$6:$F$222,4,FALSE)</f>
        <v>#N/A</v>
      </c>
    </row>
    <row r="51" spans="1:26" s="68" customFormat="1" ht="16" hidden="1" customHeight="1" x14ac:dyDescent="0.35">
      <c r="A51" s="67" t="s">
        <v>25</v>
      </c>
      <c r="B51" s="67"/>
      <c r="C51" s="68">
        <v>2</v>
      </c>
      <c r="D51" s="69" t="s">
        <v>26</v>
      </c>
      <c r="E51" s="69" t="s">
        <v>30</v>
      </c>
      <c r="F51" s="69">
        <v>1150</v>
      </c>
      <c r="G51" s="69" t="s">
        <v>97</v>
      </c>
      <c r="H51" s="70">
        <v>46275</v>
      </c>
      <c r="I51" s="70">
        <v>46270</v>
      </c>
      <c r="J51" s="67" t="str">
        <f>+VLOOKUP(K51,[1]Datos!$A:$C,3,FALSE)</f>
        <v>ROOSEVELT</v>
      </c>
      <c r="K51" s="69">
        <v>351</v>
      </c>
      <c r="L51" s="67" t="str">
        <f>+VLOOKUP(K51,[1]Datos!$A:$C,2,FALSE)</f>
        <v xml:space="preserve">EL PARADOR ANTIGUA </v>
      </c>
      <c r="M51" s="71">
        <v>90035281</v>
      </c>
      <c r="N51" s="67" t="str">
        <f>+VLOOKUP(M51,[1]Datos!$F:$G,2,FALSE)</f>
        <v>LILIANA MARIA NAVAS GONZALEZ</v>
      </c>
      <c r="O51" s="72">
        <f>IFERROR(IF(A51="SI",VLOOKUP(R51,[1]Datos!$J$1:$K$50,2,FALSE)*C51,VLOOKUP(R51,[1]Datos!$P$1:$T$13,2,FALSE)*C51),0)</f>
        <v>1632</v>
      </c>
      <c r="P51" s="73">
        <v>309415</v>
      </c>
      <c r="Q51" s="67" t="str">
        <f>+VLOOKUP(P51,[1]Datos!$F:$G,2,FALSE)</f>
        <v>Angel Jose Figueroa Garcia</v>
      </c>
      <c r="R51" s="67" t="s">
        <v>29</v>
      </c>
      <c r="S51" s="69"/>
      <c r="T51" s="69" t="e">
        <f>IF(VLOOKUP(M51,'[1]COLABORADORES UN'!$A:$A,1,FALSE),"Colaborador UN","NO")</f>
        <v>#N/A</v>
      </c>
      <c r="U51" s="69"/>
      <c r="V51" s="69">
        <f t="shared" si="1"/>
        <v>1</v>
      </c>
      <c r="W51" s="69">
        <f>+VLOOKUP(M51,[1]Datos!$F:$H,3,FALSE)</f>
        <v>0</v>
      </c>
      <c r="X51" s="68">
        <v>0</v>
      </c>
      <c r="Y51" s="78"/>
      <c r="Z51" s="68" t="e">
        <f>VLOOKUP(M51,'[2]INDIVIDUAL UN'!$C$6:$F$222,4,FALSE)</f>
        <v>#N/A</v>
      </c>
    </row>
    <row r="52" spans="1:26" s="68" customFormat="1" ht="18" hidden="1" customHeight="1" x14ac:dyDescent="0.35">
      <c r="A52" s="67" t="s">
        <v>25</v>
      </c>
      <c r="B52" s="67"/>
      <c r="C52" s="68">
        <v>2</v>
      </c>
      <c r="D52" s="69" t="s">
        <v>26</v>
      </c>
      <c r="E52" s="69" t="s">
        <v>98</v>
      </c>
      <c r="F52" s="69">
        <v>1411</v>
      </c>
      <c r="G52" s="69" t="s">
        <v>99</v>
      </c>
      <c r="H52" s="70">
        <v>46275</v>
      </c>
      <c r="I52" s="70">
        <v>46275</v>
      </c>
      <c r="J52" s="67" t="str">
        <f>+VLOOKUP(K52,[1]Datos!$A:$C,3,FALSE)</f>
        <v>ROOSEVELT</v>
      </c>
      <c r="K52" s="69">
        <v>273</v>
      </c>
      <c r="L52" s="67" t="str">
        <f>+VLOOKUP(K52,[1]Datos!$A:$C,2,FALSE)</f>
        <v>CIUDAD VIEJA</v>
      </c>
      <c r="M52" s="71">
        <v>90064155</v>
      </c>
      <c r="N52" s="67" t="str">
        <f>+VLOOKUP(M52,[1]Datos!$F:$G,2,FALSE)</f>
        <v>NATALHY VALENTINA BLANCO PEREZ</v>
      </c>
      <c r="O52" s="72">
        <f>IFERROR(IF(A52="SI",VLOOKUP(R52,[1]Datos!$J$1:$K$50,2,FALSE)*C52,VLOOKUP(R52,[1]Datos!$P$1:$T$13,2,FALSE)*C52),0)</f>
        <v>1632</v>
      </c>
      <c r="P52" s="81">
        <v>315771</v>
      </c>
      <c r="Q52" s="67" t="str">
        <f>+VLOOKUP(P52,[1]Datos!$F:$G,2,FALSE)</f>
        <v>LUIS EDUARDO CARRANZA GUZMAN</v>
      </c>
      <c r="R52" s="67" t="s">
        <v>29</v>
      </c>
      <c r="S52" s="69"/>
      <c r="T52" s="69" t="e">
        <f>IF(VLOOKUP(M52,'[1]COLABORADORES UN'!$A:$A,1,FALSE),"Colaborador UN","NO")</f>
        <v>#N/A</v>
      </c>
      <c r="U52" s="69"/>
      <c r="V52" s="69">
        <f t="shared" si="1"/>
        <v>1</v>
      </c>
      <c r="W52" s="69">
        <f>+VLOOKUP(M52,[1]Datos!$F:$H,3,FALSE)</f>
        <v>0</v>
      </c>
      <c r="X52" s="68">
        <v>0</v>
      </c>
      <c r="Y52" s="78"/>
      <c r="Z52" s="68" t="e">
        <f>VLOOKUP(M52,'[2]INDIVIDUAL UN'!$C$6:$F$222,4,FALSE)</f>
        <v>#N/A</v>
      </c>
    </row>
    <row r="53" spans="1:26" s="68" customFormat="1" ht="15.5" hidden="1" customHeight="1" x14ac:dyDescent="0.35">
      <c r="A53" s="67" t="s">
        <v>25</v>
      </c>
      <c r="B53" s="67"/>
      <c r="C53" s="68">
        <v>2</v>
      </c>
      <c r="D53" s="69" t="s">
        <v>26</v>
      </c>
      <c r="E53" s="69" t="s">
        <v>30</v>
      </c>
      <c r="F53" s="69">
        <v>1189</v>
      </c>
      <c r="G53" s="69" t="s">
        <v>100</v>
      </c>
      <c r="H53" s="70">
        <v>46275</v>
      </c>
      <c r="I53" s="70">
        <v>46274</v>
      </c>
      <c r="J53" s="67" t="str">
        <f>+VLOOKUP(K53,[1]Datos!$A:$C,3,FALSE)</f>
        <v>ROOSEVELT</v>
      </c>
      <c r="K53" s="69">
        <v>351</v>
      </c>
      <c r="L53" s="67" t="str">
        <f>+VLOOKUP(K53,[1]Datos!$A:$C,2,FALSE)</f>
        <v xml:space="preserve">EL PARADOR ANTIGUA </v>
      </c>
      <c r="M53" s="71">
        <v>90086259</v>
      </c>
      <c r="N53" s="67" t="str">
        <f>+VLOOKUP(M53,[1]Datos!$F:$G,2,FALSE)</f>
        <v>ANDREA PAOLA HERNANDEZ LORENZO</v>
      </c>
      <c r="O53" s="72">
        <f>IFERROR(IF(A53="SI",VLOOKUP(R53,[1]Datos!$J$1:$K$50,2,FALSE)*C53,VLOOKUP(R53,[1]Datos!$P$1:$T$13,2,FALSE)*C53),0)</f>
        <v>1632</v>
      </c>
      <c r="P53" s="73">
        <v>309415</v>
      </c>
      <c r="Q53" s="67" t="str">
        <f>+VLOOKUP(P53,[1]Datos!$F:$G,2,FALSE)</f>
        <v>Angel Jose Figueroa Garcia</v>
      </c>
      <c r="R53" s="67" t="s">
        <v>29</v>
      </c>
      <c r="S53" s="69"/>
      <c r="T53" s="69" t="e">
        <f>IF(VLOOKUP(M53,'[1]COLABORADORES UN'!$A:$A,1,FALSE),"Colaborador UN","NO")</f>
        <v>#N/A</v>
      </c>
      <c r="U53" s="69"/>
      <c r="V53" s="69">
        <f t="shared" si="1"/>
        <v>1</v>
      </c>
      <c r="W53" s="69">
        <f>+VLOOKUP(M53,[1]Datos!$F:$H,3,FALSE)</f>
        <v>0</v>
      </c>
      <c r="X53" s="68">
        <v>0</v>
      </c>
      <c r="Y53" s="78"/>
      <c r="Z53" s="68" t="e">
        <f>VLOOKUP(M53,'[2]INDIVIDUAL UN'!$C$6:$F$222,4,FALSE)</f>
        <v>#N/A</v>
      </c>
    </row>
    <row r="54" spans="1:26" s="69" customFormat="1" ht="12.5" hidden="1" customHeight="1" x14ac:dyDescent="0.35">
      <c r="A54" s="67" t="s">
        <v>25</v>
      </c>
      <c r="B54" s="67"/>
      <c r="C54" s="81">
        <v>1</v>
      </c>
      <c r="D54" s="67" t="s">
        <v>26</v>
      </c>
      <c r="E54" s="69" t="s">
        <v>27</v>
      </c>
      <c r="F54" s="67">
        <v>4375</v>
      </c>
      <c r="G54" s="67" t="s">
        <v>101</v>
      </c>
      <c r="H54" s="70">
        <v>46275</v>
      </c>
      <c r="I54" s="80">
        <v>46274</v>
      </c>
      <c r="J54" s="67" t="str">
        <f>+VLOOKUP(K54,[1]Datos!$A:$C,3,FALSE)</f>
        <v>ROOSEVELT</v>
      </c>
      <c r="K54" s="67">
        <v>339</v>
      </c>
      <c r="L54" s="67" t="str">
        <f>+VLOOKUP(K54,[1]Datos!$A:$C,2,FALSE)</f>
        <v>ANDARIA</v>
      </c>
      <c r="M54" s="67">
        <v>309034</v>
      </c>
      <c r="N54" s="67" t="str">
        <f>+VLOOKUP(M54,[1]Datos!$F:$G,2,FALSE)</f>
        <v>Herbert Josue Mucia Garcia</v>
      </c>
      <c r="O54" s="72">
        <f>IFERROR(IF(A54="SI",VLOOKUP(R54,[1]Datos!$J$1:$K$50,2,FALSE)*C54,VLOOKUP(R54,[1]Datos!$P$1:$T$13,2,FALSE)*C54),0)</f>
        <v>816</v>
      </c>
      <c r="P54" s="81">
        <v>309503</v>
      </c>
      <c r="Q54" s="67" t="str">
        <f>+VLOOKUP(P54,[1]Datos!$F:$G,2,FALSE)</f>
        <v>Mildred Yaneth Figueroa Garcia</v>
      </c>
      <c r="R54" s="67" t="s">
        <v>29</v>
      </c>
      <c r="T54" s="69" t="e">
        <f>IF(VLOOKUP(M54,'[1]COLABORADORES UN'!$A:$A,1,FALSE),"Colaborador UN","NO")</f>
        <v>#N/A</v>
      </c>
      <c r="V54" s="69">
        <f t="shared" si="1"/>
        <v>1</v>
      </c>
      <c r="W54" s="69">
        <f>+VLOOKUP(M54,[1]Datos!$F:$H,3,FALSE)</f>
        <v>0</v>
      </c>
      <c r="X54" s="69">
        <v>0</v>
      </c>
      <c r="Y54" s="74"/>
      <c r="Z54" s="69" t="e">
        <f>VLOOKUP(M54,'[2]INDIVIDUAL UN'!$C$6:$F$222,4,FALSE)</f>
        <v>#N/A</v>
      </c>
    </row>
    <row r="55" spans="1:26" ht="22" hidden="1" customHeight="1" x14ac:dyDescent="0.35">
      <c r="A55" s="9" t="s">
        <v>25</v>
      </c>
      <c r="B55" s="9"/>
      <c r="C55" s="10">
        <v>1</v>
      </c>
      <c r="D55" s="11" t="s">
        <v>26</v>
      </c>
      <c r="E55" s="13" t="s">
        <v>27</v>
      </c>
      <c r="F55" s="11">
        <v>4378</v>
      </c>
      <c r="G55" s="82" t="s">
        <v>102</v>
      </c>
      <c r="H55" s="14">
        <v>46276</v>
      </c>
      <c r="I55" s="14">
        <v>46274</v>
      </c>
      <c r="J55" s="15" t="str">
        <f>+VLOOKUP(K55,[1]Datos!$A:$C,3,FALSE)</f>
        <v>ROOSEVELT</v>
      </c>
      <c r="K55" s="13">
        <v>351</v>
      </c>
      <c r="L55" s="15" t="str">
        <f>+VLOOKUP(K55,[1]Datos!$A:$C,2,FALSE)</f>
        <v xml:space="preserve">EL PARADOR ANTIGUA </v>
      </c>
      <c r="M55" s="41">
        <v>90087169</v>
      </c>
      <c r="N55" s="15" t="str">
        <f>+VLOOKUP(M55,[1]Datos!$F:$G,2,FALSE)</f>
        <v>MARIA CRISTINA CURRUCHICH VELASCO</v>
      </c>
      <c r="O55" s="17">
        <f>IFERROR(IF(A55="SI",VLOOKUP(R55,[1]Datos!$J$1:$K$50,2,FALSE)*C55,VLOOKUP(R55,[1]Datos!$P$1:$T$13,2,FALSE)*C55),0)</f>
        <v>816</v>
      </c>
      <c r="P55" s="18">
        <v>309415</v>
      </c>
      <c r="Q55" s="15" t="str">
        <f>+VLOOKUP(P55,[1]Datos!$F:$G,2,FALSE)</f>
        <v>Angel Jose Figueroa Garcia</v>
      </c>
      <c r="R55" s="9" t="s">
        <v>29</v>
      </c>
      <c r="S55" s="11"/>
      <c r="T55" s="11" t="e">
        <f>IF(VLOOKUP(M55,'[1]COLABORADORES UN'!$A:$A,1,FALSE),"Colaborador UN","NO")</f>
        <v>#N/A</v>
      </c>
      <c r="U55" s="11"/>
      <c r="V55" s="11">
        <f t="shared" si="1"/>
        <v>1</v>
      </c>
      <c r="W55" s="11">
        <f>+VLOOKUP(M55,[1]Datos!$F:$H,3,FALSE)</f>
        <v>0</v>
      </c>
      <c r="X55">
        <v>2</v>
      </c>
      <c r="Y55" s="19"/>
      <c r="Z55" t="e">
        <f>VLOOKUP(M55,'[2]INDIVIDUAL UN'!$C$6:$F$222,4,FALSE)</f>
        <v>#N/A</v>
      </c>
    </row>
    <row r="56" spans="1:26" s="86" customFormat="1" ht="17.5" hidden="1" customHeight="1" x14ac:dyDescent="0.35">
      <c r="A56" s="9" t="s">
        <v>25</v>
      </c>
      <c r="B56" s="9"/>
      <c r="C56" s="10">
        <v>1</v>
      </c>
      <c r="D56" s="11" t="s">
        <v>26</v>
      </c>
      <c r="E56" s="13" t="s">
        <v>27</v>
      </c>
      <c r="F56" s="11">
        <v>4420</v>
      </c>
      <c r="G56" s="11" t="s">
        <v>103</v>
      </c>
      <c r="H56" s="14">
        <v>46276</v>
      </c>
      <c r="I56" s="14">
        <v>46276</v>
      </c>
      <c r="J56" s="83" t="str">
        <f>+VLOOKUP(K56,[1]Datos!$A:$C,3,FALSE)</f>
        <v>ROOSEVELT</v>
      </c>
      <c r="K56" s="13">
        <v>357</v>
      </c>
      <c r="L56" s="83" t="str">
        <f>+VLOOKUP(K56,[1]Datos!$A:$C,2,FALSE)</f>
        <v xml:space="preserve"> PASEO ANTIGUA</v>
      </c>
      <c r="M56" s="41">
        <v>314089</v>
      </c>
      <c r="N56" s="83" t="str">
        <f>+VLOOKUP(M56,[1]Datos!$F:$G,2,FALSE)</f>
        <v>Marlin Yesenia Chacon Garcia</v>
      </c>
      <c r="O56" s="84">
        <f>IFERROR(IF(A56="SI",VLOOKUP(R56,[1]Datos!$J$1:$K$50,2,FALSE)*C56,VLOOKUP(R56,[1]Datos!$P$1:$T$13,2,FALSE)*C56),0)</f>
        <v>816</v>
      </c>
      <c r="P56" s="66">
        <v>309765</v>
      </c>
      <c r="Q56" s="83" t="str">
        <f>+VLOOKUP(P56,[1]Datos!$F:$G,2,FALSE)</f>
        <v>Jose Luis Velasquez Miche</v>
      </c>
      <c r="R56" s="83" t="s">
        <v>29</v>
      </c>
      <c r="S56" s="85"/>
      <c r="T56" s="85" t="e">
        <f>IF(VLOOKUP(M56,'[1]COLABORADORES UN'!$A:$A,1,FALSE),"Colaborador UN","NO")</f>
        <v>#N/A</v>
      </c>
      <c r="U56" s="85"/>
      <c r="V56" s="85">
        <f t="shared" si="1"/>
        <v>1</v>
      </c>
      <c r="W56" s="85">
        <f>+VLOOKUP(M56,[1]Datos!$F:$H,3,FALSE)</f>
        <v>0</v>
      </c>
      <c r="X56" s="86">
        <v>0</v>
      </c>
      <c r="Y56" s="87"/>
      <c r="Z56" s="86" t="e">
        <f>VLOOKUP(M56,'[2]INDIVIDUAL UN'!$C$6:$F$222,4,FALSE)</f>
        <v>#N/A</v>
      </c>
    </row>
    <row r="57" spans="1:26" ht="14.5" hidden="1" customHeight="1" x14ac:dyDescent="0.35">
      <c r="A57" s="9" t="s">
        <v>25</v>
      </c>
      <c r="B57" s="9"/>
      <c r="C57" s="10">
        <v>2</v>
      </c>
      <c r="D57" s="11" t="s">
        <v>26</v>
      </c>
      <c r="E57" s="13" t="s">
        <v>30</v>
      </c>
      <c r="F57" s="11">
        <v>1210</v>
      </c>
      <c r="G57" s="11" t="s">
        <v>104</v>
      </c>
      <c r="H57" s="14">
        <v>46276</v>
      </c>
      <c r="I57" s="14">
        <v>46276</v>
      </c>
      <c r="J57" s="15" t="str">
        <f>+VLOOKUP(K57,[1]Datos!$A:$C,3,FALSE)</f>
        <v>ROOSEVELT</v>
      </c>
      <c r="K57" s="13">
        <v>357</v>
      </c>
      <c r="L57" s="15" t="str">
        <f>+VLOOKUP(K57,[1]Datos!$A:$C,2,FALSE)</f>
        <v xml:space="preserve"> PASEO ANTIGUA</v>
      </c>
      <c r="M57" s="41">
        <v>90049224</v>
      </c>
      <c r="N57" s="15" t="str">
        <f>+VLOOKUP(M57,[1]Datos!$F:$G,2,FALSE)</f>
        <v>VIVI LOURDES LOPEZ ZULETA</v>
      </c>
      <c r="O57" s="17">
        <f>IFERROR(IF(A57="SI",VLOOKUP(R57,[1]Datos!$J$1:$K$50,2,FALSE)*C57,VLOOKUP(R57,[1]Datos!$P$1:$T$13,2,FALSE)*C57),0)</f>
        <v>1632</v>
      </c>
      <c r="P57" s="66">
        <v>309765</v>
      </c>
      <c r="Q57" s="15" t="str">
        <f>+VLOOKUP(P57,[1]Datos!$F:$G,2,FALSE)</f>
        <v>Jose Luis Velasquez Miche</v>
      </c>
      <c r="R57" s="9" t="s">
        <v>29</v>
      </c>
      <c r="S57" s="11"/>
      <c r="T57" s="11" t="e">
        <f>IF(VLOOKUP(M57,'[1]COLABORADORES UN'!$A:$A,1,FALSE),"Colaborador UN","NO")</f>
        <v>#N/A</v>
      </c>
      <c r="U57" s="11"/>
      <c r="V57" s="11">
        <f t="shared" si="1"/>
        <v>1</v>
      </c>
      <c r="W57" s="11">
        <f>+VLOOKUP(M57,[1]Datos!$F:$H,3,FALSE)</f>
        <v>0</v>
      </c>
      <c r="X57">
        <v>0</v>
      </c>
      <c r="Y57" s="19"/>
      <c r="Z57" t="e">
        <f>VLOOKUP(M57,'[2]INDIVIDUAL UN'!$C$6:$F$222,4,FALSE)</f>
        <v>#N/A</v>
      </c>
    </row>
    <row r="58" spans="1:26" ht="15.5" hidden="1" customHeight="1" x14ac:dyDescent="0.35">
      <c r="A58" s="9" t="s">
        <v>25</v>
      </c>
      <c r="B58" s="9"/>
      <c r="C58" s="10">
        <v>1</v>
      </c>
      <c r="D58" s="11" t="s">
        <v>26</v>
      </c>
      <c r="E58" s="13" t="s">
        <v>27</v>
      </c>
      <c r="F58" s="11">
        <v>4422</v>
      </c>
      <c r="G58" s="11" t="s">
        <v>105</v>
      </c>
      <c r="H58" s="14">
        <v>46276</v>
      </c>
      <c r="I58" s="14">
        <v>46276</v>
      </c>
      <c r="J58" s="15" t="str">
        <f>+VLOOKUP(K58,[1]Datos!$A:$C,3,FALSE)</f>
        <v>ROOSEVELT</v>
      </c>
      <c r="K58" s="13">
        <v>357</v>
      </c>
      <c r="L58" s="15" t="str">
        <f>+VLOOKUP(K58,[1]Datos!$A:$C,2,FALSE)</f>
        <v xml:space="preserve"> PASEO ANTIGUA</v>
      </c>
      <c r="M58" s="41">
        <v>90049224</v>
      </c>
      <c r="N58" s="15" t="str">
        <f>+VLOOKUP(M58,[1]Datos!$F:$G,2,FALSE)</f>
        <v>VIVI LOURDES LOPEZ ZULETA</v>
      </c>
      <c r="O58" s="17">
        <f>IFERROR(IF(A58="SI",VLOOKUP(R58,[1]Datos!$J$1:$K$50,2,FALSE)*C58,VLOOKUP(R58,[1]Datos!$P$1:$T$13,2,FALSE)*C58),0)</f>
        <v>816</v>
      </c>
      <c r="P58" s="66">
        <v>309765</v>
      </c>
      <c r="Q58" s="15" t="str">
        <f>+VLOOKUP(P58,[1]Datos!$F:$G,2,FALSE)</f>
        <v>Jose Luis Velasquez Miche</v>
      </c>
      <c r="R58" s="9" t="s">
        <v>29</v>
      </c>
      <c r="S58" s="11"/>
      <c r="T58" s="11" t="e">
        <f>IF(VLOOKUP(M58,'[1]COLABORADORES UN'!$A:$A,1,FALSE),"Colaborador UN","NO")</f>
        <v>#N/A</v>
      </c>
      <c r="U58" s="11"/>
      <c r="V58" s="11">
        <f t="shared" si="1"/>
        <v>1</v>
      </c>
      <c r="W58" s="11">
        <f>+VLOOKUP(M58,[1]Datos!$F:$H,3,FALSE)</f>
        <v>0</v>
      </c>
      <c r="X58">
        <v>0</v>
      </c>
      <c r="Y58" s="19"/>
      <c r="Z58" t="e">
        <f>VLOOKUP(M58,'[2]INDIVIDUAL UN'!$C$6:$F$222,4,FALSE)</f>
        <v>#N/A</v>
      </c>
    </row>
    <row r="59" spans="1:26" s="11" customFormat="1" ht="13" hidden="1" customHeight="1" x14ac:dyDescent="0.35">
      <c r="A59" s="9" t="s">
        <v>25</v>
      </c>
      <c r="B59" s="9"/>
      <c r="C59">
        <v>1</v>
      </c>
      <c r="D59" s="11" t="s">
        <v>26</v>
      </c>
      <c r="E59" s="88" t="s">
        <v>27</v>
      </c>
      <c r="F59" s="88">
        <v>4412</v>
      </c>
      <c r="G59" s="88" t="s">
        <v>106</v>
      </c>
      <c r="H59" s="29">
        <v>46276</v>
      </c>
      <c r="I59" s="29">
        <v>46275</v>
      </c>
      <c r="J59" s="15" t="str">
        <f>+VLOOKUP(K59,[1]Datos!$A:$C,3,FALSE)</f>
        <v>ROOSEVELT</v>
      </c>
      <c r="K59" s="11">
        <v>127</v>
      </c>
      <c r="L59" s="15" t="str">
        <f>+VLOOKUP(K59,[1]Datos!$A:$C,2,FALSE)</f>
        <v>CHIMALTENANGO 2</v>
      </c>
      <c r="M59" s="11">
        <v>311846</v>
      </c>
      <c r="N59" s="15" t="str">
        <f>+VLOOKUP(M59,[1]Datos!$F:$G,2,FALSE)</f>
        <v>Ricardo Antonio Vasquez Meza</v>
      </c>
      <c r="O59" s="17">
        <f>IFERROR(IF(A59="SI",VLOOKUP(R59,[1]Datos!$J$1:$K$50,2,FALSE)*C59,VLOOKUP(R59,[1]Datos!$P$1:$T$13,2,FALSE)*C59),0)</f>
        <v>816</v>
      </c>
      <c r="P59" s="8">
        <v>306655</v>
      </c>
      <c r="Q59" s="15" t="str">
        <f>+VLOOKUP(P59,[1]Datos!$F:$G,2,FALSE)</f>
        <v>Marvin Alexander Choguix Chex</v>
      </c>
      <c r="R59" s="9" t="s">
        <v>29</v>
      </c>
      <c r="T59" s="11" t="e">
        <f>IF(VLOOKUP(M59,'[1]COLABORADORES UN'!$A:$A,1,FALSE),"Colaborador UN","NO")</f>
        <v>#N/A</v>
      </c>
      <c r="V59" s="11">
        <f t="shared" si="1"/>
        <v>2</v>
      </c>
      <c r="W59" s="11">
        <f>+VLOOKUP(M59,[1]Datos!$F:$H,3,FALSE)</f>
        <v>0</v>
      </c>
      <c r="X59" s="11">
        <v>0</v>
      </c>
      <c r="Y59" s="42"/>
      <c r="Z59" s="11" t="e">
        <f>VLOOKUP(M59,'[2]INDIVIDUAL UN'!$C$6:$F$222,4,FALSE)</f>
        <v>#N/A</v>
      </c>
    </row>
    <row r="60" spans="1:26" s="11" customFormat="1" ht="15.5" hidden="1" customHeight="1" x14ac:dyDescent="0.35">
      <c r="A60" s="9" t="s">
        <v>25</v>
      </c>
      <c r="B60" s="9"/>
      <c r="C60" s="30">
        <v>3</v>
      </c>
      <c r="D60" s="9" t="s">
        <v>26</v>
      </c>
      <c r="E60" s="9" t="s">
        <v>107</v>
      </c>
      <c r="F60" s="9">
        <v>65</v>
      </c>
      <c r="G60" s="9" t="s">
        <v>108</v>
      </c>
      <c r="H60" s="44">
        <v>46276</v>
      </c>
      <c r="I60" s="44">
        <v>46276</v>
      </c>
      <c r="J60" s="15" t="str">
        <f>+VLOOKUP(K60,[1]Datos!$A:$C,3,FALSE)</f>
        <v>ROOSEVELT</v>
      </c>
      <c r="K60" s="9">
        <v>339</v>
      </c>
      <c r="L60" s="15" t="str">
        <f>+VLOOKUP(K60,[1]Datos!$A:$C,2,FALSE)</f>
        <v>ANDARIA</v>
      </c>
      <c r="M60" s="9">
        <v>90061141</v>
      </c>
      <c r="N60" s="15" t="str">
        <f>+VLOOKUP(M60,[1]Datos!$F:$G,2,FALSE)</f>
        <v>Edison Alexis Manuel Fuentes Alonzo</v>
      </c>
      <c r="O60" s="17">
        <f>IFERROR(IF(A60="SI",VLOOKUP(R60,[1]Datos!$J$1:$K$50,2,FALSE)*C60,VLOOKUP(R60,[1]Datos!$P$1:$T$13,2,FALSE)*C60),0)</f>
        <v>3024</v>
      </c>
      <c r="P60" s="30">
        <v>309503</v>
      </c>
      <c r="Q60" s="15" t="str">
        <f>+VLOOKUP(P60,[1]Datos!$F:$G,2,FALSE)</f>
        <v>Mildred Yaneth Figueroa Garcia</v>
      </c>
      <c r="R60" s="9" t="s">
        <v>41</v>
      </c>
      <c r="T60" s="11" t="e">
        <f>IF(VLOOKUP(M60,'[1]COLABORADORES UN'!$A:$A,1,FALSE),"Colaborador UN","NO")</f>
        <v>#N/A</v>
      </c>
      <c r="V60" s="11">
        <f t="shared" si="1"/>
        <v>1</v>
      </c>
      <c r="W60" s="11">
        <f>+VLOOKUP(M60,[1]Datos!$F:$H,3,FALSE)</f>
        <v>0</v>
      </c>
      <c r="X60" s="11">
        <v>2</v>
      </c>
      <c r="Y60" s="42"/>
      <c r="Z60" s="11" t="e">
        <f>VLOOKUP(M60,'[2]INDIVIDUAL UN'!$C$6:$F$222,4,FALSE)</f>
        <v>#N/A</v>
      </c>
    </row>
    <row r="61" spans="1:26" s="11" customFormat="1" ht="17" hidden="1" customHeight="1" x14ac:dyDescent="0.45">
      <c r="A61" s="9" t="s">
        <v>25</v>
      </c>
      <c r="B61" s="9"/>
      <c r="C61" s="10">
        <v>1</v>
      </c>
      <c r="D61" s="11" t="s">
        <v>26</v>
      </c>
      <c r="E61" s="13" t="s">
        <v>27</v>
      </c>
      <c r="F61" s="11">
        <v>4438</v>
      </c>
      <c r="G61" s="13" t="s">
        <v>109</v>
      </c>
      <c r="H61" s="14">
        <v>46277</v>
      </c>
      <c r="I61" s="14">
        <v>46277</v>
      </c>
      <c r="J61" s="15" t="str">
        <f>+VLOOKUP(K61,[1]Datos!$A:$C,3,FALSE)</f>
        <v>ROOSEVELT</v>
      </c>
      <c r="K61" s="13">
        <v>357</v>
      </c>
      <c r="L61" s="15" t="str">
        <f>+VLOOKUP(K61,[1]Datos!$A:$C,2,FALSE)</f>
        <v xml:space="preserve"> PASEO ANTIGUA</v>
      </c>
      <c r="M61" s="41">
        <v>101866</v>
      </c>
      <c r="N61" s="15" t="str">
        <f>+VLOOKUP(M61,[1]Datos!$F:$G,2,FALSE)</f>
        <v>Mirna Violeta Carrillo Gonzalez</v>
      </c>
      <c r="O61" s="17">
        <f>IFERROR(IF(A61="SI",VLOOKUP(R61,[1]Datos!$J$1:$K$50,2,FALSE)*C61,VLOOKUP(R61,[1]Datos!$P$1:$T$13,2,FALSE)*C61),0)</f>
        <v>816</v>
      </c>
      <c r="P61" s="45">
        <v>309765</v>
      </c>
      <c r="Q61" s="15" t="str">
        <f>+VLOOKUP(P61,[1]Datos!$F:$G,2,FALSE)</f>
        <v>Jose Luis Velasquez Miche</v>
      </c>
      <c r="R61" s="9" t="s">
        <v>29</v>
      </c>
      <c r="T61" s="11" t="e">
        <f>IF(VLOOKUP(M61,'[1]COLABORADORES UN'!$A:$A,1,FALSE),"Colaborador UN","NO")</f>
        <v>#N/A</v>
      </c>
      <c r="V61" s="11">
        <f t="shared" si="1"/>
        <v>1</v>
      </c>
      <c r="W61" s="11">
        <f>+VLOOKUP(M61,[1]Datos!$F:$H,3,FALSE)</f>
        <v>0</v>
      </c>
      <c r="X61" s="11">
        <v>0</v>
      </c>
      <c r="Y61" s="58"/>
      <c r="Z61" s="11" t="e">
        <f>VLOOKUP(M61,'[2]INDIVIDUAL UN'!$C$6:$F$222,4,FALSE)</f>
        <v>#N/A</v>
      </c>
    </row>
    <row r="62" spans="1:26" s="89" customFormat="1" ht="15.5" hidden="1" customHeight="1" x14ac:dyDescent="0.35">
      <c r="A62" s="9" t="s">
        <v>25</v>
      </c>
      <c r="B62" s="51"/>
      <c r="C62" s="20">
        <v>1</v>
      </c>
      <c r="D62" s="11" t="s">
        <v>26</v>
      </c>
      <c r="E62" s="13" t="s">
        <v>27</v>
      </c>
      <c r="F62" s="11">
        <v>4417</v>
      </c>
      <c r="G62" s="13" t="s">
        <v>110</v>
      </c>
      <c r="H62" s="14">
        <v>46277</v>
      </c>
      <c r="I62" s="14">
        <v>46276</v>
      </c>
      <c r="J62" s="52" t="str">
        <f>+VLOOKUP(K62,[1]Datos!$A:$C,3,FALSE)</f>
        <v>ROOSEVELT</v>
      </c>
      <c r="K62" s="13">
        <v>37</v>
      </c>
      <c r="L62" s="52" t="str">
        <f>+VLOOKUP(K62,[1]Datos!$A:$C,2,FALSE)</f>
        <v>SAN JUAN SACATEPEQUEZ</v>
      </c>
      <c r="M62" s="22">
        <v>90084038</v>
      </c>
      <c r="N62" s="52" t="str">
        <f>+VLOOKUP(M62,[1]Datos!$F:$G,2,FALSE)</f>
        <v>LILIAN NOHEMI GONZALEZ GALICIA</v>
      </c>
      <c r="O62" s="17">
        <f>IFERROR(IF(A62="SI",VLOOKUP(R62,[1]Datos!$J$1:$K$50,2,FALSE)*C62,VLOOKUP(R62,[1]Datos!$P$1:$T$13,2,FALSE)*C62),0)</f>
        <v>2736</v>
      </c>
      <c r="P62" s="24">
        <v>312835</v>
      </c>
      <c r="Q62" s="52" t="str">
        <f>+VLOOKUP(P62,[1]Datos!$F:$G,2,FALSE)</f>
        <v>Manuel Estuardo Arriaga Garcia</v>
      </c>
      <c r="R62" s="51" t="s">
        <v>77</v>
      </c>
      <c r="S62" s="11"/>
      <c r="T62" s="11" t="e">
        <f>IF(VLOOKUP(M62,'[1]COLABORADORES UN'!$A:$A,1,FALSE),"Colaborador UN","NO")</f>
        <v>#N/A</v>
      </c>
      <c r="U62" s="53"/>
      <c r="V62" s="11">
        <f t="shared" si="1"/>
        <v>1</v>
      </c>
      <c r="W62" s="53">
        <f>+VLOOKUP(M62,[1]Datos!$F:$H,3,FALSE)</f>
        <v>0</v>
      </c>
      <c r="X62" s="89">
        <v>0</v>
      </c>
      <c r="Y62" s="33"/>
      <c r="Z62" s="89" t="e">
        <f>VLOOKUP(M62,'[2]INDIVIDUAL UN'!$C$6:$F$222,4,FALSE)</f>
        <v>#N/A</v>
      </c>
    </row>
    <row r="63" spans="1:26" ht="15" hidden="1" customHeight="1" x14ac:dyDescent="0.35">
      <c r="A63" s="9" t="s">
        <v>25</v>
      </c>
      <c r="B63" s="9"/>
      <c r="C63" s="28">
        <v>1</v>
      </c>
      <c r="D63" s="11" t="s">
        <v>26</v>
      </c>
      <c r="E63" s="11" t="s">
        <v>42</v>
      </c>
      <c r="F63" s="11">
        <v>412</v>
      </c>
      <c r="G63" s="11" t="s">
        <v>111</v>
      </c>
      <c r="H63" s="29">
        <v>46277</v>
      </c>
      <c r="I63" s="29">
        <v>46270</v>
      </c>
      <c r="J63" s="15" t="str">
        <f>+VLOOKUP(K63,[1]Datos!$A:$C,3,FALSE)</f>
        <v>ROOSEVELT</v>
      </c>
      <c r="K63" s="11">
        <v>200</v>
      </c>
      <c r="L63" s="90" t="str">
        <f>+VLOOKUP(K63,[1]Datos!$A:$C,2,FALSE)</f>
        <v>GALERIAS MIRAFLORES</v>
      </c>
      <c r="M63" s="32">
        <v>90086879</v>
      </c>
      <c r="N63" s="15" t="str">
        <f>+VLOOKUP(M63,[1]Datos!$F:$G,2,FALSE)</f>
        <v>GLENDY YOMARA CAN</v>
      </c>
      <c r="O63" s="17">
        <f>IFERROR(IF(A63="SI",VLOOKUP(R63,[1]Datos!$J$1:$K$50,2,FALSE)*C63,VLOOKUP(R63,[1]Datos!$P$1:$T$13,2,FALSE)*C63),0)</f>
        <v>1092</v>
      </c>
      <c r="P63" s="8">
        <v>312255</v>
      </c>
      <c r="Q63" s="15" t="str">
        <f>+VLOOKUP(P63,[1]Datos!$F:$G,2,FALSE)</f>
        <v>Jacqueline Mercedes Portuguez Simaj</v>
      </c>
      <c r="R63" s="9" t="s">
        <v>44</v>
      </c>
      <c r="S63" s="11"/>
      <c r="T63" s="11" t="e">
        <f>IF(VLOOKUP(M63,'[1]COLABORADORES UN'!$A:$A,1,FALSE),"Colaborador UN","NO")</f>
        <v>#N/A</v>
      </c>
      <c r="U63" s="11"/>
      <c r="V63" s="11">
        <f t="shared" si="1"/>
        <v>1</v>
      </c>
      <c r="W63" s="11">
        <f>+VLOOKUP(M63,[1]Datos!$F:$H,3,FALSE)</f>
        <v>0</v>
      </c>
      <c r="X63">
        <v>0</v>
      </c>
      <c r="Y63" s="33"/>
      <c r="Z63" t="e">
        <f>VLOOKUP(M63,'[2]INDIVIDUAL UN'!$C$6:$F$222,4,FALSE)</f>
        <v>#N/A</v>
      </c>
    </row>
    <row r="64" spans="1:26" ht="16" hidden="1" customHeight="1" x14ac:dyDescent="0.35">
      <c r="A64" s="9" t="s">
        <v>25</v>
      </c>
      <c r="B64" s="9"/>
      <c r="C64" s="28">
        <v>3</v>
      </c>
      <c r="D64" s="11" t="s">
        <v>26</v>
      </c>
      <c r="E64" s="11" t="s">
        <v>62</v>
      </c>
      <c r="F64" s="11">
        <v>639</v>
      </c>
      <c r="G64" s="91" t="s">
        <v>112</v>
      </c>
      <c r="H64" s="29">
        <v>46277</v>
      </c>
      <c r="I64" s="29">
        <v>46277</v>
      </c>
      <c r="J64" s="15" t="str">
        <f>+VLOOKUP(K64,[1]Datos!$A:$C,3,FALSE)</f>
        <v>ROOSEVELT</v>
      </c>
      <c r="K64" s="13">
        <v>252</v>
      </c>
      <c r="L64" s="15" t="str">
        <f>+VLOOKUP(K64,[1]Datos!$A:$C,2,FALSE)</f>
        <v>ESKALA ROOSEVELT</v>
      </c>
      <c r="M64" s="11">
        <v>90065490</v>
      </c>
      <c r="N64" s="15" t="str">
        <f>+VLOOKUP(M64,[1]Datos!$F:$G,2,FALSE)</f>
        <v>Melanie Alessandra Niz Hernandez</v>
      </c>
      <c r="O64" s="17">
        <f>IFERROR(IF(A64="SI",VLOOKUP(R64,[1]Datos!$J$1:$K$50,2,FALSE)*C64,VLOOKUP(R64,[1]Datos!$P$1:$T$13,2,FALSE)*C64),0)</f>
        <v>2448</v>
      </c>
      <c r="P64" s="24">
        <v>302479</v>
      </c>
      <c r="Q64" s="15" t="str">
        <f>+VLOOKUP(P64,[1]Datos!$F:$G,2,FALSE)</f>
        <v>Helen Xiomara Roldan Sagastume</v>
      </c>
      <c r="R64" s="9" t="s">
        <v>29</v>
      </c>
      <c r="S64" s="11"/>
      <c r="T64" s="11" t="e">
        <f>IF(VLOOKUP(M64,'[1]COLABORADORES UN'!$A:$A,1,FALSE),"Colaborador UN","NO")</f>
        <v>#N/A</v>
      </c>
      <c r="U64" s="11"/>
      <c r="V64" s="11">
        <f t="shared" si="1"/>
        <v>1</v>
      </c>
      <c r="W64" s="11">
        <f>+VLOOKUP(M64,[1]Datos!$F:$H,3,FALSE)</f>
        <v>0</v>
      </c>
      <c r="X64">
        <v>0</v>
      </c>
      <c r="Y64" s="33"/>
      <c r="Z64" t="e">
        <f>VLOOKUP(M64,'[2]INDIVIDUAL UN'!$C$6:$F$222,4,FALSE)</f>
        <v>#N/A</v>
      </c>
    </row>
    <row r="65" spans="1:26" ht="14" hidden="1" customHeight="1" x14ac:dyDescent="0.35">
      <c r="A65" s="9" t="s">
        <v>25</v>
      </c>
      <c r="B65" s="9"/>
      <c r="C65" s="28">
        <v>1</v>
      </c>
      <c r="D65" s="11" t="s">
        <v>26</v>
      </c>
      <c r="E65" s="11" t="s">
        <v>42</v>
      </c>
      <c r="F65" s="11">
        <v>425</v>
      </c>
      <c r="G65" s="91" t="s">
        <v>113</v>
      </c>
      <c r="H65" s="29">
        <v>46277</v>
      </c>
      <c r="I65" s="29">
        <v>46277</v>
      </c>
      <c r="J65" s="15" t="str">
        <f>+VLOOKUP(K65,[1]Datos!$A:$C,3,FALSE)</f>
        <v>ROOSEVELT</v>
      </c>
      <c r="K65" s="13">
        <v>252</v>
      </c>
      <c r="L65" s="15" t="str">
        <f>+VLOOKUP(K65,[1]Datos!$A:$C,2,FALSE)</f>
        <v>ESKALA ROOSEVELT</v>
      </c>
      <c r="M65" s="11">
        <v>90065490</v>
      </c>
      <c r="N65" s="15" t="str">
        <f>+VLOOKUP(M65,[1]Datos!$F:$G,2,FALSE)</f>
        <v>Melanie Alessandra Niz Hernandez</v>
      </c>
      <c r="O65" s="17">
        <f>IFERROR(IF(A65="SI",VLOOKUP(R65,[1]Datos!$J$1:$K$50,2,FALSE)*C65,VLOOKUP(R65,[1]Datos!$P$1:$T$13,2,FALSE)*C65),0)</f>
        <v>1092</v>
      </c>
      <c r="P65" s="24">
        <v>302479</v>
      </c>
      <c r="Q65" s="15" t="str">
        <f>+VLOOKUP(P65,[1]Datos!$F:$G,2,FALSE)</f>
        <v>Helen Xiomara Roldan Sagastume</v>
      </c>
      <c r="R65" s="9" t="s">
        <v>44</v>
      </c>
      <c r="S65" s="11"/>
      <c r="T65" s="11" t="e">
        <f>IF(VLOOKUP(M65,'[1]COLABORADORES UN'!$A:$A,1,FALSE),"Colaborador UN","NO")</f>
        <v>#N/A</v>
      </c>
      <c r="U65" s="11"/>
      <c r="V65" s="11">
        <f t="shared" si="1"/>
        <v>1</v>
      </c>
      <c r="W65" s="11">
        <f>+VLOOKUP(M65,[1]Datos!$F:$H,3,FALSE)</f>
        <v>0</v>
      </c>
      <c r="X65">
        <v>0</v>
      </c>
      <c r="Y65" s="33"/>
      <c r="Z65" t="e">
        <f>VLOOKUP(M65,'[2]INDIVIDUAL UN'!$C$6:$F$222,4,FALSE)</f>
        <v>#N/A</v>
      </c>
    </row>
    <row r="66" spans="1:26" s="11" customFormat="1" ht="13" hidden="1" customHeight="1" x14ac:dyDescent="0.35">
      <c r="A66" s="9" t="s">
        <v>25</v>
      </c>
      <c r="B66" s="9"/>
      <c r="C66" s="28">
        <v>1</v>
      </c>
      <c r="D66" s="11" t="s">
        <v>26</v>
      </c>
      <c r="E66" s="11" t="s">
        <v>27</v>
      </c>
      <c r="F66" s="11">
        <v>4457</v>
      </c>
      <c r="G66" s="11" t="s">
        <v>114</v>
      </c>
      <c r="H66" s="29">
        <v>46277</v>
      </c>
      <c r="I66" s="29">
        <v>46276</v>
      </c>
      <c r="J66" s="15" t="str">
        <f>+VLOOKUP(K66,[1]Datos!$A:$C,3,FALSE)</f>
        <v>ROOSEVELT</v>
      </c>
      <c r="K66" s="11">
        <v>200</v>
      </c>
      <c r="L66" s="15" t="str">
        <f>+VLOOKUP(K66,[1]Datos!$A:$C,2,FALSE)</f>
        <v>GALERIAS MIRAFLORES</v>
      </c>
      <c r="M66" s="32">
        <v>90086730</v>
      </c>
      <c r="N66" s="15" t="str">
        <f>+VLOOKUP(M66,[1]Datos!$F:$G,2,FALSE)</f>
        <v>JUAN RAUL FUENTES MONTIEL</v>
      </c>
      <c r="O66" s="17">
        <f>IFERROR(IF(A66="SI",VLOOKUP(R66,[1]Datos!$J$1:$K$50,2,FALSE)*C66,VLOOKUP(R66,[1]Datos!$P$1:$T$13,2,FALSE)*C66),0)</f>
        <v>816</v>
      </c>
      <c r="P66" s="8">
        <v>312255</v>
      </c>
      <c r="Q66" s="15" t="str">
        <f>+VLOOKUP(P66,[1]Datos!$F:$G,2,FALSE)</f>
        <v>Jacqueline Mercedes Portuguez Simaj</v>
      </c>
      <c r="R66" s="9" t="s">
        <v>29</v>
      </c>
      <c r="T66" s="11" t="e">
        <f>IF(VLOOKUP(M66,'[1]COLABORADORES UN'!$A:$A,1,FALSE),"Colaborador UN","NO")</f>
        <v>#N/A</v>
      </c>
      <c r="V66" s="11">
        <f t="shared" si="1"/>
        <v>1</v>
      </c>
      <c r="W66" s="11">
        <f>+VLOOKUP(M66,[1]Datos!$F:$H,3,FALSE)</f>
        <v>0</v>
      </c>
      <c r="X66" s="28">
        <v>0</v>
      </c>
      <c r="Y66" s="42"/>
      <c r="Z66" s="11" t="e">
        <f>VLOOKUP(M66,'[2]INDIVIDUAL UN'!$C$6:$F$222,4,FALSE)</f>
        <v>#N/A</v>
      </c>
    </row>
    <row r="67" spans="1:26" s="11" customFormat="1" ht="16" hidden="1" customHeight="1" x14ac:dyDescent="0.35">
      <c r="A67" s="9" t="s">
        <v>25</v>
      </c>
      <c r="B67" s="9"/>
      <c r="C67" s="30">
        <v>1</v>
      </c>
      <c r="D67" s="9" t="s">
        <v>26</v>
      </c>
      <c r="E67" s="11" t="s">
        <v>64</v>
      </c>
      <c r="F67" s="9">
        <v>2591</v>
      </c>
      <c r="G67" s="92" t="s">
        <v>115</v>
      </c>
      <c r="H67" s="44">
        <v>46278</v>
      </c>
      <c r="I67" s="44">
        <v>46278</v>
      </c>
      <c r="J67" s="15" t="str">
        <f>+VLOOKUP(K67,[1]Datos!$A:$C,3,FALSE)</f>
        <v>ROOSEVELT</v>
      </c>
      <c r="K67" s="9">
        <v>339</v>
      </c>
      <c r="L67" s="15" t="str">
        <f>+VLOOKUP(K67,[1]Datos!$A:$C,2,FALSE)</f>
        <v>ANDARIA</v>
      </c>
      <c r="M67" s="9">
        <v>309034</v>
      </c>
      <c r="N67" s="15" t="str">
        <f>+VLOOKUP(M67,[1]Datos!$F:$G,2,FALSE)</f>
        <v>Herbert Josue Mucia Garcia</v>
      </c>
      <c r="O67" s="17">
        <f>IFERROR(IF(A67="SI",VLOOKUP(R67,[1]Datos!$J$1:$K$50,2,FALSE)*C67,VLOOKUP(R67,[1]Datos!$P$1:$T$13,2,FALSE)*C67),0)</f>
        <v>1008</v>
      </c>
      <c r="P67" s="30">
        <v>309503</v>
      </c>
      <c r="Q67" s="15" t="str">
        <f>+VLOOKUP(P67,[1]Datos!$F:$G,2,FALSE)</f>
        <v>Mildred Yaneth Figueroa Garcia</v>
      </c>
      <c r="R67" s="9" t="s">
        <v>41</v>
      </c>
      <c r="T67" s="11" t="e">
        <f>IF(VLOOKUP(M67,'[1]COLABORADORES UN'!$A:$A,1,FALSE),"Colaborador UN","NO")</f>
        <v>#N/A</v>
      </c>
      <c r="V67" s="11">
        <f t="shared" si="1"/>
        <v>1</v>
      </c>
      <c r="W67" s="11">
        <f>+VLOOKUP(M67,[1]Datos!$F:$H,3,FALSE)</f>
        <v>0</v>
      </c>
      <c r="X67" s="11">
        <v>0</v>
      </c>
      <c r="Y67" s="42"/>
      <c r="Z67" s="11" t="e">
        <f>VLOOKUP(M67,'[2]INDIVIDUAL UN'!$C$6:$F$222,4,FALSE)</f>
        <v>#N/A</v>
      </c>
    </row>
    <row r="68" spans="1:26" ht="15.5" hidden="1" customHeight="1" x14ac:dyDescent="0.35">
      <c r="A68" s="9" t="s">
        <v>25</v>
      </c>
      <c r="B68" s="11"/>
      <c r="C68">
        <v>1</v>
      </c>
      <c r="D68" s="11" t="s">
        <v>26</v>
      </c>
      <c r="E68" s="11" t="s">
        <v>42</v>
      </c>
      <c r="F68" s="11">
        <v>427</v>
      </c>
      <c r="G68" s="82" t="s">
        <v>116</v>
      </c>
      <c r="H68" s="44">
        <v>46279</v>
      </c>
      <c r="I68" s="29">
        <f ca="1">TODAY()</f>
        <v>46286</v>
      </c>
      <c r="J68" s="15" t="str">
        <f>+VLOOKUP(K68,[1]Datos!$A:$C,3,FALSE)</f>
        <v>ROOSEVELT</v>
      </c>
      <c r="K68" s="11">
        <v>252</v>
      </c>
      <c r="L68" s="15" t="str">
        <f>+VLOOKUP(K68,[1]Datos!$A:$C,2,FALSE)</f>
        <v>ESKALA ROOSEVELT</v>
      </c>
      <c r="M68" s="11">
        <v>90087636</v>
      </c>
      <c r="N68" s="15" t="str">
        <f>+VLOOKUP(M68,[1]Datos!$F:$G,2,FALSE)</f>
        <v>Neydelin Shaydi Poz Lopez</v>
      </c>
      <c r="O68" s="17">
        <f>IFERROR(IF(A68="SI",VLOOKUP(R68,[1]Datos!$J$1:$K$50,2,FALSE)*C68,VLOOKUP(R68,[1]Datos!$P$1:$T$13,2,FALSE)*C68),0)</f>
        <v>1092</v>
      </c>
      <c r="P68" s="8">
        <v>316268</v>
      </c>
      <c r="Q68" s="15" t="str">
        <f>+VLOOKUP(P68,[1]Datos!$F:$G,2,FALSE)</f>
        <v>SANTOS JOEL PEREZ OXLAJ</v>
      </c>
      <c r="R68" s="9" t="s">
        <v>44</v>
      </c>
      <c r="S68" s="11"/>
      <c r="T68" s="11" t="e">
        <f>IF(VLOOKUP(M68,'[1]COLABORADORES UN'!$A:$A,1,FALSE),"Colaborador UN","NO")</f>
        <v>#N/A</v>
      </c>
      <c r="U68" s="11"/>
      <c r="V68" s="11">
        <f t="shared" si="1"/>
        <v>1</v>
      </c>
      <c r="W68" s="11">
        <f>+VLOOKUP(M68,[1]Datos!$F:$H,3,FALSE)</f>
        <v>0</v>
      </c>
      <c r="X68">
        <v>1</v>
      </c>
      <c r="Y68" s="33"/>
    </row>
    <row r="69" spans="1:26" s="11" customFormat="1" ht="18.5" hidden="1" customHeight="1" x14ac:dyDescent="0.35">
      <c r="A69" s="9" t="s">
        <v>25</v>
      </c>
      <c r="C69">
        <v>1</v>
      </c>
      <c r="D69" s="11" t="s">
        <v>26</v>
      </c>
      <c r="E69" s="11" t="s">
        <v>86</v>
      </c>
      <c r="F69" s="11">
        <v>3882</v>
      </c>
      <c r="G69" s="11" t="s">
        <v>117</v>
      </c>
      <c r="H69" s="93">
        <v>46279</v>
      </c>
      <c r="I69" s="29">
        <v>46244</v>
      </c>
      <c r="J69" s="15" t="str">
        <f>+VLOOKUP(K69,[1]Datos!$A:$C,3,FALSE)</f>
        <v>ROOSEVELT</v>
      </c>
      <c r="K69" s="11">
        <v>252</v>
      </c>
      <c r="L69" s="15" t="str">
        <f>+VLOOKUP(K69,[1]Datos!$A:$C,2,FALSE)</f>
        <v>ESKALA ROOSEVELT</v>
      </c>
      <c r="M69" s="11">
        <v>90083711</v>
      </c>
      <c r="N69" s="15" t="str">
        <f>+VLOOKUP(M69,[1]Datos!$F:$G,2,FALSE)</f>
        <v>Nery Carlos Magdiel Ortega Del Aguila</v>
      </c>
      <c r="O69" s="17">
        <f>IFERROR(IF(A69="SI",VLOOKUP(R69,[1]Datos!$J$1:$K$50,2,FALSE)*C69,VLOOKUP(R69,[1]Datos!$P$1:$T$13,2,FALSE)*C69),0)</f>
        <v>1368</v>
      </c>
      <c r="P69" s="8">
        <v>316268</v>
      </c>
      <c r="Q69" s="15" t="str">
        <f>+VLOOKUP(P69,[1]Datos!$F:$G,2,FALSE)</f>
        <v>SANTOS JOEL PEREZ OXLAJ</v>
      </c>
      <c r="R69" s="9" t="s">
        <v>69</v>
      </c>
      <c r="T69" s="11" t="e">
        <f>IF(VLOOKUP(M69,'[1]COLABORADORES UN'!$A:$A,1,FALSE),"Colaborador UN","NO")</f>
        <v>#N/A</v>
      </c>
      <c r="V69" s="11">
        <f t="shared" si="1"/>
        <v>1</v>
      </c>
      <c r="W69" s="11">
        <f>+VLOOKUP(M69,[1]Datos!$F:$H,3,FALSE)</f>
        <v>0</v>
      </c>
      <c r="X69" s="11">
        <v>2</v>
      </c>
      <c r="Y69" s="42"/>
    </row>
    <row r="70" spans="1:26" s="11" customFormat="1" ht="13.5" hidden="1" customHeight="1" x14ac:dyDescent="0.35">
      <c r="A70" s="9" t="s">
        <v>25</v>
      </c>
      <c r="C70">
        <v>2</v>
      </c>
      <c r="D70" s="11" t="s">
        <v>26</v>
      </c>
      <c r="E70" s="11" t="s">
        <v>30</v>
      </c>
      <c r="F70" s="11">
        <v>1245</v>
      </c>
      <c r="G70" s="11" t="s">
        <v>118</v>
      </c>
      <c r="H70" s="93">
        <v>46279</v>
      </c>
      <c r="I70" s="29">
        <f ca="1">TODAY()</f>
        <v>46286</v>
      </c>
      <c r="J70" s="15" t="str">
        <f>+VLOOKUP(K70,[1]Datos!$A:$C,3,FALSE)</f>
        <v>ROOSEVELT</v>
      </c>
      <c r="K70" s="11">
        <v>252</v>
      </c>
      <c r="L70" s="15" t="str">
        <f>+VLOOKUP(K70,[1]Datos!$A:$C,2,FALSE)</f>
        <v>ESKALA ROOSEVELT</v>
      </c>
      <c r="M70" s="11">
        <v>315564</v>
      </c>
      <c r="N70" s="15" t="str">
        <f>+VLOOKUP(M70,[1]Datos!$F:$G,2,FALSE)</f>
        <v>Esvin Rolando Orozco Mulul</v>
      </c>
      <c r="O70" s="17">
        <f>IFERROR(IF(A70="SI",VLOOKUP(R70,[1]Datos!$J$1:$K$50,2,FALSE)*C70,VLOOKUP(R70,[1]Datos!$P$1:$T$13,2,FALSE)*C70),0)</f>
        <v>1632</v>
      </c>
      <c r="P70" s="28">
        <v>300544</v>
      </c>
      <c r="Q70" s="15" t="str">
        <f>+VLOOKUP(P70,[1]Datos!$F:$G,2,FALSE)</f>
        <v>Abner Enmanuel Perez Rodriguez</v>
      </c>
      <c r="R70" s="9" t="s">
        <v>29</v>
      </c>
      <c r="T70" s="11" t="e">
        <f>IF(VLOOKUP(M70,'[1]COLABORADORES UN'!$A:$A,1,FALSE),"Colaborador UN","NO")</f>
        <v>#N/A</v>
      </c>
      <c r="V70" s="11">
        <f t="shared" si="1"/>
        <v>1</v>
      </c>
      <c r="W70" s="11">
        <f>+VLOOKUP(M70,[1]Datos!$F:$H,3,FALSE)</f>
        <v>0</v>
      </c>
      <c r="X70" s="11">
        <v>3</v>
      </c>
      <c r="Y70" s="42"/>
    </row>
    <row r="71" spans="1:26" s="11" customFormat="1" ht="14.5" hidden="1" customHeight="1" x14ac:dyDescent="0.35">
      <c r="A71" s="9" t="s">
        <v>25</v>
      </c>
      <c r="C71" s="94">
        <v>1</v>
      </c>
      <c r="D71" s="95" t="s">
        <v>26</v>
      </c>
      <c r="E71" s="95" t="s">
        <v>27</v>
      </c>
      <c r="F71" s="95">
        <v>4496</v>
      </c>
      <c r="G71" s="95" t="s">
        <v>119</v>
      </c>
      <c r="H71" s="93">
        <v>46279</v>
      </c>
      <c r="I71" s="93">
        <v>46279</v>
      </c>
      <c r="J71" s="15" t="str">
        <f>+VLOOKUP(K71,[1]Datos!$A:$C,3,FALSE)</f>
        <v>ROOSEVELT</v>
      </c>
      <c r="K71" s="13">
        <v>347</v>
      </c>
      <c r="L71" s="15" t="str">
        <f>+VLOOKUP(K71,[1]Datos!$A:$C,2,FALSE)</f>
        <v>ANTIGUA LOS TELARES</v>
      </c>
      <c r="M71" s="41">
        <v>90086289</v>
      </c>
      <c r="N71" s="15" t="str">
        <f>+VLOOKUP(M71,[1]Datos!$F:$G,2,FALSE)</f>
        <v>MIGUEL ANGEL NARCISO CHUTA JUAREZ</v>
      </c>
      <c r="O71" s="17">
        <f>IFERROR(IF(A71="SI",VLOOKUP(R71,[1]Datos!$J$1:$K$50,2,FALSE)*C71,VLOOKUP(R71,[1]Datos!$P$1:$T$13,2,FALSE)*C71),0)</f>
        <v>1368</v>
      </c>
      <c r="P71" s="18">
        <v>307269</v>
      </c>
      <c r="Q71" s="15" t="str">
        <f>+VLOOKUP(P71,[1]Datos!$F:$G,2,FALSE)</f>
        <v>Lester Alexander Rodriguez Arevalo</v>
      </c>
      <c r="R71" s="9" t="s">
        <v>69</v>
      </c>
      <c r="T71" s="11" t="e">
        <f>IF(VLOOKUP(M71,'[1]COLABORADORES UN'!$A:$A,1,FALSE),"Colaborador UN","NO")</f>
        <v>#N/A</v>
      </c>
      <c r="V71" s="11">
        <f t="shared" si="1"/>
        <v>1</v>
      </c>
      <c r="W71" s="11">
        <f>+VLOOKUP(M71,[1]Datos!$F:$H,3,FALSE)</f>
        <v>0</v>
      </c>
      <c r="X71" s="11">
        <v>4</v>
      </c>
      <c r="Y71" s="42"/>
    </row>
    <row r="72" spans="1:26" ht="14.5" hidden="1" customHeight="1" x14ac:dyDescent="0.4">
      <c r="A72" s="9" t="s">
        <v>25</v>
      </c>
      <c r="B72" s="11"/>
      <c r="C72">
        <v>2</v>
      </c>
      <c r="D72" s="11" t="s">
        <v>26</v>
      </c>
      <c r="E72" s="60" t="s">
        <v>120</v>
      </c>
      <c r="F72" s="11">
        <v>141</v>
      </c>
      <c r="G72" s="11" t="s">
        <v>121</v>
      </c>
      <c r="H72" s="29">
        <v>46279</v>
      </c>
      <c r="I72" s="29">
        <v>46278</v>
      </c>
      <c r="J72" s="15" t="str">
        <f>+VLOOKUP(K72,[1]Datos!$A:$C,3,FALSE)</f>
        <v>ROOSEVELT</v>
      </c>
      <c r="K72" s="11">
        <v>200</v>
      </c>
      <c r="L72" s="15" t="str">
        <f>+VLOOKUP(K72,[1]Datos!$A:$C,2,FALSE)</f>
        <v>GALERIAS MIRAFLORES</v>
      </c>
      <c r="M72" s="11">
        <v>90086663</v>
      </c>
      <c r="N72" s="15" t="str">
        <f>+VLOOKUP(M72,[1]Datos!$F:$G,2,FALSE)</f>
        <v>EVELYN FABIOLA CAJ</v>
      </c>
      <c r="O72" s="17">
        <f>IFERROR(IF(A72="SI",VLOOKUP(R72,[1]Datos!$J$1:$K$50,2,FALSE)*C72,VLOOKUP(R72,[1]Datos!$P$1:$T$13,2,FALSE)*C72),0)</f>
        <v>2184</v>
      </c>
      <c r="P72" s="8">
        <v>315173</v>
      </c>
      <c r="Q72" s="15" t="str">
        <f>+VLOOKUP(P72,[1]Datos!$F:$G,2,FALSE)</f>
        <v>Jorge Luis Morales Lopez</v>
      </c>
      <c r="R72" s="9" t="s">
        <v>44</v>
      </c>
      <c r="S72" s="11"/>
      <c r="T72" s="11" t="e">
        <f>IF(VLOOKUP(M72,'[1]COLABORADORES UN'!$A:$A,1,FALSE),"Colaborador UN","NO")</f>
        <v>#N/A</v>
      </c>
      <c r="U72" s="11"/>
      <c r="V72" s="11">
        <f t="shared" si="1"/>
        <v>1</v>
      </c>
      <c r="W72" s="11">
        <f>+VLOOKUP(M72,[1]Datos!$F:$H,3,FALSE)</f>
        <v>0</v>
      </c>
      <c r="X72">
        <v>6</v>
      </c>
      <c r="Y72" s="33"/>
    </row>
    <row r="73" spans="1:26" ht="16" hidden="1" customHeight="1" x14ac:dyDescent="0.35">
      <c r="A73" s="9" t="s">
        <v>25</v>
      </c>
      <c r="B73" s="11"/>
      <c r="C73" s="10">
        <v>4</v>
      </c>
      <c r="D73" s="11" t="s">
        <v>26</v>
      </c>
      <c r="E73" s="11" t="s">
        <v>122</v>
      </c>
      <c r="F73" s="11">
        <v>38</v>
      </c>
      <c r="G73" s="13" t="s">
        <v>123</v>
      </c>
      <c r="H73" s="14">
        <v>46279</v>
      </c>
      <c r="I73" s="14">
        <v>46279</v>
      </c>
      <c r="J73" s="15" t="str">
        <f>+VLOOKUP(K73,[1]Datos!$A:$C,3,FALSE)</f>
        <v>ROOSEVELT</v>
      </c>
      <c r="K73" s="13">
        <v>280</v>
      </c>
      <c r="L73" s="15" t="str">
        <f>+VLOOKUP(K73,[1]Datos!$A:$C,2,FALSE)</f>
        <v>LAS PUERTAS SAN LUCAS</v>
      </c>
      <c r="M73" s="41">
        <v>315966</v>
      </c>
      <c r="N73" s="15" t="str">
        <f>+VLOOKUP(M73,[1]Datos!$F:$G,2,FALSE)</f>
        <v xml:space="preserve">KAREN GUADALUPE VALLE PAREDES </v>
      </c>
      <c r="O73" s="17">
        <v>4032</v>
      </c>
      <c r="P73" s="18">
        <v>302484</v>
      </c>
      <c r="Q73" s="15" t="str">
        <f>+VLOOKUP(P73,[1]Datos!$F:$G,2,FALSE)</f>
        <v>Luis Armando Ramirez De Leon</v>
      </c>
      <c r="R73" s="9" t="s">
        <v>41</v>
      </c>
      <c r="S73" s="11"/>
      <c r="T73" s="11" t="e">
        <f>IF(VLOOKUP(M73,'[1]COLABORADORES UN'!$A:$A,1,FALSE),"Colaborador UN","NO")</f>
        <v>#N/A</v>
      </c>
      <c r="U73" s="11"/>
      <c r="V73" s="11">
        <f t="shared" si="1"/>
        <v>1</v>
      </c>
      <c r="W73" s="11">
        <f>+VLOOKUP(M73,[1]Datos!$F:$H,3,FALSE)</f>
        <v>0</v>
      </c>
      <c r="X73">
        <v>7</v>
      </c>
      <c r="Y73" s="19"/>
    </row>
    <row r="74" spans="1:26" ht="16" hidden="1" customHeight="1" x14ac:dyDescent="0.35">
      <c r="A74" s="9" t="s">
        <v>25</v>
      </c>
      <c r="B74" s="11"/>
      <c r="C74">
        <v>4</v>
      </c>
      <c r="D74" s="11" t="s">
        <v>26</v>
      </c>
      <c r="E74" s="11" t="s">
        <v>45</v>
      </c>
      <c r="F74" s="11">
        <v>757</v>
      </c>
      <c r="G74" s="11" t="s">
        <v>124</v>
      </c>
      <c r="H74" s="14">
        <v>46279</v>
      </c>
      <c r="I74" s="29">
        <v>46279</v>
      </c>
      <c r="J74" s="15" t="str">
        <f>+VLOOKUP(K74,[1]Datos!$A:$C,3,FALSE)</f>
        <v>ROOSEVELT</v>
      </c>
      <c r="K74" s="11">
        <v>252</v>
      </c>
      <c r="L74" s="15" t="str">
        <f>+VLOOKUP(K74,[1]Datos!$A:$C,2,FALSE)</f>
        <v>ESKALA ROOSEVELT</v>
      </c>
      <c r="M74" s="11">
        <v>315564</v>
      </c>
      <c r="N74" s="15" t="str">
        <f>+VLOOKUP(M74,[1]Datos!$F:$G,2,FALSE)</f>
        <v>Esvin Rolando Orozco Mulul</v>
      </c>
      <c r="O74" s="17">
        <f>IFERROR(IF(A74="SI",VLOOKUP(R74,[1]Datos!$J$1:$K$50,2,FALSE)*C74,VLOOKUP(R74,[1]Datos!$P$1:$T$13,2,FALSE)*C74),0)</f>
        <v>5472</v>
      </c>
      <c r="P74" s="28">
        <v>300544</v>
      </c>
      <c r="Q74" s="15" t="str">
        <f>+VLOOKUP(P74,[1]Datos!$F:$G,2,FALSE)</f>
        <v>Abner Enmanuel Perez Rodriguez</v>
      </c>
      <c r="R74" s="9" t="s">
        <v>69</v>
      </c>
      <c r="S74" s="11"/>
      <c r="T74" s="11" t="e">
        <f>IF(VLOOKUP(M74,'[1]COLABORADORES UN'!$A:$A,1,FALSE),"Colaborador UN","NO")</f>
        <v>#N/A</v>
      </c>
      <c r="U74" s="11"/>
      <c r="V74" s="11">
        <f t="shared" si="1"/>
        <v>1</v>
      </c>
      <c r="W74" s="11">
        <f>+VLOOKUP(M74,[1]Datos!$F:$H,3,FALSE)</f>
        <v>0</v>
      </c>
      <c r="X74">
        <v>8</v>
      </c>
      <c r="Y74" s="19"/>
    </row>
    <row r="75" spans="1:26" ht="16" hidden="1" customHeight="1" x14ac:dyDescent="0.35">
      <c r="A75" s="9" t="s">
        <v>25</v>
      </c>
      <c r="B75" s="11"/>
      <c r="C75">
        <v>1</v>
      </c>
      <c r="D75" s="11" t="s">
        <v>26</v>
      </c>
      <c r="E75" s="11" t="s">
        <v>27</v>
      </c>
      <c r="F75" s="11">
        <v>4508</v>
      </c>
      <c r="G75" s="11" t="s">
        <v>125</v>
      </c>
      <c r="H75" s="14">
        <v>46279</v>
      </c>
      <c r="I75" s="29">
        <f ca="1">TODAY()</f>
        <v>46286</v>
      </c>
      <c r="J75" s="15" t="str">
        <f>+VLOOKUP(K75,[1]Datos!$A:$C,3,FALSE)</f>
        <v>ROOSEVELT</v>
      </c>
      <c r="K75" s="11">
        <v>252</v>
      </c>
      <c r="L75" s="15" t="str">
        <f>+VLOOKUP(K75,[1]Datos!$A:$C,2,FALSE)</f>
        <v>ESKALA ROOSEVELT</v>
      </c>
      <c r="M75" s="11">
        <v>315564</v>
      </c>
      <c r="N75" s="15" t="str">
        <f>+VLOOKUP(M75,[1]Datos!$F:$G,2,FALSE)</f>
        <v>Esvin Rolando Orozco Mulul</v>
      </c>
      <c r="O75" s="17">
        <f>IFERROR(IF(A75="SI",VLOOKUP(R75,[1]Datos!$J$1:$K$50,2,FALSE)*C75,VLOOKUP(R75,[1]Datos!$P$1:$T$13,2,FALSE)*C75),0)</f>
        <v>816</v>
      </c>
      <c r="P75" s="28">
        <v>300544</v>
      </c>
      <c r="Q75" s="15" t="str">
        <f>+VLOOKUP(P75,[1]Datos!$F:$G,2,FALSE)</f>
        <v>Abner Enmanuel Perez Rodriguez</v>
      </c>
      <c r="R75" s="9" t="s">
        <v>29</v>
      </c>
      <c r="S75" s="11"/>
      <c r="T75" s="11" t="e">
        <f>IF(VLOOKUP(M75,'[1]COLABORADORES UN'!$A:$A,1,FALSE),"Colaborador UN","NO")</f>
        <v>#N/A</v>
      </c>
      <c r="U75" s="11"/>
      <c r="V75" s="11">
        <f t="shared" si="1"/>
        <v>1</v>
      </c>
      <c r="W75" s="11">
        <f>+VLOOKUP(M75,[1]Datos!$F:$H,3,FALSE)</f>
        <v>0</v>
      </c>
      <c r="X75">
        <v>10</v>
      </c>
      <c r="Y75" s="19"/>
    </row>
    <row r="76" spans="1:26" s="11" customFormat="1" ht="17.5" hidden="1" customHeight="1" x14ac:dyDescent="0.35">
      <c r="A76" s="9" t="s">
        <v>25</v>
      </c>
      <c r="C76" s="28">
        <v>1</v>
      </c>
      <c r="D76" s="11" t="s">
        <v>26</v>
      </c>
      <c r="E76" s="11" t="s">
        <v>86</v>
      </c>
      <c r="F76" s="11">
        <v>4003</v>
      </c>
      <c r="G76" s="11" t="s">
        <v>126</v>
      </c>
      <c r="H76" s="14">
        <v>46279</v>
      </c>
      <c r="I76" s="31">
        <v>46279</v>
      </c>
      <c r="J76" s="15" t="str">
        <f>+VLOOKUP(K76,[1]Datos!$A:$C,3,FALSE)</f>
        <v>ROOSEVELT</v>
      </c>
      <c r="K76" s="13">
        <v>273</v>
      </c>
      <c r="L76" s="15" t="str">
        <f>+VLOOKUP(K76,[1]Datos!$A:$C,2,FALSE)</f>
        <v>CIUDAD VIEJA</v>
      </c>
      <c r="M76" s="11">
        <v>90066615</v>
      </c>
      <c r="N76" s="15" t="str">
        <f>+VLOOKUP(M76,[1]Datos!$F:$G,2,FALSE)</f>
        <v>MARIA JOSE ZUÑIGA RONQUILLO</v>
      </c>
      <c r="O76" s="17">
        <f>IFERROR(IF(A76="SI",VLOOKUP(R76,[1]Datos!$J$1:$K$50,2,FALSE)*C76,VLOOKUP(R76,[1]Datos!$P$1:$T$13,2,FALSE)*C76),0)</f>
        <v>816</v>
      </c>
      <c r="P76" s="30">
        <v>311176</v>
      </c>
      <c r="Q76" s="15" t="str">
        <f>+VLOOKUP(P76,[1]Datos!$F:$G,2,FALSE)</f>
        <v>Marvin Andolfo Garcia De Leon</v>
      </c>
      <c r="R76" s="9" t="s">
        <v>29</v>
      </c>
      <c r="T76" s="11" t="e">
        <f>IF(VLOOKUP(M76,'[1]COLABORADORES UN'!$A:$A,1,FALSE),"Colaborador UN","NO")</f>
        <v>#N/A</v>
      </c>
      <c r="V76" s="11">
        <f t="shared" si="1"/>
        <v>1</v>
      </c>
      <c r="W76" s="11">
        <f>+VLOOKUP(M76,[1]Datos!$F:$H,3,FALSE)</f>
        <v>0</v>
      </c>
      <c r="X76" s="11">
        <v>12</v>
      </c>
      <c r="Y76" s="42"/>
    </row>
    <row r="77" spans="1:26" s="11" customFormat="1" ht="13" hidden="1" customHeight="1" x14ac:dyDescent="0.45">
      <c r="A77" s="9" t="s">
        <v>25</v>
      </c>
      <c r="C77" s="10">
        <v>1</v>
      </c>
      <c r="D77" s="11" t="s">
        <v>26</v>
      </c>
      <c r="E77" s="13" t="s">
        <v>30</v>
      </c>
      <c r="F77" s="11">
        <v>1176</v>
      </c>
      <c r="G77" s="13" t="s">
        <v>127</v>
      </c>
      <c r="H77" s="14">
        <v>46279</v>
      </c>
      <c r="I77" s="14">
        <v>46273</v>
      </c>
      <c r="J77" s="15" t="str">
        <f>+VLOOKUP(K77,[1]Datos!$A:$C,3,FALSE)</f>
        <v>ROOSEVELT</v>
      </c>
      <c r="K77" s="13">
        <v>357</v>
      </c>
      <c r="L77" s="15" t="str">
        <f>+VLOOKUP(K77,[1]Datos!$A:$C,2,FALSE)</f>
        <v xml:space="preserve"> PASEO ANTIGUA</v>
      </c>
      <c r="M77" s="41">
        <v>101866</v>
      </c>
      <c r="N77" s="15" t="str">
        <f>+VLOOKUP(M77,[1]Datos!$F:$G,2,FALSE)</f>
        <v>Mirna Violeta Carrillo Gonzalez</v>
      </c>
      <c r="O77" s="17">
        <f>IFERROR(IF(A77="SI",VLOOKUP(R77,[1]Datos!$J$1:$K$50,2,FALSE)*C77,VLOOKUP(R77,[1]Datos!$P$1:$T$13,2,FALSE)*C77),0)</f>
        <v>816</v>
      </c>
      <c r="P77" s="45">
        <v>309765</v>
      </c>
      <c r="Q77" s="15" t="str">
        <f>+VLOOKUP(P77,[1]Datos!$F:$G,2,FALSE)</f>
        <v>Jose Luis Velasquez Miche</v>
      </c>
      <c r="R77" s="9" t="s">
        <v>29</v>
      </c>
      <c r="T77" s="11" t="e">
        <f>IF(VLOOKUP(M77,'[1]COLABORADORES UN'!$A:$A,1,FALSE),"Colaborador UN","NO")</f>
        <v>#N/A</v>
      </c>
      <c r="V77" s="11">
        <f t="shared" si="1"/>
        <v>1</v>
      </c>
      <c r="W77" s="11">
        <f>+VLOOKUP(M77,[1]Datos!$F:$H,3,FALSE)</f>
        <v>0</v>
      </c>
      <c r="X77" s="11">
        <v>13</v>
      </c>
      <c r="Y77" s="42"/>
    </row>
    <row r="78" spans="1:26" s="100" customFormat="1" ht="15.5" hidden="1" customHeight="1" x14ac:dyDescent="0.35">
      <c r="A78" s="9" t="s">
        <v>25</v>
      </c>
      <c r="B78" s="96"/>
      <c r="C78" s="10">
        <v>1</v>
      </c>
      <c r="D78" s="11" t="s">
        <v>26</v>
      </c>
      <c r="E78" s="13" t="s">
        <v>27</v>
      </c>
      <c r="F78" s="11">
        <v>4359</v>
      </c>
      <c r="G78" s="11" t="s">
        <v>128</v>
      </c>
      <c r="H78" s="14">
        <v>46279</v>
      </c>
      <c r="I78" s="14">
        <v>46273</v>
      </c>
      <c r="J78" s="97" t="str">
        <f>+VLOOKUP(K78,[1]Datos!$A:$C,3,FALSE)</f>
        <v>ROOSEVELT</v>
      </c>
      <c r="K78" s="13">
        <v>357</v>
      </c>
      <c r="L78" s="97" t="str">
        <f>+VLOOKUP(K78,[1]Datos!$A:$C,2,FALSE)</f>
        <v xml:space="preserve"> PASEO ANTIGUA</v>
      </c>
      <c r="M78" s="41">
        <v>314089</v>
      </c>
      <c r="N78" s="97" t="str">
        <f>+VLOOKUP(M78,[1]Datos!$F:$G,2,FALSE)</f>
        <v>Marlin Yesenia Chacon Garcia</v>
      </c>
      <c r="O78" s="98">
        <f>IFERROR(IF(A78="SI",VLOOKUP(R78,[1]Datos!$J$1:$K$50,2,FALSE)*C78,VLOOKUP(R78,[1]Datos!$P$1:$T$13,2,FALSE)*C78),0)</f>
        <v>816</v>
      </c>
      <c r="P78" s="66">
        <v>309765</v>
      </c>
      <c r="Q78" s="97" t="str">
        <f>+VLOOKUP(P78,[1]Datos!$F:$G,2,FALSE)</f>
        <v>Jose Luis Velasquez Miche</v>
      </c>
      <c r="R78" s="99" t="s">
        <v>29</v>
      </c>
      <c r="S78" s="96" t="s">
        <v>129</v>
      </c>
      <c r="T78" s="96" t="e">
        <f>IF(VLOOKUP(M78,'[1]COLABORADORES UN'!$A:$A,1,FALSE),"Colaborador UN","NO")</f>
        <v>#N/A</v>
      </c>
      <c r="U78" s="96"/>
      <c r="V78" s="96">
        <f t="shared" si="1"/>
        <v>1</v>
      </c>
      <c r="W78" s="96">
        <f>+VLOOKUP(M78,[1]Datos!$F:$H,3,FALSE)</f>
        <v>0</v>
      </c>
      <c r="X78" s="100">
        <v>15</v>
      </c>
      <c r="Y78" s="101"/>
    </row>
    <row r="79" spans="1:26" ht="12.5" hidden="1" customHeight="1" x14ac:dyDescent="0.45">
      <c r="A79" s="9" t="s">
        <v>25</v>
      </c>
      <c r="B79" s="9"/>
      <c r="C79">
        <v>3</v>
      </c>
      <c r="D79" s="11" t="s">
        <v>26</v>
      </c>
      <c r="E79" s="11" t="s">
        <v>62</v>
      </c>
      <c r="F79" s="11">
        <v>660</v>
      </c>
      <c r="G79" s="11" t="s">
        <v>130</v>
      </c>
      <c r="H79" s="29">
        <v>46281</v>
      </c>
      <c r="I79" s="29">
        <v>46281</v>
      </c>
      <c r="J79" s="15" t="str">
        <f>+VLOOKUP(K79,[1]Datos!$A:$C,3,FALSE)</f>
        <v>ROOSEVELT</v>
      </c>
      <c r="K79" s="11">
        <v>9</v>
      </c>
      <c r="L79" s="15" t="str">
        <f>+VLOOKUP(K79,[1]Datos!$A:$C,2,FALSE)</f>
        <v>ROOSEVELT</v>
      </c>
      <c r="M79" s="46">
        <v>90082653</v>
      </c>
      <c r="N79" s="15" t="str">
        <f>+VLOOKUP(M79,[1]Datos!$F:$G,2,FALSE)</f>
        <v>JAQUELYN YESENIA DIONICIO CHILE</v>
      </c>
      <c r="O79" s="17">
        <f>IFERROR(IF(A79="SI",VLOOKUP(R79,[1]Datos!$J$1:$K$50,2,FALSE)*C79,VLOOKUP(R79,[1]Datos!$P$1:$T$13,2,FALSE)*C79),0)</f>
        <v>2448</v>
      </c>
      <c r="P79" s="8">
        <v>312169</v>
      </c>
      <c r="Q79" s="15" t="str">
        <f>+VLOOKUP(P79,[1]Datos!$F:$G,2,FALSE)</f>
        <v>Fabiola Hernandez Bartolon</v>
      </c>
      <c r="R79" s="9" t="s">
        <v>29</v>
      </c>
      <c r="S79" s="11"/>
      <c r="T79" s="11" t="e">
        <f>IF(VLOOKUP(M79,'[1]COLABORADORES UN'!$A:$A,1,FALSE),"Colaborador UN","NO")</f>
        <v>#N/A</v>
      </c>
      <c r="U79" s="11"/>
      <c r="V79" s="11">
        <f t="shared" si="1"/>
        <v>1</v>
      </c>
      <c r="W79" s="11">
        <f>+VLOOKUP(M79,[1]Datos!$F:$H,3,FALSE)</f>
        <v>0</v>
      </c>
      <c r="X79">
        <v>20</v>
      </c>
      <c r="Y79" s="19"/>
    </row>
    <row r="80" spans="1:26" s="11" customFormat="1" ht="14" hidden="1" customHeight="1" x14ac:dyDescent="0.35">
      <c r="A80" s="9" t="s">
        <v>25</v>
      </c>
      <c r="B80" s="9"/>
      <c r="C80" s="94">
        <v>1</v>
      </c>
      <c r="D80" s="95" t="s">
        <v>26</v>
      </c>
      <c r="E80" s="95" t="s">
        <v>27</v>
      </c>
      <c r="F80" s="95">
        <v>4529</v>
      </c>
      <c r="G80" s="95" t="s">
        <v>131</v>
      </c>
      <c r="H80" s="93">
        <v>46281</v>
      </c>
      <c r="I80" s="93">
        <v>46281</v>
      </c>
      <c r="J80" s="15" t="str">
        <f>+VLOOKUP(K80,[1]Datos!$A:$C,3,FALSE)</f>
        <v>ROOSEVELT</v>
      </c>
      <c r="K80" s="95">
        <v>339</v>
      </c>
      <c r="L80" s="15" t="str">
        <f>+VLOOKUP(K80,[1]Datos!$A:$C,2,FALSE)</f>
        <v>ANDARIA</v>
      </c>
      <c r="M80" s="102">
        <v>315270</v>
      </c>
      <c r="N80" s="15" t="str">
        <f>+VLOOKUP(M80,[1]Datos!$F:$G,2,FALSE)</f>
        <v>Debora Paola Sepez Cuc</v>
      </c>
      <c r="O80" s="17">
        <f>IFERROR(IF(A80="SI",VLOOKUP(R80,[1]Datos!$J$1:$K$50,2,FALSE)*C80,VLOOKUP(R80,[1]Datos!$P$1:$T$13,2,FALSE)*C80),0)</f>
        <v>816</v>
      </c>
      <c r="P80" s="103">
        <v>302332</v>
      </c>
      <c r="Q80" s="15" t="str">
        <f>+VLOOKUP(P80,[1]Datos!$F:$G,2,FALSE)</f>
        <v>Thelma Patricia Mena Melchor</v>
      </c>
      <c r="R80" s="9" t="s">
        <v>29</v>
      </c>
      <c r="T80" s="11" t="e">
        <f>IF(VLOOKUP(M80,'[1]COLABORADORES UN'!$A:$A,1,FALSE),"Colaborador UN","NO")</f>
        <v>#N/A</v>
      </c>
      <c r="V80" s="11">
        <f t="shared" si="1"/>
        <v>1</v>
      </c>
      <c r="W80" s="11">
        <f>+VLOOKUP(M80,[1]Datos!$F:$H,3,FALSE)</f>
        <v>0</v>
      </c>
      <c r="X80" s="11">
        <v>21</v>
      </c>
      <c r="Y80" s="58"/>
    </row>
    <row r="81" spans="1:25" ht="17" hidden="1" customHeight="1" x14ac:dyDescent="0.35">
      <c r="A81" s="9" t="s">
        <v>25</v>
      </c>
      <c r="B81" s="9"/>
      <c r="C81" s="10">
        <v>2</v>
      </c>
      <c r="D81" s="11" t="s">
        <v>26</v>
      </c>
      <c r="E81" s="12" t="s">
        <v>120</v>
      </c>
      <c r="F81" s="11">
        <v>139</v>
      </c>
      <c r="G81" s="13" t="s">
        <v>132</v>
      </c>
      <c r="H81" s="14">
        <v>46281</v>
      </c>
      <c r="I81" s="14">
        <v>46277</v>
      </c>
      <c r="J81" s="15" t="str">
        <f>+VLOOKUP(K81,[1]Datos!$A:$C,3,FALSE)</f>
        <v>ROOSEVELT</v>
      </c>
      <c r="K81" s="13">
        <v>260</v>
      </c>
      <c r="L81" s="15" t="str">
        <f>+VLOOKUP(K81,[1]Datos!$A:$C,2,FALSE)</f>
        <v>ANTIGUA LOS ENCINOS</v>
      </c>
      <c r="M81" s="16">
        <v>90048458</v>
      </c>
      <c r="N81" s="15" t="str">
        <f>+VLOOKUP(M81,[1]Datos!$F:$G,2,FALSE)</f>
        <v>MIRIAM ROSMERY GUERRA VALLE</v>
      </c>
      <c r="O81" s="17">
        <f>IFERROR(IF(A81="SI",VLOOKUP(R81,[1]Datos!$J$1:$K$50,2,FALSE)*C81,VLOOKUP(R81,[1]Datos!$P$1:$T$13,2,FALSE)*C81),0)</f>
        <v>2184</v>
      </c>
      <c r="P81" s="18">
        <v>310923</v>
      </c>
      <c r="Q81" s="15" t="str">
        <f>+VLOOKUP(P81,[1]Datos!$F:$G,2,FALSE)</f>
        <v>Luis Fernando Lopez Lopez</v>
      </c>
      <c r="R81" s="9" t="s">
        <v>44</v>
      </c>
      <c r="S81" s="11"/>
      <c r="T81" s="11" t="e">
        <f>IF(VLOOKUP(M81,'[1]COLABORADORES UN'!$A:$A,1,FALSE),"Colaborador UN","NO")</f>
        <v>#N/A</v>
      </c>
      <c r="U81" s="11"/>
      <c r="V81" s="11">
        <f t="shared" si="1"/>
        <v>1</v>
      </c>
      <c r="W81" s="11">
        <f>+VLOOKUP(M81,[1]Datos!$F:$H,3,FALSE)</f>
        <v>0</v>
      </c>
      <c r="X81">
        <v>23</v>
      </c>
      <c r="Y81" s="19"/>
    </row>
    <row r="82" spans="1:25" s="11" customFormat="1" ht="16" hidden="1" customHeight="1" x14ac:dyDescent="0.35">
      <c r="A82" s="9" t="s">
        <v>25</v>
      </c>
      <c r="C82" s="10">
        <v>2</v>
      </c>
      <c r="D82" s="11" t="s">
        <v>26</v>
      </c>
      <c r="E82" s="12" t="s">
        <v>30</v>
      </c>
      <c r="F82" s="11">
        <v>1236</v>
      </c>
      <c r="G82" s="13" t="s">
        <v>133</v>
      </c>
      <c r="H82" s="14">
        <v>46281</v>
      </c>
      <c r="I82" s="14">
        <v>46281</v>
      </c>
      <c r="J82" s="15" t="str">
        <f>+VLOOKUP(K82,[1]Datos!$A:$C,3,FALSE)</f>
        <v>ROOSEVELT</v>
      </c>
      <c r="K82" s="13">
        <v>260</v>
      </c>
      <c r="L82" s="15" t="str">
        <f>+VLOOKUP(K82,[1]Datos!$A:$C,2,FALSE)</f>
        <v>ANTIGUA LOS ENCINOS</v>
      </c>
      <c r="M82" s="16">
        <v>90082960</v>
      </c>
      <c r="N82" s="15" t="str">
        <f>+VLOOKUP(M82,[1]Datos!$F:$G,2,FALSE)</f>
        <v>RAUL ALBERTO SINAY CUBUL</v>
      </c>
      <c r="O82" s="17">
        <f>IFERROR(IF(A82="SI",VLOOKUP(R82,[1]Datos!$J$1:$K$50,2,FALSE)*C82,VLOOKUP(R82,[1]Datos!$P$1:$T$13,2,FALSE)*C82),0)</f>
        <v>1632</v>
      </c>
      <c r="P82" s="18">
        <v>310923</v>
      </c>
      <c r="Q82" s="15" t="str">
        <f>+VLOOKUP(P82,[1]Datos!$F:$G,2,FALSE)</f>
        <v>Luis Fernando Lopez Lopez</v>
      </c>
      <c r="R82" s="9" t="s">
        <v>29</v>
      </c>
      <c r="T82" s="11" t="e">
        <f>IF(VLOOKUP(M82,'[1]COLABORADORES UN'!$A:$A,1,FALSE),"Colaborador UN","NO")</f>
        <v>#N/A</v>
      </c>
      <c r="V82" s="11">
        <f t="shared" si="1"/>
        <v>1</v>
      </c>
      <c r="W82" s="11">
        <f>+VLOOKUP(M82,[1]Datos!$F:$H,3,FALSE)</f>
        <v>0</v>
      </c>
      <c r="X82" s="11">
        <v>25</v>
      </c>
      <c r="Y82" s="58"/>
    </row>
    <row r="83" spans="1:25" s="11" customFormat="1" ht="16" hidden="1" customHeight="1" x14ac:dyDescent="0.45">
      <c r="A83" s="9" t="s">
        <v>25</v>
      </c>
      <c r="C83" s="10">
        <v>4</v>
      </c>
      <c r="D83" s="11" t="s">
        <v>26</v>
      </c>
      <c r="E83" s="13" t="s">
        <v>45</v>
      </c>
      <c r="F83" s="11">
        <v>771</v>
      </c>
      <c r="G83" s="13" t="s">
        <v>134</v>
      </c>
      <c r="H83" s="14">
        <v>46281</v>
      </c>
      <c r="I83" s="14">
        <v>46281</v>
      </c>
      <c r="J83" s="15" t="str">
        <f>+VLOOKUP(K83,[1]Datos!$A:$C,3,FALSE)</f>
        <v>ROOSEVELT</v>
      </c>
      <c r="K83" s="13">
        <v>357</v>
      </c>
      <c r="L83" s="15" t="str">
        <f>+VLOOKUP(K83,[1]Datos!$A:$C,2,FALSE)</f>
        <v xml:space="preserve"> PASEO ANTIGUA</v>
      </c>
      <c r="M83" s="41">
        <v>101866</v>
      </c>
      <c r="N83" s="15" t="str">
        <f>+VLOOKUP(M83,[1]Datos!$F:$G,2,FALSE)</f>
        <v>Mirna Violeta Carrillo Gonzalez</v>
      </c>
      <c r="O83" s="17">
        <f>IFERROR(IF(A83="SI",VLOOKUP(R83,[1]Datos!$J$1:$K$50,2,FALSE)*C83,VLOOKUP(R83,[1]Datos!$P$1:$T$13,2,FALSE)*C83),0)</f>
        <v>5472</v>
      </c>
      <c r="P83" s="45">
        <v>309765</v>
      </c>
      <c r="Q83" s="15" t="str">
        <f>+VLOOKUP(P83,[1]Datos!$F:$G,2,FALSE)</f>
        <v>Jose Luis Velasquez Miche</v>
      </c>
      <c r="R83" s="9" t="s">
        <v>69</v>
      </c>
      <c r="T83" s="11" t="e">
        <f>IF(VLOOKUP(M83,'[1]COLABORADORES UN'!$A:$A,1,FALSE),"Colaborador UN","NO")</f>
        <v>#N/A</v>
      </c>
      <c r="V83" s="11">
        <f t="shared" si="1"/>
        <v>1</v>
      </c>
      <c r="W83" s="11">
        <f>+VLOOKUP(M83,[1]Datos!$F:$H,3,FALSE)</f>
        <v>0</v>
      </c>
      <c r="X83" s="11">
        <v>27</v>
      </c>
      <c r="Y83" s="58"/>
    </row>
    <row r="84" spans="1:25" s="11" customFormat="1" ht="16" hidden="1" customHeight="1" x14ac:dyDescent="0.35">
      <c r="A84" s="9" t="s">
        <v>25</v>
      </c>
      <c r="C84" s="20">
        <v>1</v>
      </c>
      <c r="D84" s="11" t="s">
        <v>26</v>
      </c>
      <c r="E84" s="13" t="s">
        <v>80</v>
      </c>
      <c r="F84" s="11">
        <v>2952</v>
      </c>
      <c r="G84" s="13" t="s">
        <v>135</v>
      </c>
      <c r="H84" s="14">
        <v>46281</v>
      </c>
      <c r="I84" s="14">
        <v>46281</v>
      </c>
      <c r="J84" s="15" t="str">
        <f>+VLOOKUP(K84,[1]Datos!$A:$C,3,FALSE)</f>
        <v>ROOSEVELT</v>
      </c>
      <c r="K84" s="13">
        <v>37</v>
      </c>
      <c r="L84" s="15" t="str">
        <f>+VLOOKUP(K84,[1]Datos!$A:$C,2,FALSE)</f>
        <v>SAN JUAN SACATEPEQUEZ</v>
      </c>
      <c r="M84" s="22">
        <v>90084038</v>
      </c>
      <c r="N84" s="15" t="str">
        <f>+VLOOKUP(M84,[1]Datos!$F:$G,2,FALSE)</f>
        <v>LILIAN NOHEMI GONZALEZ GALICIA</v>
      </c>
      <c r="O84" s="17">
        <f>IFERROR(IF(A84="SI",VLOOKUP(R84,[1]Datos!$J$1:$K$50,2,FALSE)*C84,VLOOKUP(R84,[1]Datos!$P$1:$T$13,2,FALSE)*C84),0)</f>
        <v>2472</v>
      </c>
      <c r="P84" s="24">
        <v>312835</v>
      </c>
      <c r="Q84" s="15" t="str">
        <f>+VLOOKUP(P84,[1]Datos!$F:$G,2,FALSE)</f>
        <v>Manuel Estuardo Arriaga Garcia</v>
      </c>
      <c r="R84" s="9" t="s">
        <v>136</v>
      </c>
      <c r="T84" s="11" t="e">
        <f>IF(VLOOKUP(M84,'[1]COLABORADORES UN'!$A:$A,1,FALSE),"Colaborador UN","NO")</f>
        <v>#N/A</v>
      </c>
      <c r="V84" s="11">
        <f t="shared" si="1"/>
        <v>1</v>
      </c>
      <c r="W84" s="11">
        <f>+VLOOKUP(M84,[1]Datos!$F:$H,3,FALSE)</f>
        <v>0</v>
      </c>
      <c r="X84" s="11">
        <v>28</v>
      </c>
      <c r="Y84" s="58"/>
    </row>
    <row r="85" spans="1:25" s="105" customFormat="1" ht="12.5" hidden="1" customHeight="1" x14ac:dyDescent="0.35">
      <c r="A85" s="9" t="s">
        <v>25</v>
      </c>
      <c r="B85" s="11"/>
      <c r="C85" s="10">
        <v>4</v>
      </c>
      <c r="D85" s="11" t="s">
        <v>26</v>
      </c>
      <c r="E85" s="88" t="s">
        <v>45</v>
      </c>
      <c r="F85" s="88">
        <v>772</v>
      </c>
      <c r="G85" s="88" t="s">
        <v>40</v>
      </c>
      <c r="H85" s="14">
        <v>46281</v>
      </c>
      <c r="I85" s="14">
        <v>46281</v>
      </c>
      <c r="J85" s="15" t="str">
        <f>+VLOOKUP(K85,[1]Datos!$A:$C,3,FALSE)</f>
        <v>ROOSEVELT</v>
      </c>
      <c r="K85" s="13">
        <v>220</v>
      </c>
      <c r="L85" s="15" t="str">
        <f>+VLOOKUP(K85,[1]Datos!$A:$C,2,FALSE)</f>
        <v>JOCOTENANGO</v>
      </c>
      <c r="M85" s="41">
        <v>312923</v>
      </c>
      <c r="N85" s="15" t="str">
        <f>+VLOOKUP(M85,[1]Datos!$F:$G,2,FALSE)</f>
        <v>Sandra Esmeralda Martinez Baeza</v>
      </c>
      <c r="O85" s="17">
        <f>IFERROR(IF(A85="SI",VLOOKUP(R85,[1]Datos!$J$1:$K$50,2,FALSE)*C85,VLOOKUP(R85,[1]Datos!$P$1:$T$13,2,FALSE)*C85),0)</f>
        <v>5472</v>
      </c>
      <c r="P85" s="18">
        <v>312140</v>
      </c>
      <c r="Q85" s="15" t="str">
        <f>+VLOOKUP(P85,[1]Datos!$F:$G,2,FALSE)</f>
        <v>Glendy Elizabeth Aspuac Xunux</v>
      </c>
      <c r="R85" s="92" t="s">
        <v>69</v>
      </c>
      <c r="S85" s="104"/>
      <c r="T85" s="104" t="e">
        <f>IF(VLOOKUP(M85,'[1]COLABORADORES UN'!$A:$A,1,FALSE),"Colaborador UN","NO")</f>
        <v>#N/A</v>
      </c>
      <c r="U85" s="104"/>
      <c r="V85" s="104">
        <f t="shared" si="1"/>
        <v>3</v>
      </c>
      <c r="W85" s="104">
        <f>+VLOOKUP(M85,[1]Datos!$F:$H,3,FALSE)</f>
        <v>0</v>
      </c>
      <c r="X85" s="105">
        <v>30</v>
      </c>
      <c r="Y85" s="19"/>
    </row>
    <row r="86" spans="1:25" ht="15.5" hidden="1" customHeight="1" x14ac:dyDescent="0.35">
      <c r="A86" s="9" t="s">
        <v>25</v>
      </c>
      <c r="B86" s="11"/>
      <c r="C86" s="10">
        <v>2</v>
      </c>
      <c r="D86" s="11" t="s">
        <v>26</v>
      </c>
      <c r="E86" s="13" t="s">
        <v>30</v>
      </c>
      <c r="F86" s="11">
        <v>1227</v>
      </c>
      <c r="G86" s="13" t="s">
        <v>137</v>
      </c>
      <c r="H86" s="14">
        <v>46282</v>
      </c>
      <c r="I86" s="14">
        <v>46279</v>
      </c>
      <c r="J86" s="15" t="str">
        <f>+VLOOKUP(K86,[1]Datos!$A:$C,3,FALSE)</f>
        <v>ROOSEVELT</v>
      </c>
      <c r="K86" s="13">
        <v>351</v>
      </c>
      <c r="L86" s="15" t="str">
        <f>+VLOOKUP(K86,[1]Datos!$A:$C,2,FALSE)</f>
        <v xml:space="preserve">EL PARADOR ANTIGUA </v>
      </c>
      <c r="M86" s="41">
        <v>90035281</v>
      </c>
      <c r="N86" s="15" t="str">
        <f>+VLOOKUP(M86,[1]Datos!$F:$G,2,FALSE)</f>
        <v>LILIANA MARIA NAVAS GONZALEZ</v>
      </c>
      <c r="O86" s="17">
        <f>IFERROR(IF(A86="SI",VLOOKUP(R86,[1]Datos!$J$1:$K$50,2,FALSE)*C86,VLOOKUP(R86,[1]Datos!$P$1:$T$13,2,FALSE)*C86),0)</f>
        <v>1632</v>
      </c>
      <c r="P86" s="18">
        <v>309415</v>
      </c>
      <c r="Q86" s="15" t="str">
        <f>+VLOOKUP(P86,[1]Datos!$F:$G,2,FALSE)</f>
        <v>Angel Jose Figueroa Garcia</v>
      </c>
      <c r="R86" s="9" t="s">
        <v>29</v>
      </c>
      <c r="S86" s="11"/>
      <c r="T86" s="11" t="e">
        <f>IF(VLOOKUP(M86,'[1]COLABORADORES UN'!$A:$A,1,FALSE),"Colaborador UN","NO")</f>
        <v>#N/A</v>
      </c>
      <c r="U86" s="11"/>
      <c r="V86" s="11">
        <f t="shared" si="1"/>
        <v>1</v>
      </c>
      <c r="W86" s="11">
        <f>+VLOOKUP(M86,[1]Datos!$F:$H,3,FALSE)</f>
        <v>0</v>
      </c>
      <c r="X86">
        <v>31</v>
      </c>
      <c r="Y86" s="19"/>
    </row>
    <row r="87" spans="1:25" s="10" customFormat="1" ht="13" hidden="1" customHeight="1" x14ac:dyDescent="0.35">
      <c r="A87" s="9" t="s">
        <v>25</v>
      </c>
      <c r="B87" s="11"/>
      <c r="C87" s="10">
        <v>3</v>
      </c>
      <c r="D87" s="11" t="s">
        <v>26</v>
      </c>
      <c r="E87" s="13" t="s">
        <v>62</v>
      </c>
      <c r="F87" s="11">
        <v>671</v>
      </c>
      <c r="G87" s="13" t="s">
        <v>138</v>
      </c>
      <c r="H87" s="14">
        <v>46282</v>
      </c>
      <c r="I87" s="14">
        <v>46282</v>
      </c>
      <c r="J87" s="15" t="str">
        <f>+VLOOKUP(K87,[1]Datos!$A:$C,3,FALSE)</f>
        <v>ROOSEVELT</v>
      </c>
      <c r="K87" s="13">
        <v>220</v>
      </c>
      <c r="L87" s="15" t="str">
        <f>+VLOOKUP(K87,[1]Datos!$A:$C,2,FALSE)</f>
        <v>JOCOTENANGO</v>
      </c>
      <c r="M87" s="41">
        <v>312923</v>
      </c>
      <c r="N87" s="15" t="str">
        <f>+VLOOKUP(M87,[1]Datos!$F:$G,2,FALSE)</f>
        <v>Sandra Esmeralda Martinez Baeza</v>
      </c>
      <c r="O87" s="17">
        <f>IFERROR(IF(A87="SI",VLOOKUP(R87,[1]Datos!$J$1:$K$50,2,FALSE)*C87,VLOOKUP(R87,[1]Datos!$P$1:$T$13,2,FALSE)*C87),0)</f>
        <v>4104</v>
      </c>
      <c r="P87" s="18">
        <v>312140</v>
      </c>
      <c r="Q87" s="15" t="str">
        <f>+VLOOKUP(P87,[1]Datos!$F:$G,2,FALSE)</f>
        <v>Glendy Elizabeth Aspuac Xunux</v>
      </c>
      <c r="R87" s="106" t="s">
        <v>69</v>
      </c>
      <c r="S87" s="13"/>
      <c r="T87" s="13" t="e">
        <f>IF(VLOOKUP(M87,'[1]COLABORADORES UN'!$A:$A,1,FALSE),"Colaborador UN","NO")</f>
        <v>#N/A</v>
      </c>
      <c r="U87" s="13"/>
      <c r="V87" s="13">
        <f t="shared" si="1"/>
        <v>1</v>
      </c>
      <c r="W87" s="13">
        <f>+VLOOKUP(M87,[1]Datos!$F:$H,3,FALSE)</f>
        <v>0</v>
      </c>
      <c r="X87" s="10">
        <v>32</v>
      </c>
      <c r="Y87" s="19"/>
    </row>
    <row r="88" spans="1:25" s="11" customFormat="1" ht="14" hidden="1" customHeight="1" x14ac:dyDescent="0.35">
      <c r="A88" s="9" t="s">
        <v>25</v>
      </c>
      <c r="C88" s="10">
        <v>1</v>
      </c>
      <c r="D88" s="11" t="s">
        <v>26</v>
      </c>
      <c r="E88" s="13" t="s">
        <v>27</v>
      </c>
      <c r="F88" s="11">
        <v>4551</v>
      </c>
      <c r="G88" s="13" t="s">
        <v>139</v>
      </c>
      <c r="H88" s="14">
        <v>46282</v>
      </c>
      <c r="I88" s="14">
        <v>46281</v>
      </c>
      <c r="J88" s="15" t="str">
        <f>+VLOOKUP(K88,[1]Datos!$A:$C,3,FALSE)</f>
        <v>ROOSEVELT</v>
      </c>
      <c r="K88" s="13">
        <v>273</v>
      </c>
      <c r="L88" s="15" t="str">
        <f>+VLOOKUP(K88,[1]Datos!$A:$C,2,FALSE)</f>
        <v>CIUDAD VIEJA</v>
      </c>
      <c r="M88" s="41">
        <v>90086217</v>
      </c>
      <c r="N88" s="15" t="str">
        <f>+VLOOKUP(M88,[1]Datos!$F:$G,2,FALSE)</f>
        <v xml:space="preserve">CESAR EDUARDO CUELLAR CHAVARRIA </v>
      </c>
      <c r="O88" s="17">
        <f>IFERROR(IF(A88="SI",VLOOKUP(R88,[1]Datos!$J$1:$K$50,2,FALSE)*C88,VLOOKUP(R88,[1]Datos!$P$1:$T$13,2,FALSE)*C88),0)</f>
        <v>816</v>
      </c>
      <c r="P88" s="18">
        <v>311176</v>
      </c>
      <c r="Q88" s="15" t="str">
        <f>+VLOOKUP(P88,[1]Datos!$F:$G,2,FALSE)</f>
        <v>Marvin Andolfo Garcia De Leon</v>
      </c>
      <c r="R88" s="9" t="s">
        <v>29</v>
      </c>
      <c r="T88" s="11" t="e">
        <f>IF(VLOOKUP(M88,'[1]COLABORADORES UN'!$A:$A,1,FALSE),"Colaborador UN","NO")</f>
        <v>#N/A</v>
      </c>
      <c r="V88" s="11">
        <f t="shared" si="1"/>
        <v>1</v>
      </c>
      <c r="W88" s="11">
        <f>+VLOOKUP(M88,[1]Datos!$F:$H,3,FALSE)</f>
        <v>0</v>
      </c>
      <c r="X88" s="11">
        <v>33</v>
      </c>
      <c r="Y88" s="58"/>
    </row>
    <row r="89" spans="1:25" ht="13" hidden="1" customHeight="1" x14ac:dyDescent="0.35">
      <c r="A89" s="9" t="s">
        <v>25</v>
      </c>
      <c r="B89" s="11"/>
      <c r="C89" s="10">
        <v>4</v>
      </c>
      <c r="D89" s="11" t="s">
        <v>26</v>
      </c>
      <c r="E89" s="13" t="s">
        <v>140</v>
      </c>
      <c r="F89" s="11">
        <v>1</v>
      </c>
      <c r="G89" s="11" t="s">
        <v>141</v>
      </c>
      <c r="H89" s="14">
        <v>46282</v>
      </c>
      <c r="I89" s="14">
        <v>46282</v>
      </c>
      <c r="J89" s="15" t="str">
        <f>+VLOOKUP(K89,[1]Datos!$A:$C,3,FALSE)</f>
        <v>ROOSEVELT</v>
      </c>
      <c r="K89" s="13">
        <v>357</v>
      </c>
      <c r="L89" s="15" t="str">
        <f>+VLOOKUP(K89,[1]Datos!$A:$C,2,FALSE)</f>
        <v xml:space="preserve"> PASEO ANTIGUA</v>
      </c>
      <c r="M89" s="41">
        <v>314089</v>
      </c>
      <c r="N89" s="15" t="str">
        <f>+VLOOKUP(M89,[1]Datos!$F:$G,2,FALSE)</f>
        <v>Marlin Yesenia Chacon Garcia</v>
      </c>
      <c r="O89" s="17">
        <f>IFERROR(IF(A89="SI",VLOOKUP(R89,[1]Datos!$J$1:$K$50,2,FALSE)*C89,VLOOKUP(R89,[1]Datos!$P$1:$T$13,2,FALSE)*C89),0)</f>
        <v>8208</v>
      </c>
      <c r="P89" s="66">
        <v>309765</v>
      </c>
      <c r="Q89" s="15" t="str">
        <f>+VLOOKUP(P89,[1]Datos!$F:$G,2,FALSE)</f>
        <v>Jose Luis Velasquez Miche</v>
      </c>
      <c r="R89" s="9" t="s">
        <v>74</v>
      </c>
      <c r="S89" s="11"/>
      <c r="T89" s="11" t="e">
        <f>IF(VLOOKUP(M89,'[1]COLABORADORES UN'!$A:$A,1,FALSE),"Colaborador UN","NO")</f>
        <v>#N/A</v>
      </c>
      <c r="U89" s="11"/>
      <c r="V89" s="11">
        <f t="shared" si="1"/>
        <v>1</v>
      </c>
      <c r="W89" s="11">
        <f>+VLOOKUP(M89,[1]Datos!$F:$H,3,FALSE)</f>
        <v>0</v>
      </c>
      <c r="X89">
        <v>34</v>
      </c>
      <c r="Y89" s="19"/>
    </row>
    <row r="90" spans="1:25" ht="13" hidden="1" customHeight="1" x14ac:dyDescent="0.35">
      <c r="A90" s="9" t="s">
        <v>25</v>
      </c>
      <c r="B90" s="11"/>
      <c r="C90" s="10">
        <v>1</v>
      </c>
      <c r="D90" s="11" t="s">
        <v>26</v>
      </c>
      <c r="E90" s="13" t="s">
        <v>27</v>
      </c>
      <c r="F90" s="11">
        <v>4578</v>
      </c>
      <c r="G90" s="13" t="s">
        <v>142</v>
      </c>
      <c r="H90" s="14">
        <v>46282</v>
      </c>
      <c r="I90" s="14">
        <v>46282</v>
      </c>
      <c r="J90" s="15" t="str">
        <f>+VLOOKUP(K90,[1]Datos!$A:$C,3,FALSE)</f>
        <v>ROOSEVELT</v>
      </c>
      <c r="K90" s="13">
        <v>260</v>
      </c>
      <c r="L90" s="15" t="str">
        <f>+VLOOKUP(K90,[1]Datos!$A:$C,2,FALSE)</f>
        <v>ANTIGUA LOS ENCINOS</v>
      </c>
      <c r="M90" s="41">
        <v>90067297</v>
      </c>
      <c r="N90" s="15" t="str">
        <f>+VLOOKUP(M90,[1]Datos!$F:$G,2,FALSE)</f>
        <v>MYNOR JOSUE MARROQUIN VEGA</v>
      </c>
      <c r="O90" s="17">
        <f>IFERROR(IF(A90="SI",VLOOKUP(R90,[1]Datos!$J$1:$K$50,2,FALSE)*C90,VLOOKUP(R90,[1]Datos!$P$1:$T$13,2,FALSE)*C90),0)</f>
        <v>816</v>
      </c>
      <c r="P90" s="18">
        <v>310923</v>
      </c>
      <c r="Q90" s="15" t="str">
        <f>+VLOOKUP(P90,[1]Datos!$F:$G,2,FALSE)</f>
        <v>Luis Fernando Lopez Lopez</v>
      </c>
      <c r="R90" s="9" t="s">
        <v>29</v>
      </c>
      <c r="S90" s="11"/>
      <c r="T90" s="11" t="e">
        <f>IF(VLOOKUP(M90,'[1]COLABORADORES UN'!$A:$A,1,FALSE),"Colaborador UN","NO")</f>
        <v>#N/A</v>
      </c>
      <c r="U90" s="11"/>
      <c r="V90" s="11">
        <f t="shared" si="1"/>
        <v>1</v>
      </c>
      <c r="W90" s="11">
        <f>+VLOOKUP(M90,[1]Datos!$F:$H,3,FALSE)</f>
        <v>0</v>
      </c>
      <c r="X90">
        <v>36</v>
      </c>
      <c r="Y90" s="19"/>
    </row>
    <row r="91" spans="1:25" ht="15" hidden="1" customHeight="1" x14ac:dyDescent="0.35">
      <c r="A91" s="9" t="s">
        <v>25</v>
      </c>
      <c r="B91" s="11"/>
      <c r="C91" s="28">
        <v>1</v>
      </c>
      <c r="D91" s="11" t="s">
        <v>26</v>
      </c>
      <c r="E91" s="88" t="s">
        <v>27</v>
      </c>
      <c r="F91" s="88">
        <v>4310</v>
      </c>
      <c r="G91" s="107" t="s">
        <v>40</v>
      </c>
      <c r="H91" s="14">
        <v>46282</v>
      </c>
      <c r="I91" s="14">
        <v>46271</v>
      </c>
      <c r="J91" s="15" t="str">
        <f>+VLOOKUP(K91,[1]Datos!$A:$C,3,FALSE)</f>
        <v>ROOSEVELT</v>
      </c>
      <c r="K91" s="13">
        <v>347</v>
      </c>
      <c r="L91" s="15" t="str">
        <f>+VLOOKUP(K91,[1]Datos!$A:$C,2,FALSE)</f>
        <v>ANTIGUA LOS TELARES</v>
      </c>
      <c r="M91" s="11">
        <v>313493</v>
      </c>
      <c r="N91" s="15" t="str">
        <f>+VLOOKUP(M91,[1]Datos!$F:$G,2,FALSE)</f>
        <v>Julio Rene Medina Mendez</v>
      </c>
      <c r="O91" s="17">
        <f>IFERROR(IF(A91="SI",VLOOKUP(R91,[1]Datos!$J$1:$K$50,2,FALSE)*C91,VLOOKUP(R91,[1]Datos!$P$1:$T$13,2,FALSE)*C91),0)</f>
        <v>816</v>
      </c>
      <c r="P91" s="18">
        <v>90086478</v>
      </c>
      <c r="Q91" s="15" t="str">
        <f>+VLOOKUP(P91,[1]Datos!$F:$G,2,FALSE)</f>
        <v>LISBETH MELISA GARCIA JUAREZ</v>
      </c>
      <c r="R91" s="9" t="s">
        <v>29</v>
      </c>
      <c r="S91" s="11"/>
      <c r="T91" s="11" t="e">
        <f>IF(VLOOKUP(M91,'[1]COLABORADORES UN'!$A:$A,1,FALSE),"Colaborador UN","NO")</f>
        <v>#N/A</v>
      </c>
      <c r="U91" s="11"/>
      <c r="V91" s="11">
        <f t="shared" si="1"/>
        <v>3</v>
      </c>
      <c r="W91" s="11">
        <f>+VLOOKUP(M91,[1]Datos!$F:$H,3,FALSE)</f>
        <v>0</v>
      </c>
      <c r="X91">
        <v>37</v>
      </c>
      <c r="Y91" s="19"/>
    </row>
    <row r="92" spans="1:25" ht="14.5" hidden="1" customHeight="1" x14ac:dyDescent="0.4">
      <c r="A92" s="9" t="s">
        <v>25</v>
      </c>
      <c r="B92" s="11"/>
      <c r="C92">
        <v>1</v>
      </c>
      <c r="D92" s="11" t="s">
        <v>26</v>
      </c>
      <c r="E92" s="60" t="s">
        <v>143</v>
      </c>
      <c r="F92" s="11">
        <v>1</v>
      </c>
      <c r="G92" s="11" t="s">
        <v>144</v>
      </c>
      <c r="H92" s="29">
        <v>46282</v>
      </c>
      <c r="I92" s="29">
        <v>46279</v>
      </c>
      <c r="J92" s="15" t="str">
        <f>+VLOOKUP(K92,[1]Datos!$A:$C,3,FALSE)</f>
        <v>ROOSEVELT</v>
      </c>
      <c r="K92" s="11">
        <v>200</v>
      </c>
      <c r="L92" s="15" t="str">
        <f>+VLOOKUP(K92,[1]Datos!$A:$C,2,FALSE)</f>
        <v>GALERIAS MIRAFLORES</v>
      </c>
      <c r="M92" s="11">
        <v>90086730</v>
      </c>
      <c r="N92" s="15" t="str">
        <f>+VLOOKUP(M92,[1]Datos!$F:$G,2,FALSE)</f>
        <v>JUAN RAUL FUENTES MONTIEL</v>
      </c>
      <c r="O92" s="17">
        <f>IFERROR(IF(A92="SI",VLOOKUP(R92,[1]Datos!$J$1:$K$50,2,FALSE)*C92,VLOOKUP(R92,[1]Datos!$P$1:$T$13,2,FALSE)*C92),0)</f>
        <v>2052</v>
      </c>
      <c r="P92" s="8">
        <v>315173</v>
      </c>
      <c r="Q92" s="15" t="str">
        <f>+VLOOKUP(P92,[1]Datos!$F:$G,2,FALSE)</f>
        <v>Jorge Luis Morales Lopez</v>
      </c>
      <c r="R92" s="9" t="s">
        <v>74</v>
      </c>
      <c r="S92" s="11"/>
      <c r="T92" s="11" t="e">
        <f>IF(VLOOKUP(M92,'[1]COLABORADORES UN'!$A:$A,1,FALSE),"Colaborador UN","NO")</f>
        <v>#N/A</v>
      </c>
      <c r="U92" s="11"/>
      <c r="V92" s="11">
        <f t="shared" si="1"/>
        <v>1</v>
      </c>
      <c r="W92" s="11">
        <f>+VLOOKUP(M92,[1]Datos!$F:$H,3,FALSE)</f>
        <v>0</v>
      </c>
      <c r="X92">
        <v>39</v>
      </c>
      <c r="Y92" s="19"/>
    </row>
    <row r="93" spans="1:25" s="96" customFormat="1" ht="14" hidden="1" customHeight="1" x14ac:dyDescent="0.4">
      <c r="A93" s="9" t="s">
        <v>25</v>
      </c>
      <c r="C93">
        <v>1</v>
      </c>
      <c r="D93" s="11" t="s">
        <v>26</v>
      </c>
      <c r="E93" s="60" t="s">
        <v>42</v>
      </c>
      <c r="F93" s="11">
        <v>431</v>
      </c>
      <c r="G93" s="11" t="s">
        <v>145</v>
      </c>
      <c r="H93" s="29">
        <v>46282</v>
      </c>
      <c r="I93" s="29">
        <v>46281</v>
      </c>
      <c r="J93" s="97" t="str">
        <f>+VLOOKUP(K93,[1]Datos!$A:$C,3,FALSE)</f>
        <v>ROOSEVELT</v>
      </c>
      <c r="K93" s="11">
        <v>200</v>
      </c>
      <c r="L93" s="97" t="str">
        <f>+VLOOKUP(K93,[1]Datos!$A:$C,2,FALSE)</f>
        <v>GALERIAS MIRAFLORES</v>
      </c>
      <c r="M93" s="11">
        <v>90084300</v>
      </c>
      <c r="N93" s="97" t="str">
        <f>+VLOOKUP(M93,[1]Datos!$F:$G,2,FALSE)</f>
        <v>ALISON ESTHEFANI FUENTES MAYEN</v>
      </c>
      <c r="O93" s="98">
        <f>IFERROR(IF(A93="SI",VLOOKUP(R93,[1]Datos!$J$1:$K$50,2,FALSE)*C93,VLOOKUP(R93,[1]Datos!$P$1:$T$13,2,FALSE)*C93),0)</f>
        <v>1092</v>
      </c>
      <c r="P93" s="8">
        <v>315173</v>
      </c>
      <c r="Q93" s="97" t="str">
        <f>+VLOOKUP(P93,[1]Datos!$F:$G,2,FALSE)</f>
        <v>Jorge Luis Morales Lopez</v>
      </c>
      <c r="R93" s="99" t="s">
        <v>44</v>
      </c>
      <c r="S93" s="96" t="s">
        <v>146</v>
      </c>
      <c r="T93" s="96" t="e">
        <f>IF(VLOOKUP(M93,'[1]COLABORADORES UN'!$A:$A,1,FALSE),"Colaborador UN","NO")</f>
        <v>#N/A</v>
      </c>
      <c r="V93" s="96">
        <f t="shared" si="1"/>
        <v>1</v>
      </c>
      <c r="W93" s="96">
        <f>+VLOOKUP(M93,[1]Datos!$F:$H,3,FALSE)</f>
        <v>0</v>
      </c>
      <c r="X93" s="96">
        <v>40</v>
      </c>
      <c r="Y93" s="108"/>
    </row>
    <row r="94" spans="1:25" s="11" customFormat="1" ht="12.5" hidden="1" customHeight="1" x14ac:dyDescent="0.35">
      <c r="A94" s="9" t="s">
        <v>25</v>
      </c>
      <c r="C94" s="10">
        <v>1</v>
      </c>
      <c r="D94" s="11" t="s">
        <v>26</v>
      </c>
      <c r="E94" s="13" t="s">
        <v>27</v>
      </c>
      <c r="F94" s="11">
        <v>4554</v>
      </c>
      <c r="G94" s="13" t="s">
        <v>147</v>
      </c>
      <c r="H94" s="14">
        <v>46282</v>
      </c>
      <c r="I94" s="14">
        <v>46281</v>
      </c>
      <c r="J94" s="15" t="str">
        <f>+VLOOKUP(K94,[1]Datos!$A:$C,3,FALSE)</f>
        <v>ROOSEVELT</v>
      </c>
      <c r="K94" s="13">
        <v>280</v>
      </c>
      <c r="L94" s="15" t="str">
        <f>+VLOOKUP(K94,[1]Datos!$A:$C,2,FALSE)</f>
        <v>LAS PUERTAS SAN LUCAS</v>
      </c>
      <c r="M94" s="41">
        <v>315257</v>
      </c>
      <c r="N94" s="15" t="str">
        <f>+VLOOKUP(M94,[1]Datos!$F:$G,2,FALSE)</f>
        <v>Lesli Carolina Iquique Chamale</v>
      </c>
      <c r="O94" s="17">
        <f>IFERROR(IF(A94="SI",VLOOKUP(R94,[1]Datos!$J$1:$K$50,2,FALSE)*C94,VLOOKUP(R94,[1]Datos!$P$1:$T$13,2,FALSE)*C94),0)</f>
        <v>816</v>
      </c>
      <c r="P94" s="18">
        <v>306850</v>
      </c>
      <c r="Q94" s="15" t="str">
        <f>+VLOOKUP(P94,[1]Datos!$F:$G,2,FALSE)</f>
        <v>Nilda Julieta Boror Xuya</v>
      </c>
      <c r="R94" s="9" t="s">
        <v>29</v>
      </c>
      <c r="T94" s="11" t="e">
        <f>IF(VLOOKUP(M94,'[1]COLABORADORES UN'!$A:$A,1,FALSE),"Colaborador UN","NO")</f>
        <v>#N/A</v>
      </c>
      <c r="V94" s="11">
        <f t="shared" si="1"/>
        <v>1</v>
      </c>
      <c r="W94" s="11">
        <f>+VLOOKUP(M94,[1]Datos!$F:$H,3,FALSE)</f>
        <v>0</v>
      </c>
      <c r="X94" s="11">
        <v>41</v>
      </c>
      <c r="Y94" s="58"/>
    </row>
    <row r="95" spans="1:25" s="96" customFormat="1" ht="14.5" customHeight="1" x14ac:dyDescent="0.35">
      <c r="A95" s="9" t="s">
        <v>25</v>
      </c>
      <c r="C95">
        <v>1</v>
      </c>
      <c r="D95" s="11" t="s">
        <v>26</v>
      </c>
      <c r="E95" s="11" t="s">
        <v>27</v>
      </c>
      <c r="F95" s="11">
        <v>4585</v>
      </c>
      <c r="G95" s="37" t="s">
        <v>148</v>
      </c>
      <c r="H95" s="29">
        <v>46283</v>
      </c>
      <c r="I95" s="29">
        <v>46282</v>
      </c>
      <c r="J95" s="97" t="str">
        <f>+VLOOKUP(K95,[1]Datos!$A:$C,3,FALSE)</f>
        <v>ROOSEVELT</v>
      </c>
      <c r="K95" s="11">
        <v>127</v>
      </c>
      <c r="L95" s="97" t="str">
        <f>+VLOOKUP(K95,[1]Datos!$A:$C,2,FALSE)</f>
        <v>CHIMALTENANGO 2</v>
      </c>
      <c r="M95" s="11">
        <v>311846</v>
      </c>
      <c r="N95" s="97" t="str">
        <f>+VLOOKUP(M95,[1]Datos!$F:$G,2,FALSE)</f>
        <v>Ricardo Antonio Vasquez Meza</v>
      </c>
      <c r="O95" s="98">
        <f>IFERROR(IF(A95="SI",VLOOKUP(R95,[1]Datos!$J$1:$K$50,2,FALSE)*C95,VLOOKUP(R95,[1]Datos!$P$1:$T$13,2,FALSE)*C95),0)</f>
        <v>816</v>
      </c>
      <c r="P95" s="8">
        <v>306655</v>
      </c>
      <c r="Q95" s="97" t="str">
        <f>+VLOOKUP(P95,[1]Datos!$F:$G,2,FALSE)</f>
        <v>Marvin Alexander Choguix Chex</v>
      </c>
      <c r="R95" s="99" t="s">
        <v>29</v>
      </c>
      <c r="S95" s="96" t="s">
        <v>149</v>
      </c>
      <c r="T95" s="96" t="e">
        <f>IF(VLOOKUP(M95,'[1]COLABORADORES UN'!$A:$A,1,FALSE),"Colaborador UN","NO")</f>
        <v>#N/A</v>
      </c>
      <c r="V95" s="96">
        <f>+COUNTIFS($G$2:$G$425,#REF!)</f>
        <v>0</v>
      </c>
      <c r="W95" s="96">
        <f>+VLOOKUP(M95,[1]Datos!$F:$H,3,FALSE)</f>
        <v>0</v>
      </c>
      <c r="X95" s="96">
        <v>43</v>
      </c>
      <c r="Y95" s="108"/>
    </row>
    <row r="96" spans="1:25" ht="13" customHeight="1" x14ac:dyDescent="0.35">
      <c r="A96" s="9" t="s">
        <v>25</v>
      </c>
      <c r="B96" s="11"/>
      <c r="C96" s="10">
        <v>2</v>
      </c>
      <c r="D96" s="11" t="s">
        <v>26</v>
      </c>
      <c r="E96" s="13" t="s">
        <v>30</v>
      </c>
      <c r="F96" s="11">
        <v>1307</v>
      </c>
      <c r="G96" s="13" t="s">
        <v>150</v>
      </c>
      <c r="H96" s="14">
        <v>46283</v>
      </c>
      <c r="I96" s="14">
        <v>46283</v>
      </c>
      <c r="J96" s="15" t="str">
        <f>+VLOOKUP(K96,[1]Datos!$A:$C,3,FALSE)</f>
        <v>ROOSEVELT</v>
      </c>
      <c r="K96" s="13">
        <v>260</v>
      </c>
      <c r="L96" s="15" t="str">
        <f>+VLOOKUP(K96,[1]Datos!$A:$C,2,FALSE)</f>
        <v>ANTIGUA LOS ENCINOS</v>
      </c>
      <c r="M96" s="41">
        <v>90067297</v>
      </c>
      <c r="N96" s="15" t="str">
        <f>+VLOOKUP(M96,[1]Datos!$F:$G,2,FALSE)</f>
        <v>MYNOR JOSUE MARROQUIN VEGA</v>
      </c>
      <c r="O96" s="17">
        <f>IFERROR(IF(A96="SI",VLOOKUP(R96,[1]Datos!$J$1:$K$50,2,FALSE)*C96,VLOOKUP(R96,[1]Datos!$P$1:$T$13,2,FALSE)*C96),0)</f>
        <v>5472</v>
      </c>
      <c r="P96" s="18">
        <v>310923</v>
      </c>
      <c r="Q96" s="15" t="str">
        <f>+VLOOKUP(P96,[1]Datos!$F:$G,2,FALSE)</f>
        <v>Luis Fernando Lopez Lopez</v>
      </c>
      <c r="R96" s="9" t="s">
        <v>77</v>
      </c>
      <c r="S96" s="11"/>
      <c r="T96" s="11" t="e">
        <f>IF(VLOOKUP(M96,'[1]COLABORADORES UN'!$A:$A,1,FALSE),"Colaborador UN","NO")</f>
        <v>#N/A</v>
      </c>
      <c r="U96" s="11"/>
      <c r="V96" s="11">
        <f>+COUNTIFS($G$2:$G$425,G95)</f>
        <v>1</v>
      </c>
      <c r="W96" s="11">
        <f>+VLOOKUP(M96,[1]Datos!$F:$H,3,FALSE)</f>
        <v>0</v>
      </c>
      <c r="X96">
        <v>44</v>
      </c>
      <c r="Y96" s="19"/>
    </row>
    <row r="97" spans="1:26" ht="14.5" customHeight="1" x14ac:dyDescent="0.45">
      <c r="A97" s="9" t="s">
        <v>25</v>
      </c>
      <c r="B97" s="11"/>
      <c r="C97" s="28">
        <v>3</v>
      </c>
      <c r="D97" s="11" t="s">
        <v>26</v>
      </c>
      <c r="E97" s="11" t="s">
        <v>62</v>
      </c>
      <c r="F97" s="11">
        <v>662</v>
      </c>
      <c r="G97" s="11" t="s">
        <v>151</v>
      </c>
      <c r="H97" s="14">
        <v>46283</v>
      </c>
      <c r="I97" s="14">
        <v>46283</v>
      </c>
      <c r="J97" s="15" t="str">
        <f>+VLOOKUP(K97,[1]Datos!$A:$C,3,FALSE)</f>
        <v>ROOSEVELT</v>
      </c>
      <c r="K97" s="13">
        <v>357</v>
      </c>
      <c r="L97" s="15" t="str">
        <f>+VLOOKUP(K97,[1]Datos!$A:$C,2,FALSE)</f>
        <v xml:space="preserve"> PASEO ANTIGUA</v>
      </c>
      <c r="M97" s="41">
        <v>101866</v>
      </c>
      <c r="N97" s="15" t="str">
        <f>+VLOOKUP(M97,[1]Datos!$F:$G,2,FALSE)</f>
        <v>Mirna Violeta Carrillo Gonzalez</v>
      </c>
      <c r="O97" s="17">
        <f>IFERROR(IF(A97="SI",VLOOKUP(R97,[1]Datos!$J$1:$K$50,2,FALSE)*C97,VLOOKUP(R97,[1]Datos!$P$1:$T$13,2,FALSE)*C97),0)</f>
        <v>8208</v>
      </c>
      <c r="P97" s="45">
        <v>309765</v>
      </c>
      <c r="Q97" s="15" t="str">
        <f>+VLOOKUP(P97,[1]Datos!$F:$G,2,FALSE)</f>
        <v>Jose Luis Velasquez Miche</v>
      </c>
      <c r="R97" s="9" t="s">
        <v>77</v>
      </c>
      <c r="S97" s="11"/>
      <c r="T97" s="11" t="e">
        <f>IF(VLOOKUP(M97,'[1]COLABORADORES UN'!$A:$A,1,FALSE),"Colaborador UN","NO")</f>
        <v>#N/A</v>
      </c>
      <c r="U97" s="11"/>
      <c r="V97" s="11">
        <f t="shared" ref="V97:V121" si="2">+COUNTIFS($G$2:$G$425,G97)</f>
        <v>1</v>
      </c>
      <c r="W97" s="11">
        <f>+VLOOKUP(M97,[1]Datos!$F:$H,3,FALSE)</f>
        <v>0</v>
      </c>
      <c r="X97">
        <v>45</v>
      </c>
      <c r="Y97" s="19"/>
    </row>
    <row r="98" spans="1:26" ht="14.5" customHeight="1" x14ac:dyDescent="0.35">
      <c r="A98" s="9" t="s">
        <v>25</v>
      </c>
      <c r="B98" s="11"/>
      <c r="C98" s="20">
        <v>2</v>
      </c>
      <c r="D98" s="11" t="s">
        <v>26</v>
      </c>
      <c r="E98" s="13" t="s">
        <v>30</v>
      </c>
      <c r="F98" s="11">
        <v>1274</v>
      </c>
      <c r="G98" s="13" t="s">
        <v>152</v>
      </c>
      <c r="H98" s="14">
        <v>46283</v>
      </c>
      <c r="I98" s="14">
        <v>46281</v>
      </c>
      <c r="J98" s="15" t="str">
        <f>+VLOOKUP(K98,[1]Datos!$A:$C,3,FALSE)</f>
        <v>ROOSEVELT</v>
      </c>
      <c r="K98" s="13">
        <v>37</v>
      </c>
      <c r="L98" s="15" t="str">
        <f>+VLOOKUP(K98,[1]Datos!$A:$C,2,FALSE)</f>
        <v>SAN JUAN SACATEPEQUEZ</v>
      </c>
      <c r="M98" s="22">
        <v>90084038</v>
      </c>
      <c r="N98" s="15" t="str">
        <f>+VLOOKUP(M98,[1]Datos!$F:$G,2,FALSE)</f>
        <v>LILIAN NOHEMI GONZALEZ GALICIA</v>
      </c>
      <c r="O98" s="17">
        <f>IFERROR(IF(A98="SI",VLOOKUP(R98,[1]Datos!$J$1:$K$50,2,FALSE)*C98,VLOOKUP(R98,[1]Datos!$P$1:$T$13,2,FALSE)*C98),0)</f>
        <v>2736</v>
      </c>
      <c r="P98" s="24">
        <v>312835</v>
      </c>
      <c r="Q98" s="15" t="str">
        <f>+VLOOKUP(P98,[1]Datos!$F:$G,2,FALSE)</f>
        <v>Manuel Estuardo Arriaga Garcia</v>
      </c>
      <c r="R98" s="9" t="s">
        <v>69</v>
      </c>
      <c r="S98" s="11"/>
      <c r="T98" s="11" t="e">
        <f>IF(VLOOKUP(M98,'[1]COLABORADORES UN'!$A:$A,1,FALSE),"Colaborador UN","NO")</f>
        <v>#N/A</v>
      </c>
      <c r="U98" s="11"/>
      <c r="V98" s="11">
        <f t="shared" si="2"/>
        <v>1</v>
      </c>
      <c r="W98" s="11">
        <f>+VLOOKUP(M98,[1]Datos!$F:$H,3,FALSE)</f>
        <v>0</v>
      </c>
      <c r="X98">
        <v>48</v>
      </c>
      <c r="Y98" s="19"/>
    </row>
    <row r="99" spans="1:26" ht="14.5" customHeight="1" x14ac:dyDescent="0.35">
      <c r="A99" s="9" t="s">
        <v>25</v>
      </c>
      <c r="B99" s="11"/>
      <c r="C99" s="10">
        <v>4</v>
      </c>
      <c r="D99" s="11" t="s">
        <v>26</v>
      </c>
      <c r="E99" s="13" t="s">
        <v>45</v>
      </c>
      <c r="F99" s="11">
        <v>780</v>
      </c>
      <c r="G99" s="13" t="s">
        <v>153</v>
      </c>
      <c r="H99" s="14">
        <v>46283</v>
      </c>
      <c r="I99" s="14">
        <v>46281</v>
      </c>
      <c r="J99" s="15" t="str">
        <f>+VLOOKUP(K99,[1]Datos!$A:$C,3,FALSE)</f>
        <v>ROOSEVELT</v>
      </c>
      <c r="K99" s="13">
        <v>220</v>
      </c>
      <c r="L99" s="15" t="str">
        <f>+VLOOKUP(K99,[1]Datos!$A:$C,2,FALSE)</f>
        <v>JOCOTENANGO</v>
      </c>
      <c r="M99" s="41">
        <v>90035163</v>
      </c>
      <c r="N99" s="15" t="str">
        <f>+VLOOKUP(M99,[1]Datos!$F:$G,2,FALSE)</f>
        <v>JULIO CESAR PEREZ PEREZ</v>
      </c>
      <c r="O99" s="17">
        <f>IFERROR(IF(A99="SI",VLOOKUP(R99,[1]Datos!$J$1:$K$50,2,FALSE)*C99,VLOOKUP(R99,[1]Datos!$P$1:$T$13,2,FALSE)*C99),0)</f>
        <v>3264</v>
      </c>
      <c r="P99" s="18">
        <v>312140</v>
      </c>
      <c r="Q99" s="15" t="str">
        <f>+VLOOKUP(P99,[1]Datos!$F:$G,2,FALSE)</f>
        <v>Glendy Elizabeth Aspuac Xunux</v>
      </c>
      <c r="R99" s="9" t="s">
        <v>29</v>
      </c>
      <c r="S99" s="11"/>
      <c r="T99" s="11" t="e">
        <f>IF(VLOOKUP(M99,'[1]COLABORADORES UN'!$A:$A,1,FALSE),"Colaborador UN","NO")</f>
        <v>#N/A</v>
      </c>
      <c r="U99" s="11"/>
      <c r="V99" s="11">
        <f t="shared" si="2"/>
        <v>1</v>
      </c>
      <c r="W99" s="11">
        <f>+VLOOKUP(M99,[1]Datos!$F:$H,3,FALSE)</f>
        <v>0</v>
      </c>
      <c r="X99">
        <v>49</v>
      </c>
      <c r="Y99" s="19"/>
    </row>
    <row r="100" spans="1:26" ht="16" customHeight="1" x14ac:dyDescent="0.35">
      <c r="A100" s="9" t="s">
        <v>25</v>
      </c>
      <c r="B100" s="11"/>
      <c r="C100">
        <v>4</v>
      </c>
      <c r="D100" s="11" t="s">
        <v>26</v>
      </c>
      <c r="E100" s="11" t="s">
        <v>45</v>
      </c>
      <c r="F100" s="11">
        <v>831</v>
      </c>
      <c r="G100" s="11" t="s">
        <v>154</v>
      </c>
      <c r="H100" s="29">
        <v>46283</v>
      </c>
      <c r="I100" s="29">
        <v>46283</v>
      </c>
      <c r="J100" s="15" t="str">
        <f>+VLOOKUP(K100,[1]Datos!$A:$C,3,FALSE)</f>
        <v>ROOSEVELT</v>
      </c>
      <c r="K100" s="11">
        <v>127</v>
      </c>
      <c r="L100" s="15" t="str">
        <f>+VLOOKUP(K100,[1]Datos!$A:$C,2,FALSE)</f>
        <v>CHIMALTENANGO 2</v>
      </c>
      <c r="M100" s="11">
        <v>315709</v>
      </c>
      <c r="N100" s="15" t="str">
        <f>+VLOOKUP(M100,[1]Datos!$F:$G,2,FALSE)</f>
        <v>ROBIN DANIEL NIMACACHI TERET</v>
      </c>
      <c r="O100" s="17">
        <f>IFERROR(IF(A100="SI",VLOOKUP(R100,[1]Datos!$J$1:$K$50,2,FALSE)*C100,VLOOKUP(R100,[1]Datos!$P$1:$T$13,2,FALSE)*C100),0)</f>
        <v>3264</v>
      </c>
      <c r="P100" s="8">
        <v>306655</v>
      </c>
      <c r="Q100" s="15" t="str">
        <f>+VLOOKUP(P100,[1]Datos!$F:$G,2,FALSE)</f>
        <v>Marvin Alexander Choguix Chex</v>
      </c>
      <c r="R100" s="9" t="s">
        <v>29</v>
      </c>
      <c r="S100" s="11"/>
      <c r="T100" s="11" t="e">
        <f>IF(VLOOKUP(M100,'[1]COLABORADORES UN'!$A:$A,1,FALSE),"Colaborador UN","NO")</f>
        <v>#N/A</v>
      </c>
      <c r="U100" s="11"/>
      <c r="V100" s="11">
        <f t="shared" si="2"/>
        <v>1</v>
      </c>
      <c r="W100" s="11">
        <f>+VLOOKUP(M100,[1]Datos!$F:$H,3,FALSE)</f>
        <v>0</v>
      </c>
      <c r="X100">
        <v>50</v>
      </c>
      <c r="Y100" s="19"/>
    </row>
    <row r="101" spans="1:26" s="11" customFormat="1" ht="12.5" customHeight="1" x14ac:dyDescent="0.35">
      <c r="A101" s="9" t="s">
        <v>25</v>
      </c>
      <c r="C101">
        <v>1</v>
      </c>
      <c r="D101" s="11" t="s">
        <v>26</v>
      </c>
      <c r="E101" s="11" t="s">
        <v>27</v>
      </c>
      <c r="F101" s="11">
        <v>4628</v>
      </c>
      <c r="G101" s="11" t="s">
        <v>155</v>
      </c>
      <c r="H101" s="29">
        <v>46284</v>
      </c>
      <c r="I101" s="29">
        <v>46283</v>
      </c>
      <c r="J101" s="15" t="str">
        <f>+VLOOKUP(K101,[1]Datos!$A:$C,3,FALSE)</f>
        <v>ROOSEVELT</v>
      </c>
      <c r="K101" s="11">
        <v>252</v>
      </c>
      <c r="L101" s="15" t="str">
        <f>+VLOOKUP(K101,[1]Datos!$A:$C,2,FALSE)</f>
        <v>ESKALA ROOSEVELT</v>
      </c>
      <c r="M101" s="11">
        <v>315564</v>
      </c>
      <c r="N101" s="15" t="str">
        <f>+VLOOKUP(M101,[1]Datos!$F:$G,2,FALSE)</f>
        <v>Esvin Rolando Orozco Mulul</v>
      </c>
      <c r="O101" s="17">
        <f>IFERROR(IF(A101="SI",VLOOKUP(R101,[1]Datos!$J$1:$K$50,2,FALSE)*C101,VLOOKUP(R101,[1]Datos!$P$1:$T$13,2,FALSE)*C101),0)</f>
        <v>816</v>
      </c>
      <c r="P101" s="28">
        <v>300544</v>
      </c>
      <c r="Q101" s="15" t="str">
        <f>+VLOOKUP(P101,[1]Datos!$F:$G,2,FALSE)</f>
        <v>Abner Enmanuel Perez Rodriguez</v>
      </c>
      <c r="R101" s="9" t="s">
        <v>29</v>
      </c>
      <c r="T101" s="11" t="e">
        <f>IF(VLOOKUP(M101,'[1]COLABORADORES UN'!$A:$A,1,FALSE),"Colaborador UN","NO")</f>
        <v>#N/A</v>
      </c>
      <c r="V101" s="11">
        <f t="shared" si="2"/>
        <v>1</v>
      </c>
      <c r="W101" s="11">
        <f>+VLOOKUP(M101,[1]Datos!$F:$H,3,FALSE)</f>
        <v>0</v>
      </c>
      <c r="X101" s="11">
        <v>51</v>
      </c>
      <c r="Y101" s="58"/>
    </row>
    <row r="102" spans="1:26" ht="15.5" customHeight="1" x14ac:dyDescent="0.35">
      <c r="A102" s="9" t="s">
        <v>25</v>
      </c>
      <c r="B102" s="11"/>
      <c r="C102">
        <v>1</v>
      </c>
      <c r="D102" s="11" t="s">
        <v>26</v>
      </c>
      <c r="E102" s="11" t="s">
        <v>27</v>
      </c>
      <c r="F102" s="11">
        <v>4598</v>
      </c>
      <c r="G102" s="11" t="s">
        <v>156</v>
      </c>
      <c r="H102" s="29">
        <v>46284</v>
      </c>
      <c r="I102" s="29">
        <v>46283</v>
      </c>
      <c r="J102" s="15" t="str">
        <f>+VLOOKUP(K102,[1]Datos!$A:$C,3,FALSE)</f>
        <v>ROOSEVELT</v>
      </c>
      <c r="K102" s="11">
        <v>127</v>
      </c>
      <c r="L102" s="15" t="str">
        <f>+VLOOKUP(K102,[1]Datos!$A:$C,2,FALSE)</f>
        <v>CHIMALTENANGO 2</v>
      </c>
      <c r="M102" s="11">
        <v>315709</v>
      </c>
      <c r="N102" s="15" t="str">
        <f>+VLOOKUP(M102,[1]Datos!$F:$G,2,FALSE)</f>
        <v>ROBIN DANIEL NIMACACHI TERET</v>
      </c>
      <c r="O102" s="17">
        <f>IFERROR(IF(A102="SI",VLOOKUP(R102,[1]Datos!$J$1:$K$50,2,FALSE)*C102,VLOOKUP(R102,[1]Datos!$P$1:$T$13,2,FALSE)*C102),0)</f>
        <v>816</v>
      </c>
      <c r="P102" s="8">
        <v>306655</v>
      </c>
      <c r="Q102" s="15" t="str">
        <f>+VLOOKUP(P102,[1]Datos!$F:$G,2,FALSE)</f>
        <v>Marvin Alexander Choguix Chex</v>
      </c>
      <c r="R102" s="9" t="s">
        <v>29</v>
      </c>
      <c r="S102" s="11"/>
      <c r="T102" s="11" t="e">
        <f>IF(VLOOKUP(M102,'[1]COLABORADORES UN'!$A:$A,1,FALSE),"Colaborador UN","NO")</f>
        <v>#N/A</v>
      </c>
      <c r="U102" s="11"/>
      <c r="V102" s="11">
        <f t="shared" si="2"/>
        <v>1</v>
      </c>
      <c r="W102" s="11">
        <f>+VLOOKUP(M102,[1]Datos!$F:$H,3,FALSE)</f>
        <v>0</v>
      </c>
      <c r="X102">
        <v>52</v>
      </c>
      <c r="Y102" s="19"/>
    </row>
    <row r="103" spans="1:26" ht="14.5" customHeight="1" x14ac:dyDescent="0.35">
      <c r="A103" s="9" t="s">
        <v>25</v>
      </c>
      <c r="B103" s="9"/>
      <c r="C103">
        <v>1</v>
      </c>
      <c r="D103" s="11" t="s">
        <v>26</v>
      </c>
      <c r="E103" s="11" t="s">
        <v>27</v>
      </c>
      <c r="F103" s="11">
        <v>4608</v>
      </c>
      <c r="G103" s="11" t="s">
        <v>157</v>
      </c>
      <c r="H103" s="29">
        <v>46284</v>
      </c>
      <c r="I103" s="29">
        <v>46283</v>
      </c>
      <c r="J103" s="15" t="str">
        <f>+VLOOKUP(K103,[1]Datos!$A:$C,3,FALSE)</f>
        <v>ROOSEVELT</v>
      </c>
      <c r="K103" s="11">
        <v>127</v>
      </c>
      <c r="L103" s="15" t="str">
        <f>+VLOOKUP(K103,[1]Datos!$A:$C,2,FALSE)</f>
        <v>CHIMALTENANGO 2</v>
      </c>
      <c r="M103" s="11">
        <v>311846</v>
      </c>
      <c r="N103" s="15" t="str">
        <f>+VLOOKUP(M103,[1]Datos!$F:$G,2,FALSE)</f>
        <v>Ricardo Antonio Vasquez Meza</v>
      </c>
      <c r="O103" s="17">
        <f>IFERROR(IF(A103="SI",VLOOKUP(R103,[1]Datos!$J$1:$K$50,2,FALSE)*C103,VLOOKUP(R103,[1]Datos!$P$1:$T$13,2,FALSE)*C103),0)</f>
        <v>816</v>
      </c>
      <c r="P103" s="8">
        <v>306655</v>
      </c>
      <c r="Q103" s="15" t="str">
        <f>+VLOOKUP(P103,[1]Datos!$F:$G,2,FALSE)</f>
        <v>Marvin Alexander Choguix Chex</v>
      </c>
      <c r="R103" s="9" t="s">
        <v>29</v>
      </c>
      <c r="S103" s="11"/>
      <c r="T103" s="11" t="e">
        <f>IF(VLOOKUP(M103,'[1]COLABORADORES UN'!$A:$A,1,FALSE),"Colaborador UN","NO")</f>
        <v>#N/A</v>
      </c>
      <c r="U103" s="11"/>
      <c r="V103" s="11">
        <f t="shared" si="2"/>
        <v>1</v>
      </c>
      <c r="W103" s="11">
        <f>+VLOOKUP(M103,[1]Datos!$F:$H,3,FALSE)</f>
        <v>0</v>
      </c>
      <c r="X103">
        <v>0</v>
      </c>
      <c r="Y103" s="19"/>
      <c r="Z103" t="e">
        <f>VLOOKUP(M103,'[2]INDIVIDUAL UN'!$C$6:$F$222,4,FALSE)</f>
        <v>#N/A</v>
      </c>
    </row>
    <row r="104" spans="1:26" ht="16.5" customHeight="1" x14ac:dyDescent="0.35">
      <c r="A104" s="9" t="s">
        <v>25</v>
      </c>
      <c r="B104" s="9"/>
      <c r="C104" s="10">
        <v>3</v>
      </c>
      <c r="D104" s="11" t="s">
        <v>26</v>
      </c>
      <c r="E104" s="13" t="s">
        <v>62</v>
      </c>
      <c r="F104" s="11">
        <v>700</v>
      </c>
      <c r="G104" s="11" t="s">
        <v>158</v>
      </c>
      <c r="H104" s="29">
        <v>46284</v>
      </c>
      <c r="I104" s="14">
        <v>46284</v>
      </c>
      <c r="J104" s="15" t="str">
        <f>+VLOOKUP(K104,[1]Datos!$A:$C,3,FALSE)</f>
        <v>ROOSEVELT</v>
      </c>
      <c r="K104" s="13">
        <v>357</v>
      </c>
      <c r="L104" s="15" t="str">
        <f>+VLOOKUP(K104,[1]Datos!$A:$C,2,FALSE)</f>
        <v xml:space="preserve"> PASEO ANTIGUA</v>
      </c>
      <c r="M104" s="41">
        <v>90049224</v>
      </c>
      <c r="N104" s="15" t="str">
        <f>+VLOOKUP(M104,[1]Datos!$F:$G,2,FALSE)</f>
        <v>VIVI LOURDES LOPEZ ZULETA</v>
      </c>
      <c r="O104" s="17">
        <f>IFERROR(IF(A104="SI",VLOOKUP(R104,[1]Datos!$J$1:$K$50,2,FALSE)*C104,VLOOKUP(R104,[1]Datos!$P$1:$T$13,2,FALSE)*C104),0)</f>
        <v>2448</v>
      </c>
      <c r="P104" s="66">
        <v>309765</v>
      </c>
      <c r="Q104" s="15" t="str">
        <f>+VLOOKUP(P104,[1]Datos!$F:$G,2,FALSE)</f>
        <v>Jose Luis Velasquez Miche</v>
      </c>
      <c r="R104" s="9" t="s">
        <v>29</v>
      </c>
      <c r="S104" s="11"/>
      <c r="T104" s="11" t="e">
        <f>IF(VLOOKUP(M104,'[1]COLABORADORES UN'!$A:$A,1,FALSE),"Colaborador UN","NO")</f>
        <v>#N/A</v>
      </c>
      <c r="U104" s="11"/>
      <c r="V104" s="11">
        <f t="shared" si="2"/>
        <v>1</v>
      </c>
      <c r="W104" s="11">
        <f>+VLOOKUP(M104,[1]Datos!$F:$H,3,FALSE)</f>
        <v>0</v>
      </c>
      <c r="X104">
        <v>0</v>
      </c>
      <c r="Y104" s="19"/>
      <c r="Z104" t="e">
        <f>VLOOKUP(M104,'[2]INDIVIDUAL UN'!$C$6:$F$222,4,FALSE)</f>
        <v>#N/A</v>
      </c>
    </row>
    <row r="105" spans="1:26" ht="13" customHeight="1" x14ac:dyDescent="0.35">
      <c r="A105" s="9" t="s">
        <v>25</v>
      </c>
      <c r="B105" s="9"/>
      <c r="C105">
        <v>1</v>
      </c>
      <c r="D105" s="11" t="s">
        <v>26</v>
      </c>
      <c r="E105" s="11" t="s">
        <v>27</v>
      </c>
      <c r="F105" s="11">
        <v>4631</v>
      </c>
      <c r="G105" s="11" t="s">
        <v>159</v>
      </c>
      <c r="H105" s="29">
        <v>46284</v>
      </c>
      <c r="I105" s="29">
        <v>46284</v>
      </c>
      <c r="J105" s="15" t="str">
        <f>+VLOOKUP(K105,[1]Datos!$A:$C,3,FALSE)</f>
        <v>ROOSEVELT</v>
      </c>
      <c r="K105" s="11">
        <v>127</v>
      </c>
      <c r="L105" s="15" t="str">
        <f>+VLOOKUP(K105,[1]Datos!$A:$C,2,FALSE)</f>
        <v>CHIMALTENANGO 2</v>
      </c>
      <c r="M105" s="11">
        <v>311846</v>
      </c>
      <c r="N105" s="15" t="str">
        <f>+VLOOKUP(M105,[1]Datos!$F:$G,2,FALSE)</f>
        <v>Ricardo Antonio Vasquez Meza</v>
      </c>
      <c r="O105" s="17">
        <f>IFERROR(IF(A105="SI",VLOOKUP(R105,[1]Datos!$J$1:$K$50,2,FALSE)*C105,VLOOKUP(R105,[1]Datos!$P$1:$T$13,2,FALSE)*C105),0)</f>
        <v>816</v>
      </c>
      <c r="P105" s="8">
        <v>306655</v>
      </c>
      <c r="Q105" s="15" t="str">
        <f>+VLOOKUP(P105,[1]Datos!$F:$G,2,FALSE)</f>
        <v>Marvin Alexander Choguix Chex</v>
      </c>
      <c r="R105" s="9" t="s">
        <v>29</v>
      </c>
      <c r="S105" s="11" t="s">
        <v>160</v>
      </c>
      <c r="T105" s="11" t="e">
        <f>IF(VLOOKUP(M105,'[1]COLABORADORES UN'!$A:$A,1,FALSE),"Colaborador UN","NO")</f>
        <v>#N/A</v>
      </c>
      <c r="U105" s="11"/>
      <c r="V105" s="11">
        <f t="shared" si="2"/>
        <v>1</v>
      </c>
      <c r="W105" s="11">
        <f>+VLOOKUP(M105,[1]Datos!$F:$H,3,FALSE)</f>
        <v>0</v>
      </c>
      <c r="X105">
        <v>0</v>
      </c>
      <c r="Y105" s="19"/>
      <c r="Z105" t="e">
        <f>VLOOKUP(M105,'[2]INDIVIDUAL UN'!$C$6:$F$222,4,FALSE)</f>
        <v>#N/A</v>
      </c>
    </row>
    <row r="106" spans="1:26" ht="17" customHeight="1" x14ac:dyDescent="0.35">
      <c r="A106" s="9" t="s">
        <v>25</v>
      </c>
      <c r="B106" s="9"/>
      <c r="C106" s="10">
        <v>2</v>
      </c>
      <c r="D106" s="11" t="s">
        <v>26</v>
      </c>
      <c r="E106" s="12" t="s">
        <v>120</v>
      </c>
      <c r="F106" s="11">
        <v>150</v>
      </c>
      <c r="G106" s="13" t="s">
        <v>161</v>
      </c>
      <c r="H106" s="29">
        <v>46284</v>
      </c>
      <c r="I106" s="14">
        <v>46284</v>
      </c>
      <c r="J106" s="15" t="str">
        <f>+VLOOKUP(K106,[1]Datos!$A:$C,3,FALSE)</f>
        <v>ROOSEVELT</v>
      </c>
      <c r="K106" s="13">
        <v>260</v>
      </c>
      <c r="L106" s="15" t="str">
        <f>+VLOOKUP(K106,[1]Datos!$A:$C,2,FALSE)</f>
        <v>ANTIGUA LOS ENCINOS</v>
      </c>
      <c r="M106" s="16">
        <v>90048458</v>
      </c>
      <c r="N106" s="15" t="str">
        <f>+VLOOKUP(M106,[1]Datos!$F:$G,2,FALSE)</f>
        <v>MIRIAM ROSMERY GUERRA VALLE</v>
      </c>
      <c r="O106" s="17">
        <f>IFERROR(IF(A106="SI",VLOOKUP(R106,[1]Datos!$J$1:$K$50,2,FALSE)*C106,VLOOKUP(R106,[1]Datos!$P$1:$T$13,2,FALSE)*C106),0)</f>
        <v>2184</v>
      </c>
      <c r="P106" s="18">
        <v>310923</v>
      </c>
      <c r="Q106" s="15" t="str">
        <f>+VLOOKUP(P106,[1]Datos!$F:$G,2,FALSE)</f>
        <v>Luis Fernando Lopez Lopez</v>
      </c>
      <c r="R106" s="9" t="s">
        <v>44</v>
      </c>
      <c r="S106" s="11"/>
      <c r="T106" s="11" t="e">
        <f>IF(VLOOKUP(M106,'[1]COLABORADORES UN'!$A:$A,1,FALSE),"Colaborador UN","NO")</f>
        <v>#N/A</v>
      </c>
      <c r="U106" s="11"/>
      <c r="V106" s="11">
        <f t="shared" si="2"/>
        <v>1</v>
      </c>
      <c r="W106" s="11">
        <f>+VLOOKUP(M106,[1]Datos!$F:$H,3,FALSE)</f>
        <v>0</v>
      </c>
      <c r="X106">
        <v>0</v>
      </c>
      <c r="Y106" s="19"/>
      <c r="Z106" t="e">
        <f>VLOOKUP(M106,'[2]INDIVIDUAL UN'!$C$6:$F$222,4,FALSE)</f>
        <v>#N/A</v>
      </c>
    </row>
    <row r="107" spans="1:26" ht="16.5" customHeight="1" x14ac:dyDescent="0.35">
      <c r="A107" s="9" t="s">
        <v>25</v>
      </c>
      <c r="B107" s="9"/>
      <c r="C107" s="28">
        <v>1</v>
      </c>
      <c r="D107" s="11" t="s">
        <v>26</v>
      </c>
      <c r="E107" s="11" t="s">
        <v>27</v>
      </c>
      <c r="F107" s="11">
        <v>4675</v>
      </c>
      <c r="G107" s="11" t="s">
        <v>162</v>
      </c>
      <c r="H107" s="29">
        <v>46284</v>
      </c>
      <c r="I107" s="14">
        <v>46284</v>
      </c>
      <c r="J107" s="15" t="str">
        <f>+VLOOKUP(K107,[1]Datos!$A:$C,3,FALSE)</f>
        <v>ROOSEVELT</v>
      </c>
      <c r="K107" s="13">
        <v>220</v>
      </c>
      <c r="L107" s="15" t="str">
        <f>+VLOOKUP(K107,[1]Datos!$A:$C,2,FALSE)</f>
        <v>JOCOTENANGO</v>
      </c>
      <c r="M107" s="11">
        <v>312923</v>
      </c>
      <c r="N107" s="15" t="str">
        <f>+VLOOKUP(M107,[1]Datos!$F:$G,2,FALSE)</f>
        <v>Sandra Esmeralda Martinez Baeza</v>
      </c>
      <c r="O107" s="17">
        <f>IFERROR(IF(A107="SI",VLOOKUP(R107,[1]Datos!$J$1:$K$50,2,FALSE)*C107,VLOOKUP(R107,[1]Datos!$P$1:$T$13,2,FALSE)*C107),0)</f>
        <v>816</v>
      </c>
      <c r="P107" s="24">
        <v>312140</v>
      </c>
      <c r="Q107" s="15" t="str">
        <f>+VLOOKUP(P107,[1]Datos!$F:$G,2,FALSE)</f>
        <v>Glendy Elizabeth Aspuac Xunux</v>
      </c>
      <c r="R107" s="9" t="s">
        <v>29</v>
      </c>
      <c r="S107" s="11"/>
      <c r="T107" s="11" t="e">
        <f>IF(VLOOKUP(M107,'[1]COLABORADORES UN'!$A:$A,1,FALSE),"Colaborador UN","NO")</f>
        <v>#N/A</v>
      </c>
      <c r="U107" s="11"/>
      <c r="V107" s="11">
        <f t="shared" si="2"/>
        <v>1</v>
      </c>
      <c r="W107" s="11">
        <f>+VLOOKUP(M107,[1]Datos!$F:$H,3,FALSE)</f>
        <v>0</v>
      </c>
      <c r="X107">
        <v>0</v>
      </c>
      <c r="Y107" s="19"/>
      <c r="Z107" t="e">
        <f>VLOOKUP(M107,'[2]INDIVIDUAL UN'!$C$6:$F$222,4,FALSE)</f>
        <v>#N/A</v>
      </c>
    </row>
    <row r="108" spans="1:26" s="11" customFormat="1" x14ac:dyDescent="0.35">
      <c r="A108" s="9" t="s">
        <v>25</v>
      </c>
      <c r="B108" s="9"/>
      <c r="C108" s="10">
        <v>2</v>
      </c>
      <c r="D108" s="11" t="s">
        <v>26</v>
      </c>
      <c r="E108" s="13" t="s">
        <v>30</v>
      </c>
      <c r="F108" s="11">
        <v>1343</v>
      </c>
      <c r="G108" s="13" t="s">
        <v>163</v>
      </c>
      <c r="H108" s="14" t="s">
        <v>164</v>
      </c>
      <c r="I108" s="14" t="s">
        <v>164</v>
      </c>
      <c r="J108" s="15" t="str">
        <f>+VLOOKUP(K108,[1]Datos!$A:$C,3,FALSE)</f>
        <v>ROOSEVELT</v>
      </c>
      <c r="K108" s="13">
        <v>220</v>
      </c>
      <c r="L108" s="15" t="str">
        <f>+VLOOKUP(K108,[1]Datos!$A:$C,2,FALSE)</f>
        <v>JOCOTENANGO</v>
      </c>
      <c r="M108" s="41">
        <v>312923</v>
      </c>
      <c r="N108" s="15" t="str">
        <f>+VLOOKUP(M108,[1]Datos!$F:$G,2,FALSE)</f>
        <v>Sandra Esmeralda Martinez Baeza</v>
      </c>
      <c r="O108" s="17">
        <f>IFERROR(IF(A108="SI",VLOOKUP(R108,[1]Datos!$J$1:$K$50,2,FALSE)*C108,VLOOKUP(R108,[1]Datos!$P$1:$T$13,2,FALSE)*C108),0)</f>
        <v>1632</v>
      </c>
      <c r="P108" s="18">
        <v>312140</v>
      </c>
      <c r="Q108" s="15" t="str">
        <f>+VLOOKUP(P108,[1]Datos!$F:$G,2,FALSE)</f>
        <v>Glendy Elizabeth Aspuac Xunux</v>
      </c>
      <c r="R108" s="9" t="s">
        <v>29</v>
      </c>
      <c r="T108" s="11" t="e">
        <f>IF(VLOOKUP(M108,'[1]COLABORADORES UN'!$A:$A,1,FALSE),"Colaborador UN","NO")</f>
        <v>#N/A</v>
      </c>
      <c r="V108" s="11">
        <f t="shared" si="2"/>
        <v>1</v>
      </c>
      <c r="W108" s="11">
        <f>+VLOOKUP(M108,[1]Datos!$F:$H,3,FALSE)</f>
        <v>0</v>
      </c>
      <c r="X108" s="11">
        <v>0</v>
      </c>
      <c r="Y108" s="58"/>
      <c r="Z108" s="11" t="e">
        <f>VLOOKUP(M108,'[2]INDIVIDUAL UN'!$C$6:$F$222,4,FALSE)</f>
        <v>#N/A</v>
      </c>
    </row>
    <row r="109" spans="1:26" ht="16" customHeight="1" x14ac:dyDescent="0.35">
      <c r="A109" s="9" t="s">
        <v>25</v>
      </c>
      <c r="B109" s="9"/>
      <c r="C109">
        <v>4</v>
      </c>
      <c r="D109" s="11" t="s">
        <v>26</v>
      </c>
      <c r="E109" s="11" t="s">
        <v>45</v>
      </c>
      <c r="F109" s="11">
        <v>860</v>
      </c>
      <c r="G109" s="11" t="s">
        <v>165</v>
      </c>
      <c r="H109" s="29">
        <v>46284</v>
      </c>
      <c r="I109" s="29">
        <v>46284</v>
      </c>
      <c r="J109" s="15" t="str">
        <f>+VLOOKUP(K109,[1]Datos!$A:$C,3,FALSE)</f>
        <v>ROOSEVELT</v>
      </c>
      <c r="K109" s="11">
        <v>127</v>
      </c>
      <c r="L109" s="15" t="str">
        <f>+VLOOKUP(K109,[1]Datos!$A:$C,2,FALSE)</f>
        <v>CHIMALTENANGO 2</v>
      </c>
      <c r="M109" s="11">
        <v>315709</v>
      </c>
      <c r="N109" s="15" t="str">
        <f>+VLOOKUP(M109,[1]Datos!$F:$G,2,FALSE)</f>
        <v>ROBIN DANIEL NIMACACHI TERET</v>
      </c>
      <c r="O109" s="17">
        <f>IFERROR(IF(A109="SI",VLOOKUP(R109,[1]Datos!$J$1:$K$50,2,FALSE)*C109,VLOOKUP(R109,[1]Datos!$P$1:$T$13,2,FALSE)*C109),0)</f>
        <v>3264</v>
      </c>
      <c r="P109" s="8">
        <v>306655</v>
      </c>
      <c r="Q109" s="15" t="str">
        <f>+VLOOKUP(P109,[1]Datos!$F:$G,2,FALSE)</f>
        <v>Marvin Alexander Choguix Chex</v>
      </c>
      <c r="R109" s="9" t="s">
        <v>29</v>
      </c>
      <c r="S109" s="96"/>
      <c r="T109" s="11" t="e">
        <f>IF(VLOOKUP(M109,'[1]COLABORADORES UN'!$A:$A,1,FALSE),"Colaborador UN","NO")</f>
        <v>#N/A</v>
      </c>
      <c r="U109" s="11"/>
      <c r="V109" s="11">
        <f t="shared" si="2"/>
        <v>1</v>
      </c>
      <c r="W109" s="11">
        <f>+VLOOKUP(M109,[1]Datos!$F:$H,3,FALSE)</f>
        <v>0</v>
      </c>
      <c r="X109">
        <v>0</v>
      </c>
      <c r="Y109" s="19"/>
      <c r="Z109" t="e">
        <f>VLOOKUP(M109,'[2]INDIVIDUAL UN'!$C$6:$F$222,4,FALSE)</f>
        <v>#N/A</v>
      </c>
    </row>
    <row r="110" spans="1:26" x14ac:dyDescent="0.35">
      <c r="A110" s="9" t="s">
        <v>25</v>
      </c>
      <c r="B110" s="9"/>
      <c r="C110" s="28">
        <v>2</v>
      </c>
      <c r="D110" s="11" t="s">
        <v>26</v>
      </c>
      <c r="E110" s="88" t="s">
        <v>30</v>
      </c>
      <c r="F110" s="88">
        <v>1337</v>
      </c>
      <c r="G110" s="88" t="s">
        <v>106</v>
      </c>
      <c r="H110" s="29">
        <v>46284</v>
      </c>
      <c r="I110" s="29">
        <v>46284</v>
      </c>
      <c r="J110" s="15" t="str">
        <f>+VLOOKUP(K110,[1]Datos!$A:$C,3,FALSE)</f>
        <v>ROOSEVELT</v>
      </c>
      <c r="K110" s="11">
        <v>127</v>
      </c>
      <c r="L110" s="15" t="str">
        <f>+VLOOKUP(K110,[1]Datos!$A:$C,2,FALSE)</f>
        <v>CHIMALTENANGO 2</v>
      </c>
      <c r="M110" s="11">
        <v>315304</v>
      </c>
      <c r="N110" s="15" t="str">
        <f>+VLOOKUP(M110,[1]Datos!$F:$G,2,FALSE)</f>
        <v>Henry Gabriel Morales Chinchilla</v>
      </c>
      <c r="O110" s="17">
        <f>IFERROR(IF(A110="SI",VLOOKUP(R110,[1]Datos!$J$1:$K$50,2,FALSE)*C110,VLOOKUP(R110,[1]Datos!$P$1:$T$13,2,FALSE)*C110),0)</f>
        <v>1632</v>
      </c>
      <c r="P110" s="30">
        <v>315771</v>
      </c>
      <c r="Q110" s="15" t="str">
        <f>+VLOOKUP(P110,[1]Datos!$F:$G,2,FALSE)</f>
        <v>LUIS EDUARDO CARRANZA GUZMAN</v>
      </c>
      <c r="R110" s="9" t="s">
        <v>29</v>
      </c>
      <c r="S110" s="11"/>
      <c r="T110" s="11" t="e">
        <f>IF(VLOOKUP(M110,'[1]COLABORADORES UN'!$A:$A,1,FALSE),"Colaborador UN","NO")</f>
        <v>#N/A</v>
      </c>
      <c r="U110" s="11"/>
      <c r="V110" s="11">
        <f t="shared" si="2"/>
        <v>2</v>
      </c>
      <c r="W110" s="11">
        <f>+VLOOKUP(M110,[1]Datos!$F:$H,3,FALSE)</f>
        <v>0</v>
      </c>
      <c r="X110">
        <v>0</v>
      </c>
      <c r="Y110" s="19"/>
      <c r="Z110" t="e">
        <f>VLOOKUP(M110,'[2]INDIVIDUAL UN'!$C$6:$F$222,4,FALSE)</f>
        <v>#N/A</v>
      </c>
    </row>
    <row r="111" spans="1:26" s="11" customFormat="1" ht="13.5" customHeight="1" x14ac:dyDescent="0.35">
      <c r="A111" s="9" t="s">
        <v>25</v>
      </c>
      <c r="B111" s="9"/>
      <c r="C111" s="94">
        <v>4</v>
      </c>
      <c r="D111" s="95" t="s">
        <v>26</v>
      </c>
      <c r="E111" s="95" t="s">
        <v>45</v>
      </c>
      <c r="F111" s="95">
        <v>861</v>
      </c>
      <c r="G111" s="95" t="s">
        <v>166</v>
      </c>
      <c r="H111" s="93">
        <v>46284</v>
      </c>
      <c r="I111" s="93">
        <v>46284</v>
      </c>
      <c r="J111" s="15" t="str">
        <f>+VLOOKUP(K111,[1]Datos!$A:$C,3,FALSE)</f>
        <v>ROOSEVELT</v>
      </c>
      <c r="K111" s="95">
        <v>339</v>
      </c>
      <c r="L111" s="15" t="str">
        <f>+VLOOKUP(K111,[1]Datos!$A:$C,2,FALSE)</f>
        <v>ANDARIA</v>
      </c>
      <c r="M111" s="102">
        <v>309034</v>
      </c>
      <c r="N111" s="15" t="str">
        <f>+VLOOKUP(M111,[1]Datos!$F:$G,2,FALSE)</f>
        <v>Herbert Josue Mucia Garcia</v>
      </c>
      <c r="O111" s="17">
        <f>IFERROR(IF(A111="SI",VLOOKUP(R111,[1]Datos!$J$1:$K$50,2,FALSE)*C111,VLOOKUP(R111,[1]Datos!$P$1:$T$13,2,FALSE)*C111),0)</f>
        <v>5472</v>
      </c>
      <c r="P111" s="103">
        <v>302332</v>
      </c>
      <c r="Q111" s="15" t="str">
        <f>+VLOOKUP(P111,[1]Datos!$F:$G,2,FALSE)</f>
        <v>Thelma Patricia Mena Melchor</v>
      </c>
      <c r="R111" s="9" t="s">
        <v>69</v>
      </c>
      <c r="T111" s="11" t="e">
        <f>IF(VLOOKUP(M111,'[1]COLABORADORES UN'!$A:$A,1,FALSE),"Colaborador UN","NO")</f>
        <v>#N/A</v>
      </c>
      <c r="V111" s="11">
        <f t="shared" si="2"/>
        <v>1</v>
      </c>
      <c r="W111" s="11">
        <f>+VLOOKUP(M111,[1]Datos!$F:$H,3,FALSE)</f>
        <v>0</v>
      </c>
      <c r="X111" s="11">
        <v>0</v>
      </c>
      <c r="Y111" s="58"/>
      <c r="Z111" s="11" t="e">
        <f>VLOOKUP(M111,'[2]INDIVIDUAL UN'!$C$6:$F$222,4,FALSE)</f>
        <v>#N/A</v>
      </c>
    </row>
    <row r="112" spans="1:26" s="11" customFormat="1" ht="13.5" customHeight="1" x14ac:dyDescent="0.45">
      <c r="A112" s="9" t="s">
        <v>25</v>
      </c>
      <c r="B112" s="9"/>
      <c r="C112" s="94">
        <v>2</v>
      </c>
      <c r="D112" s="95" t="s">
        <v>26</v>
      </c>
      <c r="E112" s="95" t="s">
        <v>30</v>
      </c>
      <c r="F112" s="95">
        <v>1353</v>
      </c>
      <c r="G112" s="95" t="s">
        <v>167</v>
      </c>
      <c r="H112" s="93">
        <v>46284</v>
      </c>
      <c r="I112" s="93">
        <v>46284</v>
      </c>
      <c r="J112" s="15" t="str">
        <f>+VLOOKUP(K112,[1]Datos!$A:$C,3,FALSE)</f>
        <v>ROOSEVELT</v>
      </c>
      <c r="K112" s="95">
        <v>339</v>
      </c>
      <c r="L112" s="15" t="str">
        <f>+VLOOKUP(K112,[1]Datos!$A:$C,2,FALSE)</f>
        <v>ANDARIA</v>
      </c>
      <c r="M112" s="46">
        <v>315270</v>
      </c>
      <c r="N112" s="15" t="str">
        <f>+VLOOKUP(M112,[1]Datos!$F:$G,2,FALSE)</f>
        <v>Debora Paola Sepez Cuc</v>
      </c>
      <c r="O112" s="17">
        <f>IFERROR(IF(A112="SI",VLOOKUP(R112,[1]Datos!$J$1:$K$50,2,FALSE)*C112,VLOOKUP(R112,[1]Datos!$P$1:$T$13,2,FALSE)*C112),0)</f>
        <v>1632</v>
      </c>
      <c r="P112" s="103">
        <v>302332</v>
      </c>
      <c r="Q112" s="15" t="str">
        <f>+VLOOKUP(P112,[1]Datos!$F:$G,2,FALSE)</f>
        <v>Thelma Patricia Mena Melchor</v>
      </c>
      <c r="R112" s="9" t="s">
        <v>29</v>
      </c>
      <c r="T112" s="11" t="e">
        <f>IF(VLOOKUP(M112,'[1]COLABORADORES UN'!$A:$A,1,FALSE),"Colaborador UN","NO")</f>
        <v>#N/A</v>
      </c>
      <c r="V112" s="11">
        <f t="shared" si="2"/>
        <v>1</v>
      </c>
      <c r="W112" s="11">
        <f>+VLOOKUP(M112,[1]Datos!$F:$H,3,FALSE)</f>
        <v>0</v>
      </c>
      <c r="X112" s="11">
        <v>0</v>
      </c>
      <c r="Y112" s="58"/>
      <c r="Z112" s="11" t="e">
        <f>VLOOKUP(M112,'[2]INDIVIDUAL UN'!$C$6:$F$222,4,FALSE)</f>
        <v>#N/A</v>
      </c>
    </row>
    <row r="113" spans="1:26" ht="16.5" x14ac:dyDescent="0.45">
      <c r="A113" s="9" t="s">
        <v>25</v>
      </c>
      <c r="B113" s="9"/>
      <c r="C113">
        <v>1</v>
      </c>
      <c r="D113" s="11" t="s">
        <v>26</v>
      </c>
      <c r="E113" s="11" t="s">
        <v>27</v>
      </c>
      <c r="F113" s="11">
        <v>4660</v>
      </c>
      <c r="G113" s="11" t="s">
        <v>168</v>
      </c>
      <c r="H113" s="29">
        <v>46284</v>
      </c>
      <c r="I113" s="29">
        <v>46284</v>
      </c>
      <c r="J113" s="15" t="str">
        <f>+VLOOKUP(K113,[1]Datos!$A:$C,3,FALSE)</f>
        <v>ROOSEVELT</v>
      </c>
      <c r="K113" s="11">
        <v>252</v>
      </c>
      <c r="L113" s="15" t="str">
        <f>+VLOOKUP(K113,[1]Datos!$A:$C,2,FALSE)</f>
        <v>ESKALA ROOSEVELT</v>
      </c>
      <c r="M113" s="46">
        <v>315564</v>
      </c>
      <c r="N113" s="15" t="str">
        <f>+VLOOKUP(M113,[1]Datos!$F:$G,2,FALSE)</f>
        <v>Esvin Rolando Orozco Mulul</v>
      </c>
      <c r="O113" s="17">
        <f>IFERROR(IF(A113="SI",VLOOKUP(R113,[1]Datos!$J$1:$K$50,2,FALSE)*C113,VLOOKUP(R113,[1]Datos!$P$1:$T$13,2,FALSE)*C113),0)</f>
        <v>1368</v>
      </c>
      <c r="P113" s="8">
        <v>300544</v>
      </c>
      <c r="Q113" s="15" t="str">
        <f>+VLOOKUP(P113,[1]Datos!$F:$G,2,FALSE)</f>
        <v>Abner Enmanuel Perez Rodriguez</v>
      </c>
      <c r="R113" s="9" t="s">
        <v>69</v>
      </c>
      <c r="S113" s="53"/>
      <c r="T113" s="11" t="e">
        <f>IF(VLOOKUP(M113,'[1]COLABORADORES UN'!$A:$A,1,FALSE),"Colaborador UN","NO")</f>
        <v>#N/A</v>
      </c>
      <c r="U113" s="53"/>
      <c r="V113" s="11">
        <f t="shared" si="2"/>
        <v>1</v>
      </c>
      <c r="W113" s="53">
        <f>+VLOOKUP(M113,[1]Datos!$F:$H,3,FALSE)</f>
        <v>0</v>
      </c>
      <c r="X113">
        <v>0</v>
      </c>
      <c r="Y113" s="19"/>
      <c r="Z113" t="e">
        <f>VLOOKUP(M113,'[2]INDIVIDUAL UN'!$C$6:$F$222,4,FALSE)</f>
        <v>#N/A</v>
      </c>
    </row>
    <row r="114" spans="1:26" s="100" customFormat="1" ht="17.5" customHeight="1" x14ac:dyDescent="0.35">
      <c r="A114" s="9" t="s">
        <v>25</v>
      </c>
      <c r="B114" s="99"/>
      <c r="C114" s="10">
        <v>1</v>
      </c>
      <c r="D114" s="11" t="s">
        <v>26</v>
      </c>
      <c r="E114" s="13" t="s">
        <v>27</v>
      </c>
      <c r="F114" s="11">
        <v>4573</v>
      </c>
      <c r="G114" s="13" t="s">
        <v>169</v>
      </c>
      <c r="H114" s="14">
        <v>46285</v>
      </c>
      <c r="I114" s="14">
        <v>46282</v>
      </c>
      <c r="J114" s="97" t="str">
        <f>+VLOOKUP(K114,[1]Datos!$A:$C,3,FALSE)</f>
        <v>ROOSEVELT</v>
      </c>
      <c r="K114" s="13">
        <v>280</v>
      </c>
      <c r="L114" s="97" t="str">
        <f>+VLOOKUP(K114,[1]Datos!$A:$C,2,FALSE)</f>
        <v>LAS PUERTAS SAN LUCAS</v>
      </c>
      <c r="M114" s="41">
        <v>315257</v>
      </c>
      <c r="N114" s="97" t="str">
        <f>+VLOOKUP(M114,[1]Datos!$F:$G,2,FALSE)</f>
        <v>Lesli Carolina Iquique Chamale</v>
      </c>
      <c r="O114" s="98">
        <f>IFERROR(IF(A114="SI",VLOOKUP(R114,[1]Datos!$J$1:$K$50,2,FALSE)*C114,VLOOKUP(R114,[1]Datos!$P$1:$T$13,2,FALSE)*C114),0)</f>
        <v>816</v>
      </c>
      <c r="P114" s="18">
        <v>306850</v>
      </c>
      <c r="Q114" s="97" t="str">
        <f>+VLOOKUP(P114,[1]Datos!$F:$G,2,FALSE)</f>
        <v>Nilda Julieta Boror Xuya</v>
      </c>
      <c r="R114" s="99" t="s">
        <v>29</v>
      </c>
      <c r="S114" s="96" t="s">
        <v>170</v>
      </c>
      <c r="T114" s="96" t="e">
        <f>IF(VLOOKUP(M114,'[1]COLABORADORES UN'!$A:$A,1,FALSE),"Colaborador UN","NO")</f>
        <v>#N/A</v>
      </c>
      <c r="U114" s="96"/>
      <c r="V114" s="96">
        <f t="shared" si="2"/>
        <v>1</v>
      </c>
      <c r="W114" s="96">
        <f>+VLOOKUP(M114,[1]Datos!$F:$H,3,FALSE)</f>
        <v>0</v>
      </c>
      <c r="X114" s="100">
        <v>0</v>
      </c>
      <c r="Y114" s="101"/>
      <c r="Z114" s="100" t="e">
        <f>VLOOKUP(M114,'[2]INDIVIDUAL UN'!$C$6:$F$222,4,FALSE)</f>
        <v>#N/A</v>
      </c>
    </row>
    <row r="115" spans="1:26" ht="12.5" customHeight="1" x14ac:dyDescent="0.35">
      <c r="A115" s="9" t="s">
        <v>25</v>
      </c>
      <c r="B115" s="9"/>
      <c r="C115">
        <v>2</v>
      </c>
      <c r="D115" s="11" t="s">
        <v>26</v>
      </c>
      <c r="E115" s="11" t="s">
        <v>30</v>
      </c>
      <c r="F115" s="11">
        <v>1358</v>
      </c>
      <c r="G115" s="11" t="s">
        <v>171</v>
      </c>
      <c r="H115" s="29">
        <v>46285</v>
      </c>
      <c r="I115" s="29">
        <v>46281</v>
      </c>
      <c r="J115" s="15" t="str">
        <f>+VLOOKUP(K115,[1]Datos!$A:$C,3,FALSE)</f>
        <v>ROOSEVELT</v>
      </c>
      <c r="K115" s="11">
        <v>200</v>
      </c>
      <c r="L115" s="15" t="str">
        <f>+VLOOKUP(K115,[1]Datos!$A:$C,2,FALSE)</f>
        <v>GALERIAS MIRAFLORES</v>
      </c>
      <c r="M115" s="11">
        <v>90086663</v>
      </c>
      <c r="N115" s="15" t="str">
        <f>+VLOOKUP(M115,[1]Datos!$F:$G,2,FALSE)</f>
        <v>EVELYN FABIOLA CAJ</v>
      </c>
      <c r="O115" s="17">
        <f>IFERROR(IF(A115="SI",VLOOKUP(R115,[1]Datos!$J$1:$K$50,2,FALSE)*C115,VLOOKUP(R115,[1]Datos!$P$1:$T$13,2,FALSE)*C115),0)</f>
        <v>1632</v>
      </c>
      <c r="P115" s="8">
        <v>315173</v>
      </c>
      <c r="Q115" s="15" t="str">
        <f>+VLOOKUP(P115,[1]Datos!$F:$G,2,FALSE)</f>
        <v>Jorge Luis Morales Lopez</v>
      </c>
      <c r="R115" s="9" t="s">
        <v>29</v>
      </c>
      <c r="S115" s="11"/>
      <c r="T115" s="11" t="e">
        <f>IF(VLOOKUP(M115,'[1]COLABORADORES UN'!$A:$A,1,FALSE),"Colaborador UN","NO")</f>
        <v>#N/A</v>
      </c>
      <c r="U115" s="11"/>
      <c r="V115" s="11">
        <f t="shared" si="2"/>
        <v>1</v>
      </c>
      <c r="W115" s="11">
        <f>+VLOOKUP(M115,[1]Datos!$F:$H,3,FALSE)</f>
        <v>0</v>
      </c>
      <c r="X115">
        <v>0</v>
      </c>
      <c r="Y115" s="19"/>
      <c r="Z115" t="e">
        <f>VLOOKUP(M115,'[2]INDIVIDUAL UN'!$C$6:$F$222,4,FALSE)</f>
        <v>#N/A</v>
      </c>
    </row>
    <row r="116" spans="1:26" ht="15.5" customHeight="1" x14ac:dyDescent="0.35">
      <c r="A116" s="9" t="s">
        <v>25</v>
      </c>
      <c r="B116" s="9"/>
      <c r="C116">
        <v>4</v>
      </c>
      <c r="D116" s="11" t="s">
        <v>26</v>
      </c>
      <c r="E116" s="11" t="s">
        <v>45</v>
      </c>
      <c r="F116" s="11">
        <v>815</v>
      </c>
      <c r="G116" s="11" t="s">
        <v>172</v>
      </c>
      <c r="H116" s="29">
        <v>46285</v>
      </c>
      <c r="I116" s="29">
        <v>46282</v>
      </c>
      <c r="J116" s="15" t="str">
        <f>+VLOOKUP(K116,[1]Datos!$A:$C,3,FALSE)</f>
        <v>ROOSEVELT</v>
      </c>
      <c r="K116" s="11">
        <v>200</v>
      </c>
      <c r="L116" s="15" t="str">
        <f>+VLOOKUP(K116,[1]Datos!$A:$C,2,FALSE)</f>
        <v>GALERIAS MIRAFLORES</v>
      </c>
      <c r="M116" s="11">
        <v>90086663</v>
      </c>
      <c r="N116" s="15" t="str">
        <f>+VLOOKUP(M116,[1]Datos!$F:$G,2,FALSE)</f>
        <v>EVELYN FABIOLA CAJ</v>
      </c>
      <c r="O116" s="17">
        <f>IFERROR(IF(A116="SI",VLOOKUP(R116,[1]Datos!$J$1:$K$50,2,FALSE)*C116,VLOOKUP(R116,[1]Datos!$P$1:$T$13,2,FALSE)*C116),0)</f>
        <v>3264</v>
      </c>
      <c r="P116" s="8">
        <v>315173</v>
      </c>
      <c r="Q116" s="15" t="str">
        <f>+VLOOKUP(P116,[1]Datos!$F:$G,2,FALSE)</f>
        <v>Jorge Luis Morales Lopez</v>
      </c>
      <c r="R116" s="9" t="s">
        <v>29</v>
      </c>
      <c r="S116" s="11"/>
      <c r="T116" s="11" t="e">
        <f>IF(VLOOKUP(M116,'[1]COLABORADORES UN'!$A:$A,1,FALSE),"Colaborador UN","NO")</f>
        <v>#N/A</v>
      </c>
      <c r="U116" s="11"/>
      <c r="V116" s="11">
        <f t="shared" si="2"/>
        <v>1</v>
      </c>
      <c r="W116" s="11">
        <f>+VLOOKUP(M116,[1]Datos!$F:$H,3,FALSE)</f>
        <v>0</v>
      </c>
      <c r="X116">
        <v>0</v>
      </c>
      <c r="Y116" s="19"/>
      <c r="Z116" t="e">
        <f>VLOOKUP(M116,'[2]INDIVIDUAL UN'!$C$6:$F$222,4,FALSE)</f>
        <v>#N/A</v>
      </c>
    </row>
    <row r="117" spans="1:26" ht="16" customHeight="1" x14ac:dyDescent="0.35">
      <c r="A117" s="9" t="s">
        <v>25</v>
      </c>
      <c r="B117" s="9"/>
      <c r="C117">
        <v>1</v>
      </c>
      <c r="D117" s="11" t="s">
        <v>26</v>
      </c>
      <c r="E117" s="11" t="s">
        <v>27</v>
      </c>
      <c r="F117" s="11">
        <v>4668</v>
      </c>
      <c r="G117" s="11" t="s">
        <v>173</v>
      </c>
      <c r="H117" s="29">
        <v>46285</v>
      </c>
      <c r="I117" s="29">
        <v>46283</v>
      </c>
      <c r="J117" s="15" t="str">
        <f>+VLOOKUP(K117,[1]Datos!$A:$C,3,FALSE)</f>
        <v>ROOSEVELT</v>
      </c>
      <c r="K117" s="11">
        <v>200</v>
      </c>
      <c r="L117" s="15" t="str">
        <f>+VLOOKUP(K117,[1]Datos!$A:$C,2,FALSE)</f>
        <v>GALERIAS MIRAFLORES</v>
      </c>
      <c r="M117" s="11">
        <v>90086663</v>
      </c>
      <c r="N117" s="15" t="str">
        <f>+VLOOKUP(M117,[1]Datos!$F:$G,2,FALSE)</f>
        <v>EVELYN FABIOLA CAJ</v>
      </c>
      <c r="O117" s="17">
        <f>IFERROR(IF(A117="SI",VLOOKUP(R117,[1]Datos!$J$1:$K$50,2,FALSE)*C117,VLOOKUP(R117,[1]Datos!$P$1:$T$13,2,FALSE)*C117),0)</f>
        <v>816</v>
      </c>
      <c r="P117" s="8">
        <v>315173</v>
      </c>
      <c r="Q117" s="15" t="str">
        <f>+VLOOKUP(P117,[1]Datos!$F:$G,2,FALSE)</f>
        <v>Jorge Luis Morales Lopez</v>
      </c>
      <c r="R117" s="9" t="s">
        <v>29</v>
      </c>
      <c r="S117" s="11"/>
      <c r="T117" s="11" t="e">
        <f>IF(VLOOKUP(M117,'[1]COLABORADORES UN'!$A:$A,1,FALSE),"Colaborador UN","NO")</f>
        <v>#N/A</v>
      </c>
      <c r="U117" s="11"/>
      <c r="V117" s="11">
        <f t="shared" si="2"/>
        <v>1</v>
      </c>
      <c r="W117" s="11">
        <f>+VLOOKUP(M117,[1]Datos!$F:$H,3,FALSE)</f>
        <v>0</v>
      </c>
      <c r="X117">
        <v>0</v>
      </c>
      <c r="Y117" s="19"/>
      <c r="Z117" t="e">
        <f>VLOOKUP(M117,'[2]INDIVIDUAL UN'!$C$6:$F$222,4,FALSE)</f>
        <v>#N/A</v>
      </c>
    </row>
    <row r="118" spans="1:26" ht="14.5" customHeight="1" x14ac:dyDescent="0.35">
      <c r="A118" s="9" t="s">
        <v>25</v>
      </c>
      <c r="B118" s="9"/>
      <c r="C118">
        <v>1</v>
      </c>
      <c r="D118" s="11" t="s">
        <v>26</v>
      </c>
      <c r="E118" s="11" t="s">
        <v>27</v>
      </c>
      <c r="F118" s="11">
        <v>4665</v>
      </c>
      <c r="G118" s="11" t="s">
        <v>174</v>
      </c>
      <c r="H118" s="29">
        <v>46285</v>
      </c>
      <c r="I118" s="29">
        <v>46285</v>
      </c>
      <c r="J118" s="15" t="str">
        <f>+VLOOKUP(K118,[1]Datos!$A:$C,3,FALSE)</f>
        <v>ROOSEVELT</v>
      </c>
      <c r="K118" s="11">
        <v>252</v>
      </c>
      <c r="L118" s="15" t="str">
        <f>+VLOOKUP(K118,[1]Datos!$A:$C,2,FALSE)</f>
        <v>ESKALA ROOSEVELT</v>
      </c>
      <c r="M118" s="11">
        <v>90087636</v>
      </c>
      <c r="N118" s="15" t="str">
        <f>+VLOOKUP(M118,[1]Datos!$F:$G,2,FALSE)</f>
        <v>Neydelin Shaydi Poz Lopez</v>
      </c>
      <c r="O118" s="17">
        <f>IFERROR(IF(A118="SI",VLOOKUP(R118,[1]Datos!$J$1:$K$50,2,FALSE)*C118,VLOOKUP(R118,[1]Datos!$P$1:$T$13,2,FALSE)*C118),0)</f>
        <v>816</v>
      </c>
      <c r="P118" s="8">
        <v>316268</v>
      </c>
      <c r="Q118" s="15" t="str">
        <f>+VLOOKUP(P118,[1]Datos!$F:$G,2,FALSE)</f>
        <v>SANTOS JOEL PEREZ OXLAJ</v>
      </c>
      <c r="R118" s="9" t="s">
        <v>29</v>
      </c>
      <c r="S118" s="11"/>
      <c r="T118" s="11" t="e">
        <f>IF(VLOOKUP(M118,'[1]COLABORADORES UN'!$A:$A,1,FALSE),"Colaborador UN","NO")</f>
        <v>#N/A</v>
      </c>
      <c r="U118" s="11"/>
      <c r="V118" s="11">
        <f t="shared" si="2"/>
        <v>1</v>
      </c>
      <c r="W118" s="11">
        <f>+VLOOKUP(M118,[1]Datos!$F:$H,3,FALSE)</f>
        <v>0</v>
      </c>
      <c r="X118">
        <v>0</v>
      </c>
      <c r="Y118" s="19"/>
      <c r="Z118" t="e">
        <f>VLOOKUP(M118,'[2]INDIVIDUAL UN'!$C$6:$F$222,4,FALSE)</f>
        <v>#N/A</v>
      </c>
    </row>
    <row r="119" spans="1:26" s="11" customFormat="1" ht="14.5" customHeight="1" x14ac:dyDescent="0.35">
      <c r="A119" s="9" t="s">
        <v>25</v>
      </c>
      <c r="B119" s="9"/>
      <c r="C119" s="30">
        <v>2</v>
      </c>
      <c r="D119" s="9" t="s">
        <v>26</v>
      </c>
      <c r="E119" s="9" t="s">
        <v>55</v>
      </c>
      <c r="F119" s="9">
        <v>169</v>
      </c>
      <c r="G119" s="9" t="s">
        <v>175</v>
      </c>
      <c r="H119" s="44">
        <v>46285</v>
      </c>
      <c r="I119" s="44">
        <v>46285</v>
      </c>
      <c r="J119" s="15" t="str">
        <f>+VLOOKUP(K119,[1]Datos!$A:$C,3,FALSE)</f>
        <v>ROOSEVELT</v>
      </c>
      <c r="K119" s="9">
        <v>339</v>
      </c>
      <c r="L119" s="15" t="str">
        <f>+VLOOKUP(K119,[1]Datos!$A:$C,2,FALSE)</f>
        <v>ANDARIA</v>
      </c>
      <c r="M119" s="9">
        <v>90061141</v>
      </c>
      <c r="N119" s="15" t="str">
        <f>+VLOOKUP(M119,[1]Datos!$F:$G,2,FALSE)</f>
        <v>Edison Alexis Manuel Fuentes Alonzo</v>
      </c>
      <c r="O119" s="17">
        <f>IFERROR(IF(A119="SI",VLOOKUP(R119,[1]Datos!$J$1:$K$50,2,FALSE)*C119,VLOOKUP(R119,[1]Datos!$P$1:$T$13,2,FALSE)*C119),0)</f>
        <v>2016</v>
      </c>
      <c r="P119" s="30">
        <v>302332</v>
      </c>
      <c r="Q119" s="15" t="str">
        <f>+VLOOKUP(P119,[1]Datos!$F:$G,2,FALSE)</f>
        <v>Thelma Patricia Mena Melchor</v>
      </c>
      <c r="R119" s="9" t="s">
        <v>41</v>
      </c>
      <c r="T119" s="11" t="e">
        <f>IF(VLOOKUP(M119,'[1]COLABORADORES UN'!$A:$A,1,FALSE),"Colaborador UN","NO")</f>
        <v>#N/A</v>
      </c>
      <c r="V119" s="11">
        <f t="shared" si="2"/>
        <v>1</v>
      </c>
      <c r="W119" s="11">
        <f>+VLOOKUP(M119,[1]Datos!$F:$H,3,FALSE)</f>
        <v>0</v>
      </c>
      <c r="X119" s="11">
        <v>0</v>
      </c>
      <c r="Y119" s="58"/>
      <c r="Z119" s="11" t="e">
        <f>VLOOKUP(M119,'[2]INDIVIDUAL UN'!$C$6:$F$222,4,FALSE)</f>
        <v>#N/A</v>
      </c>
    </row>
    <row r="120" spans="1:26" s="11" customFormat="1" ht="17" customHeight="1" x14ac:dyDescent="0.35">
      <c r="A120" s="9" t="s">
        <v>25</v>
      </c>
      <c r="B120" s="9"/>
      <c r="C120" s="30">
        <v>1</v>
      </c>
      <c r="D120" s="9" t="s">
        <v>26</v>
      </c>
      <c r="E120" s="9" t="s">
        <v>64</v>
      </c>
      <c r="F120" s="11">
        <v>2601</v>
      </c>
      <c r="G120" s="9" t="s">
        <v>176</v>
      </c>
      <c r="H120" s="44">
        <v>46285</v>
      </c>
      <c r="I120" s="44">
        <v>46285</v>
      </c>
      <c r="J120" s="15" t="str">
        <f>+VLOOKUP(K120,[1]Datos!$A:$C,3,FALSE)</f>
        <v>ROOSEVELT</v>
      </c>
      <c r="K120" s="9">
        <v>339</v>
      </c>
      <c r="L120" s="15" t="str">
        <f>+VLOOKUP(K120,[1]Datos!$A:$C,2,FALSE)</f>
        <v>ANDARIA</v>
      </c>
      <c r="M120" s="9">
        <v>90061141</v>
      </c>
      <c r="N120" s="15" t="str">
        <f>+VLOOKUP(M120,[1]Datos!$F:$G,2,FALSE)</f>
        <v>Edison Alexis Manuel Fuentes Alonzo</v>
      </c>
      <c r="O120" s="17">
        <f>IFERROR(IF(A120="SI",VLOOKUP(R120,[1]Datos!$J$1:$K$50,2,FALSE)*C120,VLOOKUP(R120,[1]Datos!$P$1:$T$13,2,FALSE)*C120),0)</f>
        <v>1008</v>
      </c>
      <c r="P120" s="30">
        <v>302332</v>
      </c>
      <c r="Q120" s="15" t="str">
        <f>+VLOOKUP(P120,[1]Datos!$F:$G,2,FALSE)</f>
        <v>Thelma Patricia Mena Melchor</v>
      </c>
      <c r="R120" s="9" t="s">
        <v>41</v>
      </c>
      <c r="T120" s="11" t="e">
        <f>IF(VLOOKUP(M120,'[1]COLABORADORES UN'!$A:$A,1,FALSE),"Colaborador UN","NO")</f>
        <v>#N/A</v>
      </c>
      <c r="V120" s="11">
        <f t="shared" si="2"/>
        <v>1</v>
      </c>
      <c r="W120" s="11">
        <f>+VLOOKUP(M120,[1]Datos!$F:$H,3,FALSE)</f>
        <v>0</v>
      </c>
      <c r="X120" s="11">
        <v>0</v>
      </c>
      <c r="Y120" s="58"/>
      <c r="Z120" s="11" t="e">
        <f>VLOOKUP(M120,'[2]INDIVIDUAL UN'!$C$6:$F$222,4,FALSE)</f>
        <v>#N/A</v>
      </c>
    </row>
    <row r="121" spans="1:26" ht="13" customHeight="1" x14ac:dyDescent="0.35">
      <c r="A121" s="9" t="s">
        <v>25</v>
      </c>
      <c r="B121" s="9"/>
      <c r="C121" s="11"/>
      <c r="D121" s="11"/>
      <c r="E121" s="11"/>
      <c r="F121" s="11"/>
      <c r="G121" s="11"/>
      <c r="H121" s="14"/>
      <c r="I121" s="29"/>
      <c r="J121" s="15" t="e">
        <f>+VLOOKUP(K121,[1]Datos!$A:$C,3,FALSE)</f>
        <v>#N/A</v>
      </c>
      <c r="K121" s="11"/>
      <c r="L121" s="15" t="e">
        <f>+VLOOKUP(K121,[1]Datos!$A:$C,2,FALSE)</f>
        <v>#N/A</v>
      </c>
      <c r="M121" s="11"/>
      <c r="N121" s="15" t="e">
        <f>+VLOOKUP(M121,[1]Datos!$F:$G,2,FALSE)</f>
        <v>#N/A</v>
      </c>
      <c r="O121" s="17">
        <f>IFERROR(IF(A121="SI",VLOOKUP(R121,[1]Datos!$J$1:$K$50,2,FALSE)*C121,VLOOKUP(R121,[1]Datos!$P$1:$T$13,2,FALSE)*C121),0)</f>
        <v>0</v>
      </c>
      <c r="P121" s="9"/>
      <c r="Q121" s="15" t="e">
        <f>+VLOOKUP(P121,[1]Datos!$F:$G,2,FALSE)</f>
        <v>#N/A</v>
      </c>
      <c r="R121" s="9" t="s">
        <v>29</v>
      </c>
      <c r="S121" s="11"/>
      <c r="T121" s="11" t="e">
        <f>IF(VLOOKUP(M121,'[1]COLABORADORES UN'!$A:$A,1,FALSE),"Colaborador UN","NO")</f>
        <v>#N/A</v>
      </c>
      <c r="U121" s="11"/>
      <c r="V121" s="11">
        <f t="shared" si="2"/>
        <v>0</v>
      </c>
      <c r="W121" s="11" t="e">
        <f>+VLOOKUP(M121,[1]Datos!$F:$H,3,FALSE)</f>
        <v>#N/A</v>
      </c>
      <c r="X121">
        <v>0</v>
      </c>
      <c r="Y121" s="19"/>
      <c r="Z121" t="e">
        <f>VLOOKUP(M121,'[2]INDIVIDUAL UN'!$C$6:$F$222,4,FALSE)</f>
        <v>#N/A</v>
      </c>
    </row>
  </sheetData>
  <conditionalFormatting sqref="B1">
    <cfRule type="iconSet" priority="32">
      <iconSet iconSet="3Symbols2" showValue="0">
        <cfvo type="percent" val="0"/>
        <cfvo type="num" val="0.999"/>
        <cfvo type="num" val="1"/>
      </iconSet>
    </cfRule>
  </conditionalFormatting>
  <conditionalFormatting sqref="C1 R1:Y1 A1">
    <cfRule type="iconSet" priority="33">
      <iconSet iconSet="3Symbols2" showValue="0">
        <cfvo type="percent" val="0"/>
        <cfvo type="num" val="0.999"/>
        <cfvo type="num" val="1"/>
      </iconSet>
    </cfRule>
  </conditionalFormatting>
  <conditionalFormatting sqref="M3">
    <cfRule type="duplicateValues" dxfId="31" priority="21"/>
    <cfRule type="duplicateValues" dxfId="30" priority="22"/>
    <cfRule type="duplicateValues" dxfId="29" priority="23"/>
    <cfRule type="duplicateValues" dxfId="28" priority="24"/>
    <cfRule type="duplicateValues" dxfId="27" priority="25"/>
  </conditionalFormatting>
  <conditionalFormatting sqref="M40">
    <cfRule type="duplicateValues" dxfId="25" priority="16"/>
    <cfRule type="duplicateValues" dxfId="24" priority="17"/>
    <cfRule type="duplicateValues" dxfId="23" priority="18"/>
    <cfRule type="duplicateValues" dxfId="26" priority="19"/>
    <cfRule type="duplicateValues" dxfId="22" priority="20"/>
  </conditionalFormatting>
  <conditionalFormatting sqref="M62">
    <cfRule type="duplicateValues" dxfId="20" priority="11"/>
    <cfRule type="duplicateValues" dxfId="19" priority="12"/>
    <cfRule type="duplicateValues" dxfId="18" priority="13"/>
    <cfRule type="duplicateValues" dxfId="17" priority="14"/>
    <cfRule type="duplicateValues" dxfId="21" priority="15"/>
  </conditionalFormatting>
  <conditionalFormatting sqref="M84">
    <cfRule type="duplicateValues" dxfId="16" priority="6"/>
    <cfRule type="duplicateValues" dxfId="15" priority="7"/>
    <cfRule type="duplicateValues" dxfId="14" priority="8"/>
    <cfRule type="duplicateValues" dxfId="13" priority="9"/>
    <cfRule type="duplicateValues" dxfId="12" priority="10"/>
  </conditionalFormatting>
  <conditionalFormatting sqref="M98">
    <cfRule type="duplicateValues" dxfId="10" priority="1"/>
    <cfRule type="duplicateValues" dxfId="9" priority="2"/>
    <cfRule type="duplicateValues" dxfId="8" priority="3"/>
    <cfRule type="duplicateValues" dxfId="7" priority="4"/>
    <cfRule type="duplicateValues" dxfId="11" priority="5"/>
  </conditionalFormatting>
  <conditionalFormatting sqref="M111">
    <cfRule type="duplicateValues" dxfId="3" priority="26"/>
    <cfRule type="duplicateValues" dxfId="2" priority="27"/>
    <cfRule type="duplicateValues" dxfId="6" priority="28"/>
    <cfRule type="duplicateValues" dxfId="5" priority="29"/>
    <cfRule type="duplicateValues" dxfId="4" priority="30"/>
  </conditionalFormatting>
  <conditionalFormatting sqref="T2:T121">
    <cfRule type="containsText" dxfId="0" priority="37" operator="containsText" text="&quot;Colaborador UN&quot;">
      <formula>NOT(ISERROR(SEARCH("""Colaborador UN""",T2)))</formula>
    </cfRule>
  </conditionalFormatting>
  <conditionalFormatting sqref="V2:V121">
    <cfRule type="colorScale" priority="31">
      <colorScale>
        <cfvo type="num" val="1"/>
        <cfvo type="num" val="2"/>
        <color rgb="FFFCFCFF"/>
        <color rgb="FFF8696B"/>
      </colorScale>
    </cfRule>
  </conditionalFormatting>
  <conditionalFormatting sqref="X2:X121">
    <cfRule type="iconSet" priority="34">
      <iconSet iconSet="3Symbols2">
        <cfvo type="percent" val="0"/>
        <cfvo type="num" val="1"/>
        <cfvo type="num" val="2"/>
      </iconSet>
    </cfRule>
  </conditionalFormatting>
  <conditionalFormatting sqref="X62:X121">
    <cfRule type="iconSet" priority="35">
      <iconSet iconSet="3Symbols2">
        <cfvo type="percent" val="0"/>
        <cfvo type="num" val="1"/>
        <cfvo type="num" val="2"/>
      </iconSet>
    </cfRule>
  </conditionalFormatting>
  <dataValidations count="1">
    <dataValidation type="whole" allowBlank="1" showInputMessage="1" showErrorMessage="1" sqref="F1" xr:uid="{C37757D4-D057-40ED-AE1A-455781C0C14B}">
      <formula1>10</formula1>
      <formula2>10000</formula2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6" operator="containsText" id="{19A5279F-D85A-4C26-AAE7-FC2BF6247369}">
            <xm:f>NOT(ISERROR(SEARCH(#REF!,T2)))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T2:T121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David Couderec Benavides</dc:creator>
  <cp:lastModifiedBy>Jose David Couderec Benavides</cp:lastModifiedBy>
  <dcterms:created xsi:type="dcterms:W3CDTF">2026-09-21T21:08:53Z</dcterms:created>
  <dcterms:modified xsi:type="dcterms:W3CDTF">2026-09-21T21:10:11Z</dcterms:modified>
</cp:coreProperties>
</file>